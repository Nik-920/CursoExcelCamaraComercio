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ursos\EXCEL\FINAL EXCEL IA\excel\"/>
    </mc:Choice>
  </mc:AlternateContent>
  <xr:revisionPtr revIDLastSave="0" documentId="8_{53E2B1D9-7537-4289-9221-50CFE4C8A21F}" xr6:coauthVersionLast="47" xr6:coauthVersionMax="47" xr10:uidLastSave="{00000000-0000-0000-0000-000000000000}"/>
  <bookViews>
    <workbookView xWindow="28680" yWindow="-120" windowWidth="29040" windowHeight="15720" xr2:uid="{8E281739-842C-44D2-A8FA-47CE9C95FA22}"/>
  </bookViews>
  <sheets>
    <sheet name="Funciones" sheetId="1" r:id="rId1"/>
  </sheets>
  <externalReferences>
    <externalReference r:id="rId2"/>
    <externalReference r:id="rId3"/>
  </externalReferences>
  <definedNames>
    <definedName name="aaaaaaaaaaaaaaa">_xlfn.LAMBDA(_xlpm.m,_xlpm.m*2%)</definedName>
    <definedName name="ai">_xlfn.LAMBDA(_xlpm.m,_xlpm.m*2%)</definedName>
    <definedName name="AÑOS">[1]Escenarios!$D$5</definedName>
    <definedName name="CANTIADADA">[1]SOLVER!$C$10</definedName>
    <definedName name="CANTIDA">'[1]SOLVER 2'!$C$10</definedName>
    <definedName name="CANTIDADB">[1]SOLVER!$D$10</definedName>
    <definedName name="CANTIDB">'[1]SOLVER 2'!$D$10</definedName>
    <definedName name="CAPITAL_PRESTADO">[1]Escenarios!$D$4</definedName>
    <definedName name="incremento2porcien">_xlfn.LAMBDA(_xlpm.m,_xlpm.m*2%)</definedName>
    <definedName name="MENSUALD">[1]Escenarios!$G$5</definedName>
    <definedName name="MENSUALIDADES">#REF!</definedName>
    <definedName name="TIPO_MENSUAL">[1]Escenarios!$G$6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 a="1"/>
  <c r="D2" i="1" s="1"/>
  <c r="B24" i="1" a="1"/>
  <c r="B24" i="1" s="1"/>
  <c r="D30" i="1" a="1"/>
  <c r="D30" i="1" s="1"/>
  <c r="F37" i="1"/>
  <c r="F38" i="1"/>
  <c r="F39" i="1"/>
  <c r="A40" i="1"/>
  <c r="F40" i="1"/>
  <c r="F41" i="1"/>
  <c r="F42" i="1"/>
  <c r="F43" i="1"/>
  <c r="H47" i="1" a="1"/>
  <c r="H47" i="1" s="1"/>
  <c r="F48" i="1"/>
  <c r="F49" i="1"/>
  <c r="F50" i="1"/>
  <c r="F51" i="1"/>
  <c r="F52" i="1"/>
  <c r="F53" i="1"/>
  <c r="F54" i="1"/>
  <c r="F55" i="1"/>
  <c r="F56" i="1"/>
  <c r="F57" i="1"/>
  <c r="F58" i="1"/>
  <c r="F59" i="1"/>
  <c r="H64" i="1" a="1"/>
  <c r="H64" i="1" s="1"/>
  <c r="F65" i="1"/>
  <c r="F66" i="1"/>
  <c r="F67" i="1"/>
  <c r="F68" i="1"/>
  <c r="F69" i="1"/>
  <c r="F70" i="1"/>
  <c r="F71" i="1"/>
  <c r="F72" i="1"/>
  <c r="F73" i="1"/>
  <c r="F74" i="1"/>
  <c r="F75" i="1"/>
  <c r="F76" i="1"/>
  <c r="E91" i="1" a="1"/>
  <c r="E91" i="1" s="1"/>
  <c r="A10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<sst xmlns="http://schemas.openxmlformats.org/spreadsheetml/2006/main" count="105" uniqueCount="63">
  <si>
    <t>VENTAS</t>
  </si>
  <si>
    <t>BENEFICIO</t>
  </si>
  <si>
    <t>Escribir Cifra Ventas:</t>
  </si>
  <si>
    <t>PRONOSTICO.LINEAL</t>
  </si>
  <si>
    <t>Sur</t>
  </si>
  <si>
    <t>Temperatura</t>
  </si>
  <si>
    <t>Localidad</t>
  </si>
  <si>
    <t>Fecha</t>
  </si>
  <si>
    <t>EXPANDIR</t>
  </si>
  <si>
    <t xml:space="preserve"> Teléfono móvil</t>
  </si>
  <si>
    <t>VA012</t>
  </si>
  <si>
    <t xml:space="preserve"> Tablet</t>
  </si>
  <si>
    <t>VA011</t>
  </si>
  <si>
    <t xml:space="preserve"> Smartwatch</t>
  </si>
  <si>
    <t>VA010</t>
  </si>
  <si>
    <t>VA009</t>
  </si>
  <si>
    <t xml:space="preserve"> Consola de videojuegos</t>
  </si>
  <si>
    <t>VA008</t>
  </si>
  <si>
    <t xml:space="preserve"> Altavoz Bluetooth</t>
  </si>
  <si>
    <t>VA007</t>
  </si>
  <si>
    <t xml:space="preserve"> Portátil</t>
  </si>
  <si>
    <t>VA006</t>
  </si>
  <si>
    <t xml:space="preserve"> Cámara digital</t>
  </si>
  <si>
    <t>VA005</t>
  </si>
  <si>
    <t>VA004</t>
  </si>
  <si>
    <t>VA003</t>
  </si>
  <si>
    <t xml:space="preserve"> Auriculares inalámbricos</t>
  </si>
  <si>
    <t>VA002</t>
  </si>
  <si>
    <t>VA001</t>
  </si>
  <si>
    <t>Total</t>
  </si>
  <si>
    <t>Cantidad</t>
  </si>
  <si>
    <t>Precio</t>
  </si>
  <si>
    <t xml:space="preserve">Producto </t>
  </si>
  <si>
    <t>Nº Factura</t>
  </si>
  <si>
    <t>TOMAR</t>
  </si>
  <si>
    <t>ELEGIRCOLS</t>
  </si>
  <si>
    <t>Centro</t>
  </si>
  <si>
    <t>Norte</t>
  </si>
  <si>
    <t>Escribir:</t>
  </si>
  <si>
    <t xml:space="preserve">Cantidad </t>
  </si>
  <si>
    <t>Ref. Producto</t>
  </si>
  <si>
    <t>Sucursal</t>
  </si>
  <si>
    <t>Factura</t>
  </si>
  <si>
    <t>SUMAR.SI.CONJUNTO</t>
  </si>
  <si>
    <t>Rosa*Santos</t>
  </si>
  <si>
    <t>Luisa*Rueda</t>
  </si>
  <si>
    <t>Carlos*Vega</t>
  </si>
  <si>
    <t>Marta*Sanz</t>
  </si>
  <si>
    <t>TEXTOANTES</t>
  </si>
  <si>
    <t>Rosa Santos</t>
  </si>
  <si>
    <t>Luisa Rueda</t>
  </si>
  <si>
    <t>Carlos Vega</t>
  </si>
  <si>
    <t>Marta Sanz</t>
  </si>
  <si>
    <t>Pedro Lara</t>
  </si>
  <si>
    <t xml:space="preserve">Juan Marcos </t>
  </si>
  <si>
    <t>Ana Cuesta</t>
  </si>
  <si>
    <t>Edad</t>
  </si>
  <si>
    <t>Departamento</t>
  </si>
  <si>
    <t>NOMBRE y APELLIDOS</t>
  </si>
  <si>
    <t>ID</t>
  </si>
  <si>
    <t>FILTRAR</t>
  </si>
  <si>
    <t>ID EMPLEADO</t>
  </si>
  <si>
    <t>UNICOS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</si>
</sst>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64" fontId="0" fillId="0" borderId="0" xfId="1" applyNumberFormat="1" applyFont="1"/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/>
    <xf numFmtId="16" fontId="0" fillId="0" borderId="0" xfId="0" applyNumberFormat="1"/>
    <xf numFmtId="0" fontId="5" fillId="5" borderId="0" xfId="0" applyFont="1" applyFill="1"/>
    <xf numFmtId="0" fontId="6" fillId="6" borderId="0" xfId="0" applyFont="1" applyFill="1"/>
    <xf numFmtId="0" fontId="0" fillId="2" borderId="0" xfId="0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4" borderId="0" xfId="0" applyFill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4" borderId="0" xfId="0" applyFont="1" applyFill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alcChain" Target="calcChai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uario/Mis%20documentos/EXCEL%20AVANZADO/PRACTICAS%20EXCE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wnloads\Excel%20Avanzado%20Archivos%20(2).xlsx" TargetMode="External"/><Relationship Id="rId1" Type="http://schemas.openxmlformats.org/officeDocument/2006/relationships/externalLinkPath" Target="/Users/USER/Downloads/Excel%20Avanzado%20Archivos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5"/>
      <sheetName val="Hoja4"/>
      <sheetName val="Hoja3"/>
      <sheetName val="Hoja1"/>
      <sheetName val="Hoja2"/>
      <sheetName val="BUSCAR OBJ"/>
      <sheetName val="datos"/>
      <sheetName val="tabla"/>
      <sheetName val="Gráfico1"/>
      <sheetName val="Hoja6"/>
      <sheetName val="Escenarios"/>
      <sheetName val="Resumen de escenario"/>
      <sheetName val="Escenario 2"/>
      <sheetName val="Resumen de escenario 2"/>
      <sheetName val="SOLVER"/>
      <sheetName val="Informe de respuestas 1"/>
      <sheetName val="SOLVER 2"/>
      <sheetName val="Informe de respuestas 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>
        <row r="4">
          <cell r="D4">
            <v>200000</v>
          </cell>
        </row>
        <row r="5">
          <cell r="D5">
            <v>25</v>
          </cell>
          <cell r="G5">
            <v>300</v>
          </cell>
        </row>
        <row r="6">
          <cell r="G6">
            <v>3.3333333333333301E-3</v>
          </cell>
        </row>
      </sheetData>
      <sheetData sheetId="11"/>
      <sheetData sheetId="12"/>
      <sheetData sheetId="13"/>
      <sheetData sheetId="14">
        <row r="10">
          <cell r="C10">
            <v>1040</v>
          </cell>
          <cell r="D10">
            <v>4440</v>
          </cell>
        </row>
      </sheetData>
      <sheetData sheetId="15"/>
      <sheetData sheetId="16">
        <row r="10">
          <cell r="C10">
            <v>30.000000000000053</v>
          </cell>
          <cell r="D10">
            <v>40</v>
          </cell>
        </row>
      </sheetData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ularios"/>
      <sheetName val="Formularios (2)"/>
      <sheetName val="Subtotal"/>
      <sheetName val="Complementos"/>
      <sheetName val="Detalle1"/>
      <sheetName val="TD1 EJ"/>
      <sheetName val="TD1"/>
      <sheetName val="TD2"/>
      <sheetName val="TD ejerc resultados"/>
      <sheetName val="TD Ejercicio"/>
      <sheetName val="Power BI en Excel"/>
      <sheetName val="Facturas 2024"/>
      <sheetName val="Power Query"/>
      <sheetName val="Power Pivot"/>
      <sheetName val="AI en Excel"/>
      <sheetName val="AI en Excel (2)"/>
      <sheetName val="AI en Excel (3)"/>
      <sheetName val="AI en Excel (4)"/>
      <sheetName val="Copilor for finance"/>
      <sheetName val="Reconciliation Report"/>
      <sheetName val="Open Data ejemplo"/>
      <sheetName val="Power Platform"/>
      <sheetName val="Mapa"/>
      <sheetName val="Cajas y bigotes"/>
      <sheetName val="Histograma"/>
      <sheetName val="Rectangulos"/>
      <sheetName val="Pareto"/>
      <sheetName val="Cascada"/>
      <sheetName val="Embudo"/>
      <sheetName val="XY"/>
      <sheetName val="Recomendados"/>
      <sheetName val="Consolidar 1"/>
      <sheetName val="Consolidar 2"/>
      <sheetName val="Consolidar 3"/>
      <sheetName val="Consolidar 4"/>
      <sheetName val="Consolidar 4 (2)"/>
      <sheetName val="Anexar mayo"/>
      <sheetName val="Anexar1"/>
      <sheetName val="Anexar junio"/>
      <sheetName val="Anexar"/>
      <sheetName val="Combinar1"/>
      <sheetName val="CombinarConjunto"/>
      <sheetName val="Combinar2"/>
      <sheetName val="Combinar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CF473-4FD5-4501-B647-998CCD27265C}">
  <sheetPr>
    <tabColor rgb="FFFF3B3B"/>
  </sheetPr>
  <dimension ref="A1:H105"/>
  <sheetViews>
    <sheetView tabSelected="1" topLeftCell="A79" zoomScale="130" zoomScaleNormal="130" workbookViewId="0">
      <selection activeCell="F121" sqref="F121"/>
    </sheetView>
  </sheetViews>
  <sheetFormatPr baseColWidth="10" defaultRowHeight="15" x14ac:dyDescent="0.25"/>
  <cols>
    <col min="1" max="1" width="23.7109375" customWidth="1"/>
    <col min="2" max="2" width="14.28515625" customWidth="1"/>
    <col min="3" max="3" width="13.140625" bestFit="1" customWidth="1"/>
    <col min="4" max="4" width="20.28515625" bestFit="1" customWidth="1"/>
    <col min="5" max="5" width="13.85546875" bestFit="1" customWidth="1"/>
    <col min="7" max="7" width="15.85546875" customWidth="1"/>
    <col min="9" max="9" width="23.42578125" bestFit="1" customWidth="1"/>
  </cols>
  <sheetData>
    <row r="1" spans="1:6" x14ac:dyDescent="0.25">
      <c r="A1" s="20" t="s">
        <v>62</v>
      </c>
      <c r="C1" t="s">
        <v>61</v>
      </c>
    </row>
    <row r="2" spans="1:6" x14ac:dyDescent="0.25">
      <c r="C2">
        <v>125</v>
      </c>
      <c r="D2" s="12" cm="1">
        <f t="array" ref="D2:D8">_xlfn.UNIQUE(C2:C10)</f>
        <v>125</v>
      </c>
    </row>
    <row r="3" spans="1:6" x14ac:dyDescent="0.25">
      <c r="C3">
        <v>365</v>
      </c>
      <c r="D3" s="11">
        <v>365</v>
      </c>
    </row>
    <row r="4" spans="1:6" x14ac:dyDescent="0.25">
      <c r="C4">
        <v>987</v>
      </c>
      <c r="D4" s="11">
        <v>987</v>
      </c>
    </row>
    <row r="5" spans="1:6" x14ac:dyDescent="0.25">
      <c r="C5">
        <v>456</v>
      </c>
      <c r="D5" s="11">
        <v>456</v>
      </c>
    </row>
    <row r="6" spans="1:6" x14ac:dyDescent="0.25">
      <c r="C6">
        <v>879</v>
      </c>
      <c r="D6" s="11">
        <v>879</v>
      </c>
    </row>
    <row r="7" spans="1:6" x14ac:dyDescent="0.25">
      <c r="C7">
        <v>222</v>
      </c>
      <c r="D7" s="11">
        <v>222</v>
      </c>
    </row>
    <row r="8" spans="1:6" x14ac:dyDescent="0.25">
      <c r="C8">
        <v>357</v>
      </c>
      <c r="D8" s="10">
        <v>357</v>
      </c>
    </row>
    <row r="9" spans="1:6" x14ac:dyDescent="0.25">
      <c r="C9">
        <v>222</v>
      </c>
    </row>
    <row r="10" spans="1:6" x14ac:dyDescent="0.25">
      <c r="C10">
        <v>357</v>
      </c>
    </row>
    <row r="12" spans="1:6" ht="15" customHeight="1" x14ac:dyDescent="0.25"/>
    <row r="13" spans="1:6" ht="15" customHeight="1" x14ac:dyDescent="0.25"/>
    <row r="15" spans="1:6" x14ac:dyDescent="0.25">
      <c r="A15" s="5" t="s">
        <v>60</v>
      </c>
      <c r="C15" t="s">
        <v>59</v>
      </c>
      <c r="D15" t="s">
        <v>58</v>
      </c>
      <c r="E15" t="s">
        <v>57</v>
      </c>
      <c r="F15" t="s">
        <v>56</v>
      </c>
    </row>
    <row r="16" spans="1:6" x14ac:dyDescent="0.25">
      <c r="A16" s="4" t="s">
        <v>38</v>
      </c>
      <c r="C16">
        <v>1</v>
      </c>
      <c r="D16" t="s">
        <v>55</v>
      </c>
      <c r="E16">
        <v>123</v>
      </c>
      <c r="F16">
        <v>35</v>
      </c>
    </row>
    <row r="17" spans="1:6" x14ac:dyDescent="0.25">
      <c r="A17">
        <v>35</v>
      </c>
      <c r="C17">
        <v>2</v>
      </c>
      <c r="D17" t="s">
        <v>54</v>
      </c>
      <c r="E17">
        <v>321</v>
      </c>
      <c r="F17">
        <v>42</v>
      </c>
    </row>
    <row r="18" spans="1:6" x14ac:dyDescent="0.25">
      <c r="C18">
        <v>3</v>
      </c>
      <c r="D18" t="s">
        <v>53</v>
      </c>
      <c r="E18">
        <v>258</v>
      </c>
      <c r="F18">
        <v>50</v>
      </c>
    </row>
    <row r="19" spans="1:6" x14ac:dyDescent="0.25">
      <c r="C19">
        <v>4</v>
      </c>
      <c r="D19" t="s">
        <v>52</v>
      </c>
      <c r="E19">
        <v>258</v>
      </c>
      <c r="F19">
        <v>22</v>
      </c>
    </row>
    <row r="20" spans="1:6" x14ac:dyDescent="0.25">
      <c r="C20">
        <v>5</v>
      </c>
      <c r="D20" t="s">
        <v>51</v>
      </c>
      <c r="E20">
        <v>90</v>
      </c>
      <c r="F20">
        <v>37</v>
      </c>
    </row>
    <row r="21" spans="1:6" x14ac:dyDescent="0.25">
      <c r="C21">
        <v>6</v>
      </c>
      <c r="D21" t="s">
        <v>50</v>
      </c>
      <c r="E21">
        <v>123</v>
      </c>
      <c r="F21">
        <v>35</v>
      </c>
    </row>
    <row r="22" spans="1:6" x14ac:dyDescent="0.25">
      <c r="C22">
        <v>7</v>
      </c>
      <c r="D22" t="s">
        <v>49</v>
      </c>
      <c r="E22">
        <v>228</v>
      </c>
      <c r="F22">
        <v>29</v>
      </c>
    </row>
    <row r="24" spans="1:6" x14ac:dyDescent="0.25">
      <c r="B24" s="19" cm="1">
        <f t="array" ref="B24:E25">_xlfn._xlws.FILTER(C16:F22,F16:F22=A17)</f>
        <v>1</v>
      </c>
      <c r="C24" s="18" t="str">
        <v>Ana Cuesta</v>
      </c>
      <c r="D24" s="18">
        <v>123</v>
      </c>
      <c r="E24" s="17">
        <v>35</v>
      </c>
    </row>
    <row r="25" spans="1:6" x14ac:dyDescent="0.25">
      <c r="B25" s="16">
        <v>6</v>
      </c>
      <c r="C25" s="15" t="str">
        <v>Luisa Rueda</v>
      </c>
      <c r="D25" s="15">
        <v>123</v>
      </c>
      <c r="E25" s="14">
        <v>35</v>
      </c>
    </row>
    <row r="27" spans="1:6" ht="15" customHeight="1" x14ac:dyDescent="0.25"/>
    <row r="29" spans="1:6" x14ac:dyDescent="0.25">
      <c r="A29" s="13" t="s">
        <v>48</v>
      </c>
    </row>
    <row r="30" spans="1:6" x14ac:dyDescent="0.25">
      <c r="B30" t="s">
        <v>47</v>
      </c>
      <c r="D30" s="12" t="e" cm="1" vm="1">
        <f t="array" aca="1" ref="D30" ca="1">_xlfn.TEXTBEFORE(B30:B33,"*")</f>
        <v>#NAME?</v>
      </c>
    </row>
    <row r="31" spans="1:6" x14ac:dyDescent="0.25">
      <c r="B31" t="s">
        <v>46</v>
      </c>
      <c r="D31" s="11"/>
    </row>
    <row r="32" spans="1:6" x14ac:dyDescent="0.25">
      <c r="B32" t="s">
        <v>45</v>
      </c>
      <c r="D32" s="11"/>
    </row>
    <row r="33" spans="1:8" x14ac:dyDescent="0.25">
      <c r="B33" t="s">
        <v>44</v>
      </c>
      <c r="D33" s="10"/>
    </row>
    <row r="34" spans="1:8" ht="15" customHeight="1" x14ac:dyDescent="0.25"/>
    <row r="35" spans="1:8" ht="15" customHeight="1" x14ac:dyDescent="0.25"/>
    <row r="36" spans="1:8" x14ac:dyDescent="0.25">
      <c r="A36" s="5" t="s">
        <v>43</v>
      </c>
      <c r="B36" t="s">
        <v>42</v>
      </c>
      <c r="C36" t="s">
        <v>41</v>
      </c>
      <c r="D36" t="s">
        <v>40</v>
      </c>
      <c r="E36" t="s">
        <v>39</v>
      </c>
      <c r="F36" t="s">
        <v>29</v>
      </c>
    </row>
    <row r="37" spans="1:8" x14ac:dyDescent="0.25">
      <c r="A37" s="4" t="s">
        <v>38</v>
      </c>
      <c r="B37">
        <v>1</v>
      </c>
      <c r="C37" t="s">
        <v>36</v>
      </c>
      <c r="D37">
        <v>123</v>
      </c>
      <c r="E37">
        <v>35</v>
      </c>
      <c r="F37" s="1">
        <f>D37*E37</f>
        <v>4305</v>
      </c>
    </row>
    <row r="38" spans="1:8" x14ac:dyDescent="0.25">
      <c r="A38">
        <v>123</v>
      </c>
      <c r="B38">
        <v>2</v>
      </c>
      <c r="C38" t="s">
        <v>4</v>
      </c>
      <c r="D38">
        <v>321</v>
      </c>
      <c r="E38">
        <v>42</v>
      </c>
      <c r="F38" s="1">
        <f>D38*E38</f>
        <v>13482</v>
      </c>
    </row>
    <row r="39" spans="1:8" x14ac:dyDescent="0.25">
      <c r="A39" t="s">
        <v>4</v>
      </c>
      <c r="B39">
        <v>3</v>
      </c>
      <c r="C39" t="s">
        <v>37</v>
      </c>
      <c r="D39">
        <v>258</v>
      </c>
      <c r="E39">
        <v>50</v>
      </c>
      <c r="F39" s="1">
        <f>D39*E39</f>
        <v>12900</v>
      </c>
    </row>
    <row r="40" spans="1:8" x14ac:dyDescent="0.25">
      <c r="A40" s="9">
        <f>SUMIFS(F37:F43,D37:D43,A38,C37:C43,A39)</f>
        <v>4305</v>
      </c>
      <c r="B40">
        <v>4</v>
      </c>
      <c r="C40" t="s">
        <v>36</v>
      </c>
      <c r="D40">
        <v>258</v>
      </c>
      <c r="E40">
        <v>22</v>
      </c>
      <c r="F40" s="1">
        <f>D40*E40</f>
        <v>5676</v>
      </c>
    </row>
    <row r="41" spans="1:8" x14ac:dyDescent="0.25">
      <c r="B41">
        <v>5</v>
      </c>
      <c r="C41" t="s">
        <v>36</v>
      </c>
      <c r="D41">
        <v>90</v>
      </c>
      <c r="E41">
        <v>37</v>
      </c>
      <c r="F41" s="1">
        <f>D41*E41</f>
        <v>3330</v>
      </c>
    </row>
    <row r="42" spans="1:8" x14ac:dyDescent="0.25">
      <c r="B42">
        <v>6</v>
      </c>
      <c r="C42" t="s">
        <v>4</v>
      </c>
      <c r="D42">
        <v>123</v>
      </c>
      <c r="E42">
        <v>35</v>
      </c>
      <c r="F42" s="1">
        <f>D42*E42</f>
        <v>4305</v>
      </c>
    </row>
    <row r="43" spans="1:8" x14ac:dyDescent="0.25">
      <c r="B43">
        <v>7</v>
      </c>
      <c r="C43" t="s">
        <v>4</v>
      </c>
      <c r="D43">
        <v>228</v>
      </c>
      <c r="E43">
        <v>29</v>
      </c>
      <c r="F43" s="1">
        <f>D43*E43</f>
        <v>6612</v>
      </c>
    </row>
    <row r="44" spans="1:8" ht="15" customHeight="1" x14ac:dyDescent="0.25"/>
    <row r="45" spans="1:8" ht="15" customHeight="1" x14ac:dyDescent="0.25"/>
    <row r="46" spans="1:8" x14ac:dyDescent="0.25">
      <c r="A46" s="5" t="s">
        <v>35</v>
      </c>
    </row>
    <row r="47" spans="1:8" ht="18.75" x14ac:dyDescent="0.3">
      <c r="B47" s="8" t="s">
        <v>33</v>
      </c>
      <c r="C47" s="8" t="s">
        <v>32</v>
      </c>
      <c r="D47" s="8" t="s">
        <v>31</v>
      </c>
      <c r="E47" s="8" t="s">
        <v>30</v>
      </c>
      <c r="F47" s="8" t="s">
        <v>29</v>
      </c>
      <c r="H47" t="e" cm="1" vm="1">
        <f t="array" aca="1" ref="H47" ca="1">_xlfn.CHOOSECOLS(B47:F59,1,5)</f>
        <v>#NAME?</v>
      </c>
    </row>
    <row r="48" spans="1:8" ht="18.75" x14ac:dyDescent="0.3">
      <c r="B48" s="7" t="s">
        <v>28</v>
      </c>
      <c r="C48" s="7" t="s">
        <v>9</v>
      </c>
      <c r="D48" s="7">
        <v>500</v>
      </c>
      <c r="E48" s="7">
        <v>1</v>
      </c>
      <c r="F48" s="7">
        <f>D48*E48</f>
        <v>500</v>
      </c>
    </row>
    <row r="49" spans="1:8" ht="18.75" x14ac:dyDescent="0.3">
      <c r="B49" s="7" t="s">
        <v>27</v>
      </c>
      <c r="C49" s="7" t="s">
        <v>26</v>
      </c>
      <c r="D49" s="7">
        <v>20</v>
      </c>
      <c r="E49" s="7">
        <v>2</v>
      </c>
      <c r="F49" s="7">
        <f>D49*E49</f>
        <v>40</v>
      </c>
    </row>
    <row r="50" spans="1:8" ht="18.75" x14ac:dyDescent="0.3">
      <c r="B50" s="7" t="s">
        <v>25</v>
      </c>
      <c r="C50" s="7" t="s">
        <v>11</v>
      </c>
      <c r="D50" s="7">
        <v>300</v>
      </c>
      <c r="E50" s="7">
        <v>3</v>
      </c>
      <c r="F50" s="7">
        <f>D50*E50</f>
        <v>900</v>
      </c>
    </row>
    <row r="51" spans="1:8" ht="18.75" x14ac:dyDescent="0.3">
      <c r="B51" s="7" t="s">
        <v>24</v>
      </c>
      <c r="C51" s="7" t="s">
        <v>13</v>
      </c>
      <c r="D51" s="7">
        <v>250</v>
      </c>
      <c r="E51" s="7">
        <v>4</v>
      </c>
      <c r="F51" s="7">
        <f>D51*E51</f>
        <v>1000</v>
      </c>
    </row>
    <row r="52" spans="1:8" ht="18.75" x14ac:dyDescent="0.3">
      <c r="B52" s="7" t="s">
        <v>23</v>
      </c>
      <c r="C52" s="7" t="s">
        <v>22</v>
      </c>
      <c r="D52" s="7">
        <v>150</v>
      </c>
      <c r="E52" s="7">
        <v>5</v>
      </c>
      <c r="F52" s="7">
        <f>D52*E52</f>
        <v>750</v>
      </c>
    </row>
    <row r="53" spans="1:8" ht="18.75" x14ac:dyDescent="0.3">
      <c r="B53" s="7" t="s">
        <v>21</v>
      </c>
      <c r="C53" s="7" t="s">
        <v>20</v>
      </c>
      <c r="D53" s="7">
        <v>600</v>
      </c>
      <c r="E53" s="7">
        <v>6</v>
      </c>
      <c r="F53" s="7">
        <f>D53*E53</f>
        <v>3600</v>
      </c>
    </row>
    <row r="54" spans="1:8" ht="18.75" x14ac:dyDescent="0.3">
      <c r="B54" s="7" t="s">
        <v>19</v>
      </c>
      <c r="C54" s="7" t="s">
        <v>18</v>
      </c>
      <c r="D54" s="7">
        <v>50</v>
      </c>
      <c r="E54" s="7">
        <v>7</v>
      </c>
      <c r="F54" s="7">
        <f>D54*E54</f>
        <v>350</v>
      </c>
    </row>
    <row r="55" spans="1:8" ht="18.75" x14ac:dyDescent="0.3">
      <c r="B55" s="7" t="s">
        <v>17</v>
      </c>
      <c r="C55" s="7" t="s">
        <v>16</v>
      </c>
      <c r="D55" s="7">
        <v>190</v>
      </c>
      <c r="E55" s="7">
        <v>8</v>
      </c>
      <c r="F55" s="7">
        <f>D55*E55</f>
        <v>1520</v>
      </c>
    </row>
    <row r="56" spans="1:8" ht="18.75" x14ac:dyDescent="0.3">
      <c r="B56" s="7" t="s">
        <v>15</v>
      </c>
      <c r="C56" s="7" t="s">
        <v>11</v>
      </c>
      <c r="D56" s="7">
        <v>300</v>
      </c>
      <c r="E56" s="7">
        <v>9</v>
      </c>
      <c r="F56" s="7">
        <f>D56*E56</f>
        <v>2700</v>
      </c>
    </row>
    <row r="57" spans="1:8" ht="18.75" x14ac:dyDescent="0.3">
      <c r="B57" s="7" t="s">
        <v>14</v>
      </c>
      <c r="C57" s="7" t="s">
        <v>13</v>
      </c>
      <c r="D57" s="7">
        <v>250</v>
      </c>
      <c r="E57" s="7">
        <v>10</v>
      </c>
      <c r="F57" s="7">
        <f>D57*E57</f>
        <v>2500</v>
      </c>
    </row>
    <row r="58" spans="1:8" ht="18.75" x14ac:dyDescent="0.3">
      <c r="B58" s="7" t="s">
        <v>12</v>
      </c>
      <c r="C58" s="7" t="s">
        <v>11</v>
      </c>
      <c r="D58" s="7">
        <v>300</v>
      </c>
      <c r="E58" s="7">
        <v>11</v>
      </c>
      <c r="F58" s="7">
        <f>D58*E58</f>
        <v>3300</v>
      </c>
    </row>
    <row r="59" spans="1:8" ht="18.75" x14ac:dyDescent="0.3">
      <c r="B59" s="7" t="s">
        <v>10</v>
      </c>
      <c r="C59" s="7" t="s">
        <v>9</v>
      </c>
      <c r="D59" s="7">
        <v>500</v>
      </c>
      <c r="E59" s="7">
        <v>12</v>
      </c>
      <c r="F59" s="7">
        <f>D59*E59</f>
        <v>6000</v>
      </c>
    </row>
    <row r="62" spans="1:8" x14ac:dyDescent="0.25">
      <c r="A62" s="5" t="s">
        <v>34</v>
      </c>
    </row>
    <row r="64" spans="1:8" ht="18.75" x14ac:dyDescent="0.3">
      <c r="B64" s="8" t="s">
        <v>33</v>
      </c>
      <c r="C64" s="8" t="s">
        <v>32</v>
      </c>
      <c r="D64" s="8" t="s">
        <v>31</v>
      </c>
      <c r="E64" s="8" t="s">
        <v>30</v>
      </c>
      <c r="F64" s="8" t="s">
        <v>29</v>
      </c>
      <c r="H64" t="e" cm="1" vm="1">
        <f t="array" aca="1" ref="H64" ca="1">_xlfn.TAKE(B64:F76,-3)</f>
        <v>#NAME?</v>
      </c>
    </row>
    <row r="65" spans="1:6" ht="18.75" x14ac:dyDescent="0.3">
      <c r="B65" s="7" t="s">
        <v>28</v>
      </c>
      <c r="C65" s="7" t="s">
        <v>9</v>
      </c>
      <c r="D65" s="7">
        <v>500</v>
      </c>
      <c r="E65" s="7">
        <v>1</v>
      </c>
      <c r="F65" s="7">
        <f>D65*E65</f>
        <v>500</v>
      </c>
    </row>
    <row r="66" spans="1:6" ht="18.75" x14ac:dyDescent="0.3">
      <c r="B66" s="7" t="s">
        <v>27</v>
      </c>
      <c r="C66" s="7" t="s">
        <v>26</v>
      </c>
      <c r="D66" s="7">
        <v>20</v>
      </c>
      <c r="E66" s="7">
        <v>2</v>
      </c>
      <c r="F66" s="7">
        <f>D66*E66</f>
        <v>40</v>
      </c>
    </row>
    <row r="67" spans="1:6" ht="18.75" x14ac:dyDescent="0.3">
      <c r="B67" s="7" t="s">
        <v>25</v>
      </c>
      <c r="C67" s="7" t="s">
        <v>11</v>
      </c>
      <c r="D67" s="7">
        <v>300</v>
      </c>
      <c r="E67" s="7">
        <v>3</v>
      </c>
      <c r="F67" s="7">
        <f>D67*E67</f>
        <v>900</v>
      </c>
    </row>
    <row r="68" spans="1:6" ht="18.75" x14ac:dyDescent="0.3">
      <c r="B68" s="7" t="s">
        <v>24</v>
      </c>
      <c r="C68" s="7" t="s">
        <v>13</v>
      </c>
      <c r="D68" s="7">
        <v>250</v>
      </c>
      <c r="E68" s="7">
        <v>4</v>
      </c>
      <c r="F68" s="7">
        <f>D68*E68</f>
        <v>1000</v>
      </c>
    </row>
    <row r="69" spans="1:6" ht="18.75" x14ac:dyDescent="0.3">
      <c r="B69" s="7" t="s">
        <v>23</v>
      </c>
      <c r="C69" s="7" t="s">
        <v>22</v>
      </c>
      <c r="D69" s="7">
        <v>150</v>
      </c>
      <c r="E69" s="7">
        <v>5</v>
      </c>
      <c r="F69" s="7">
        <f>D69*E69</f>
        <v>750</v>
      </c>
    </row>
    <row r="70" spans="1:6" ht="18.75" x14ac:dyDescent="0.3">
      <c r="B70" s="7" t="s">
        <v>21</v>
      </c>
      <c r="C70" s="7" t="s">
        <v>20</v>
      </c>
      <c r="D70" s="7">
        <v>600</v>
      </c>
      <c r="E70" s="7">
        <v>6</v>
      </c>
      <c r="F70" s="7">
        <f>D70*E70</f>
        <v>3600</v>
      </c>
    </row>
    <row r="71" spans="1:6" ht="18.75" x14ac:dyDescent="0.3">
      <c r="B71" s="7" t="s">
        <v>19</v>
      </c>
      <c r="C71" s="7" t="s">
        <v>18</v>
      </c>
      <c r="D71" s="7">
        <v>50</v>
      </c>
      <c r="E71" s="7">
        <v>7</v>
      </c>
      <c r="F71" s="7">
        <f>D71*E71</f>
        <v>350</v>
      </c>
    </row>
    <row r="72" spans="1:6" ht="18.75" x14ac:dyDescent="0.3">
      <c r="B72" s="7" t="s">
        <v>17</v>
      </c>
      <c r="C72" s="7" t="s">
        <v>16</v>
      </c>
      <c r="D72" s="7">
        <v>190</v>
      </c>
      <c r="E72" s="7">
        <v>8</v>
      </c>
      <c r="F72" s="7">
        <f>D72*E72</f>
        <v>1520</v>
      </c>
    </row>
    <row r="73" spans="1:6" ht="18.75" x14ac:dyDescent="0.3">
      <c r="B73" s="7" t="s">
        <v>15</v>
      </c>
      <c r="C73" s="7" t="s">
        <v>11</v>
      </c>
      <c r="D73" s="7">
        <v>300</v>
      </c>
      <c r="E73" s="7">
        <v>9</v>
      </c>
      <c r="F73" s="7">
        <f>D73*E73</f>
        <v>2700</v>
      </c>
    </row>
    <row r="74" spans="1:6" ht="18.75" x14ac:dyDescent="0.3">
      <c r="B74" s="7" t="s">
        <v>14</v>
      </c>
      <c r="C74" s="7" t="s">
        <v>13</v>
      </c>
      <c r="D74" s="7">
        <v>250</v>
      </c>
      <c r="E74" s="7">
        <v>10</v>
      </c>
      <c r="F74" s="7">
        <f>D74*E74</f>
        <v>2500</v>
      </c>
    </row>
    <row r="75" spans="1:6" ht="18.75" x14ac:dyDescent="0.3">
      <c r="B75" s="7" t="s">
        <v>12</v>
      </c>
      <c r="C75" s="7" t="s">
        <v>11</v>
      </c>
      <c r="D75" s="7">
        <v>300</v>
      </c>
      <c r="E75" s="7">
        <v>11</v>
      </c>
      <c r="F75" s="7">
        <f>D75*E75</f>
        <v>3300</v>
      </c>
    </row>
    <row r="76" spans="1:6" ht="18.75" x14ac:dyDescent="0.3">
      <c r="B76" s="7" t="s">
        <v>10</v>
      </c>
      <c r="C76" s="7" t="s">
        <v>9</v>
      </c>
      <c r="D76" s="7">
        <v>500</v>
      </c>
      <c r="E76" s="7">
        <v>12</v>
      </c>
      <c r="F76" s="7">
        <f>D76*E76</f>
        <v>6000</v>
      </c>
    </row>
    <row r="77" spans="1:6" ht="18.75" x14ac:dyDescent="0.3">
      <c r="B77" s="7"/>
      <c r="C77" s="7"/>
      <c r="D77" s="7"/>
      <c r="E77" s="7"/>
      <c r="F77" s="7"/>
    </row>
    <row r="79" spans="1:6" x14ac:dyDescent="0.25">
      <c r="A79" s="5" t="s">
        <v>8</v>
      </c>
    </row>
    <row r="80" spans="1:6" ht="18.75" x14ac:dyDescent="0.3">
      <c r="B80" s="7" t="s">
        <v>7</v>
      </c>
      <c r="C80" s="7" t="s">
        <v>6</v>
      </c>
      <c r="D80" s="7" t="s">
        <v>5</v>
      </c>
    </row>
    <row r="81" spans="2:5" x14ac:dyDescent="0.25">
      <c r="B81" s="6">
        <v>45417</v>
      </c>
      <c r="C81" t="s">
        <v>4</v>
      </c>
      <c r="D81">
        <v>22</v>
      </c>
    </row>
    <row r="82" spans="2:5" x14ac:dyDescent="0.25">
      <c r="B82" s="6">
        <v>45418</v>
      </c>
      <c r="C82" t="s">
        <v>4</v>
      </c>
      <c r="D82">
        <v>20</v>
      </c>
    </row>
    <row r="91" spans="2:5" x14ac:dyDescent="0.25">
      <c r="E91" t="e" cm="1" vm="1">
        <f t="array" aca="1" ref="E91" ca="1">_xlfn.EXPAND(B80:D82,6,6,"-")</f>
        <v>#NAME?</v>
      </c>
    </row>
    <row r="92" spans="2:5" x14ac:dyDescent="0.25">
      <c r="E92" s="6"/>
    </row>
    <row r="93" spans="2:5" x14ac:dyDescent="0.25">
      <c r="E93" s="6"/>
    </row>
    <row r="100" spans="1:4" x14ac:dyDescent="0.25">
      <c r="A100" s="5" t="s">
        <v>3</v>
      </c>
    </row>
    <row r="101" spans="1:4" x14ac:dyDescent="0.25">
      <c r="A101" s="4" t="s">
        <v>2</v>
      </c>
    </row>
    <row r="102" spans="1:4" x14ac:dyDescent="0.25">
      <c r="A102" s="1">
        <v>9000</v>
      </c>
      <c r="C102" s="3" t="s">
        <v>1</v>
      </c>
      <c r="D102" s="3" t="s">
        <v>0</v>
      </c>
    </row>
    <row r="103" spans="1:4" x14ac:dyDescent="0.25">
      <c r="C103">
        <v>200</v>
      </c>
      <c r="D103" s="1">
        <v>1000</v>
      </c>
    </row>
    <row r="104" spans="1:4" x14ac:dyDescent="0.25">
      <c r="A104" s="2">
        <f>_xlfn.FORECAST.LINEAR(A102,C103:C105,D103:D105)</f>
        <v>1800.0000000000005</v>
      </c>
      <c r="C104">
        <v>400</v>
      </c>
      <c r="D104" s="1">
        <v>2000</v>
      </c>
    </row>
    <row r="105" spans="1:4" x14ac:dyDescent="0.25">
      <c r="C105">
        <v>100</v>
      </c>
      <c r="D105" s="1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Funciones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ISABEL AMABLE GUERRERO</dc:creator>
  <cp:lastModifiedBy>XIMENA ISABEL AMABLE GUERRERO</cp:lastModifiedBy>
  <dcterms:created xsi:type="dcterms:W3CDTF">2024-10-02T20:19:20Z</dcterms:created>
  <dcterms:modified xsi:type="dcterms:W3CDTF">2024-10-02T20:19:41Z</dcterms:modified>
</cp:coreProperties>
</file>