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b\Nik Denilson\Cursos\EXCEL\Nivel Avanzado\"/>
    </mc:Choice>
  </mc:AlternateContent>
  <xr:revisionPtr revIDLastSave="0" documentId="13_ncr:1_{D259C62D-A738-4583-9E18-00049FD31981}" xr6:coauthVersionLast="47" xr6:coauthVersionMax="47" xr10:uidLastSave="{00000000-0000-0000-0000-000000000000}"/>
  <bookViews>
    <workbookView xWindow="-108" yWindow="-108" windowWidth="23256" windowHeight="12456" xr2:uid="{5656477E-3ADD-4C8F-AC39-83E0D366A198}"/>
  </bookViews>
  <sheets>
    <sheet name="Buscar" sheetId="1" r:id="rId1"/>
  </sheets>
  <externalReferences>
    <externalReference r:id="rId2"/>
  </externalReferences>
  <definedNames>
    <definedName name="aaaaaaaaaaaaaaa">_xlfn.LAMBDA(_xlpm.m,_xlpm.m*2%)</definedName>
    <definedName name="ai">_xlfn.LAMBDA(_xlpm.m,_xlpm.m*2%)</definedName>
    <definedName name="AÑOS">[1]Escenarios!$D$5</definedName>
    <definedName name="CANTIADADA">[1]SOLVER!$C$10</definedName>
    <definedName name="CANTIDA">'[1]SOLVER 2'!$C$10</definedName>
    <definedName name="CANTIDADB">[1]SOLVER!$D$10</definedName>
    <definedName name="CANTIDB">'[1]SOLVER 2'!$D$10</definedName>
    <definedName name="CAPITAL_PRESTADO">[1]Escenarios!$D$4</definedName>
    <definedName name="incremento2porcien">_xlfn.LAMBDA(_xlpm.m,_xlpm.m*2%)</definedName>
    <definedName name="MENSUALD">[1]Escenarios!$G$5</definedName>
    <definedName name="MENSUALIDADES">#REF!</definedName>
    <definedName name="TIPO_MENSUAL">[1]Escenarios!$G$6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6" i="1" l="1"/>
  <c r="J24" i="1"/>
  <c r="J6" i="1"/>
  <c r="G4" i="1"/>
  <c r="G5" i="1"/>
  <c r="J5" i="1"/>
  <c r="G6" i="1"/>
  <c r="G7" i="1"/>
  <c r="G8" i="1"/>
  <c r="G9" i="1"/>
  <c r="G10" i="1"/>
  <c r="G11" i="1"/>
  <c r="G12" i="1"/>
  <c r="G13" i="1"/>
  <c r="G14" i="1"/>
  <c r="G15" i="1"/>
  <c r="J23" i="1"/>
  <c r="I35" i="1"/>
  <c r="J7" i="1"/>
</calcChain>
</file>

<file path=xl/sharedStrings.xml><?xml version="1.0" encoding="utf-8"?>
<sst xmlns="http://schemas.openxmlformats.org/spreadsheetml/2006/main" count="60" uniqueCount="53">
  <si>
    <t>Rosa Santos</t>
  </si>
  <si>
    <t>Luisa Rueda</t>
  </si>
  <si>
    <t>Carlos Vega</t>
  </si>
  <si>
    <t>Marta Sanz</t>
  </si>
  <si>
    <t>Pedro Lara</t>
  </si>
  <si>
    <t>Marcos Sil</t>
  </si>
  <si>
    <t>Ana Cuesta</t>
  </si>
  <si>
    <t>Escribir ID:</t>
  </si>
  <si>
    <t>ID EMPLEADO</t>
  </si>
  <si>
    <t>EDAD</t>
  </si>
  <si>
    <t>DNI</t>
  </si>
  <si>
    <t>NOMBRE y APELLIDOS</t>
  </si>
  <si>
    <t>BUSCARX</t>
  </si>
  <si>
    <t>Año 5</t>
  </si>
  <si>
    <t>Año 4</t>
  </si>
  <si>
    <t>Año 3</t>
  </si>
  <si>
    <t>Año 2</t>
  </si>
  <si>
    <t>Rosa</t>
  </si>
  <si>
    <t>Año 1</t>
  </si>
  <si>
    <t>Escribir nombre:</t>
  </si>
  <si>
    <t>Yoel</t>
  </si>
  <si>
    <t>Luis</t>
  </si>
  <si>
    <t>Mar</t>
  </si>
  <si>
    <t>Pepa</t>
  </si>
  <si>
    <t>BUSCARH</t>
  </si>
  <si>
    <t xml:space="preserve"> Teléfono móvil</t>
  </si>
  <si>
    <t>VA012</t>
  </si>
  <si>
    <t xml:space="preserve"> Tablet</t>
  </si>
  <si>
    <t>VA011</t>
  </si>
  <si>
    <t xml:space="preserve"> Smartwatch</t>
  </si>
  <si>
    <t>VA010</t>
  </si>
  <si>
    <t>VA009</t>
  </si>
  <si>
    <t xml:space="preserve"> Consola de videojuegos</t>
  </si>
  <si>
    <t>VA008</t>
  </si>
  <si>
    <t xml:space="preserve"> Altavoz Bluetooth</t>
  </si>
  <si>
    <t>VA007</t>
  </si>
  <si>
    <t xml:space="preserve"> Portátil</t>
  </si>
  <si>
    <t>VA006</t>
  </si>
  <si>
    <t xml:space="preserve"> Cámara digital</t>
  </si>
  <si>
    <t>VA005</t>
  </si>
  <si>
    <t>VA004</t>
  </si>
  <si>
    <t>VA003</t>
  </si>
  <si>
    <t xml:space="preserve"> Auriculares inalámbricos</t>
  </si>
  <si>
    <t>VA002</t>
  </si>
  <si>
    <t>VA001</t>
  </si>
  <si>
    <t>Escribir nº factura:</t>
  </si>
  <si>
    <t>Total</t>
  </si>
  <si>
    <t>Cantidad</t>
  </si>
  <si>
    <t>Precio</t>
  </si>
  <si>
    <t xml:space="preserve">Producto </t>
  </si>
  <si>
    <t>Nº Factura</t>
  </si>
  <si>
    <t>BUSCARV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</si>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</sst>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rgb="FF22222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E9E9E9"/>
      </left>
      <right style="medium">
        <color rgb="FFE9E9E9"/>
      </right>
      <top style="medium">
        <color rgb="FFE9E9E9"/>
      </top>
      <bottom style="medium">
        <color rgb="FFE9E9E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 applyAlignment="1">
      <alignment horizontal="center"/>
    </xf>
    <xf numFmtId="0" fontId="2" fillId="4" borderId="0" xfId="0" applyFont="1" applyFill="1"/>
    <xf numFmtId="0" fontId="1" fillId="5" borderId="0" xfId="0" applyFont="1" applyFill="1"/>
    <xf numFmtId="0" fontId="3" fillId="6" borderId="0" xfId="0" applyFont="1" applyFill="1"/>
    <xf numFmtId="0" fontId="4" fillId="7" borderId="1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1" fillId="8" borderId="0" xfId="0" applyFont="1" applyFill="1"/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uario/Mis%20documentos/EXCEL%20AVANZADO/PRACTICAS%20EXC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5"/>
      <sheetName val="Hoja4"/>
      <sheetName val="Hoja3"/>
      <sheetName val="Hoja1"/>
      <sheetName val="Hoja2"/>
      <sheetName val="BUSCAR OBJ"/>
      <sheetName val="datos"/>
      <sheetName val="tabla"/>
      <sheetName val="Gráfico1"/>
      <sheetName val="Hoja6"/>
      <sheetName val="Escenarios"/>
      <sheetName val="Resumen de escenario"/>
      <sheetName val="Escenario 2"/>
      <sheetName val="Resumen de escenario 2"/>
      <sheetName val="SOLVER"/>
      <sheetName val="Informe de respuestas 1"/>
      <sheetName val="SOLVER 2"/>
      <sheetName val="Informe de respuestas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>
        <row r="4">
          <cell r="D4">
            <v>200000</v>
          </cell>
        </row>
        <row r="5">
          <cell r="D5">
            <v>25</v>
          </cell>
          <cell r="G5">
            <v>300</v>
          </cell>
        </row>
        <row r="6">
          <cell r="G6">
            <v>3.3333333333333301E-3</v>
          </cell>
        </row>
      </sheetData>
      <sheetData sheetId="11"/>
      <sheetData sheetId="12"/>
      <sheetData sheetId="13"/>
      <sheetData sheetId="14">
        <row r="10">
          <cell r="C10">
            <v>1040</v>
          </cell>
          <cell r="D10">
            <v>4440</v>
          </cell>
        </row>
      </sheetData>
      <sheetData sheetId="15"/>
      <sheetData sheetId="16">
        <row r="10">
          <cell r="C10">
            <v>30.000000000000053</v>
          </cell>
          <cell r="D10">
            <v>40</v>
          </cell>
        </row>
      </sheetData>
      <sheetData sheetId="1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D3138-2C69-4D1B-986C-95D1CE4D45B7}">
  <sheetPr>
    <tabColor theme="3" tint="0.59999389629810485"/>
  </sheetPr>
  <dimension ref="B1:K40"/>
  <sheetViews>
    <sheetView tabSelected="1" zoomScale="124" zoomScaleNormal="124" workbookViewId="0">
      <selection activeCell="I36" sqref="I36"/>
    </sheetView>
  </sheetViews>
  <sheetFormatPr baseColWidth="10" defaultRowHeight="18" x14ac:dyDescent="0.35"/>
  <cols>
    <col min="2" max="2" width="14.5546875" bestFit="1" customWidth="1"/>
    <col min="3" max="3" width="15" style="1" customWidth="1"/>
    <col min="4" max="4" width="29.33203125" style="1" bestFit="1" customWidth="1"/>
    <col min="5" max="5" width="12.5546875" style="1" customWidth="1"/>
    <col min="6" max="6" width="17.109375" style="1" bestFit="1" customWidth="1"/>
    <col min="7" max="7" width="12" style="1" customWidth="1"/>
    <col min="9" max="9" width="14.33203125" bestFit="1" customWidth="1"/>
    <col min="10" max="10" width="29.33203125" bestFit="1" customWidth="1"/>
  </cols>
  <sheetData>
    <row r="1" spans="2:10" ht="23.4" x14ac:dyDescent="0.45">
      <c r="B1" s="6" t="s">
        <v>51</v>
      </c>
    </row>
    <row r="3" spans="2:10" x14ac:dyDescent="0.35">
      <c r="C3" s="4" t="s">
        <v>50</v>
      </c>
      <c r="D3" s="4" t="s">
        <v>49</v>
      </c>
      <c r="E3" s="4" t="s">
        <v>48</v>
      </c>
      <c r="F3" s="4" t="s">
        <v>47</v>
      </c>
      <c r="G3" s="4" t="s">
        <v>46</v>
      </c>
      <c r="J3" s="4" t="s">
        <v>45</v>
      </c>
    </row>
    <row r="4" spans="2:10" x14ac:dyDescent="0.35">
      <c r="C4" s="10" t="s">
        <v>44</v>
      </c>
      <c r="D4" s="10" t="s">
        <v>25</v>
      </c>
      <c r="E4" s="10">
        <v>500</v>
      </c>
      <c r="F4" s="10">
        <v>1</v>
      </c>
      <c r="G4" s="10">
        <f t="shared" ref="G4:G15" si="0">E4*F4</f>
        <v>500</v>
      </c>
      <c r="J4" s="11" t="s">
        <v>43</v>
      </c>
    </row>
    <row r="5" spans="2:10" x14ac:dyDescent="0.35">
      <c r="C5" s="10" t="s">
        <v>43</v>
      </c>
      <c r="D5" s="10" t="s">
        <v>42</v>
      </c>
      <c r="E5" s="10">
        <v>20</v>
      </c>
      <c r="F5" s="10">
        <v>2</v>
      </c>
      <c r="G5" s="10">
        <f t="shared" si="0"/>
        <v>40</v>
      </c>
      <c r="J5" s="3" t="str">
        <f>VLOOKUP(J4,C3:G15,2)</f>
        <v xml:space="preserve"> Auriculares inalámbricos</v>
      </c>
    </row>
    <row r="6" spans="2:10" x14ac:dyDescent="0.35">
      <c r="C6" s="10" t="s">
        <v>41</v>
      </c>
      <c r="D6" s="10" t="s">
        <v>27</v>
      </c>
      <c r="E6" s="10">
        <v>300</v>
      </c>
      <c r="F6" s="10">
        <v>3</v>
      </c>
      <c r="G6" s="10">
        <f t="shared" si="0"/>
        <v>900</v>
      </c>
      <c r="J6" t="str">
        <f>VLOOKUP(J4,C4:G15,2,FALSE)</f>
        <v xml:space="preserve"> Auriculares inalámbricos</v>
      </c>
    </row>
    <row r="7" spans="2:10" x14ac:dyDescent="0.35">
      <c r="C7" s="10" t="s">
        <v>40</v>
      </c>
      <c r="D7" s="10" t="s">
        <v>29</v>
      </c>
      <c r="E7" s="10">
        <v>250</v>
      </c>
      <c r="F7" s="10">
        <v>4</v>
      </c>
      <c r="G7" s="10">
        <f t="shared" si="0"/>
        <v>1000</v>
      </c>
      <c r="J7" t="str">
        <f ca="1">_xlfn.FORMULATEXT(J6)</f>
        <v>=BUSCARV(J4;C4:G15;2;FALSO)</v>
      </c>
    </row>
    <row r="8" spans="2:10" x14ac:dyDescent="0.35">
      <c r="C8" s="10" t="s">
        <v>39</v>
      </c>
      <c r="D8" s="10" t="s">
        <v>38</v>
      </c>
      <c r="E8" s="10">
        <v>150</v>
      </c>
      <c r="F8" s="10">
        <v>5</v>
      </c>
      <c r="G8" s="10">
        <f t="shared" si="0"/>
        <v>750</v>
      </c>
    </row>
    <row r="9" spans="2:10" x14ac:dyDescent="0.35">
      <c r="C9" s="10" t="s">
        <v>37</v>
      </c>
      <c r="D9" s="10" t="s">
        <v>36</v>
      </c>
      <c r="E9" s="10">
        <v>600</v>
      </c>
      <c r="F9" s="10">
        <v>6</v>
      </c>
      <c r="G9" s="10">
        <f t="shared" si="0"/>
        <v>3600</v>
      </c>
    </row>
    <row r="10" spans="2:10" x14ac:dyDescent="0.35">
      <c r="C10" s="10" t="s">
        <v>35</v>
      </c>
      <c r="D10" s="10" t="s">
        <v>34</v>
      </c>
      <c r="E10" s="10">
        <v>50</v>
      </c>
      <c r="F10" s="10">
        <v>7</v>
      </c>
      <c r="G10" s="10">
        <f t="shared" si="0"/>
        <v>350</v>
      </c>
    </row>
    <row r="11" spans="2:10" x14ac:dyDescent="0.35">
      <c r="C11" s="10" t="s">
        <v>33</v>
      </c>
      <c r="D11" s="10" t="s">
        <v>32</v>
      </c>
      <c r="E11" s="10">
        <v>190</v>
      </c>
      <c r="F11" s="10">
        <v>8</v>
      </c>
      <c r="G11" s="10">
        <f t="shared" si="0"/>
        <v>1520</v>
      </c>
    </row>
    <row r="12" spans="2:10" x14ac:dyDescent="0.35">
      <c r="C12" s="10" t="s">
        <v>31</v>
      </c>
      <c r="D12" s="10" t="s">
        <v>27</v>
      </c>
      <c r="E12" s="10">
        <v>300</v>
      </c>
      <c r="F12" s="10">
        <v>9</v>
      </c>
      <c r="G12" s="10">
        <f t="shared" si="0"/>
        <v>2700</v>
      </c>
    </row>
    <row r="13" spans="2:10" x14ac:dyDescent="0.35">
      <c r="C13" s="10" t="s">
        <v>30</v>
      </c>
      <c r="D13" s="10" t="s">
        <v>29</v>
      </c>
      <c r="E13" s="10">
        <v>250</v>
      </c>
      <c r="F13" s="10">
        <v>10</v>
      </c>
      <c r="G13" s="10">
        <f t="shared" si="0"/>
        <v>2500</v>
      </c>
    </row>
    <row r="14" spans="2:10" x14ac:dyDescent="0.35">
      <c r="C14" s="10" t="s">
        <v>28</v>
      </c>
      <c r="D14" s="10" t="s">
        <v>27</v>
      </c>
      <c r="E14" s="10">
        <v>300</v>
      </c>
      <c r="F14" s="10">
        <v>11</v>
      </c>
      <c r="G14" s="10">
        <f t="shared" si="0"/>
        <v>3300</v>
      </c>
    </row>
    <row r="15" spans="2:10" x14ac:dyDescent="0.35">
      <c r="C15" s="10" t="s">
        <v>26</v>
      </c>
      <c r="D15" s="10" t="s">
        <v>25</v>
      </c>
      <c r="E15" s="10">
        <v>500</v>
      </c>
      <c r="F15" s="10">
        <v>12</v>
      </c>
      <c r="G15" s="10">
        <f t="shared" si="0"/>
        <v>6000</v>
      </c>
    </row>
    <row r="20" spans="2:11" ht="23.4" x14ac:dyDescent="0.45">
      <c r="B20" s="6" t="s">
        <v>24</v>
      </c>
      <c r="C20" s="9"/>
    </row>
    <row r="21" spans="2:11" ht="18.600000000000001" thickBot="1" x14ac:dyDescent="0.4">
      <c r="C21" s="8" t="s">
        <v>52</v>
      </c>
      <c r="D21" s="8" t="s">
        <v>23</v>
      </c>
      <c r="E21" s="8" t="s">
        <v>22</v>
      </c>
      <c r="F21" s="8" t="s">
        <v>17</v>
      </c>
      <c r="G21" s="8" t="s">
        <v>21</v>
      </c>
      <c r="H21" s="8" t="s">
        <v>20</v>
      </c>
      <c r="J21" s="4" t="s">
        <v>19</v>
      </c>
    </row>
    <row r="22" spans="2:11" ht="18.600000000000001" thickBot="1" x14ac:dyDescent="0.4">
      <c r="C22" s="7" t="s">
        <v>18</v>
      </c>
      <c r="D22" s="7">
        <v>100</v>
      </c>
      <c r="E22" s="7">
        <v>85</v>
      </c>
      <c r="F22" s="7">
        <v>90</v>
      </c>
      <c r="G22" s="7">
        <v>90</v>
      </c>
      <c r="H22" s="7">
        <v>87</v>
      </c>
      <c r="J22" s="4" t="s">
        <v>17</v>
      </c>
      <c r="K22" s="4" t="s">
        <v>15</v>
      </c>
    </row>
    <row r="23" spans="2:11" ht="18.600000000000001" thickBot="1" x14ac:dyDescent="0.4">
      <c r="C23" s="7" t="s">
        <v>16</v>
      </c>
      <c r="D23" s="7">
        <v>50</v>
      </c>
      <c r="E23" s="7">
        <v>100</v>
      </c>
      <c r="F23" s="7">
        <v>87</v>
      </c>
      <c r="G23" s="7">
        <v>86</v>
      </c>
      <c r="H23" s="7">
        <v>98</v>
      </c>
      <c r="J23" s="3">
        <f>HLOOKUP(J22,C21:H26,6,FALSE)</f>
        <v>83</v>
      </c>
    </row>
    <row r="24" spans="2:11" ht="18.600000000000001" thickBot="1" x14ac:dyDescent="0.4">
      <c r="C24" s="7" t="s">
        <v>15</v>
      </c>
      <c r="D24" s="7">
        <v>75</v>
      </c>
      <c r="E24" s="7">
        <v>80</v>
      </c>
      <c r="F24" s="7">
        <v>100</v>
      </c>
      <c r="G24" s="7">
        <v>97</v>
      </c>
      <c r="H24" s="7">
        <v>90</v>
      </c>
      <c r="J24" s="3">
        <f>HLOOKUP(J22,D21:H26,MATCH(K22,C21:C26,0),FALSE)</f>
        <v>100</v>
      </c>
    </row>
    <row r="25" spans="2:11" ht="15.6" thickBot="1" x14ac:dyDescent="0.35">
      <c r="C25" s="7" t="s">
        <v>14</v>
      </c>
      <c r="D25" s="7">
        <v>80</v>
      </c>
      <c r="E25" s="7">
        <v>90</v>
      </c>
      <c r="F25" s="7">
        <v>87</v>
      </c>
      <c r="G25" s="7">
        <v>80</v>
      </c>
      <c r="H25" s="7">
        <v>97</v>
      </c>
    </row>
    <row r="26" spans="2:11" ht="15.6" thickBot="1" x14ac:dyDescent="0.35">
      <c r="C26" s="7" t="s">
        <v>13</v>
      </c>
      <c r="D26" s="7">
        <v>95</v>
      </c>
      <c r="E26" s="7">
        <v>75</v>
      </c>
      <c r="F26" s="7">
        <v>83</v>
      </c>
      <c r="G26" s="7">
        <v>98</v>
      </c>
      <c r="H26" s="7">
        <v>82</v>
      </c>
    </row>
    <row r="30" spans="2:11" ht="23.4" x14ac:dyDescent="0.45">
      <c r="B30" s="6" t="s">
        <v>12</v>
      </c>
    </row>
    <row r="33" spans="3:9" x14ac:dyDescent="0.35">
      <c r="C33" s="5" t="s">
        <v>11</v>
      </c>
      <c r="D33" s="5" t="s">
        <v>10</v>
      </c>
      <c r="E33" s="5" t="s">
        <v>9</v>
      </c>
      <c r="F33" s="5" t="s">
        <v>8</v>
      </c>
      <c r="I33" s="4" t="s">
        <v>7</v>
      </c>
    </row>
    <row r="34" spans="3:9" x14ac:dyDescent="0.35">
      <c r="C34" s="2" t="s">
        <v>6</v>
      </c>
      <c r="D34" s="2">
        <v>123456</v>
      </c>
      <c r="E34" s="2">
        <v>35</v>
      </c>
      <c r="F34" s="2">
        <v>125</v>
      </c>
      <c r="I34" s="4">
        <v>365</v>
      </c>
    </row>
    <row r="35" spans="3:9" x14ac:dyDescent="0.35">
      <c r="C35" s="2" t="s">
        <v>5</v>
      </c>
      <c r="D35" s="2">
        <v>654321</v>
      </c>
      <c r="E35" s="2">
        <v>42</v>
      </c>
      <c r="F35" s="2">
        <v>365</v>
      </c>
      <c r="I35" s="3">
        <f>_xlfn.XLOOKUP(I34,F33:F40,E33:E40)</f>
        <v>42</v>
      </c>
    </row>
    <row r="36" spans="3:9" x14ac:dyDescent="0.35">
      <c r="C36" s="2" t="s">
        <v>4</v>
      </c>
      <c r="D36" s="2">
        <v>987456</v>
      </c>
      <c r="E36" s="2">
        <v>50</v>
      </c>
      <c r="F36" s="2">
        <v>987</v>
      </c>
      <c r="I36" s="3">
        <f>_xlfn.XLOOKUP(I34,F34:F40,E34:E40,"-",0,1)</f>
        <v>42</v>
      </c>
    </row>
    <row r="37" spans="3:9" x14ac:dyDescent="0.35">
      <c r="C37" s="2" t="s">
        <v>3</v>
      </c>
      <c r="D37" s="2">
        <v>369852</v>
      </c>
      <c r="E37" s="2">
        <v>22</v>
      </c>
      <c r="F37" s="2">
        <v>456</v>
      </c>
    </row>
    <row r="38" spans="3:9" x14ac:dyDescent="0.35">
      <c r="C38" s="2" t="s">
        <v>2</v>
      </c>
      <c r="D38" s="2">
        <v>753357</v>
      </c>
      <c r="E38" s="2">
        <v>37</v>
      </c>
      <c r="F38" s="2">
        <v>879</v>
      </c>
    </row>
    <row r="39" spans="3:9" x14ac:dyDescent="0.35">
      <c r="C39" s="2" t="s">
        <v>1</v>
      </c>
      <c r="D39" s="2">
        <v>951159</v>
      </c>
      <c r="E39" s="2">
        <v>35</v>
      </c>
      <c r="F39" s="2">
        <v>222</v>
      </c>
    </row>
    <row r="40" spans="3:9" x14ac:dyDescent="0.35">
      <c r="C40" s="2" t="s">
        <v>0</v>
      </c>
      <c r="D40" s="2">
        <v>852258</v>
      </c>
      <c r="E40" s="2">
        <v>29</v>
      </c>
      <c r="F40" s="2">
        <v>357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Buscar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ISABEL AMABLE GUERRERO</dc:creator>
  <cp:lastModifiedBy>Nik Denilson Ramirez Bautista</cp:lastModifiedBy>
  <dcterms:created xsi:type="dcterms:W3CDTF">2024-10-02T20:15:54Z</dcterms:created>
  <dcterms:modified xsi:type="dcterms:W3CDTF">2025-12-28T00:47:25Z</dcterms:modified>
</cp:coreProperties>
</file>