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rsos\EXCEL\FINAL EXCEL IA\excel\"/>
    </mc:Choice>
  </mc:AlternateContent>
  <xr:revisionPtr revIDLastSave="0" documentId="8_{7DEFE693-A78C-4478-A09E-EE19C862FF8E}" xr6:coauthVersionLast="47" xr6:coauthVersionMax="47" xr10:uidLastSave="{00000000-0000-0000-0000-000000000000}"/>
  <bookViews>
    <workbookView xWindow="28680" yWindow="-120" windowWidth="29040" windowHeight="15720" activeTab="5" xr2:uid="{F1A9AAFF-76F2-42FC-A45B-8194A2A79AA5}"/>
  </bookViews>
  <sheets>
    <sheet name="TD Ejercicio" sheetId="5" r:id="rId1"/>
    <sheet name="TD ejerc resultados" sheetId="4" r:id="rId2"/>
    <sheet name="TD1 EJ" sheetId="2" r:id="rId3"/>
    <sheet name="TD1" sheetId="1" r:id="rId4"/>
    <sheet name="TD2" sheetId="3" r:id="rId5"/>
    <sheet name="Complementos" sheetId="6" r:id="rId6"/>
  </sheets>
  <externalReferences>
    <externalReference r:id="rId7"/>
    <externalReference r:id="rId8"/>
  </externalReferences>
  <definedNames>
    <definedName name="aaaaaaaaaaaaaaa" localSheetId="5">_xlfn.LAMBDA(_xlpm.m,_xlpm.m*2%)</definedName>
    <definedName name="aaaaaaaaaaaaaaa" localSheetId="1">_xlfn.LAMBDA(_xlpm.m,_xlpm.m*2%)</definedName>
    <definedName name="aaaaaaaaaaaaaaa" localSheetId="0">_xlfn.LAMBDA(_xlpm.m,_xlpm.m*2%)</definedName>
    <definedName name="aaaaaaaaaaaaaaa" localSheetId="2">_xlfn.LAMBDA(_xlpm.m,_xlpm.m*2%)</definedName>
    <definedName name="aaaaaaaaaaaaaaa" localSheetId="4">_xlfn.LAMBDA(_xlpm.m,_xlpm.m*2%)</definedName>
    <definedName name="aaaaaaaaaaaaaaa">_xlfn.LAMBDA(_xlpm.m,_xlpm.m*2%)</definedName>
    <definedName name="ai" localSheetId="5">_xlfn.LAMBDA(_xlpm.m,_xlpm.m*2%)</definedName>
    <definedName name="ai" localSheetId="1">_xlfn.LAMBDA(_xlpm.m,_xlpm.m*2%)</definedName>
    <definedName name="ai" localSheetId="0">_xlfn.LAMBDA(_xlpm.m,_xlpm.m*2%)</definedName>
    <definedName name="ai" localSheetId="2">_xlfn.LAMBDA(_xlpm.m,_xlpm.m*2%)</definedName>
    <definedName name="ai" localSheetId="4">_xlfn.LAMBDA(_xlpm.m,_xlpm.m*2%)</definedName>
    <definedName name="ai">_xlfn.LAMBDA(_xlpm.m,_xlpm.m*2%)</definedName>
    <definedName name="AÑOS">[1]Escenarios!$D$5</definedName>
    <definedName name="CANTIADADA">[1]SOLVER!$C$10</definedName>
    <definedName name="CANTIDA">'[1]SOLVER 2'!$C$10</definedName>
    <definedName name="CANTIDADB">[1]SOLVER!$D$10</definedName>
    <definedName name="CANTIDB">'[1]SOLVER 2'!$D$10</definedName>
    <definedName name="CAPITAL_PRESTADO">[1]Escenarios!$D$4</definedName>
    <definedName name="incremento2porcien" localSheetId="5">_xlfn.LAMBDA(_xlpm.m,_xlpm.m*2%)</definedName>
    <definedName name="incremento2porcien" localSheetId="1">_xlfn.LAMBDA(_xlpm.m,_xlpm.m*2%)</definedName>
    <definedName name="incremento2porcien" localSheetId="0">_xlfn.LAMBDA(_xlpm.m,_xlpm.m*2%)</definedName>
    <definedName name="incremento2porcien" localSheetId="2">_xlfn.LAMBDA(_xlpm.m,_xlpm.m*2%)</definedName>
    <definedName name="incremento2porcien" localSheetId="4">_xlfn.LAMBDA(_xlpm.m,_xlpm.m*2%)</definedName>
    <definedName name="incremento2porcien">_xlfn.LAMBDA(_xlpm.m,_xlpm.m*2%)</definedName>
    <definedName name="MENSUALD">[1]Escenarios!$G$5</definedName>
    <definedName name="MENSUALIDADES">#REF!</definedName>
    <definedName name="NativeTimeline_Fecha">#N/A</definedName>
    <definedName name="SegmentaciónDeDatos_Almacén">#N/A</definedName>
    <definedName name="SegmentaciónDeDatos_Estado">#N/A</definedName>
    <definedName name="TIPO_MENSUAL">[1]Escenarios!$G$6</definedName>
  </definedNames>
  <calcPr calcId="191029"/>
  <pivotCaches>
    <pivotCache cacheId="1" r:id="rId9"/>
    <pivotCache cacheId="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6" l="1"/>
  <c r="F6" i="6"/>
  <c r="F7" i="6"/>
  <c r="F8" i="6"/>
  <c r="F9" i="6"/>
  <c r="F10" i="6"/>
  <c r="F11" i="6"/>
  <c r="F12" i="6"/>
  <c r="F13" i="6"/>
  <c r="F14" i="6"/>
  <c r="F15" i="6"/>
  <c r="F16" i="6"/>
</calcChain>
</file>

<file path=xl/sharedStrings.xml><?xml version="1.0" encoding="utf-8"?>
<sst xmlns="http://schemas.openxmlformats.org/spreadsheetml/2006/main" count="1386" uniqueCount="266">
  <si>
    <t>Ana</t>
  </si>
  <si>
    <t>LIZ</t>
  </si>
  <si>
    <t> 41</t>
  </si>
  <si>
    <t>Z9</t>
  </si>
  <si>
    <t>Marzo</t>
  </si>
  <si>
    <t> 40</t>
  </si>
  <si>
    <t>Z8</t>
  </si>
  <si>
    <t> 39</t>
  </si>
  <si>
    <t>Z7</t>
  </si>
  <si>
    <t> 38</t>
  </si>
  <si>
    <t>Z6</t>
  </si>
  <si>
    <t> 37</t>
  </si>
  <si>
    <t>Z5</t>
  </si>
  <si>
    <t> 36</t>
  </si>
  <si>
    <t>Z4</t>
  </si>
  <si>
    <t> 35</t>
  </si>
  <si>
    <t>Z3</t>
  </si>
  <si>
    <t>Febrero</t>
  </si>
  <si>
    <t>Juan</t>
  </si>
  <si>
    <t>AZUCENA</t>
  </si>
  <si>
    <t>GENESIS</t>
  </si>
  <si>
    <t>DEXTER</t>
  </si>
  <si>
    <t> 34</t>
  </si>
  <si>
    <t>FERGUR</t>
  </si>
  <si>
    <t> 33</t>
  </si>
  <si>
    <t>DESTER</t>
  </si>
  <si>
    <t> 23</t>
  </si>
  <si>
    <t>Z2</t>
  </si>
  <si>
    <t>HUMBER</t>
  </si>
  <si>
    <t> 22</t>
  </si>
  <si>
    <t>REGAL</t>
  </si>
  <si>
    <t> 26</t>
  </si>
  <si>
    <t> 25</t>
  </si>
  <si>
    <t> 24</t>
  </si>
  <si>
    <t> 20</t>
  </si>
  <si>
    <t>FIPLAY</t>
  </si>
  <si>
    <t> 12</t>
  </si>
  <si>
    <t>Z1</t>
  </si>
  <si>
    <t> 11</t>
  </si>
  <si>
    <t> 10</t>
  </si>
  <si>
    <t> 15</t>
  </si>
  <si>
    <t>DER</t>
  </si>
  <si>
    <t> 14</t>
  </si>
  <si>
    <t> 43</t>
  </si>
  <si>
    <t>Enero</t>
  </si>
  <si>
    <t> 45</t>
  </si>
  <si>
    <t> 46</t>
  </si>
  <si>
    <t> 44</t>
  </si>
  <si>
    <t>CLONY</t>
  </si>
  <si>
    <t>SAMMY</t>
  </si>
  <si>
    <t>TERRY</t>
  </si>
  <si>
    <t>RESPONSABLE</t>
  </si>
  <si>
    <t>VENTAS REALES</t>
  </si>
  <si>
    <t>VENTAS PREV.</t>
  </si>
  <si>
    <t>Unidades  REALES</t>
  </si>
  <si>
    <t>CLIENTE</t>
  </si>
  <si>
    <t>PROVINCIA</t>
  </si>
  <si>
    <t>SUCURSAL</t>
  </si>
  <si>
    <t>FECHA</t>
  </si>
  <si>
    <t>MES</t>
  </si>
  <si>
    <t>TRIMESTRE</t>
  </si>
  <si>
    <t>AÑO</t>
  </si>
  <si>
    <t>Suma de VENTAS REALES</t>
  </si>
  <si>
    <t>Suma de VENTAS PREV.</t>
  </si>
  <si>
    <t xml:space="preserve"> </t>
  </si>
  <si>
    <t>(Todas)</t>
  </si>
  <si>
    <t>Accesorios</t>
  </si>
  <si>
    <t>Octubre</t>
  </si>
  <si>
    <t>C. García</t>
  </si>
  <si>
    <t>Norte</t>
  </si>
  <si>
    <t>Noviembre</t>
  </si>
  <si>
    <t>I. Contreras</t>
  </si>
  <si>
    <t>Centro</t>
  </si>
  <si>
    <t>A. Palacios</t>
  </si>
  <si>
    <t>Top A</t>
  </si>
  <si>
    <t>Mayo</t>
  </si>
  <si>
    <t>J. Luis Pérez</t>
  </si>
  <si>
    <t>Top B</t>
  </si>
  <si>
    <t>A. Jaramillo</t>
  </si>
  <si>
    <t>P. Medina</t>
  </si>
  <si>
    <t>Sur</t>
  </si>
  <si>
    <t>Junio</t>
  </si>
  <si>
    <t>J. Carlos Gómez</t>
  </si>
  <si>
    <t>V. Fuentes</t>
  </si>
  <si>
    <t>Abril</t>
  </si>
  <si>
    <t>F. Escalante</t>
  </si>
  <si>
    <t>Venta</t>
  </si>
  <si>
    <t>Tipo Equipo</t>
  </si>
  <si>
    <t>Mes</t>
  </si>
  <si>
    <t>Vendedor</t>
  </si>
  <si>
    <t>Zona</t>
  </si>
  <si>
    <t>Total general</t>
  </si>
  <si>
    <t>may</t>
  </si>
  <si>
    <t>abr</t>
  </si>
  <si>
    <t>Suma de TOTAL</t>
  </si>
  <si>
    <t>Etiquetas de fila</t>
  </si>
  <si>
    <t>Cliente</t>
  </si>
  <si>
    <t>Analizando ventas 2024</t>
  </si>
  <si>
    <t>Pendiente</t>
  </si>
  <si>
    <t>GEN</t>
  </si>
  <si>
    <t>00255-PECOG</t>
  </si>
  <si>
    <t>3</t>
  </si>
  <si>
    <t>00191-HARIN</t>
  </si>
  <si>
    <t>00436-ALONS</t>
  </si>
  <si>
    <t>00117-GONZA</t>
  </si>
  <si>
    <t>00250-SARDO</t>
  </si>
  <si>
    <t>00389-GARCI</t>
  </si>
  <si>
    <t xml:space="preserve">00059-JUAN </t>
  </si>
  <si>
    <t>00383-BLANC</t>
  </si>
  <si>
    <t>00028-GONZA</t>
  </si>
  <si>
    <t>00430-INVER</t>
  </si>
  <si>
    <t>00095-PROGR</t>
  </si>
  <si>
    <t>00434-GARES</t>
  </si>
  <si>
    <t>00412-HMNOS</t>
  </si>
  <si>
    <t>OK</t>
  </si>
  <si>
    <t>PART</t>
  </si>
  <si>
    <t>00023-GERIA</t>
  </si>
  <si>
    <t>00101-CIA G</t>
  </si>
  <si>
    <t>00362-GONZA</t>
  </si>
  <si>
    <t>00020-SARDO</t>
  </si>
  <si>
    <t>00399-VALDU</t>
  </si>
  <si>
    <t>00086-FORRA</t>
  </si>
  <si>
    <t>00049-ALONS</t>
  </si>
  <si>
    <t>00037-GONZA</t>
  </si>
  <si>
    <t>00145-CARRO</t>
  </si>
  <si>
    <t>00035-CARRO</t>
  </si>
  <si>
    <t>00108-SAT V</t>
  </si>
  <si>
    <t>00044-MAESO</t>
  </si>
  <si>
    <t>00043-BLANC</t>
  </si>
  <si>
    <t>00435-TRANS</t>
  </si>
  <si>
    <t>00122-DAVIL</t>
  </si>
  <si>
    <t>00275-C&amp;D F</t>
  </si>
  <si>
    <t>00039-OLMED</t>
  </si>
  <si>
    <t>00016-SAT C</t>
  </si>
  <si>
    <t xml:space="preserve">00390-RICO </t>
  </si>
  <si>
    <t>00010-CEREA</t>
  </si>
  <si>
    <t>00394-ALONS</t>
  </si>
  <si>
    <t>00432-MARTI</t>
  </si>
  <si>
    <t>00159-VIVER</t>
  </si>
  <si>
    <t>00088-NANTA</t>
  </si>
  <si>
    <t>00080-UVESA</t>
  </si>
  <si>
    <t>00171-HARIN</t>
  </si>
  <si>
    <t>00208-VILLA</t>
  </si>
  <si>
    <t>00236-VILLA</t>
  </si>
  <si>
    <t>00001-CEREA</t>
  </si>
  <si>
    <t>00143-PARAL</t>
  </si>
  <si>
    <t>00232-CASAD</t>
  </si>
  <si>
    <t>00231-CASAD</t>
  </si>
  <si>
    <t>00336-PEREZ</t>
  </si>
  <si>
    <t>00429-PASTO</t>
  </si>
  <si>
    <t>00361-SARDO</t>
  </si>
  <si>
    <t>00268-ADALI</t>
  </si>
  <si>
    <t>00337-COLOM</t>
  </si>
  <si>
    <t>00431-FITOS</t>
  </si>
  <si>
    <t>00156-MAESO</t>
  </si>
  <si>
    <t>00392-GOMEZ</t>
  </si>
  <si>
    <t>00079-ABONO</t>
  </si>
  <si>
    <t>00024-LLORE</t>
  </si>
  <si>
    <t>00120-LOREN</t>
  </si>
  <si>
    <t>00405-HERVA</t>
  </si>
  <si>
    <t>00034-MARCI</t>
  </si>
  <si>
    <t>00251-SANCH</t>
  </si>
  <si>
    <t>00243-CASTE</t>
  </si>
  <si>
    <t>00036-MONTR</t>
  </si>
  <si>
    <t>00433-BARAJ</t>
  </si>
  <si>
    <t>00409-GONZA</t>
  </si>
  <si>
    <t>00012-GRANJ</t>
  </si>
  <si>
    <t>00264-HERRE</t>
  </si>
  <si>
    <t>00364-HERRE</t>
  </si>
  <si>
    <t>00076-LOPEZ</t>
  </si>
  <si>
    <t>00277-MARTI</t>
  </si>
  <si>
    <t>00116-MORAI</t>
  </si>
  <si>
    <t>00391-CENTE</t>
  </si>
  <si>
    <t xml:space="preserve">00384-DIEZ </t>
  </si>
  <si>
    <t>00045-OLMED</t>
  </si>
  <si>
    <t xml:space="preserve">00339-CAÑO </t>
  </si>
  <si>
    <t>00377-ALONS</t>
  </si>
  <si>
    <t>00003-LEONE</t>
  </si>
  <si>
    <t>00038-GONZA</t>
  </si>
  <si>
    <t>00300-ALONS</t>
  </si>
  <si>
    <t>00343-GONZA</t>
  </si>
  <si>
    <t>00026-BLANC</t>
  </si>
  <si>
    <t>00048-CARRO</t>
  </si>
  <si>
    <t>00195-MARTI</t>
  </si>
  <si>
    <t xml:space="preserve">00331-AN S </t>
  </si>
  <si>
    <t>00140-HIDAL</t>
  </si>
  <si>
    <t>00135-BLANC</t>
  </si>
  <si>
    <t>00245-BLANC</t>
  </si>
  <si>
    <t>00047-RODRI</t>
  </si>
  <si>
    <t>00304-ZURRO</t>
  </si>
  <si>
    <t>00132-CRESP</t>
  </si>
  <si>
    <t>00025-MATEO</t>
  </si>
  <si>
    <t xml:space="preserve">00027-CAÑO </t>
  </si>
  <si>
    <t>00368-OLMED</t>
  </si>
  <si>
    <t>00298-CEREA</t>
  </si>
  <si>
    <t>Graficos R</t>
  </si>
  <si>
    <t>7.-</t>
  </si>
  <si>
    <t>Campo calculado Total: Base + IVA</t>
  </si>
  <si>
    <t>6.-</t>
  </si>
  <si>
    <t>Crear escala de tiempo</t>
  </si>
  <si>
    <t>5.-</t>
  </si>
  <si>
    <t>Crear segmentadores de Almacen  y Estado</t>
  </si>
  <si>
    <t>4.-</t>
  </si>
  <si>
    <t>Añadir a la TD anterior filtro de Cliente</t>
  </si>
  <si>
    <t>3.-</t>
  </si>
  <si>
    <t>Total Base en el tiempo</t>
  </si>
  <si>
    <t>2.-</t>
  </si>
  <si>
    <t>Total Base por clientes y almacenes</t>
  </si>
  <si>
    <t>1.-</t>
  </si>
  <si>
    <t>Crearemos varias tablas dinámicas</t>
  </si>
  <si>
    <t>00229-GLENC</t>
  </si>
  <si>
    <t>Explorar TD recomendadas</t>
  </si>
  <si>
    <t>TAREAS:</t>
  </si>
  <si>
    <t>00274-PROIN</t>
  </si>
  <si>
    <t>CUOTA IVA</t>
  </si>
  <si>
    <t>Rec</t>
  </si>
  <si>
    <t>Base</t>
  </si>
  <si>
    <t>For. Pag.</t>
  </si>
  <si>
    <t>Estado</t>
  </si>
  <si>
    <t>Almacén</t>
  </si>
  <si>
    <t>Fecha</t>
  </si>
  <si>
    <t>Núm.</t>
  </si>
  <si>
    <t>T.</t>
  </si>
  <si>
    <t>Complementos  de terceros</t>
  </si>
  <si>
    <t>Cuenta</t>
  </si>
  <si>
    <t>Suma</t>
  </si>
  <si>
    <t xml:space="preserve"> Teléfono móvil</t>
  </si>
  <si>
    <t>VA012</t>
  </si>
  <si>
    <t>Máximo</t>
  </si>
  <si>
    <t xml:space="preserve"> Tablet</t>
  </si>
  <si>
    <t>VA011</t>
  </si>
  <si>
    <t>Mínimo</t>
  </si>
  <si>
    <t xml:space="preserve"> Smartwatch</t>
  </si>
  <si>
    <t>VA010</t>
  </si>
  <si>
    <t>Rango</t>
  </si>
  <si>
    <t>VA009</t>
  </si>
  <si>
    <t>Coeficiente de asimetría</t>
  </si>
  <si>
    <t xml:space="preserve"> Consola de videojuegos</t>
  </si>
  <si>
    <t>VA008</t>
  </si>
  <si>
    <t>Curtosis</t>
  </si>
  <si>
    <t xml:space="preserve"> Altavoz Bluetooth</t>
  </si>
  <si>
    <t>VA007</t>
  </si>
  <si>
    <t>Varianza de la muestra</t>
  </si>
  <si>
    <t xml:space="preserve"> Portátil</t>
  </si>
  <si>
    <t>VA006</t>
  </si>
  <si>
    <t>Desviación estándar</t>
  </si>
  <si>
    <t xml:space="preserve"> Cámara digital</t>
  </si>
  <si>
    <t>VA005</t>
  </si>
  <si>
    <t>Moda</t>
  </si>
  <si>
    <t>VA004</t>
  </si>
  <si>
    <t>y mayor...</t>
  </si>
  <si>
    <t>Mediana</t>
  </si>
  <si>
    <t>VA003</t>
  </si>
  <si>
    <t>Error típico</t>
  </si>
  <si>
    <t xml:space="preserve"> Auriculares inalámbricos</t>
  </si>
  <si>
    <t>VA002</t>
  </si>
  <si>
    <t>Media</t>
  </si>
  <si>
    <t>VA001</t>
  </si>
  <si>
    <t>Total</t>
  </si>
  <si>
    <t>Cantidad</t>
  </si>
  <si>
    <t>Precio</t>
  </si>
  <si>
    <t xml:space="preserve">Producto </t>
  </si>
  <si>
    <t>Nº Factura</t>
  </si>
  <si>
    <t>Frecuencia</t>
  </si>
  <si>
    <t>Clase</t>
  </si>
  <si>
    <t>Complementos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</si>
</sst>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7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24"/>
      <color theme="9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4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FFBD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16" fontId="0" fillId="0" borderId="0" xfId="0" applyNumberFormat="1" applyAlignment="1">
      <alignment horizontal="center"/>
    </xf>
    <xf numFmtId="0" fontId="2" fillId="0" borderId="0" xfId="0" applyFont="1" applyAlignment="1">
      <alignment wrapText="1"/>
    </xf>
    <xf numFmtId="43" fontId="2" fillId="2" borderId="0" xfId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pivotButton="1" applyFont="1"/>
    <xf numFmtId="0" fontId="0" fillId="0" borderId="0" xfId="0" pivotButton="1"/>
    <xf numFmtId="164" fontId="0" fillId="0" borderId="0" xfId="1" applyNumberFormat="1" applyFont="1"/>
    <xf numFmtId="164" fontId="4" fillId="3" borderId="0" xfId="1" applyNumberFormat="1" applyFont="1" applyFill="1"/>
    <xf numFmtId="0" fontId="4" fillId="3" borderId="0" xfId="0" applyFont="1" applyFill="1"/>
    <xf numFmtId="0" fontId="0" fillId="4" borderId="0" xfId="0" applyFill="1"/>
    <xf numFmtId="43" fontId="0" fillId="4" borderId="0" xfId="0" applyNumberFormat="1" applyFill="1"/>
    <xf numFmtId="0" fontId="0" fillId="4" borderId="0" xfId="0" applyFill="1" applyAlignment="1">
      <alignment horizontal="left"/>
    </xf>
    <xf numFmtId="0" fontId="5" fillId="4" borderId="0" xfId="0" applyFont="1" applyFill="1"/>
    <xf numFmtId="0" fontId="0" fillId="0" borderId="0" xfId="0" applyAlignment="1">
      <alignment horizontal="right"/>
    </xf>
    <xf numFmtId="43" fontId="0" fillId="0" borderId="0" xfId="1" applyFont="1" applyAlignment="1">
      <alignment horizontal="righ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43" fontId="2" fillId="0" borderId="0" xfId="1" applyFont="1" applyAlignment="1">
      <alignment horizontal="righ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8" fillId="0" borderId="0" xfId="0" applyFont="1"/>
    <xf numFmtId="0" fontId="0" fillId="0" borderId="1" xfId="0" applyBorder="1"/>
    <xf numFmtId="0" fontId="9" fillId="5" borderId="0" xfId="0" applyFont="1" applyFill="1"/>
    <xf numFmtId="0" fontId="10" fillId="6" borderId="0" xfId="0" applyFont="1" applyFill="1"/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Continuous"/>
    </xf>
    <xf numFmtId="0" fontId="12" fillId="0" borderId="0" xfId="0" applyFont="1"/>
  </cellXfs>
  <cellStyles count="2">
    <cellStyle name="Millares" xfId="1" builtinId="3"/>
    <cellStyle name="Normal" xfId="0" builtinId="0"/>
  </cellStyles>
  <dxfs count="7"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07/relationships/slicerCache" Target="slicerCaches/slicerCache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[Tablas Dinámicas.xlsx]TD ejerc resultados!Bases clientes y almacenes</c:name>
    <c:fmtId val="4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'TD ejerc resultados'!$E$4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'TD ejerc resultados'!$D$5:$D$7</c:f>
              <c:strCache>
                <c:ptCount val="2"/>
                <c:pt idx="0">
                  <c:v>abr</c:v>
                </c:pt>
                <c:pt idx="1">
                  <c:v>may</c:v>
                </c:pt>
              </c:strCache>
            </c:strRef>
          </c:cat>
          <c:val>
            <c:numRef>
              <c:f>'TD ejerc resultados'!$E$5:$E$7</c:f>
              <c:numCache>
                <c:formatCode>_(* #,##0.00_);_(* \(#,##0.00\);_(* "-"??_);_(@_)</c:formatCode>
                <c:ptCount val="2"/>
                <c:pt idx="0">
                  <c:v>636892.30000000005</c:v>
                </c:pt>
                <c:pt idx="1">
                  <c:v>276844.7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B-43B0-ADBA-7693F6511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239920"/>
        <c:axId val="663240280"/>
      </c:barChart>
      <c:catAx>
        <c:axId val="66323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3240280"/>
        <c:crosses val="autoZero"/>
        <c:auto val="1"/>
        <c:lblAlgn val="ctr"/>
        <c:lblOffset val="100"/>
        <c:noMultiLvlLbl val="0"/>
      </c:catAx>
      <c:valAx>
        <c:axId val="6632402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66323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invertIfNegative val="0"/>
          <c:cat>
            <c:strRef>
              <c:f>Complementos!$K$4:$K$7</c:f>
              <c:strCache>
                <c:ptCount val="4"/>
                <c:pt idx="0">
                  <c:v>40</c:v>
                </c:pt>
                <c:pt idx="1">
                  <c:v>2026.666667</c:v>
                </c:pt>
                <c:pt idx="2">
                  <c:v>4013.333333</c:v>
                </c:pt>
                <c:pt idx="3">
                  <c:v>y mayor...</c:v>
                </c:pt>
              </c:strCache>
            </c:strRef>
          </c:cat>
          <c:val>
            <c:numRef>
              <c:f>Complementos!$L$4:$L$7</c:f>
              <c:numCache>
                <c:formatCode>General</c:formatCode>
                <c:ptCount val="4"/>
                <c:pt idx="0">
                  <c:v>1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6-4D4C-B963-603D71CDC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7988360"/>
        <c:axId val="697990160"/>
      </c:barChart>
      <c:catAx>
        <c:axId val="697988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Clase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990160"/>
        <c:crosses val="autoZero"/>
        <c:auto val="1"/>
        <c:lblAlgn val="ctr"/>
        <c:lblOffset val="100"/>
        <c:noMultiLvlLbl val="0"/>
      </c:catAx>
      <c:valAx>
        <c:axId val="697990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Frecuencia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798836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390525</xdr:colOff>
      <xdr:row>0</xdr:row>
      <xdr:rowOff>142876</xdr:rowOff>
    </xdr:from>
    <xdr:ext cx="1828800" cy="1009650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Almacén">
              <a:extLst>
                <a:ext uri="{FF2B5EF4-FFF2-40B4-BE49-F238E27FC236}">
                  <a16:creationId xmlns:a16="http://schemas.microsoft.com/office/drawing/2014/main" id="{CED787F6-96FF-4081-A406-099D3DB0F1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lmacé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58250" y="142876"/>
              <a:ext cx="1828800" cy="1009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oneCellAnchor>
    <xdr:from>
      <xdr:col>7</xdr:col>
      <xdr:colOff>628650</xdr:colOff>
      <xdr:row>0</xdr:row>
      <xdr:rowOff>133351</xdr:rowOff>
    </xdr:from>
    <xdr:ext cx="1828800" cy="1009650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Estado">
              <a:extLst>
                <a:ext uri="{FF2B5EF4-FFF2-40B4-BE49-F238E27FC236}">
                  <a16:creationId xmlns:a16="http://schemas.microsoft.com/office/drawing/2014/main" id="{942CCAD0-57FD-4FC7-A83C-14E9D8AA50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133351"/>
              <a:ext cx="1828800" cy="1009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oneCellAnchor>
    <xdr:from>
      <xdr:col>9</xdr:col>
      <xdr:colOff>485775</xdr:colOff>
      <xdr:row>7</xdr:row>
      <xdr:rowOff>152400</xdr:rowOff>
    </xdr:from>
    <xdr:ext cx="1381125" cy="1371600"/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Fecha">
              <a:extLst>
                <a:ext uri="{FF2B5EF4-FFF2-40B4-BE49-F238E27FC236}">
                  <a16:creationId xmlns:a16="http://schemas.microsoft.com/office/drawing/2014/main" id="{FA0E48B8-B675-47EA-9DD2-E7EA6CDD43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7675" y="1562100"/>
              <a:ext cx="138112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oneCellAnchor>
  <xdr:twoCellAnchor>
    <xdr:from>
      <xdr:col>3</xdr:col>
      <xdr:colOff>781050</xdr:colOff>
      <xdr:row>8</xdr:row>
      <xdr:rowOff>19050</xdr:rowOff>
    </xdr:from>
    <xdr:to>
      <xdr:col>8</xdr:col>
      <xdr:colOff>504825</xdr:colOff>
      <xdr:row>18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4D8DFE-2844-40FB-9F58-2E97C972F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2</xdr:row>
      <xdr:rowOff>180975</xdr:rowOff>
    </xdr:from>
    <xdr:to>
      <xdr:col>19</xdr:col>
      <xdr:colOff>238125</xdr:colOff>
      <xdr:row>12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FA2220-02BC-4801-9BD4-EB9876A81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1790700</xdr:colOff>
      <xdr:row>27</xdr:row>
      <xdr:rowOff>85725</xdr:rowOff>
    </xdr:from>
    <xdr:ext cx="6857143" cy="4704762"/>
    <xdr:pic>
      <xdr:nvPicPr>
        <xdr:cNvPr id="3" name="Imagen 2" descr="Interfaz de usuario gráfica, Texto, Aplicación, Correo electrónico&#10;&#10;Descripción generada automáticamente">
          <a:extLst>
            <a:ext uri="{FF2B5EF4-FFF2-40B4-BE49-F238E27FC236}">
              <a16:creationId xmlns:a16="http://schemas.microsoft.com/office/drawing/2014/main" id="{129C8D74-984D-4DD3-B0E6-8A7A12108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5229225"/>
          <a:ext cx="6857143" cy="470476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uario/Mis%20documentos/EXCEL%20AVANZADO/PRACTICAS%20EXCE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Excel%20Avanzado%20Archivos%20(2).xlsx" TargetMode="External"/><Relationship Id="rId1" Type="http://schemas.openxmlformats.org/officeDocument/2006/relationships/externalLinkPath" Target="/Users/USER/Downloads/Excel%20Avanzado%20Archivo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5"/>
      <sheetName val="Hoja4"/>
      <sheetName val="Hoja3"/>
      <sheetName val="Hoja1"/>
      <sheetName val="Hoja2"/>
      <sheetName val="BUSCAR OBJ"/>
      <sheetName val="datos"/>
      <sheetName val="tabla"/>
      <sheetName val="Gráfico1"/>
      <sheetName val="Hoja6"/>
      <sheetName val="Escenarios"/>
      <sheetName val="Resumen de escenario"/>
      <sheetName val="Escenario 2"/>
      <sheetName val="Resumen de escenario 2"/>
      <sheetName val="SOLVER"/>
      <sheetName val="Informe de respuestas 1"/>
      <sheetName val="SOLVER 2"/>
      <sheetName val="Informe de respuestas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>
        <row r="4">
          <cell r="D4">
            <v>200000</v>
          </cell>
        </row>
        <row r="5">
          <cell r="D5">
            <v>25</v>
          </cell>
          <cell r="G5">
            <v>300</v>
          </cell>
        </row>
        <row r="6">
          <cell r="G6">
            <v>3.3333333333333301E-3</v>
          </cell>
        </row>
      </sheetData>
      <sheetData sheetId="11"/>
      <sheetData sheetId="12"/>
      <sheetData sheetId="13"/>
      <sheetData sheetId="14">
        <row r="10">
          <cell r="C10">
            <v>1040</v>
          </cell>
          <cell r="D10">
            <v>4440</v>
          </cell>
        </row>
      </sheetData>
      <sheetData sheetId="15"/>
      <sheetData sheetId="16">
        <row r="10">
          <cell r="C10">
            <v>30.000000000000053</v>
          </cell>
          <cell r="D10">
            <v>40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rios"/>
      <sheetName val="Formularios (2)"/>
      <sheetName val="Detalle1"/>
      <sheetName val="Power BI en Excel"/>
      <sheetName val="Facturas 2024"/>
      <sheetName val="Power Query"/>
      <sheetName val="Power Pivot"/>
      <sheetName val="AI en Excel"/>
      <sheetName val="AI en Excel (2)"/>
      <sheetName val="AI en Excel (3)"/>
      <sheetName val="AI en Excel (4)"/>
      <sheetName val="Copilor for finance"/>
      <sheetName val="Reconciliation Report"/>
      <sheetName val="Open Data ejemplo"/>
      <sheetName val="Power Platform"/>
      <sheetName val="Consolidar 1"/>
      <sheetName val="Consolidar 2"/>
      <sheetName val="Consolidar 3"/>
      <sheetName val="Consolidar 4"/>
      <sheetName val="Consolidar 4 (2)"/>
      <sheetName val="Anexar mayo"/>
      <sheetName val="Anexar1"/>
      <sheetName val="Anexar junio"/>
      <sheetName val="Anexar"/>
      <sheetName val="Combinar1"/>
      <sheetName val="CombinarConjunto"/>
      <sheetName val="Combinar2"/>
      <sheetName val="Combinar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CA:" refreshedDate="45464.853018287038" createdVersion="8" refreshedVersion="8" minRefreshableVersion="3" recordCount="59" xr:uid="{C2B8B7E2-F022-4FBB-9E42-9E3C15DC3E3F}">
  <cacheSource type="worksheet">
    <worksheetSource ref="A1:K60" sheet="TD1"/>
  </cacheSource>
  <cacheFields count="13">
    <cacheField name="AÑO" numFmtId="0">
      <sharedItems containsSemiMixedTypes="0" containsString="0" containsNumber="1" containsInteger="1" minValue="2024" maxValue="2024"/>
    </cacheField>
    <cacheField name="TRIMESTRE" numFmtId="0">
      <sharedItems containsSemiMixedTypes="0" containsString="0" containsNumber="1" containsInteger="1" minValue="1" maxValue="1"/>
    </cacheField>
    <cacheField name="MES" numFmtId="0">
      <sharedItems count="3">
        <s v="Enero"/>
        <s v="Febrero"/>
        <s v="Marzo"/>
      </sharedItems>
    </cacheField>
    <cacheField name="FECHA" numFmtId="16">
      <sharedItems containsSemiMixedTypes="0" containsNonDate="0" containsDate="1" containsString="0" minDate="2024-01-02T00:00:00" maxDate="2024-03-03T00:00:00" count="43">
        <d v="2024-01-02T00:00:00"/>
        <d v="2024-01-03T00:00:00"/>
        <d v="2024-01-04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5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20T00:00:00"/>
        <d v="2024-02-22T00:00:00"/>
        <d v="2024-02-23T00:00:00"/>
        <d v="2024-03-02T00:00:00"/>
      </sharedItems>
      <fieldGroup par="12"/>
    </cacheField>
    <cacheField name="SUCURSAL" numFmtId="0">
      <sharedItems count="9">
        <s v="Z1"/>
        <s v="Z2"/>
        <s v="Z3"/>
        <s v="Z4"/>
        <s v="Z5"/>
        <s v="Z6"/>
        <s v="Z7"/>
        <s v="Z8"/>
        <s v="Z9"/>
      </sharedItems>
    </cacheField>
    <cacheField name="PROVINCIA" numFmtId="0">
      <sharedItems/>
    </cacheField>
    <cacheField name="CLIENTE" numFmtId="0">
      <sharedItems/>
    </cacheField>
    <cacheField name="Unidades  REALES" numFmtId="0">
      <sharedItems containsSemiMixedTypes="0" containsString="0" containsNumber="1" containsInteger="1" minValue="14" maxValue="12000"/>
    </cacheField>
    <cacheField name="VENTAS PREV." numFmtId="43">
      <sharedItems containsSemiMixedTypes="0" containsString="0" containsNumber="1" minValue="110" maxValue="386.3"/>
    </cacheField>
    <cacheField name="VENTAS REALES" numFmtId="43">
      <sharedItems containsSemiMixedTypes="0" containsString="0" containsNumber="1" minValue="88" maxValue="309.04000000000002"/>
    </cacheField>
    <cacheField name="RESPONSABLE" numFmtId="0">
      <sharedItems/>
    </cacheField>
    <cacheField name="Días (FECHA)" numFmtId="0" databaseField="0">
      <fieldGroup base="3">
        <rangePr groupBy="days" startDate="2024-01-02T00:00:00" endDate="2024-03-03T00:00:00"/>
        <groupItems count="368">
          <s v="&lt;02/01/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3/03/2024"/>
        </groupItems>
      </fieldGroup>
    </cacheField>
    <cacheField name="Meses (FECHA)" numFmtId="0" databaseField="0">
      <fieldGroup base="3">
        <rangePr groupBy="months" startDate="2024-01-02T00:00:00" endDate="2024-03-03T00:00:00"/>
        <groupItems count="14">
          <s v="&lt;02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3/03/2024"/>
        </groupItems>
      </fieldGroup>
    </cacheField>
  </cacheFields>
  <extLst>
    <ext xmlns:x14="http://schemas.microsoft.com/office/spreadsheetml/2009/9/main" uri="{725AE2AE-9491-48be-B2B4-4EB974FC3084}">
      <x14:pivotCacheDefinition pivotCacheId="32127706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CA:" refreshedDate="45464.853017824076" createdVersion="8" refreshedVersion="8" minRefreshableVersion="3" recordCount="232" xr:uid="{5435C935-E127-4563-AB76-5E569EC92B3B}">
  <cacheSource type="worksheet">
    <worksheetSource ref="A1:J233" sheet="TD Ejercicio"/>
  </cacheSource>
  <cacheFields count="13">
    <cacheField name="T." numFmtId="49">
      <sharedItems/>
    </cacheField>
    <cacheField name="Núm." numFmtId="0">
      <sharedItems containsSemiMixedTypes="0" containsString="0" containsNumber="1" containsInteger="1" minValue="1" maxValue="232"/>
    </cacheField>
    <cacheField name="Fecha" numFmtId="14">
      <sharedItems containsSemiMixedTypes="0" containsNonDate="0" containsDate="1" containsString="0" minDate="2024-01-03T00:00:00" maxDate="2024-05-20T00:00:00" count="84">
        <d v="2024-01-03T00:00:00"/>
        <d v="2024-01-04T00:00:00"/>
        <d v="2024-01-05T00:00:00"/>
        <d v="2024-01-09T00:00:00"/>
        <d v="2024-01-13T00:00:00"/>
        <d v="2024-01-16T00:00:00"/>
        <d v="2024-01-17T00:00:00"/>
        <d v="2024-01-18T00:00:00"/>
        <d v="2024-01-19T00:00:00"/>
        <d v="2024-01-20T00:00:00"/>
        <d v="2024-01-23T00:00:00"/>
        <d v="2024-01-24T00:00:00"/>
        <d v="2024-01-26T00:00:00"/>
        <d v="2024-01-27T00:00:00"/>
        <d v="2024-01-30T00:00:00"/>
        <d v="2024-01-31T00:00:00"/>
        <d v="2024-02-01T00:00:00"/>
        <d v="2024-02-02T00:00:00"/>
        <d v="2024-02-03T00:00:00"/>
        <d v="2024-02-06T00:00:00"/>
        <d v="2024-02-07T00:00:00"/>
        <d v="2024-02-08T00:00:00"/>
        <d v="2024-02-09T00:00:00"/>
        <d v="2024-02-10T00:00:00"/>
        <d v="2024-02-13T00:00:00"/>
        <d v="2024-02-14T00:00:00"/>
        <d v="2024-02-15T00:00:00"/>
        <d v="2024-02-16T00:00:00"/>
        <d v="2024-02-17T00:00:00"/>
        <d v="2024-02-20T00:00:00"/>
        <d v="2024-02-21T00:00:00"/>
        <d v="2024-02-22T00:00:00"/>
        <d v="2024-02-23T00:00:00"/>
        <d v="2024-02-24T00:00:00"/>
        <d v="2024-02-28T00:00:00"/>
        <d v="2024-03-02T00:00:00"/>
        <d v="2024-03-03T00:00:00"/>
        <d v="2024-03-06T00:00:00"/>
        <d v="2024-03-07T00:00:00"/>
        <d v="2024-03-08T00:00:00"/>
        <d v="2024-03-09T00:00:00"/>
        <d v="2024-03-10T00:00:00"/>
        <d v="2024-03-13T00:00:00"/>
        <d v="2024-03-14T00:00:00"/>
        <d v="2024-03-15T00:00:00"/>
        <d v="2024-03-16T00:00:00"/>
        <d v="2024-03-20T00:00:00"/>
        <d v="2024-03-21T00:00:00"/>
        <d v="2024-03-22T00:00:00"/>
        <d v="2024-03-23T00:00:00"/>
        <d v="2024-03-24T00:00:00"/>
        <d v="2024-03-27T00:00:00"/>
        <d v="2024-03-28T00:00:00"/>
        <d v="2024-03-30T00:00:00"/>
        <d v="2024-03-31T00:00:00"/>
        <d v="2024-04-03T00:00:00"/>
        <d v="2024-04-04T00:00:00"/>
        <d v="2024-04-05T00:00:00"/>
        <d v="2024-04-06T00:00:00"/>
        <d v="2024-04-07T00:00:00"/>
        <d v="2024-04-10T00:00:00"/>
        <d v="2024-04-12T00:00:00"/>
        <d v="2024-04-17T00:00:00"/>
        <d v="2024-04-18T00:00:00"/>
        <d v="2024-04-19T00:00:00"/>
        <d v="2024-04-20T00:00:00"/>
        <d v="2024-04-21T00:00:00"/>
        <d v="2024-04-24T00:00:00"/>
        <d v="2024-04-25T00:00:00"/>
        <d v="2024-04-26T00:00:00"/>
        <d v="2024-04-27T00:00:00"/>
        <d v="2024-04-28T00:00:00"/>
        <d v="2024-05-02T00:00:00"/>
        <d v="2024-05-03T00:00:00"/>
        <d v="2024-05-04T00:00:00"/>
        <d v="2024-05-05T00:00:00"/>
        <d v="2024-05-08T00:00:00"/>
        <d v="2024-05-10T00:00:00"/>
        <d v="2024-05-11T00:00:00"/>
        <d v="2024-05-12T00:00:00"/>
        <d v="2024-05-16T00:00:00"/>
        <d v="2024-05-17T00:00:00"/>
        <d v="2024-05-18T00:00:00"/>
        <d v="2024-05-19T00:00:00"/>
      </sharedItems>
      <fieldGroup par="11"/>
    </cacheField>
    <cacheField name="Cliente" numFmtId="0">
      <sharedItems count="94">
        <s v="00274-PROIN"/>
        <s v="00255-PECOG"/>
        <s v="00229-GLENC"/>
        <s v="00191-HARIN"/>
        <s v="00120-LOREN"/>
        <s v="00275-C&amp;D F"/>
        <s v="00080-UVESA"/>
        <s v="00431-FITOS"/>
        <s v="00143-PARAL"/>
        <s v="00016-SAT C"/>
        <s v="00243-CASTE"/>
        <s v="00012-GRANJ"/>
        <s v="00331-AN S "/>
        <s v="00023-GERIA"/>
        <s v="00122-DAVIL"/>
        <s v="00095-PROGR"/>
        <s v="00298-CEREA"/>
        <s v="00251-SANCH"/>
        <s v="00079-ABONO"/>
        <s v="00010-CEREA"/>
        <s v="00059-JUAN "/>
        <s v="00101-CIA G"/>
        <s v="00027-CAÑO "/>
        <s v="00429-PASTO"/>
        <s v="00268-ADALI"/>
        <s v="00028-GONZA"/>
        <s v="00036-MONTR"/>
        <s v="00368-OLMED"/>
        <s v="00430-INVER"/>
        <s v="00117-GONZA"/>
        <s v="00086-FORRA"/>
        <s v="00025-MATEO"/>
        <s v="00132-CRESP"/>
        <s v="00304-ZURRO"/>
        <s v="00047-RODRI"/>
        <s v="00245-BLANC"/>
        <s v="00135-BLANC"/>
        <s v="00024-LLORE"/>
        <s v="00140-HIDAL"/>
        <s v="00389-GARCI"/>
        <s v="00003-LEONE"/>
        <s v="00384-DIEZ "/>
        <s v="00195-MARTI"/>
        <s v="00048-CARRO"/>
        <s v="00026-BLANC"/>
        <s v="00343-GONZA"/>
        <s v="00300-ALONS"/>
        <s v="00038-GONZA"/>
        <s v="00361-SARDO"/>
        <s v="00049-ALONS"/>
        <s v="00377-ALONS"/>
        <s v="00339-CAÑO "/>
        <s v="00412-HMNOS"/>
        <s v="00045-OLMED"/>
        <s v="00391-CENTE"/>
        <s v="00116-MORAI"/>
        <s v="00277-MARTI"/>
        <s v="00076-LOPEZ"/>
        <s v="00364-HERRE"/>
        <s v="00264-HERRE"/>
        <s v="00394-ALONS"/>
        <s v="00432-MARTI"/>
        <s v="00409-GONZA"/>
        <s v="00433-BARAJ"/>
        <s v="00034-MARCI"/>
        <s v="00405-HERVA"/>
        <s v="00392-GOMEZ"/>
        <s v="00250-SARDO"/>
        <s v="00362-GONZA"/>
        <s v="00156-MAESO"/>
        <s v="00337-COLOM"/>
        <s v="00399-VALDU"/>
        <s v="00159-VIVER"/>
        <s v="00037-GONZA"/>
        <s v="00336-PEREZ"/>
        <s v="00231-CASAD"/>
        <s v="00232-CASAD"/>
        <s v="00171-HARIN"/>
        <s v="00001-CEREA"/>
        <s v="00236-VILLA"/>
        <s v="00208-VILLA"/>
        <s v="00434-GARES"/>
        <s v="00088-NANTA"/>
        <s v="00390-RICO "/>
        <s v="00039-OLMED"/>
        <s v="00435-TRANS"/>
        <s v="00043-BLANC"/>
        <s v="00044-MAESO"/>
        <s v="00108-SAT V"/>
        <s v="00035-CARRO"/>
        <s v="00145-CARRO"/>
        <s v="00020-SARDO"/>
        <s v="00383-BLANC"/>
        <s v="00436-ALONS"/>
      </sharedItems>
    </cacheField>
    <cacheField name="Almacén" numFmtId="0">
      <sharedItems count="2">
        <s v="GEN"/>
        <s v="PART"/>
      </sharedItems>
    </cacheField>
    <cacheField name="Estado" numFmtId="0">
      <sharedItems count="2">
        <s v="OK"/>
        <s v="Pendiente"/>
      </sharedItems>
    </cacheField>
    <cacheField name="For. Pag." numFmtId="0">
      <sharedItems containsSemiMixedTypes="0" containsString="0" containsNumber="1" containsInteger="1" minValue="1" maxValue="3"/>
    </cacheField>
    <cacheField name="Base" numFmtId="43">
      <sharedItems containsSemiMixedTypes="0" containsString="0" containsNumber="1" containsInteger="1" minValue="1009" maxValue="24973"/>
    </cacheField>
    <cacheField name="Rec" numFmtId="0">
      <sharedItems containsSemiMixedTypes="0" containsString="0" containsNumber="1" containsInteger="1" minValue="0" maxValue="0"/>
    </cacheField>
    <cacheField name="CUOTA IVA" numFmtId="43">
      <sharedItems containsSemiMixedTypes="0" containsString="0" containsNumber="1" minValue="100.9" maxValue="2497.3000000000002"/>
    </cacheField>
    <cacheField name="Días (Fecha)" numFmtId="0" databaseField="0">
      <fieldGroup base="2">
        <rangePr groupBy="days" startDate="2024-01-03T00:00:00" endDate="2024-05-20T00:00:00"/>
        <groupItems count="368">
          <s v="&lt;03/01/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0/05/2024"/>
        </groupItems>
      </fieldGroup>
    </cacheField>
    <cacheField name="Meses (Fecha)" numFmtId="0" databaseField="0">
      <fieldGroup base="2">
        <rangePr groupBy="months" startDate="2024-01-03T00:00:00" endDate="2024-05-20T00:00:00"/>
        <groupItems count="14">
          <s v="&lt;03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0/05/2024"/>
        </groupItems>
      </fieldGroup>
    </cacheField>
    <cacheField name="TOTAL" numFmtId="0" formula="Base+'CUOTA IVA'" databaseField="0"/>
  </cacheFields>
  <extLst>
    <ext xmlns:x14="http://schemas.microsoft.com/office/spreadsheetml/2009/9/main" uri="{725AE2AE-9491-48be-B2B4-4EB974FC3084}">
      <x14:pivotCacheDefinition pivotCacheId="4092709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024"/>
    <n v="1"/>
    <x v="0"/>
    <x v="0"/>
    <x v="0"/>
    <s v=" 10"/>
    <s v="GENESIS"/>
    <n v="12000"/>
    <n v="110"/>
    <n v="132"/>
    <s v="Juan"/>
  </r>
  <r>
    <n v="2024"/>
    <n v="1"/>
    <x v="0"/>
    <x v="0"/>
    <x v="0"/>
    <s v=" 10"/>
    <s v="AZUCENA"/>
    <n v="32"/>
    <n v="133.1"/>
    <n v="159.72"/>
    <s v="Ana"/>
  </r>
  <r>
    <n v="2024"/>
    <n v="1"/>
    <x v="0"/>
    <x v="1"/>
    <x v="0"/>
    <s v=" 12"/>
    <s v="LIZ"/>
    <n v="65"/>
    <n v="160.82"/>
    <n v="192.98399999999998"/>
    <s v="Juan"/>
  </r>
  <r>
    <n v="2024"/>
    <n v="1"/>
    <x v="0"/>
    <x v="2"/>
    <x v="0"/>
    <s v=" 14"/>
    <s v="REGAL"/>
    <n v="93"/>
    <n v="194.08"/>
    <n v="232.89600000000002"/>
    <s v="Ana"/>
  </r>
  <r>
    <n v="2024"/>
    <n v="1"/>
    <x v="0"/>
    <x v="2"/>
    <x v="0"/>
    <s v=" 15"/>
    <s v="DESTER"/>
    <n v="132"/>
    <n v="234"/>
    <n v="280.8"/>
    <s v="Juan"/>
  </r>
  <r>
    <n v="2024"/>
    <n v="1"/>
    <x v="0"/>
    <x v="2"/>
    <x v="0"/>
    <s v=" 10"/>
    <s v="HUMBER"/>
    <n v="15"/>
    <n v="110"/>
    <n v="132"/>
    <s v="Ana"/>
  </r>
  <r>
    <n v="2024"/>
    <n v="1"/>
    <x v="0"/>
    <x v="3"/>
    <x v="0"/>
    <s v=" 11"/>
    <s v="REGAL"/>
    <n v="32"/>
    <n v="133.1"/>
    <n v="159.72"/>
    <s v="Juan"/>
  </r>
  <r>
    <n v="2024"/>
    <n v="1"/>
    <x v="0"/>
    <x v="4"/>
    <x v="0"/>
    <s v=" 12"/>
    <s v="DESTER"/>
    <n v="62"/>
    <n v="160.82"/>
    <n v="192.98399999999998"/>
    <s v="Ana"/>
  </r>
  <r>
    <n v="2024"/>
    <n v="1"/>
    <x v="0"/>
    <x v="5"/>
    <x v="1"/>
    <s v=" 20"/>
    <s v="HUMBER"/>
    <n v="93"/>
    <n v="194.08"/>
    <n v="232.89600000000002"/>
    <s v="Juan"/>
  </r>
  <r>
    <n v="2024"/>
    <n v="1"/>
    <x v="0"/>
    <x v="6"/>
    <x v="1"/>
    <s v=" 22"/>
    <s v="TERRY"/>
    <n v="133"/>
    <n v="235"/>
    <n v="211.5"/>
    <s v="Juan"/>
  </r>
  <r>
    <n v="2024"/>
    <n v="1"/>
    <x v="0"/>
    <x v="6"/>
    <x v="1"/>
    <s v=" 24"/>
    <s v="DESTER"/>
    <n v="14"/>
    <n v="110"/>
    <n v="99"/>
    <s v="Ana"/>
  </r>
  <r>
    <n v="2024"/>
    <n v="1"/>
    <x v="0"/>
    <x v="6"/>
    <x v="1"/>
    <s v=" 24"/>
    <s v="TERRY"/>
    <n v="54"/>
    <n v="132"/>
    <n v="118.8"/>
    <s v="Juan"/>
  </r>
  <r>
    <n v="2024"/>
    <n v="1"/>
    <x v="0"/>
    <x v="6"/>
    <x v="1"/>
    <s v=" 25"/>
    <s v="REGAL"/>
    <n v="65"/>
    <n v="159.5"/>
    <n v="143.55000000000001"/>
    <s v="Ana"/>
  </r>
  <r>
    <n v="2024"/>
    <n v="1"/>
    <x v="0"/>
    <x v="6"/>
    <x v="1"/>
    <s v=" 26"/>
    <s v="DESTER"/>
    <n v="99"/>
    <n v="192.5"/>
    <n v="173.25"/>
    <s v="Juan"/>
  </r>
  <r>
    <n v="2024"/>
    <n v="1"/>
    <x v="0"/>
    <x v="7"/>
    <x v="1"/>
    <s v=" 22"/>
    <s v="HUMBER"/>
    <n v="141"/>
    <n v="232.1"/>
    <n v="208.89"/>
    <s v="Ana"/>
  </r>
  <r>
    <n v="2024"/>
    <n v="1"/>
    <x v="0"/>
    <x v="8"/>
    <x v="1"/>
    <s v=" 23"/>
    <s v="HUMBER"/>
    <n v="65"/>
    <n v="110"/>
    <n v="99"/>
    <s v="Juan"/>
  </r>
  <r>
    <n v="2024"/>
    <n v="1"/>
    <x v="0"/>
    <x v="9"/>
    <x v="2"/>
    <s v=" 33"/>
    <s v="SAMMY"/>
    <n v="54"/>
    <n v="133.1"/>
    <n v="119.78999999999999"/>
    <s v="Ana"/>
  </r>
  <r>
    <n v="2024"/>
    <n v="1"/>
    <x v="0"/>
    <x v="10"/>
    <x v="2"/>
    <s v=" 33"/>
    <s v="REGAL"/>
    <n v="65"/>
    <n v="160.82"/>
    <n v="144.738"/>
    <s v="Juan"/>
  </r>
  <r>
    <n v="2024"/>
    <n v="1"/>
    <x v="0"/>
    <x v="11"/>
    <x v="2"/>
    <s v=" 34"/>
    <s v="DESTER"/>
    <n v="42"/>
    <n v="194.08"/>
    <n v="174.67200000000003"/>
    <s v="Juan"/>
  </r>
  <r>
    <n v="2024"/>
    <n v="1"/>
    <x v="0"/>
    <x v="12"/>
    <x v="2"/>
    <s v=" 35"/>
    <s v="HUMBER"/>
    <n v="122"/>
    <n v="234"/>
    <n v="187.20000000000002"/>
    <s v="Ana"/>
  </r>
  <r>
    <n v="2024"/>
    <n v="1"/>
    <x v="0"/>
    <x v="13"/>
    <x v="2"/>
    <s v=" 36"/>
    <s v="REGAL"/>
    <n v="23"/>
    <n v="110"/>
    <n v="88"/>
    <s v="Juan"/>
  </r>
  <r>
    <n v="2024"/>
    <n v="1"/>
    <x v="0"/>
    <x v="14"/>
    <x v="2"/>
    <s v=" 35"/>
    <s v="DESTER"/>
    <n v="54"/>
    <n v="133.1"/>
    <n v="106.48"/>
    <s v="Ana"/>
  </r>
  <r>
    <n v="2024"/>
    <n v="1"/>
    <x v="0"/>
    <x v="15"/>
    <x v="3"/>
    <s v=" 40"/>
    <s v="HUMBER"/>
    <n v="123"/>
    <n v="162"/>
    <n v="129.6"/>
    <s v="Juan"/>
  </r>
  <r>
    <n v="2024"/>
    <n v="1"/>
    <x v="0"/>
    <x v="16"/>
    <x v="3"/>
    <s v=" 43"/>
    <s v="CLONY"/>
    <n v="100"/>
    <n v="200"/>
    <n v="160"/>
    <s v="Ana"/>
  </r>
  <r>
    <n v="2024"/>
    <n v="1"/>
    <x v="0"/>
    <x v="17"/>
    <x v="3"/>
    <s v=" 44"/>
    <s v="CLONY"/>
    <n v="143"/>
    <n v="241.1"/>
    <n v="192.88"/>
    <s v="Juan"/>
  </r>
  <r>
    <n v="2024"/>
    <n v="1"/>
    <x v="0"/>
    <x v="18"/>
    <x v="3"/>
    <s v=" 43"/>
    <s v="FIPLAY"/>
    <n v="14"/>
    <n v="110"/>
    <n v="88"/>
    <s v="Ana"/>
  </r>
  <r>
    <n v="2024"/>
    <n v="1"/>
    <x v="0"/>
    <x v="19"/>
    <x v="3"/>
    <s v=" 44"/>
    <s v="FIPLAY"/>
    <n v="123"/>
    <n v="133.1"/>
    <n v="106.48"/>
    <s v="Juan"/>
  </r>
  <r>
    <n v="2024"/>
    <n v="1"/>
    <x v="0"/>
    <x v="20"/>
    <x v="3"/>
    <s v=" 45"/>
    <s v="FIPLAY"/>
    <n v="34"/>
    <n v="160.82"/>
    <n v="128.65600000000001"/>
    <s v="Juan"/>
  </r>
  <r>
    <n v="2024"/>
    <n v="1"/>
    <x v="0"/>
    <x v="21"/>
    <x v="3"/>
    <s v=" 46"/>
    <s v="FERGUR"/>
    <n v="66"/>
    <n v="194.08"/>
    <n v="155.26400000000001"/>
    <s v="Ana"/>
  </r>
  <r>
    <n v="2024"/>
    <n v="1"/>
    <x v="0"/>
    <x v="22"/>
    <x v="3"/>
    <s v=" 45"/>
    <s v="FERGUR"/>
    <n v="226"/>
    <n v="321"/>
    <n v="256.8"/>
    <s v="Juan"/>
  </r>
  <r>
    <n v="2024"/>
    <n v="1"/>
    <x v="0"/>
    <x v="23"/>
    <x v="3"/>
    <s v=" 43"/>
    <s v="DEXTER"/>
    <n v="657"/>
    <n v="386.3"/>
    <n v="309.04000000000002"/>
    <s v="Ana"/>
  </r>
  <r>
    <n v="2024"/>
    <n v="1"/>
    <x v="1"/>
    <x v="24"/>
    <x v="0"/>
    <s v=" 10"/>
    <s v="GENESIS"/>
    <n v="23"/>
    <n v="133.1"/>
    <n v="106.48"/>
    <s v="Juan"/>
  </r>
  <r>
    <n v="2024"/>
    <n v="1"/>
    <x v="1"/>
    <x v="25"/>
    <x v="0"/>
    <s v=" 10"/>
    <s v="AZUCENA"/>
    <n v="54"/>
    <n v="160.82"/>
    <n v="128.65600000000001"/>
    <s v="Ana"/>
  </r>
  <r>
    <n v="2024"/>
    <n v="1"/>
    <x v="1"/>
    <x v="25"/>
    <x v="0"/>
    <s v=" 12"/>
    <s v="AZUCENA"/>
    <n v="123"/>
    <n v="194.08"/>
    <n v="155.26400000000001"/>
    <s v="Juan"/>
  </r>
  <r>
    <n v="2024"/>
    <n v="1"/>
    <x v="1"/>
    <x v="26"/>
    <x v="0"/>
    <s v=" 14"/>
    <s v="DER"/>
    <n v="100"/>
    <n v="234"/>
    <n v="187.20000000000002"/>
    <s v="Ana"/>
  </r>
  <r>
    <n v="2024"/>
    <n v="1"/>
    <x v="1"/>
    <x v="27"/>
    <x v="0"/>
    <s v=" 15"/>
    <s v="REGAL"/>
    <n v="143"/>
    <n v="281.89999999999998"/>
    <n v="225.51999999999998"/>
    <s v="Juan"/>
  </r>
  <r>
    <n v="2024"/>
    <n v="1"/>
    <x v="1"/>
    <x v="27"/>
    <x v="0"/>
    <s v=" 10"/>
    <s v="HUMBER"/>
    <n v="54"/>
    <n v="110"/>
    <n v="88"/>
    <s v="Juan"/>
  </r>
  <r>
    <n v="2024"/>
    <n v="1"/>
    <x v="1"/>
    <x v="28"/>
    <x v="0"/>
    <s v=" 11"/>
    <s v="DESTER"/>
    <n v="123"/>
    <n v="133.1"/>
    <n v="106.48"/>
    <s v="Ana"/>
  </r>
  <r>
    <n v="2024"/>
    <n v="1"/>
    <x v="1"/>
    <x v="29"/>
    <x v="0"/>
    <s v=" 12"/>
    <s v="FIPLAY"/>
    <n v="34"/>
    <n v="160.82"/>
    <n v="192.98399999999998"/>
    <s v="Juan"/>
  </r>
  <r>
    <n v="2024"/>
    <n v="1"/>
    <x v="1"/>
    <x v="30"/>
    <x v="1"/>
    <s v=" 20"/>
    <s v="FERGUR"/>
    <n v="66"/>
    <n v="194.08"/>
    <n v="232.89600000000002"/>
    <s v="Ana"/>
  </r>
  <r>
    <n v="2024"/>
    <n v="1"/>
    <x v="1"/>
    <x v="31"/>
    <x v="1"/>
    <s v=" 22"/>
    <s v="FERGUR"/>
    <n v="78"/>
    <n v="134"/>
    <n v="160.79999999999998"/>
    <s v="Juan"/>
  </r>
  <r>
    <n v="2024"/>
    <n v="1"/>
    <x v="1"/>
    <x v="32"/>
    <x v="1"/>
    <s v=" 24"/>
    <s v="DEXTER"/>
    <n v="89"/>
    <n v="110"/>
    <n v="132"/>
    <s v="Ana"/>
  </r>
  <r>
    <n v="2024"/>
    <n v="1"/>
    <x v="1"/>
    <x v="33"/>
    <x v="1"/>
    <s v=" 24"/>
    <s v="GENESIS"/>
    <n v="23"/>
    <n v="123"/>
    <n v="147.6"/>
    <s v="Juan"/>
  </r>
  <r>
    <n v="2024"/>
    <n v="1"/>
    <x v="1"/>
    <x v="34"/>
    <x v="1"/>
    <s v=" 25"/>
    <s v="AZUCENA"/>
    <n v="54"/>
    <n v="148.69999999999999"/>
    <n v="178.43999999999997"/>
    <s v="Ana"/>
  </r>
  <r>
    <n v="2024"/>
    <n v="1"/>
    <x v="1"/>
    <x v="35"/>
    <x v="1"/>
    <s v=" 26"/>
    <s v="REGAL"/>
    <n v="123"/>
    <n v="179.54"/>
    <n v="215.44799999999998"/>
    <s v="Juan"/>
  </r>
  <r>
    <n v="2024"/>
    <n v="1"/>
    <x v="1"/>
    <x v="36"/>
    <x v="1"/>
    <s v=" 22"/>
    <s v="HUMBER"/>
    <n v="100"/>
    <n v="216.55"/>
    <n v="259.86"/>
    <s v="Juan"/>
  </r>
  <r>
    <n v="2024"/>
    <n v="1"/>
    <x v="1"/>
    <x v="37"/>
    <x v="1"/>
    <s v=" 23"/>
    <s v="DESTER"/>
    <n v="143"/>
    <n v="110"/>
    <n v="132"/>
    <s v="Ana"/>
  </r>
  <r>
    <n v="2024"/>
    <n v="1"/>
    <x v="1"/>
    <x v="38"/>
    <x v="2"/>
    <s v=" 33"/>
    <s v="DESTER"/>
    <n v="54"/>
    <n v="133.1"/>
    <n v="159.72"/>
    <s v="Juan"/>
  </r>
  <r>
    <n v="2024"/>
    <n v="1"/>
    <x v="1"/>
    <x v="39"/>
    <x v="2"/>
    <s v=" 33"/>
    <s v="FERGUR"/>
    <n v="66"/>
    <n v="160.82"/>
    <n v="192.98399999999998"/>
    <s v="Ana"/>
  </r>
  <r>
    <n v="2024"/>
    <n v="1"/>
    <x v="1"/>
    <x v="39"/>
    <x v="2"/>
    <s v=" 34"/>
    <s v="DEXTER"/>
    <n v="78"/>
    <n v="194.08"/>
    <n v="232.89600000000002"/>
    <s v="Juan"/>
  </r>
  <r>
    <n v="2024"/>
    <n v="1"/>
    <x v="1"/>
    <x v="39"/>
    <x v="2"/>
    <s v=" 35"/>
    <s v="GENESIS"/>
    <n v="78"/>
    <n v="234"/>
    <n v="280.8"/>
    <s v="Ana"/>
  </r>
  <r>
    <n v="2024"/>
    <n v="1"/>
    <x v="1"/>
    <x v="40"/>
    <x v="2"/>
    <s v=" 36"/>
    <s v="AZUCENA"/>
    <n v="23"/>
    <n v="110"/>
    <n v="132"/>
    <s v="Juan"/>
  </r>
  <r>
    <n v="2024"/>
    <n v="1"/>
    <x v="1"/>
    <x v="41"/>
    <x v="2"/>
    <s v=" 35"/>
    <s v="LIZ"/>
    <n v="54"/>
    <n v="133.1"/>
    <n v="159.72"/>
    <s v="Ana"/>
  </r>
  <r>
    <n v="2024"/>
    <n v="1"/>
    <x v="2"/>
    <x v="42"/>
    <x v="3"/>
    <s v=" 36"/>
    <s v="LIZ"/>
    <n v="54"/>
    <n v="133.1"/>
    <n v="159.72"/>
    <s v="Ana"/>
  </r>
  <r>
    <n v="2024"/>
    <n v="1"/>
    <x v="2"/>
    <x v="42"/>
    <x v="4"/>
    <s v=" 37"/>
    <s v="LIZ"/>
    <n v="54"/>
    <n v="133.1"/>
    <n v="159.72"/>
    <s v="Ana"/>
  </r>
  <r>
    <n v="2024"/>
    <n v="1"/>
    <x v="2"/>
    <x v="42"/>
    <x v="5"/>
    <s v=" 38"/>
    <s v="LIZ"/>
    <n v="54"/>
    <n v="133.1"/>
    <n v="159.72"/>
    <s v="Ana"/>
  </r>
  <r>
    <n v="2024"/>
    <n v="1"/>
    <x v="2"/>
    <x v="42"/>
    <x v="6"/>
    <s v=" 39"/>
    <s v="LIZ"/>
    <n v="54"/>
    <n v="133.1"/>
    <n v="159.72"/>
    <s v="Ana"/>
  </r>
  <r>
    <n v="2024"/>
    <n v="1"/>
    <x v="2"/>
    <x v="42"/>
    <x v="7"/>
    <s v=" 40"/>
    <s v="LIZ"/>
    <n v="54"/>
    <n v="133.1"/>
    <n v="159.72"/>
    <s v="Ana"/>
  </r>
  <r>
    <n v="2024"/>
    <n v="1"/>
    <x v="2"/>
    <x v="42"/>
    <x v="8"/>
    <s v=" 41"/>
    <s v="LIZ"/>
    <n v="54"/>
    <n v="133.1"/>
    <n v="159.72"/>
    <s v="An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s v="3"/>
    <n v="1"/>
    <x v="0"/>
    <x v="0"/>
    <x v="0"/>
    <x v="0"/>
    <n v="2"/>
    <n v="24271"/>
    <n v="0"/>
    <n v="2427.1"/>
  </r>
  <r>
    <s v="3"/>
    <n v="2"/>
    <x v="1"/>
    <x v="1"/>
    <x v="0"/>
    <x v="1"/>
    <n v="3"/>
    <n v="10848"/>
    <n v="0"/>
    <n v="1084.8"/>
  </r>
  <r>
    <s v="3"/>
    <n v="3"/>
    <x v="2"/>
    <x v="2"/>
    <x v="1"/>
    <x v="1"/>
    <n v="2"/>
    <n v="21652"/>
    <n v="0"/>
    <n v="2165.2000000000003"/>
  </r>
  <r>
    <s v="3"/>
    <n v="4"/>
    <x v="2"/>
    <x v="3"/>
    <x v="0"/>
    <x v="1"/>
    <n v="2"/>
    <n v="18647"/>
    <n v="0"/>
    <n v="1864.7"/>
  </r>
  <r>
    <s v="3"/>
    <n v="5"/>
    <x v="3"/>
    <x v="4"/>
    <x v="0"/>
    <x v="1"/>
    <n v="2"/>
    <n v="15934"/>
    <n v="0"/>
    <n v="1593.4"/>
  </r>
  <r>
    <s v="3"/>
    <n v="6"/>
    <x v="3"/>
    <x v="5"/>
    <x v="0"/>
    <x v="1"/>
    <n v="2"/>
    <n v="7267"/>
    <n v="0"/>
    <n v="726.7"/>
  </r>
  <r>
    <s v="3"/>
    <n v="7"/>
    <x v="4"/>
    <x v="1"/>
    <x v="0"/>
    <x v="1"/>
    <n v="3"/>
    <n v="21212"/>
    <n v="0"/>
    <n v="2121.2000000000003"/>
  </r>
  <r>
    <s v="3"/>
    <n v="8"/>
    <x v="4"/>
    <x v="6"/>
    <x v="0"/>
    <x v="1"/>
    <n v="2"/>
    <n v="8005"/>
    <n v="0"/>
    <n v="800.5"/>
  </r>
  <r>
    <s v="3"/>
    <n v="9"/>
    <x v="5"/>
    <x v="7"/>
    <x v="0"/>
    <x v="0"/>
    <n v="2"/>
    <n v="21895"/>
    <n v="0"/>
    <n v="2189.5"/>
  </r>
  <r>
    <s v="3"/>
    <n v="10"/>
    <x v="5"/>
    <x v="8"/>
    <x v="0"/>
    <x v="0"/>
    <n v="2"/>
    <n v="8003"/>
    <n v="0"/>
    <n v="800.30000000000007"/>
  </r>
  <r>
    <s v="3"/>
    <n v="11"/>
    <x v="6"/>
    <x v="9"/>
    <x v="0"/>
    <x v="0"/>
    <n v="2"/>
    <n v="22810"/>
    <n v="0"/>
    <n v="2281"/>
  </r>
  <r>
    <s v="3"/>
    <n v="12"/>
    <x v="6"/>
    <x v="10"/>
    <x v="1"/>
    <x v="0"/>
    <n v="2"/>
    <n v="9968"/>
    <n v="0"/>
    <n v="996.80000000000007"/>
  </r>
  <r>
    <s v="3"/>
    <n v="13"/>
    <x v="6"/>
    <x v="1"/>
    <x v="1"/>
    <x v="0"/>
    <n v="3"/>
    <n v="14922"/>
    <n v="0"/>
    <n v="1492.2"/>
  </r>
  <r>
    <s v="3"/>
    <n v="14"/>
    <x v="7"/>
    <x v="11"/>
    <x v="1"/>
    <x v="0"/>
    <n v="2"/>
    <n v="4166"/>
    <n v="0"/>
    <n v="416.6"/>
  </r>
  <r>
    <s v="3"/>
    <n v="15"/>
    <x v="7"/>
    <x v="12"/>
    <x v="1"/>
    <x v="0"/>
    <n v="2"/>
    <n v="1916"/>
    <n v="0"/>
    <n v="191.60000000000002"/>
  </r>
  <r>
    <s v="3"/>
    <n v="16"/>
    <x v="8"/>
    <x v="1"/>
    <x v="1"/>
    <x v="0"/>
    <n v="3"/>
    <n v="9776"/>
    <n v="0"/>
    <n v="977.6"/>
  </r>
  <r>
    <s v="3"/>
    <n v="17"/>
    <x v="8"/>
    <x v="13"/>
    <x v="1"/>
    <x v="0"/>
    <n v="2"/>
    <n v="7224"/>
    <n v="0"/>
    <n v="722.40000000000009"/>
  </r>
  <r>
    <s v="3"/>
    <n v="18"/>
    <x v="8"/>
    <x v="1"/>
    <x v="1"/>
    <x v="0"/>
    <n v="3"/>
    <n v="7436"/>
    <n v="0"/>
    <n v="743.6"/>
  </r>
  <r>
    <s v="3"/>
    <n v="19"/>
    <x v="9"/>
    <x v="14"/>
    <x v="1"/>
    <x v="0"/>
    <n v="2"/>
    <n v="8045"/>
    <n v="0"/>
    <n v="804.5"/>
  </r>
  <r>
    <s v="3"/>
    <n v="20"/>
    <x v="9"/>
    <x v="15"/>
    <x v="1"/>
    <x v="1"/>
    <n v="2"/>
    <n v="9931"/>
    <n v="0"/>
    <n v="993.1"/>
  </r>
  <r>
    <s v="3"/>
    <n v="21"/>
    <x v="9"/>
    <x v="16"/>
    <x v="1"/>
    <x v="1"/>
    <n v="2"/>
    <n v="24026"/>
    <n v="0"/>
    <n v="2402.6"/>
  </r>
  <r>
    <s v="3"/>
    <n v="22"/>
    <x v="10"/>
    <x v="5"/>
    <x v="1"/>
    <x v="1"/>
    <n v="2"/>
    <n v="24909"/>
    <n v="0"/>
    <n v="2490.9"/>
  </r>
  <r>
    <s v="3"/>
    <n v="23"/>
    <x v="11"/>
    <x v="17"/>
    <x v="1"/>
    <x v="1"/>
    <n v="2"/>
    <n v="11905"/>
    <n v="0"/>
    <n v="1190.5"/>
  </r>
  <r>
    <s v="3"/>
    <n v="24"/>
    <x v="12"/>
    <x v="6"/>
    <x v="1"/>
    <x v="1"/>
    <n v="2"/>
    <n v="3300"/>
    <n v="0"/>
    <n v="330"/>
  </r>
  <r>
    <s v="3"/>
    <n v="25"/>
    <x v="12"/>
    <x v="18"/>
    <x v="1"/>
    <x v="1"/>
    <n v="2"/>
    <n v="4671"/>
    <n v="0"/>
    <n v="467.1"/>
  </r>
  <r>
    <s v="3"/>
    <n v="26"/>
    <x v="12"/>
    <x v="11"/>
    <x v="1"/>
    <x v="1"/>
    <n v="2"/>
    <n v="7989"/>
    <n v="0"/>
    <n v="798.90000000000009"/>
  </r>
  <r>
    <s v="3"/>
    <n v="27"/>
    <x v="12"/>
    <x v="19"/>
    <x v="1"/>
    <x v="1"/>
    <n v="2"/>
    <n v="15770"/>
    <n v="0"/>
    <n v="1577"/>
  </r>
  <r>
    <s v="3"/>
    <n v="28"/>
    <x v="13"/>
    <x v="15"/>
    <x v="1"/>
    <x v="1"/>
    <n v="2"/>
    <n v="23326"/>
    <n v="0"/>
    <n v="2332.6"/>
  </r>
  <r>
    <s v="3"/>
    <n v="29"/>
    <x v="13"/>
    <x v="20"/>
    <x v="1"/>
    <x v="1"/>
    <n v="2"/>
    <n v="8778"/>
    <n v="0"/>
    <n v="877.80000000000007"/>
  </r>
  <r>
    <s v="3"/>
    <n v="30"/>
    <x v="13"/>
    <x v="20"/>
    <x v="1"/>
    <x v="1"/>
    <n v="2"/>
    <n v="17942"/>
    <n v="0"/>
    <n v="1794.2"/>
  </r>
  <r>
    <s v="3"/>
    <n v="31"/>
    <x v="13"/>
    <x v="21"/>
    <x v="1"/>
    <x v="1"/>
    <n v="2"/>
    <n v="1945"/>
    <n v="0"/>
    <n v="194.5"/>
  </r>
  <r>
    <s v="3"/>
    <n v="32"/>
    <x v="13"/>
    <x v="17"/>
    <x v="1"/>
    <x v="1"/>
    <n v="2"/>
    <n v="20621"/>
    <n v="0"/>
    <n v="2062.1"/>
  </r>
  <r>
    <s v="3"/>
    <n v="33"/>
    <x v="14"/>
    <x v="15"/>
    <x v="1"/>
    <x v="1"/>
    <n v="2"/>
    <n v="14393"/>
    <n v="0"/>
    <n v="1439.3000000000002"/>
  </r>
  <r>
    <s v="3"/>
    <n v="34"/>
    <x v="15"/>
    <x v="3"/>
    <x v="1"/>
    <x v="1"/>
    <n v="2"/>
    <n v="23780"/>
    <n v="0"/>
    <n v="2378"/>
  </r>
  <r>
    <s v="3"/>
    <n v="35"/>
    <x v="15"/>
    <x v="1"/>
    <x v="1"/>
    <x v="1"/>
    <n v="3"/>
    <n v="7610"/>
    <n v="0"/>
    <n v="761"/>
  </r>
  <r>
    <s v="3"/>
    <n v="36"/>
    <x v="15"/>
    <x v="11"/>
    <x v="1"/>
    <x v="1"/>
    <n v="2"/>
    <n v="10285"/>
    <n v="0"/>
    <n v="1028.5"/>
  </r>
  <r>
    <s v="3"/>
    <n v="37"/>
    <x v="15"/>
    <x v="15"/>
    <x v="1"/>
    <x v="1"/>
    <n v="2"/>
    <n v="17320"/>
    <n v="0"/>
    <n v="1732"/>
  </r>
  <r>
    <s v="3"/>
    <n v="38"/>
    <x v="16"/>
    <x v="17"/>
    <x v="1"/>
    <x v="1"/>
    <n v="2"/>
    <n v="2544"/>
    <n v="0"/>
    <n v="254.4"/>
  </r>
  <r>
    <s v="3"/>
    <n v="39"/>
    <x v="17"/>
    <x v="22"/>
    <x v="1"/>
    <x v="1"/>
    <n v="2"/>
    <n v="14678"/>
    <n v="0"/>
    <n v="1467.8000000000002"/>
  </r>
  <r>
    <s v="3"/>
    <n v="40"/>
    <x v="17"/>
    <x v="5"/>
    <x v="1"/>
    <x v="1"/>
    <n v="2"/>
    <n v="12399"/>
    <n v="0"/>
    <n v="1239.9000000000001"/>
  </r>
  <r>
    <s v="3"/>
    <n v="41"/>
    <x v="18"/>
    <x v="14"/>
    <x v="1"/>
    <x v="1"/>
    <n v="2"/>
    <n v="8233"/>
    <n v="0"/>
    <n v="823.30000000000007"/>
  </r>
  <r>
    <s v="3"/>
    <n v="42"/>
    <x v="18"/>
    <x v="23"/>
    <x v="1"/>
    <x v="1"/>
    <n v="2"/>
    <n v="5618"/>
    <n v="0"/>
    <n v="561.80000000000007"/>
  </r>
  <r>
    <s v="3"/>
    <n v="43"/>
    <x v="18"/>
    <x v="24"/>
    <x v="1"/>
    <x v="1"/>
    <n v="2"/>
    <n v="4999"/>
    <n v="0"/>
    <n v="499.90000000000003"/>
  </r>
  <r>
    <s v="3"/>
    <n v="44"/>
    <x v="18"/>
    <x v="25"/>
    <x v="1"/>
    <x v="1"/>
    <n v="1"/>
    <n v="17672"/>
    <n v="0"/>
    <n v="1767.2"/>
  </r>
  <r>
    <s v="3"/>
    <n v="45"/>
    <x v="18"/>
    <x v="26"/>
    <x v="1"/>
    <x v="1"/>
    <n v="1"/>
    <n v="19512"/>
    <n v="0"/>
    <n v="1951.2"/>
  </r>
  <r>
    <s v="3"/>
    <n v="46"/>
    <x v="18"/>
    <x v="27"/>
    <x v="1"/>
    <x v="1"/>
    <n v="2"/>
    <n v="6352"/>
    <n v="0"/>
    <n v="635.20000000000005"/>
  </r>
  <r>
    <s v="3"/>
    <n v="47"/>
    <x v="18"/>
    <x v="15"/>
    <x v="1"/>
    <x v="1"/>
    <n v="2"/>
    <n v="19883"/>
    <n v="0"/>
    <n v="1988.3000000000002"/>
  </r>
  <r>
    <s v="3"/>
    <n v="48"/>
    <x v="18"/>
    <x v="15"/>
    <x v="1"/>
    <x v="1"/>
    <n v="2"/>
    <n v="18753"/>
    <n v="0"/>
    <n v="1875.3000000000002"/>
  </r>
  <r>
    <s v="3"/>
    <n v="49"/>
    <x v="19"/>
    <x v="28"/>
    <x v="1"/>
    <x v="1"/>
    <n v="2"/>
    <n v="5551"/>
    <n v="0"/>
    <n v="555.1"/>
  </r>
  <r>
    <s v="3"/>
    <n v="50"/>
    <x v="19"/>
    <x v="29"/>
    <x v="1"/>
    <x v="1"/>
    <n v="2"/>
    <n v="4753"/>
    <n v="0"/>
    <n v="475.3"/>
  </r>
  <r>
    <s v="3"/>
    <n v="51"/>
    <x v="19"/>
    <x v="22"/>
    <x v="1"/>
    <x v="1"/>
    <n v="2"/>
    <n v="1935"/>
    <n v="0"/>
    <n v="193.5"/>
  </r>
  <r>
    <s v="3"/>
    <n v="52"/>
    <x v="19"/>
    <x v="13"/>
    <x v="1"/>
    <x v="1"/>
    <n v="1"/>
    <n v="8118"/>
    <n v="0"/>
    <n v="811.80000000000007"/>
  </r>
  <r>
    <s v="3"/>
    <n v="53"/>
    <x v="19"/>
    <x v="30"/>
    <x v="1"/>
    <x v="1"/>
    <n v="2"/>
    <n v="2933"/>
    <n v="0"/>
    <n v="293.3"/>
  </r>
  <r>
    <s v="3"/>
    <n v="54"/>
    <x v="20"/>
    <x v="3"/>
    <x v="1"/>
    <x v="1"/>
    <n v="2"/>
    <n v="6802"/>
    <n v="0"/>
    <n v="680.2"/>
  </r>
  <r>
    <s v="3"/>
    <n v="55"/>
    <x v="21"/>
    <x v="15"/>
    <x v="1"/>
    <x v="1"/>
    <n v="2"/>
    <n v="21972"/>
    <n v="0"/>
    <n v="2197.2000000000003"/>
  </r>
  <r>
    <s v="3"/>
    <n v="56"/>
    <x v="21"/>
    <x v="5"/>
    <x v="1"/>
    <x v="1"/>
    <n v="2"/>
    <n v="14870"/>
    <n v="0"/>
    <n v="1487"/>
  </r>
  <r>
    <s v="3"/>
    <n v="57"/>
    <x v="22"/>
    <x v="15"/>
    <x v="1"/>
    <x v="1"/>
    <n v="2"/>
    <n v="24390"/>
    <n v="0"/>
    <n v="2439"/>
  </r>
  <r>
    <s v="3"/>
    <n v="58"/>
    <x v="22"/>
    <x v="3"/>
    <x v="1"/>
    <x v="1"/>
    <n v="2"/>
    <n v="5547"/>
    <n v="0"/>
    <n v="554.70000000000005"/>
  </r>
  <r>
    <s v="3"/>
    <n v="59"/>
    <x v="22"/>
    <x v="6"/>
    <x v="1"/>
    <x v="1"/>
    <n v="2"/>
    <n v="22942"/>
    <n v="0"/>
    <n v="2294.2000000000003"/>
  </r>
  <r>
    <s v="3"/>
    <n v="60"/>
    <x v="23"/>
    <x v="17"/>
    <x v="0"/>
    <x v="1"/>
    <n v="2"/>
    <n v="14569"/>
    <n v="0"/>
    <n v="1456.9"/>
  </r>
  <r>
    <s v="3"/>
    <n v="61"/>
    <x v="23"/>
    <x v="15"/>
    <x v="0"/>
    <x v="1"/>
    <n v="2"/>
    <n v="11909"/>
    <n v="0"/>
    <n v="1190.9000000000001"/>
  </r>
  <r>
    <s v="3"/>
    <n v="62"/>
    <x v="24"/>
    <x v="31"/>
    <x v="1"/>
    <x v="1"/>
    <n v="2"/>
    <n v="24973"/>
    <n v="0"/>
    <n v="2497.3000000000002"/>
  </r>
  <r>
    <s v="3"/>
    <n v="63"/>
    <x v="24"/>
    <x v="32"/>
    <x v="1"/>
    <x v="1"/>
    <n v="2"/>
    <n v="18970"/>
    <n v="0"/>
    <n v="1897"/>
  </r>
  <r>
    <s v="3"/>
    <n v="64"/>
    <x v="24"/>
    <x v="33"/>
    <x v="1"/>
    <x v="1"/>
    <n v="2"/>
    <n v="22361"/>
    <n v="0"/>
    <n v="2236.1"/>
  </r>
  <r>
    <s v="3"/>
    <n v="65"/>
    <x v="24"/>
    <x v="1"/>
    <x v="1"/>
    <x v="1"/>
    <n v="3"/>
    <n v="12225"/>
    <n v="0"/>
    <n v="1222.5"/>
  </r>
  <r>
    <s v="3"/>
    <n v="66"/>
    <x v="25"/>
    <x v="34"/>
    <x v="1"/>
    <x v="1"/>
    <n v="2"/>
    <n v="12522"/>
    <n v="0"/>
    <n v="1252.2"/>
  </r>
  <r>
    <s v="3"/>
    <n v="67"/>
    <x v="25"/>
    <x v="35"/>
    <x v="1"/>
    <x v="1"/>
    <n v="2"/>
    <n v="7987"/>
    <n v="0"/>
    <n v="798.7"/>
  </r>
  <r>
    <s v="3"/>
    <n v="68"/>
    <x v="25"/>
    <x v="36"/>
    <x v="1"/>
    <x v="1"/>
    <n v="2"/>
    <n v="5855"/>
    <n v="0"/>
    <n v="585.5"/>
  </r>
  <r>
    <s v="3"/>
    <n v="69"/>
    <x v="25"/>
    <x v="5"/>
    <x v="1"/>
    <x v="1"/>
    <n v="2"/>
    <n v="19600"/>
    <n v="0"/>
    <n v="1960"/>
  </r>
  <r>
    <s v="3"/>
    <n v="70"/>
    <x v="25"/>
    <x v="37"/>
    <x v="1"/>
    <x v="1"/>
    <n v="2"/>
    <n v="14989"/>
    <n v="0"/>
    <n v="1498.9"/>
  </r>
  <r>
    <s v="3"/>
    <n v="71"/>
    <x v="25"/>
    <x v="17"/>
    <x v="1"/>
    <x v="1"/>
    <n v="2"/>
    <n v="19340"/>
    <n v="0"/>
    <n v="1934"/>
  </r>
  <r>
    <s v="3"/>
    <n v="72"/>
    <x v="26"/>
    <x v="38"/>
    <x v="0"/>
    <x v="1"/>
    <n v="2"/>
    <n v="24314"/>
    <n v="0"/>
    <n v="2431.4"/>
  </r>
  <r>
    <s v="3"/>
    <n v="73"/>
    <x v="26"/>
    <x v="39"/>
    <x v="0"/>
    <x v="0"/>
    <n v="3"/>
    <n v="14736"/>
    <n v="0"/>
    <n v="1473.6000000000001"/>
  </r>
  <r>
    <s v="3"/>
    <n v="74"/>
    <x v="26"/>
    <x v="40"/>
    <x v="0"/>
    <x v="0"/>
    <n v="2"/>
    <n v="12487"/>
    <n v="0"/>
    <n v="1248.7"/>
  </r>
  <r>
    <s v="3"/>
    <n v="75"/>
    <x v="27"/>
    <x v="41"/>
    <x v="0"/>
    <x v="0"/>
    <n v="2"/>
    <n v="11697"/>
    <n v="0"/>
    <n v="1169.7"/>
  </r>
  <r>
    <s v="3"/>
    <n v="76"/>
    <x v="27"/>
    <x v="17"/>
    <x v="0"/>
    <x v="0"/>
    <n v="2"/>
    <n v="8264"/>
    <n v="0"/>
    <n v="826.40000000000009"/>
  </r>
  <r>
    <s v="3"/>
    <n v="77"/>
    <x v="28"/>
    <x v="3"/>
    <x v="0"/>
    <x v="0"/>
    <n v="2"/>
    <n v="3103"/>
    <n v="0"/>
    <n v="310.3"/>
  </r>
  <r>
    <s v="3"/>
    <n v="78"/>
    <x v="28"/>
    <x v="30"/>
    <x v="0"/>
    <x v="0"/>
    <n v="2"/>
    <n v="3853"/>
    <n v="0"/>
    <n v="385.3"/>
  </r>
  <r>
    <s v="3"/>
    <n v="79"/>
    <x v="28"/>
    <x v="1"/>
    <x v="0"/>
    <x v="0"/>
    <n v="3"/>
    <n v="12247"/>
    <n v="0"/>
    <n v="1224.7"/>
  </r>
  <r>
    <s v="3"/>
    <n v="80"/>
    <x v="28"/>
    <x v="15"/>
    <x v="0"/>
    <x v="0"/>
    <n v="2"/>
    <n v="15359"/>
    <n v="0"/>
    <n v="1535.9"/>
  </r>
  <r>
    <s v="3"/>
    <n v="81"/>
    <x v="29"/>
    <x v="12"/>
    <x v="0"/>
    <x v="0"/>
    <n v="2"/>
    <n v="12159"/>
    <n v="0"/>
    <n v="1215.9000000000001"/>
  </r>
  <r>
    <s v="3"/>
    <n v="82"/>
    <x v="29"/>
    <x v="42"/>
    <x v="0"/>
    <x v="0"/>
    <n v="2"/>
    <n v="8889"/>
    <n v="0"/>
    <n v="888.90000000000009"/>
  </r>
  <r>
    <s v="3"/>
    <n v="83"/>
    <x v="29"/>
    <x v="43"/>
    <x v="0"/>
    <x v="0"/>
    <n v="2"/>
    <n v="11800"/>
    <n v="0"/>
    <n v="1180"/>
  </r>
  <r>
    <s v="3"/>
    <n v="84"/>
    <x v="29"/>
    <x v="44"/>
    <x v="0"/>
    <x v="0"/>
    <n v="2"/>
    <n v="13570"/>
    <n v="0"/>
    <n v="1357"/>
  </r>
  <r>
    <s v="3"/>
    <n v="85"/>
    <x v="29"/>
    <x v="3"/>
    <x v="0"/>
    <x v="0"/>
    <n v="2"/>
    <n v="20838"/>
    <n v="0"/>
    <n v="2083.8000000000002"/>
  </r>
  <r>
    <s v="3"/>
    <n v="86"/>
    <x v="30"/>
    <x v="45"/>
    <x v="0"/>
    <x v="0"/>
    <n v="2"/>
    <n v="24270"/>
    <n v="0"/>
    <n v="2427"/>
  </r>
  <r>
    <s v="3"/>
    <n v="87"/>
    <x v="30"/>
    <x v="46"/>
    <x v="0"/>
    <x v="0"/>
    <n v="2"/>
    <n v="3643"/>
    <n v="0"/>
    <n v="364.3"/>
  </r>
  <r>
    <s v="3"/>
    <n v="88"/>
    <x v="30"/>
    <x v="47"/>
    <x v="0"/>
    <x v="0"/>
    <n v="3"/>
    <n v="14122"/>
    <n v="0"/>
    <n v="1412.2"/>
  </r>
  <r>
    <s v="3"/>
    <n v="89"/>
    <x v="30"/>
    <x v="48"/>
    <x v="0"/>
    <x v="0"/>
    <n v="2"/>
    <n v="8512"/>
    <n v="0"/>
    <n v="851.2"/>
  </r>
  <r>
    <s v="3"/>
    <n v="90"/>
    <x v="31"/>
    <x v="40"/>
    <x v="0"/>
    <x v="0"/>
    <n v="2"/>
    <n v="24611"/>
    <n v="0"/>
    <n v="2461.1000000000004"/>
  </r>
  <r>
    <s v="3"/>
    <n v="91"/>
    <x v="31"/>
    <x v="17"/>
    <x v="0"/>
    <x v="0"/>
    <n v="2"/>
    <n v="22242"/>
    <n v="0"/>
    <n v="2224.2000000000003"/>
  </r>
  <r>
    <s v="3"/>
    <n v="92"/>
    <x v="32"/>
    <x v="15"/>
    <x v="0"/>
    <x v="0"/>
    <n v="2"/>
    <n v="23378"/>
    <n v="0"/>
    <n v="2337.8000000000002"/>
  </r>
  <r>
    <s v="3"/>
    <n v="93"/>
    <x v="32"/>
    <x v="49"/>
    <x v="0"/>
    <x v="0"/>
    <n v="2"/>
    <n v="13433"/>
    <n v="0"/>
    <n v="1343.3000000000002"/>
  </r>
  <r>
    <s v="3"/>
    <n v="94"/>
    <x v="32"/>
    <x v="50"/>
    <x v="0"/>
    <x v="0"/>
    <n v="2"/>
    <n v="20325"/>
    <n v="0"/>
    <n v="2032.5"/>
  </r>
  <r>
    <s v="3"/>
    <n v="95"/>
    <x v="33"/>
    <x v="51"/>
    <x v="0"/>
    <x v="0"/>
    <n v="2"/>
    <n v="6769"/>
    <n v="0"/>
    <n v="676.90000000000009"/>
  </r>
  <r>
    <s v="3"/>
    <n v="96"/>
    <x v="33"/>
    <x v="52"/>
    <x v="0"/>
    <x v="0"/>
    <n v="2"/>
    <n v="7155"/>
    <n v="0"/>
    <n v="715.5"/>
  </r>
  <r>
    <s v="3"/>
    <n v="97"/>
    <x v="34"/>
    <x v="6"/>
    <x v="0"/>
    <x v="0"/>
    <n v="2"/>
    <n v="9899"/>
    <n v="0"/>
    <n v="989.90000000000009"/>
  </r>
  <r>
    <s v="3"/>
    <n v="98"/>
    <x v="34"/>
    <x v="53"/>
    <x v="0"/>
    <x v="0"/>
    <n v="2"/>
    <n v="9979"/>
    <n v="0"/>
    <n v="997.90000000000009"/>
  </r>
  <r>
    <s v="3"/>
    <n v="99"/>
    <x v="34"/>
    <x v="1"/>
    <x v="0"/>
    <x v="0"/>
    <n v="3"/>
    <n v="7454"/>
    <n v="0"/>
    <n v="745.40000000000009"/>
  </r>
  <r>
    <s v="3"/>
    <n v="100"/>
    <x v="34"/>
    <x v="11"/>
    <x v="0"/>
    <x v="0"/>
    <n v="2"/>
    <n v="11914"/>
    <n v="0"/>
    <n v="1191.4000000000001"/>
  </r>
  <r>
    <s v="3"/>
    <n v="101"/>
    <x v="34"/>
    <x v="21"/>
    <x v="0"/>
    <x v="0"/>
    <n v="2"/>
    <n v="14460"/>
    <n v="0"/>
    <n v="1446"/>
  </r>
  <r>
    <s v="3"/>
    <n v="102"/>
    <x v="34"/>
    <x v="41"/>
    <x v="0"/>
    <x v="0"/>
    <n v="2"/>
    <n v="3575"/>
    <n v="0"/>
    <n v="357.5"/>
  </r>
  <r>
    <s v="3"/>
    <n v="103"/>
    <x v="35"/>
    <x v="54"/>
    <x v="0"/>
    <x v="0"/>
    <n v="2"/>
    <n v="8206"/>
    <n v="0"/>
    <n v="820.6"/>
  </r>
  <r>
    <s v="3"/>
    <n v="104"/>
    <x v="35"/>
    <x v="55"/>
    <x v="0"/>
    <x v="0"/>
    <n v="2"/>
    <n v="10092"/>
    <n v="0"/>
    <n v="1009.2"/>
  </r>
  <r>
    <s v="3"/>
    <n v="105"/>
    <x v="35"/>
    <x v="56"/>
    <x v="0"/>
    <x v="0"/>
    <n v="2"/>
    <n v="14257"/>
    <n v="0"/>
    <n v="1425.7"/>
  </r>
  <r>
    <s v="3"/>
    <n v="106"/>
    <x v="35"/>
    <x v="1"/>
    <x v="0"/>
    <x v="0"/>
    <n v="3"/>
    <n v="22031"/>
    <n v="0"/>
    <n v="2203.1"/>
  </r>
  <r>
    <s v="3"/>
    <n v="107"/>
    <x v="35"/>
    <x v="57"/>
    <x v="0"/>
    <x v="0"/>
    <n v="2"/>
    <n v="1097"/>
    <n v="0"/>
    <n v="109.7"/>
  </r>
  <r>
    <s v="3"/>
    <n v="108"/>
    <x v="36"/>
    <x v="58"/>
    <x v="0"/>
    <x v="0"/>
    <n v="2"/>
    <n v="17443"/>
    <n v="0"/>
    <n v="1744.3000000000002"/>
  </r>
  <r>
    <s v="3"/>
    <n v="109"/>
    <x v="36"/>
    <x v="59"/>
    <x v="0"/>
    <x v="0"/>
    <n v="2"/>
    <n v="9451"/>
    <n v="0"/>
    <n v="945.1"/>
  </r>
  <r>
    <s v="3"/>
    <n v="110"/>
    <x v="36"/>
    <x v="20"/>
    <x v="0"/>
    <x v="0"/>
    <n v="2"/>
    <n v="24922"/>
    <n v="0"/>
    <n v="2492.2000000000003"/>
  </r>
  <r>
    <s v="3"/>
    <n v="111"/>
    <x v="37"/>
    <x v="60"/>
    <x v="0"/>
    <x v="0"/>
    <n v="2"/>
    <n v="19008"/>
    <n v="0"/>
    <n v="1900.8000000000002"/>
  </r>
  <r>
    <s v="3"/>
    <n v="112"/>
    <x v="37"/>
    <x v="61"/>
    <x v="0"/>
    <x v="0"/>
    <n v="2"/>
    <n v="22530"/>
    <n v="0"/>
    <n v="2253"/>
  </r>
  <r>
    <s v="3"/>
    <n v="113"/>
    <x v="37"/>
    <x v="11"/>
    <x v="0"/>
    <x v="0"/>
    <n v="2"/>
    <n v="15757"/>
    <n v="0"/>
    <n v="1575.7"/>
  </r>
  <r>
    <s v="3"/>
    <n v="114"/>
    <x v="38"/>
    <x v="3"/>
    <x v="0"/>
    <x v="0"/>
    <n v="2"/>
    <n v="15361"/>
    <n v="0"/>
    <n v="1536.1000000000001"/>
  </r>
  <r>
    <s v="3"/>
    <n v="115"/>
    <x v="38"/>
    <x v="62"/>
    <x v="0"/>
    <x v="0"/>
    <n v="2"/>
    <n v="9870"/>
    <n v="0"/>
    <n v="987"/>
  </r>
  <r>
    <s v="3"/>
    <n v="116"/>
    <x v="38"/>
    <x v="63"/>
    <x v="0"/>
    <x v="0"/>
    <n v="2"/>
    <n v="11617"/>
    <n v="0"/>
    <n v="1161.7"/>
  </r>
  <r>
    <s v="3"/>
    <n v="117"/>
    <x v="38"/>
    <x v="26"/>
    <x v="0"/>
    <x v="0"/>
    <n v="1"/>
    <n v="2747"/>
    <n v="0"/>
    <n v="274.7"/>
  </r>
  <r>
    <s v="3"/>
    <n v="118"/>
    <x v="38"/>
    <x v="10"/>
    <x v="0"/>
    <x v="0"/>
    <n v="2"/>
    <n v="13906"/>
    <n v="0"/>
    <n v="1390.6000000000001"/>
  </r>
  <r>
    <s v="3"/>
    <n v="119"/>
    <x v="39"/>
    <x v="17"/>
    <x v="1"/>
    <x v="0"/>
    <n v="2"/>
    <n v="5884"/>
    <n v="0"/>
    <n v="588.4"/>
  </r>
  <r>
    <s v="3"/>
    <n v="120"/>
    <x v="39"/>
    <x v="64"/>
    <x v="0"/>
    <x v="0"/>
    <n v="2"/>
    <n v="16431"/>
    <n v="0"/>
    <n v="1643.1000000000001"/>
  </r>
  <r>
    <s v="3"/>
    <n v="121"/>
    <x v="39"/>
    <x v="65"/>
    <x v="0"/>
    <x v="0"/>
    <n v="2"/>
    <n v="3937"/>
    <n v="0"/>
    <n v="393.70000000000005"/>
  </r>
  <r>
    <s v="3"/>
    <n v="122"/>
    <x v="39"/>
    <x v="25"/>
    <x v="0"/>
    <x v="0"/>
    <n v="1"/>
    <n v="11605"/>
    <n v="0"/>
    <n v="1160.5"/>
  </r>
  <r>
    <s v="3"/>
    <n v="123"/>
    <x v="40"/>
    <x v="5"/>
    <x v="0"/>
    <x v="0"/>
    <n v="2"/>
    <n v="8152"/>
    <n v="0"/>
    <n v="815.2"/>
  </r>
  <r>
    <s v="3"/>
    <n v="124"/>
    <x v="40"/>
    <x v="13"/>
    <x v="0"/>
    <x v="0"/>
    <n v="2"/>
    <n v="14870"/>
    <n v="0"/>
    <n v="1487"/>
  </r>
  <r>
    <s v="3"/>
    <n v="125"/>
    <x v="40"/>
    <x v="19"/>
    <x v="0"/>
    <x v="0"/>
    <n v="2"/>
    <n v="15866"/>
    <n v="0"/>
    <n v="1586.6000000000001"/>
  </r>
  <r>
    <s v="3"/>
    <n v="126"/>
    <x v="40"/>
    <x v="4"/>
    <x v="0"/>
    <x v="0"/>
    <n v="2"/>
    <n v="13074"/>
    <n v="0"/>
    <n v="1307.4000000000001"/>
  </r>
  <r>
    <s v="3"/>
    <n v="127"/>
    <x v="41"/>
    <x v="37"/>
    <x v="0"/>
    <x v="0"/>
    <n v="2"/>
    <n v="9649"/>
    <n v="0"/>
    <n v="964.90000000000009"/>
  </r>
  <r>
    <s v="3"/>
    <n v="128"/>
    <x v="41"/>
    <x v="18"/>
    <x v="0"/>
    <x v="0"/>
    <n v="2"/>
    <n v="23181"/>
    <n v="0"/>
    <n v="2318.1"/>
  </r>
  <r>
    <s v="3"/>
    <n v="129"/>
    <x v="41"/>
    <x v="66"/>
    <x v="0"/>
    <x v="0"/>
    <n v="2"/>
    <n v="8479"/>
    <n v="0"/>
    <n v="847.90000000000009"/>
  </r>
  <r>
    <s v="3"/>
    <n v="130"/>
    <x v="41"/>
    <x v="3"/>
    <x v="0"/>
    <x v="0"/>
    <n v="2"/>
    <n v="2127"/>
    <n v="0"/>
    <n v="212.70000000000002"/>
  </r>
  <r>
    <s v="3"/>
    <n v="131"/>
    <x v="41"/>
    <x v="1"/>
    <x v="0"/>
    <x v="0"/>
    <n v="3"/>
    <n v="9652"/>
    <n v="0"/>
    <n v="965.2"/>
  </r>
  <r>
    <s v="3"/>
    <n v="132"/>
    <x v="42"/>
    <x v="67"/>
    <x v="0"/>
    <x v="0"/>
    <n v="3"/>
    <n v="22982"/>
    <n v="0"/>
    <n v="2298.2000000000003"/>
  </r>
  <r>
    <s v="3"/>
    <n v="133"/>
    <x v="42"/>
    <x v="68"/>
    <x v="0"/>
    <x v="0"/>
    <n v="2"/>
    <n v="9393"/>
    <n v="0"/>
    <n v="939.30000000000007"/>
  </r>
  <r>
    <s v="3"/>
    <n v="134"/>
    <x v="42"/>
    <x v="67"/>
    <x v="0"/>
    <x v="0"/>
    <n v="3"/>
    <n v="14833"/>
    <n v="0"/>
    <n v="1483.3000000000002"/>
  </r>
  <r>
    <s v="3"/>
    <n v="135"/>
    <x v="42"/>
    <x v="69"/>
    <x v="0"/>
    <x v="0"/>
    <n v="2"/>
    <n v="24111"/>
    <n v="0"/>
    <n v="2411.1"/>
  </r>
  <r>
    <s v="3"/>
    <n v="136"/>
    <x v="42"/>
    <x v="1"/>
    <x v="0"/>
    <x v="0"/>
    <n v="3"/>
    <n v="9844"/>
    <n v="0"/>
    <n v="984.40000000000009"/>
  </r>
  <r>
    <s v="3"/>
    <n v="137"/>
    <x v="43"/>
    <x v="39"/>
    <x v="0"/>
    <x v="0"/>
    <n v="3"/>
    <n v="18092"/>
    <n v="0"/>
    <n v="1809.2"/>
  </r>
  <r>
    <s v="3"/>
    <n v="138"/>
    <x v="43"/>
    <x v="52"/>
    <x v="0"/>
    <x v="0"/>
    <n v="2"/>
    <n v="23481"/>
    <n v="0"/>
    <n v="2348.1"/>
  </r>
  <r>
    <s v="3"/>
    <n v="139"/>
    <x v="43"/>
    <x v="7"/>
    <x v="0"/>
    <x v="0"/>
    <n v="3"/>
    <n v="3421"/>
    <n v="0"/>
    <n v="342.1"/>
  </r>
  <r>
    <s v="3"/>
    <n v="140"/>
    <x v="44"/>
    <x v="6"/>
    <x v="1"/>
    <x v="0"/>
    <n v="2"/>
    <n v="22476"/>
    <n v="0"/>
    <n v="2247.6"/>
  </r>
  <r>
    <s v="3"/>
    <n v="141"/>
    <x v="44"/>
    <x v="70"/>
    <x v="1"/>
    <x v="0"/>
    <n v="2"/>
    <n v="16955"/>
    <n v="0"/>
    <n v="1695.5"/>
  </r>
  <r>
    <s v="3"/>
    <n v="142"/>
    <x v="44"/>
    <x v="24"/>
    <x v="1"/>
    <x v="0"/>
    <n v="2"/>
    <n v="20522"/>
    <n v="0"/>
    <n v="2052.2000000000003"/>
  </r>
  <r>
    <s v="3"/>
    <n v="143"/>
    <x v="45"/>
    <x v="71"/>
    <x v="1"/>
    <x v="0"/>
    <n v="2"/>
    <n v="11416"/>
    <n v="0"/>
    <n v="1141.6000000000001"/>
  </r>
  <r>
    <s v="3"/>
    <n v="144"/>
    <x v="45"/>
    <x v="48"/>
    <x v="1"/>
    <x v="0"/>
    <n v="2"/>
    <n v="1009"/>
    <n v="0"/>
    <n v="100.9"/>
  </r>
  <r>
    <s v="3"/>
    <n v="145"/>
    <x v="45"/>
    <x v="29"/>
    <x v="1"/>
    <x v="0"/>
    <n v="2"/>
    <n v="3992"/>
    <n v="0"/>
    <n v="399.20000000000005"/>
  </r>
  <r>
    <s v="3"/>
    <n v="146"/>
    <x v="45"/>
    <x v="72"/>
    <x v="1"/>
    <x v="0"/>
    <n v="2"/>
    <n v="4549"/>
    <n v="0"/>
    <n v="454.90000000000003"/>
  </r>
  <r>
    <s v="3"/>
    <n v="147"/>
    <x v="46"/>
    <x v="23"/>
    <x v="1"/>
    <x v="0"/>
    <n v="2"/>
    <n v="6522"/>
    <n v="0"/>
    <n v="652.20000000000005"/>
  </r>
  <r>
    <s v="3"/>
    <n v="148"/>
    <x v="46"/>
    <x v="73"/>
    <x v="0"/>
    <x v="0"/>
    <n v="2"/>
    <n v="11031"/>
    <n v="0"/>
    <n v="1103.1000000000001"/>
  </r>
  <r>
    <s v="3"/>
    <n v="149"/>
    <x v="47"/>
    <x v="74"/>
    <x v="0"/>
    <x v="0"/>
    <n v="2"/>
    <n v="7194"/>
    <n v="0"/>
    <n v="719.40000000000009"/>
  </r>
  <r>
    <s v="3"/>
    <n v="150"/>
    <x v="47"/>
    <x v="75"/>
    <x v="0"/>
    <x v="0"/>
    <n v="2"/>
    <n v="7538"/>
    <n v="0"/>
    <n v="753.80000000000007"/>
  </r>
  <r>
    <s v="3"/>
    <n v="151"/>
    <x v="47"/>
    <x v="76"/>
    <x v="0"/>
    <x v="0"/>
    <n v="2"/>
    <n v="14837"/>
    <n v="0"/>
    <n v="1483.7"/>
  </r>
  <r>
    <s v="3"/>
    <n v="152"/>
    <x v="48"/>
    <x v="71"/>
    <x v="0"/>
    <x v="0"/>
    <n v="2"/>
    <n v="16260"/>
    <n v="0"/>
    <n v="1626"/>
  </r>
  <r>
    <s v="3"/>
    <n v="153"/>
    <x v="48"/>
    <x v="1"/>
    <x v="0"/>
    <x v="0"/>
    <n v="3"/>
    <n v="22773"/>
    <n v="0"/>
    <n v="2277.3000000000002"/>
  </r>
  <r>
    <s v="3"/>
    <n v="154"/>
    <x v="49"/>
    <x v="8"/>
    <x v="0"/>
    <x v="0"/>
    <n v="2"/>
    <n v="24879"/>
    <n v="0"/>
    <n v="2487.9"/>
  </r>
  <r>
    <s v="3"/>
    <n v="155"/>
    <x v="50"/>
    <x v="77"/>
    <x v="0"/>
    <x v="0"/>
    <n v="2"/>
    <n v="10711"/>
    <n v="0"/>
    <n v="1071.1000000000001"/>
  </r>
  <r>
    <s v="3"/>
    <n v="156"/>
    <x v="50"/>
    <x v="6"/>
    <x v="0"/>
    <x v="0"/>
    <n v="2"/>
    <n v="5859"/>
    <n v="0"/>
    <n v="585.9"/>
  </r>
  <r>
    <s v="3"/>
    <n v="157"/>
    <x v="50"/>
    <x v="19"/>
    <x v="0"/>
    <x v="0"/>
    <n v="2"/>
    <n v="24921"/>
    <n v="0"/>
    <n v="2492.1000000000004"/>
  </r>
  <r>
    <s v="3"/>
    <n v="158"/>
    <x v="51"/>
    <x v="78"/>
    <x v="0"/>
    <x v="0"/>
    <n v="2"/>
    <n v="6395"/>
    <n v="0"/>
    <n v="639.5"/>
  </r>
  <r>
    <s v="3"/>
    <n v="159"/>
    <x v="51"/>
    <x v="79"/>
    <x v="0"/>
    <x v="0"/>
    <n v="2"/>
    <n v="19632"/>
    <n v="0"/>
    <n v="1963.2"/>
  </r>
  <r>
    <s v="3"/>
    <n v="160"/>
    <x v="52"/>
    <x v="80"/>
    <x v="0"/>
    <x v="0"/>
    <n v="2"/>
    <n v="3791"/>
    <n v="0"/>
    <n v="379.1"/>
  </r>
  <r>
    <s v="3"/>
    <n v="161"/>
    <x v="52"/>
    <x v="1"/>
    <x v="0"/>
    <x v="0"/>
    <n v="3"/>
    <n v="24324"/>
    <n v="0"/>
    <n v="2432.4"/>
  </r>
  <r>
    <s v="3"/>
    <n v="162"/>
    <x v="53"/>
    <x v="52"/>
    <x v="0"/>
    <x v="0"/>
    <n v="2"/>
    <n v="10165"/>
    <n v="0"/>
    <n v="1016.5"/>
  </r>
  <r>
    <s v="3"/>
    <n v="163"/>
    <x v="53"/>
    <x v="77"/>
    <x v="0"/>
    <x v="0"/>
    <n v="2"/>
    <n v="24846"/>
    <n v="0"/>
    <n v="2484.6000000000004"/>
  </r>
  <r>
    <s v="3"/>
    <n v="164"/>
    <x v="54"/>
    <x v="81"/>
    <x v="0"/>
    <x v="0"/>
    <n v="2"/>
    <n v="9187"/>
    <n v="0"/>
    <n v="918.7"/>
  </r>
  <r>
    <s v="3"/>
    <n v="165"/>
    <x v="54"/>
    <x v="6"/>
    <x v="0"/>
    <x v="0"/>
    <n v="2"/>
    <n v="21383"/>
    <n v="0"/>
    <n v="2138.3000000000002"/>
  </r>
  <r>
    <s v="3"/>
    <n v="166"/>
    <x v="54"/>
    <x v="21"/>
    <x v="0"/>
    <x v="0"/>
    <n v="2"/>
    <n v="19946"/>
    <n v="0"/>
    <n v="1994.6000000000001"/>
  </r>
  <r>
    <s v="3"/>
    <n v="167"/>
    <x v="54"/>
    <x v="82"/>
    <x v="0"/>
    <x v="0"/>
    <n v="2"/>
    <n v="21921"/>
    <n v="0"/>
    <n v="2192.1"/>
  </r>
  <r>
    <s v="3"/>
    <n v="168"/>
    <x v="54"/>
    <x v="82"/>
    <x v="0"/>
    <x v="0"/>
    <n v="2"/>
    <n v="15300"/>
    <n v="0"/>
    <n v="1530"/>
  </r>
  <r>
    <s v="3"/>
    <n v="169"/>
    <x v="54"/>
    <x v="72"/>
    <x v="0"/>
    <x v="0"/>
    <n v="2"/>
    <n v="3637"/>
    <n v="0"/>
    <n v="363.70000000000005"/>
  </r>
  <r>
    <s v="3"/>
    <n v="170"/>
    <x v="55"/>
    <x v="61"/>
    <x v="0"/>
    <x v="0"/>
    <n v="2"/>
    <n v="3731"/>
    <n v="0"/>
    <n v="373.1"/>
  </r>
  <r>
    <s v="3"/>
    <n v="171"/>
    <x v="55"/>
    <x v="60"/>
    <x v="0"/>
    <x v="0"/>
    <n v="2"/>
    <n v="6927"/>
    <n v="0"/>
    <n v="692.7"/>
  </r>
  <r>
    <s v="3"/>
    <n v="172"/>
    <x v="56"/>
    <x v="13"/>
    <x v="1"/>
    <x v="0"/>
    <n v="1"/>
    <n v="11772"/>
    <n v="0"/>
    <n v="1177.2"/>
  </r>
  <r>
    <s v="3"/>
    <n v="173"/>
    <x v="56"/>
    <x v="19"/>
    <x v="1"/>
    <x v="0"/>
    <n v="2"/>
    <n v="22249"/>
    <n v="0"/>
    <n v="2224.9"/>
  </r>
  <r>
    <s v="3"/>
    <n v="174"/>
    <x v="57"/>
    <x v="71"/>
    <x v="1"/>
    <x v="0"/>
    <n v="2"/>
    <n v="13884"/>
    <n v="0"/>
    <n v="1388.4"/>
  </r>
  <r>
    <s v="3"/>
    <n v="175"/>
    <x v="57"/>
    <x v="52"/>
    <x v="1"/>
    <x v="0"/>
    <n v="2"/>
    <n v="21333"/>
    <n v="0"/>
    <n v="2133.3000000000002"/>
  </r>
  <r>
    <s v="3"/>
    <n v="176"/>
    <x v="58"/>
    <x v="83"/>
    <x v="1"/>
    <x v="0"/>
    <n v="3"/>
    <n v="24338"/>
    <n v="0"/>
    <n v="2433.8000000000002"/>
  </r>
  <r>
    <s v="3"/>
    <n v="177"/>
    <x v="58"/>
    <x v="9"/>
    <x v="1"/>
    <x v="0"/>
    <n v="2"/>
    <n v="24371"/>
    <n v="0"/>
    <n v="2437.1"/>
  </r>
  <r>
    <s v="3"/>
    <n v="178"/>
    <x v="58"/>
    <x v="84"/>
    <x v="1"/>
    <x v="0"/>
    <n v="2"/>
    <n v="22914"/>
    <n v="0"/>
    <n v="2291.4"/>
  </r>
  <r>
    <s v="3"/>
    <n v="179"/>
    <x v="59"/>
    <x v="81"/>
    <x v="1"/>
    <x v="0"/>
    <n v="2"/>
    <n v="7478"/>
    <n v="0"/>
    <n v="747.80000000000007"/>
  </r>
  <r>
    <s v="3"/>
    <n v="180"/>
    <x v="59"/>
    <x v="15"/>
    <x v="1"/>
    <x v="0"/>
    <n v="2"/>
    <n v="1450"/>
    <n v="0"/>
    <n v="145"/>
  </r>
  <r>
    <s v="3"/>
    <n v="181"/>
    <x v="59"/>
    <x v="5"/>
    <x v="1"/>
    <x v="0"/>
    <n v="2"/>
    <n v="6062"/>
    <n v="0"/>
    <n v="606.20000000000005"/>
  </r>
  <r>
    <s v="3"/>
    <n v="182"/>
    <x v="59"/>
    <x v="52"/>
    <x v="1"/>
    <x v="0"/>
    <n v="2"/>
    <n v="16485"/>
    <n v="0"/>
    <n v="1648.5"/>
  </r>
  <r>
    <s v="3"/>
    <n v="183"/>
    <x v="59"/>
    <x v="1"/>
    <x v="1"/>
    <x v="0"/>
    <n v="3"/>
    <n v="21226"/>
    <n v="0"/>
    <n v="2122.6"/>
  </r>
  <r>
    <s v="3"/>
    <n v="184"/>
    <x v="60"/>
    <x v="14"/>
    <x v="1"/>
    <x v="0"/>
    <n v="2"/>
    <n v="13623"/>
    <n v="0"/>
    <n v="1362.3000000000002"/>
  </r>
  <r>
    <s v="3"/>
    <n v="185"/>
    <x v="61"/>
    <x v="85"/>
    <x v="1"/>
    <x v="0"/>
    <n v="2"/>
    <n v="21853"/>
    <n v="0"/>
    <n v="2185.3000000000002"/>
  </r>
  <r>
    <s v="3"/>
    <n v="186"/>
    <x v="61"/>
    <x v="81"/>
    <x v="1"/>
    <x v="0"/>
    <n v="2"/>
    <n v="5852"/>
    <n v="0"/>
    <n v="585.20000000000005"/>
  </r>
  <r>
    <s v="3"/>
    <n v="187"/>
    <x v="62"/>
    <x v="85"/>
    <x v="1"/>
    <x v="0"/>
    <n v="2"/>
    <n v="21289"/>
    <n v="0"/>
    <n v="2128.9"/>
  </r>
  <r>
    <s v="3"/>
    <n v="188"/>
    <x v="62"/>
    <x v="15"/>
    <x v="1"/>
    <x v="0"/>
    <n v="2"/>
    <n v="16851"/>
    <n v="0"/>
    <n v="1685.1000000000001"/>
  </r>
  <r>
    <s v="3"/>
    <n v="189"/>
    <x v="62"/>
    <x v="86"/>
    <x v="1"/>
    <x v="0"/>
    <n v="2"/>
    <n v="1408"/>
    <n v="0"/>
    <n v="140.80000000000001"/>
  </r>
  <r>
    <s v="3"/>
    <n v="190"/>
    <x v="62"/>
    <x v="87"/>
    <x v="1"/>
    <x v="0"/>
    <n v="2"/>
    <n v="12483"/>
    <n v="0"/>
    <n v="1248.3000000000002"/>
  </r>
  <r>
    <s v="3"/>
    <n v="191"/>
    <x v="63"/>
    <x v="88"/>
    <x v="1"/>
    <x v="0"/>
    <n v="1"/>
    <n v="10978"/>
    <n v="0"/>
    <n v="1097.8"/>
  </r>
  <r>
    <s v="3"/>
    <n v="192"/>
    <x v="63"/>
    <x v="3"/>
    <x v="1"/>
    <x v="0"/>
    <n v="2"/>
    <n v="9557"/>
    <n v="0"/>
    <n v="955.7"/>
  </r>
  <r>
    <s v="3"/>
    <n v="193"/>
    <x v="64"/>
    <x v="71"/>
    <x v="1"/>
    <x v="0"/>
    <n v="2"/>
    <n v="21914"/>
    <n v="0"/>
    <n v="2191.4"/>
  </r>
  <r>
    <s v="3"/>
    <n v="194"/>
    <x v="64"/>
    <x v="1"/>
    <x v="1"/>
    <x v="0"/>
    <n v="3"/>
    <n v="10774"/>
    <n v="0"/>
    <n v="1077.4000000000001"/>
  </r>
  <r>
    <s v="3"/>
    <n v="195"/>
    <x v="65"/>
    <x v="89"/>
    <x v="1"/>
    <x v="0"/>
    <n v="2"/>
    <n v="14616"/>
    <n v="0"/>
    <n v="1461.6000000000001"/>
  </r>
  <r>
    <s v="3"/>
    <n v="196"/>
    <x v="65"/>
    <x v="90"/>
    <x v="1"/>
    <x v="0"/>
    <n v="2"/>
    <n v="3135"/>
    <n v="0"/>
    <n v="313.5"/>
  </r>
  <r>
    <s v="3"/>
    <n v="197"/>
    <x v="65"/>
    <x v="73"/>
    <x v="1"/>
    <x v="0"/>
    <n v="2"/>
    <n v="13476"/>
    <n v="0"/>
    <n v="1347.6000000000001"/>
  </r>
  <r>
    <s v="3"/>
    <n v="198"/>
    <x v="65"/>
    <x v="49"/>
    <x v="1"/>
    <x v="0"/>
    <n v="2"/>
    <n v="16166"/>
    <n v="0"/>
    <n v="1616.6000000000001"/>
  </r>
  <r>
    <s v="3"/>
    <n v="199"/>
    <x v="65"/>
    <x v="30"/>
    <x v="1"/>
    <x v="0"/>
    <n v="2"/>
    <n v="1691"/>
    <n v="0"/>
    <n v="169.10000000000002"/>
  </r>
  <r>
    <s v="3"/>
    <n v="200"/>
    <x v="65"/>
    <x v="1"/>
    <x v="1"/>
    <x v="0"/>
    <n v="3"/>
    <n v="6541"/>
    <n v="0"/>
    <n v="654.1"/>
  </r>
  <r>
    <s v="3"/>
    <n v="201"/>
    <x v="66"/>
    <x v="71"/>
    <x v="1"/>
    <x v="0"/>
    <n v="2"/>
    <n v="4237"/>
    <n v="0"/>
    <n v="423.70000000000005"/>
  </r>
  <r>
    <s v="3"/>
    <n v="202"/>
    <x v="66"/>
    <x v="81"/>
    <x v="1"/>
    <x v="0"/>
    <n v="2"/>
    <n v="4092"/>
    <n v="0"/>
    <n v="409.20000000000005"/>
  </r>
  <r>
    <s v="3"/>
    <n v="203"/>
    <x v="67"/>
    <x v="91"/>
    <x v="1"/>
    <x v="0"/>
    <n v="2"/>
    <n v="19397"/>
    <n v="0"/>
    <n v="1939.7"/>
  </r>
  <r>
    <s v="3"/>
    <n v="204"/>
    <x v="67"/>
    <x v="68"/>
    <x v="1"/>
    <x v="0"/>
    <n v="2"/>
    <n v="17502"/>
    <n v="0"/>
    <n v="1750.2"/>
  </r>
  <r>
    <s v="3"/>
    <n v="205"/>
    <x v="68"/>
    <x v="21"/>
    <x v="1"/>
    <x v="0"/>
    <n v="2"/>
    <n v="8155"/>
    <n v="0"/>
    <n v="815.5"/>
  </r>
  <r>
    <s v="3"/>
    <n v="206"/>
    <x v="69"/>
    <x v="1"/>
    <x v="1"/>
    <x v="0"/>
    <n v="3"/>
    <n v="23446"/>
    <n v="0"/>
    <n v="2344.6"/>
  </r>
  <r>
    <s v="3"/>
    <n v="207"/>
    <x v="69"/>
    <x v="13"/>
    <x v="1"/>
    <x v="0"/>
    <n v="2"/>
    <n v="24188"/>
    <n v="0"/>
    <n v="2418.8000000000002"/>
  </r>
  <r>
    <s v="3"/>
    <n v="208"/>
    <x v="70"/>
    <x v="1"/>
    <x v="0"/>
    <x v="1"/>
    <n v="3"/>
    <n v="12527"/>
    <n v="0"/>
    <n v="1252.7"/>
  </r>
  <r>
    <s v="3"/>
    <n v="209"/>
    <x v="70"/>
    <x v="52"/>
    <x v="0"/>
    <x v="1"/>
    <n v="2"/>
    <n v="4124"/>
    <n v="0"/>
    <n v="412.40000000000003"/>
  </r>
  <r>
    <s v="3"/>
    <n v="210"/>
    <x v="71"/>
    <x v="81"/>
    <x v="0"/>
    <x v="1"/>
    <n v="2"/>
    <n v="20959"/>
    <n v="0"/>
    <n v="2095.9"/>
  </r>
  <r>
    <s v="3"/>
    <n v="211"/>
    <x v="71"/>
    <x v="1"/>
    <x v="0"/>
    <x v="1"/>
    <n v="3"/>
    <n v="12614"/>
    <n v="0"/>
    <n v="1261.4000000000001"/>
  </r>
  <r>
    <s v="3"/>
    <n v="212"/>
    <x v="71"/>
    <x v="52"/>
    <x v="0"/>
    <x v="1"/>
    <n v="2"/>
    <n v="21325"/>
    <n v="0"/>
    <n v="2132.5"/>
  </r>
  <r>
    <s v="3"/>
    <n v="213"/>
    <x v="72"/>
    <x v="52"/>
    <x v="0"/>
    <x v="1"/>
    <n v="2"/>
    <n v="3833"/>
    <n v="0"/>
    <n v="383.3"/>
  </r>
  <r>
    <s v="3"/>
    <n v="214"/>
    <x v="73"/>
    <x v="15"/>
    <x v="0"/>
    <x v="1"/>
    <n v="2"/>
    <n v="5290"/>
    <n v="0"/>
    <n v="529"/>
  </r>
  <r>
    <s v="3"/>
    <n v="215"/>
    <x v="74"/>
    <x v="1"/>
    <x v="0"/>
    <x v="1"/>
    <n v="3"/>
    <n v="5436"/>
    <n v="0"/>
    <n v="543.6"/>
  </r>
  <r>
    <s v="3"/>
    <n v="216"/>
    <x v="75"/>
    <x v="81"/>
    <x v="0"/>
    <x v="1"/>
    <n v="2"/>
    <n v="17595"/>
    <n v="0"/>
    <n v="1759.5"/>
  </r>
  <r>
    <s v="3"/>
    <n v="217"/>
    <x v="76"/>
    <x v="15"/>
    <x v="0"/>
    <x v="1"/>
    <n v="2"/>
    <n v="15789"/>
    <n v="0"/>
    <n v="1578.9"/>
  </r>
  <r>
    <s v="3"/>
    <n v="218"/>
    <x v="77"/>
    <x v="1"/>
    <x v="0"/>
    <x v="1"/>
    <n v="3"/>
    <n v="12698"/>
    <n v="0"/>
    <n v="1269.8000000000002"/>
  </r>
  <r>
    <s v="3"/>
    <n v="219"/>
    <x v="78"/>
    <x v="81"/>
    <x v="0"/>
    <x v="1"/>
    <n v="2"/>
    <n v="16011"/>
    <n v="0"/>
    <n v="1601.1000000000001"/>
  </r>
  <r>
    <s v="3"/>
    <n v="220"/>
    <x v="79"/>
    <x v="15"/>
    <x v="0"/>
    <x v="1"/>
    <n v="2"/>
    <n v="17009"/>
    <n v="0"/>
    <n v="1700.9"/>
  </r>
  <r>
    <s v="3"/>
    <n v="221"/>
    <x v="80"/>
    <x v="1"/>
    <x v="0"/>
    <x v="1"/>
    <n v="3"/>
    <n v="19498"/>
    <n v="0"/>
    <n v="1949.8000000000002"/>
  </r>
  <r>
    <s v="3"/>
    <n v="222"/>
    <x v="80"/>
    <x v="28"/>
    <x v="0"/>
    <x v="1"/>
    <n v="2"/>
    <n v="17667"/>
    <n v="0"/>
    <n v="1766.7"/>
  </r>
  <r>
    <s v="3"/>
    <n v="223"/>
    <x v="80"/>
    <x v="25"/>
    <x v="0"/>
    <x v="1"/>
    <n v="1"/>
    <n v="23363"/>
    <n v="0"/>
    <n v="2336.3000000000002"/>
  </r>
  <r>
    <s v="3"/>
    <n v="224"/>
    <x v="81"/>
    <x v="92"/>
    <x v="0"/>
    <x v="1"/>
    <n v="3"/>
    <n v="16793"/>
    <n v="0"/>
    <n v="1679.3000000000002"/>
  </r>
  <r>
    <s v="3"/>
    <n v="225"/>
    <x v="81"/>
    <x v="20"/>
    <x v="0"/>
    <x v="1"/>
    <n v="2"/>
    <n v="19682"/>
    <n v="0"/>
    <n v="1968.2"/>
  </r>
  <r>
    <s v="3"/>
    <n v="226"/>
    <x v="81"/>
    <x v="1"/>
    <x v="0"/>
    <x v="1"/>
    <n v="3"/>
    <n v="3385"/>
    <n v="0"/>
    <n v="338.5"/>
  </r>
  <r>
    <s v="3"/>
    <n v="227"/>
    <x v="82"/>
    <x v="39"/>
    <x v="0"/>
    <x v="1"/>
    <n v="3"/>
    <n v="6383"/>
    <n v="0"/>
    <n v="638.30000000000007"/>
  </r>
  <r>
    <s v="3"/>
    <n v="228"/>
    <x v="82"/>
    <x v="67"/>
    <x v="0"/>
    <x v="1"/>
    <n v="3"/>
    <n v="3993"/>
    <n v="0"/>
    <n v="399.3"/>
  </r>
  <r>
    <s v="3"/>
    <n v="229"/>
    <x v="82"/>
    <x v="29"/>
    <x v="0"/>
    <x v="1"/>
    <n v="2"/>
    <n v="6769"/>
    <n v="0"/>
    <n v="676.90000000000009"/>
  </r>
  <r>
    <s v="3"/>
    <n v="230"/>
    <x v="83"/>
    <x v="93"/>
    <x v="0"/>
    <x v="1"/>
    <n v="2"/>
    <n v="15420"/>
    <n v="0"/>
    <n v="1542"/>
  </r>
  <r>
    <s v="3"/>
    <n v="231"/>
    <x v="83"/>
    <x v="3"/>
    <x v="0"/>
    <x v="1"/>
    <n v="2"/>
    <n v="21580"/>
    <n v="0"/>
    <n v="2158"/>
  </r>
  <r>
    <s v="3"/>
    <n v="232"/>
    <x v="83"/>
    <x v="1"/>
    <x v="0"/>
    <x v="1"/>
    <n v="3"/>
    <n v="3483"/>
    <n v="0"/>
    <n v="348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CDF9E-34A8-419B-9659-20BDAB316572}" name="Bases clientes y almacenes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D4:E7" firstHeaderRow="1" firstDataRow="1" firstDataCol="1" rowPageCount="1" colPageCount="1"/>
  <pivotFields count="13">
    <pivotField showAll="0"/>
    <pivotField showAll="0"/>
    <pivotField axis="axisRow" numFmtId="14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Page" multipleItemSelectionAllowed="1" showAll="0">
      <items count="95">
        <item x="78"/>
        <item x="40"/>
        <item x="19"/>
        <item x="11"/>
        <item x="9"/>
        <item x="91"/>
        <item x="13"/>
        <item x="37"/>
        <item x="31"/>
        <item x="44"/>
        <item x="22"/>
        <item x="25"/>
        <item x="64"/>
        <item x="89"/>
        <item x="26"/>
        <item x="73"/>
        <item x="47"/>
        <item x="84"/>
        <item x="86"/>
        <item x="87"/>
        <item x="53"/>
        <item x="34"/>
        <item x="43"/>
        <item x="49"/>
        <item x="20"/>
        <item x="57"/>
        <item x="18"/>
        <item x="6"/>
        <item x="30"/>
        <item x="82"/>
        <item x="15"/>
        <item x="21"/>
        <item x="88"/>
        <item x="55"/>
        <item x="29"/>
        <item x="4"/>
        <item x="14"/>
        <item x="32"/>
        <item x="36"/>
        <item x="38"/>
        <item x="8"/>
        <item x="90"/>
        <item x="69"/>
        <item x="72"/>
        <item x="77"/>
        <item x="3"/>
        <item x="42"/>
        <item x="80"/>
        <item x="2"/>
        <item x="75"/>
        <item x="76"/>
        <item x="79"/>
        <item x="10"/>
        <item x="35"/>
        <item x="67"/>
        <item x="17"/>
        <item x="1"/>
        <item x="59"/>
        <item x="24"/>
        <item x="0"/>
        <item x="5"/>
        <item x="56"/>
        <item x="16"/>
        <item x="46"/>
        <item x="33"/>
        <item x="12"/>
        <item x="74"/>
        <item x="70"/>
        <item x="51"/>
        <item x="45"/>
        <item x="48"/>
        <item x="68"/>
        <item x="58"/>
        <item x="27"/>
        <item x="50"/>
        <item x="92"/>
        <item x="41"/>
        <item x="39"/>
        <item x="83"/>
        <item x="54"/>
        <item x="66"/>
        <item x="60"/>
        <item x="71"/>
        <item x="65"/>
        <item x="62"/>
        <item x="52"/>
        <item x="23"/>
        <item x="28"/>
        <item x="7"/>
        <item x="61"/>
        <item x="63"/>
        <item x="81"/>
        <item x="85"/>
        <item x="93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3" showAll="0"/>
    <pivotField showAll="0"/>
    <pivotField numFmtId="43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Fields count="3">
    <field x="11"/>
    <field x="10"/>
    <field x="2"/>
  </rowFields>
  <rowItems count="3"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uma de TOTAL" fld="12" baseField="0" baseItem="0" numFmtId="43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1" type="button" dataOnly="0" labelOnly="1" outline="0" axis="axisRow" fieldPosition="0"/>
    </format>
    <format dxfId="3">
      <pivotArea dataOnly="0" labelOnly="1" fieldPosition="0">
        <references count="1">
          <reference field="11" count="2">
            <x v="4"/>
            <x v="5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1" showColStripes="0" showLastColumn="1"/>
  <filters count="1">
    <filter fld="2" type="dateBetween" evalOrder="-1" id="15" name="Fecha">
      <autoFilter ref="A1">
        <filterColumn colId="0">
          <customFilters and="1">
            <customFilter operator="greaterThanOrEqual" val="45383"/>
            <customFilter operator="lessThanOrEqual" val="4547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02278-5553-4238-96FF-70FAF673D58F}" name="Unidades Reales general" cacheId="1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1" rowHeaderCaption=" " fieldListSortAscending="1">
  <location ref="A3:C6" firstHeaderRow="0" firstDataRow="1" firstDataCol="1" rowPageCount="1" colPageCount="1"/>
  <pivotFields count="13"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axis="axisPage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multipleItemSelectionAllowed="1" showAll="0"/>
    <pivotField multipleItemSelectionAllowed="1" showAll="0"/>
    <pivotField showAll="0"/>
    <pivotField dataField="1" numFmtId="43" showAll="0"/>
    <pivotField dataField="1" numFmtId="43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Suma de VENTAS PREV." fld="8" baseField="0" baseItem="0"/>
    <dataField name="Suma de VENTAS REALES" fld="9" baseField="0" baseItem="0"/>
  </dataFields>
  <formats count="1">
    <format dxfId="6">
      <pivotArea field="2" type="button" dataOnly="0" labelOnly="1" outline="0" axis="axisRow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nota" altTextSummary="repasar el mes de marzo pendiente de cerrar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lmacén" xr10:uid="{EA169D01-6221-4CFD-8F2C-FDDA23B62A85}" sourceName="Almacén">
  <data>
    <tabular pivotCacheId="40927096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3C77AFCD-0F95-4BEA-8795-2236AC3A7BA3}" sourceName="Estado">
  <data>
    <tabular pivotCacheId="40927096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lmacén" xr10:uid="{B8D7ADCD-762D-4569-B835-F7C66CE34CF7}" cache="SegmentaciónDeDatos_Almacén" caption="Almacén" style="SlicerStyleLight4" rowHeight="241300"/>
  <slicer name="Estado" xr10:uid="{15F02CFF-19C3-49AD-9FEA-C2B8273AAE09}" cache="SegmentaciónDeDatos_Estado" caption="Estado" style="SlicerStyleLight4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B30B256D-21BE-4F8D-95F6-BB776DCCD585}" sourceName="Fecha">
  <state minimalRefreshVersion="6" lastRefreshVersion="6" pivotCacheId="409270961" filterType="dateBetween">
    <selection startDate="2024-04-01T00:00:00" endDate="2024-06-30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713CB53D-D323-446C-9AA7-CB1BC90225D5}" cache="NativeTimeline_Fecha" caption="Fecha" level="1" selectionLevel="1" scrollPosition="2024-01-01T00:00:00" style="TimeSlicerStyleLight4"/>
</timeline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733C-3242-4218-8182-241D85E9BEE6}">
  <dimension ref="A1:M233"/>
  <sheetViews>
    <sheetView workbookViewId="0">
      <selection activeCell="D17" sqref="D17"/>
    </sheetView>
  </sheetViews>
  <sheetFormatPr baseColWidth="10" defaultRowHeight="15" x14ac:dyDescent="0.25"/>
  <cols>
    <col min="1" max="1" width="2.5703125" style="22" bestFit="1" customWidth="1"/>
    <col min="2" max="2" width="5.85546875" style="19" bestFit="1" customWidth="1"/>
    <col min="3" max="3" width="10.7109375" style="21" bestFit="1" customWidth="1"/>
    <col min="4" max="4" width="13.5703125" style="9" bestFit="1" customWidth="1"/>
    <col min="5" max="5" width="8.7109375" style="9" customWidth="1"/>
    <col min="6" max="6" width="10.28515625" style="9" bestFit="1" customWidth="1"/>
    <col min="7" max="7" width="8.5703125" style="9" bestFit="1" customWidth="1"/>
    <col min="8" max="8" width="11" style="20" bestFit="1" customWidth="1"/>
    <col min="9" max="9" width="14.7109375" style="19" customWidth="1"/>
    <col min="10" max="10" width="14.7109375" style="20" customWidth="1"/>
    <col min="11" max="11" width="11.7109375" style="20" customWidth="1"/>
    <col min="12" max="12" width="3.28515625" style="19" bestFit="1" customWidth="1"/>
    <col min="13" max="13" width="39.5703125" bestFit="1" customWidth="1"/>
  </cols>
  <sheetData>
    <row r="1" spans="1:13" s="27" customFormat="1" x14ac:dyDescent="0.25">
      <c r="A1" s="32" t="s">
        <v>222</v>
      </c>
      <c r="B1" s="28" t="s">
        <v>221</v>
      </c>
      <c r="C1" s="31" t="s">
        <v>220</v>
      </c>
      <c r="D1" s="30" t="s">
        <v>96</v>
      </c>
      <c r="E1" s="30" t="s">
        <v>219</v>
      </c>
      <c r="F1" s="30" t="s">
        <v>218</v>
      </c>
      <c r="G1" s="30" t="s">
        <v>217</v>
      </c>
      <c r="H1" s="29" t="s">
        <v>216</v>
      </c>
      <c r="I1" s="28" t="s">
        <v>215</v>
      </c>
      <c r="J1" s="29" t="s">
        <v>214</v>
      </c>
      <c r="K1" s="29"/>
      <c r="L1" s="28"/>
    </row>
    <row r="2" spans="1:13" ht="18.75" x14ac:dyDescent="0.3">
      <c r="A2" s="22" t="s">
        <v>101</v>
      </c>
      <c r="B2" s="19">
        <v>1</v>
      </c>
      <c r="C2" s="21">
        <v>45294</v>
      </c>
      <c r="D2" s="9" t="s">
        <v>213</v>
      </c>
      <c r="E2" s="9" t="s">
        <v>99</v>
      </c>
      <c r="F2" s="9" t="s">
        <v>114</v>
      </c>
      <c r="G2" s="9">
        <v>2</v>
      </c>
      <c r="H2" s="20">
        <v>24271</v>
      </c>
      <c r="I2" s="19">
        <v>0</v>
      </c>
      <c r="J2" s="20">
        <v>2427.1</v>
      </c>
      <c r="M2" s="26" t="s">
        <v>212</v>
      </c>
    </row>
    <row r="3" spans="1:13" x14ac:dyDescent="0.25">
      <c r="A3" s="22" t="s">
        <v>101</v>
      </c>
      <c r="B3" s="19">
        <v>2</v>
      </c>
      <c r="C3" s="21">
        <v>45295</v>
      </c>
      <c r="D3" s="9" t="s">
        <v>100</v>
      </c>
      <c r="E3" s="9" t="s">
        <v>99</v>
      </c>
      <c r="F3" s="9" t="s">
        <v>98</v>
      </c>
      <c r="G3" s="9">
        <v>3</v>
      </c>
      <c r="H3" s="20">
        <v>10848</v>
      </c>
      <c r="I3" s="19">
        <v>0</v>
      </c>
      <c r="J3" s="20">
        <v>1084.8</v>
      </c>
      <c r="L3" s="24"/>
      <c r="M3" s="23" t="s">
        <v>211</v>
      </c>
    </row>
    <row r="4" spans="1:13" x14ac:dyDescent="0.25">
      <c r="A4" s="22" t="s">
        <v>101</v>
      </c>
      <c r="B4" s="19">
        <v>3</v>
      </c>
      <c r="C4" s="21">
        <v>45296</v>
      </c>
      <c r="D4" s="9" t="s">
        <v>210</v>
      </c>
      <c r="E4" s="9" t="s">
        <v>115</v>
      </c>
      <c r="F4" s="9" t="s">
        <v>98</v>
      </c>
      <c r="G4" s="9">
        <v>2</v>
      </c>
      <c r="H4" s="20">
        <v>21652</v>
      </c>
      <c r="I4" s="19">
        <v>0</v>
      </c>
      <c r="J4" s="20">
        <v>2165.2000000000003</v>
      </c>
      <c r="L4" s="24"/>
      <c r="M4" s="23"/>
    </row>
    <row r="5" spans="1:13" x14ac:dyDescent="0.25">
      <c r="A5" s="22" t="s">
        <v>101</v>
      </c>
      <c r="B5" s="19">
        <v>4</v>
      </c>
      <c r="C5" s="21">
        <v>45296</v>
      </c>
      <c r="D5" s="9" t="s">
        <v>102</v>
      </c>
      <c r="E5" s="9" t="s">
        <v>99</v>
      </c>
      <c r="F5" s="9" t="s">
        <v>98</v>
      </c>
      <c r="G5" s="9">
        <v>2</v>
      </c>
      <c r="H5" s="20">
        <v>18647</v>
      </c>
      <c r="I5" s="19">
        <v>0</v>
      </c>
      <c r="J5" s="20">
        <v>1864.7</v>
      </c>
      <c r="L5" s="24"/>
      <c r="M5" s="25" t="s">
        <v>209</v>
      </c>
    </row>
    <row r="6" spans="1:13" x14ac:dyDescent="0.25">
      <c r="A6" s="22" t="s">
        <v>101</v>
      </c>
      <c r="B6" s="19">
        <v>5</v>
      </c>
      <c r="C6" s="21">
        <v>45300</v>
      </c>
      <c r="D6" s="9" t="s">
        <v>158</v>
      </c>
      <c r="E6" s="9" t="s">
        <v>99</v>
      </c>
      <c r="F6" s="9" t="s">
        <v>98</v>
      </c>
      <c r="G6" s="9">
        <v>2</v>
      </c>
      <c r="H6" s="20">
        <v>15934</v>
      </c>
      <c r="I6" s="19">
        <v>0</v>
      </c>
      <c r="J6" s="20">
        <v>1593.4</v>
      </c>
      <c r="L6" s="24" t="s">
        <v>208</v>
      </c>
      <c r="M6" s="23" t="s">
        <v>207</v>
      </c>
    </row>
    <row r="7" spans="1:13" x14ac:dyDescent="0.25">
      <c r="A7" s="22" t="s">
        <v>101</v>
      </c>
      <c r="B7" s="19">
        <v>6</v>
      </c>
      <c r="C7" s="21">
        <v>45300</v>
      </c>
      <c r="D7" s="9" t="s">
        <v>131</v>
      </c>
      <c r="E7" s="9" t="s">
        <v>99</v>
      </c>
      <c r="F7" s="9" t="s">
        <v>98</v>
      </c>
      <c r="G7" s="9">
        <v>2</v>
      </c>
      <c r="H7" s="20">
        <v>7267</v>
      </c>
      <c r="I7" s="19">
        <v>0</v>
      </c>
      <c r="J7" s="20">
        <v>726.7</v>
      </c>
      <c r="L7" s="24" t="s">
        <v>206</v>
      </c>
      <c r="M7" s="23" t="s">
        <v>205</v>
      </c>
    </row>
    <row r="8" spans="1:13" x14ac:dyDescent="0.25">
      <c r="A8" s="22" t="s">
        <v>101</v>
      </c>
      <c r="B8" s="19">
        <v>7</v>
      </c>
      <c r="C8" s="21">
        <v>45304</v>
      </c>
      <c r="D8" s="9" t="s">
        <v>100</v>
      </c>
      <c r="E8" s="9" t="s">
        <v>99</v>
      </c>
      <c r="F8" s="9" t="s">
        <v>98</v>
      </c>
      <c r="G8" s="9">
        <v>3</v>
      </c>
      <c r="H8" s="20">
        <v>21212</v>
      </c>
      <c r="I8" s="19">
        <v>0</v>
      </c>
      <c r="J8" s="20">
        <v>2121.2000000000003</v>
      </c>
      <c r="L8" s="24" t="s">
        <v>204</v>
      </c>
      <c r="M8" s="23" t="s">
        <v>203</v>
      </c>
    </row>
    <row r="9" spans="1:13" x14ac:dyDescent="0.25">
      <c r="A9" s="22" t="s">
        <v>101</v>
      </c>
      <c r="B9" s="19">
        <v>8</v>
      </c>
      <c r="C9" s="21">
        <v>45304</v>
      </c>
      <c r="D9" s="9" t="s">
        <v>140</v>
      </c>
      <c r="E9" s="9" t="s">
        <v>99</v>
      </c>
      <c r="F9" s="9" t="s">
        <v>98</v>
      </c>
      <c r="G9" s="9">
        <v>2</v>
      </c>
      <c r="H9" s="20">
        <v>8005</v>
      </c>
      <c r="I9" s="19">
        <v>0</v>
      </c>
      <c r="J9" s="20">
        <v>800.5</v>
      </c>
      <c r="L9" s="24"/>
      <c r="M9" s="23"/>
    </row>
    <row r="10" spans="1:13" x14ac:dyDescent="0.25">
      <c r="A10" s="22" t="s">
        <v>101</v>
      </c>
      <c r="B10" s="19">
        <v>9</v>
      </c>
      <c r="C10" s="21">
        <v>45307</v>
      </c>
      <c r="D10" s="9" t="s">
        <v>153</v>
      </c>
      <c r="E10" s="9" t="s">
        <v>99</v>
      </c>
      <c r="F10" s="9" t="s">
        <v>114</v>
      </c>
      <c r="G10" s="9">
        <v>2</v>
      </c>
      <c r="H10" s="20">
        <v>21895</v>
      </c>
      <c r="I10" s="19">
        <v>0</v>
      </c>
      <c r="J10" s="20">
        <v>2189.5</v>
      </c>
      <c r="L10" s="24"/>
      <c r="M10" s="23"/>
    </row>
    <row r="11" spans="1:13" x14ac:dyDescent="0.25">
      <c r="A11" s="22" t="s">
        <v>101</v>
      </c>
      <c r="B11" s="19">
        <v>10</v>
      </c>
      <c r="C11" s="21">
        <v>45307</v>
      </c>
      <c r="D11" s="9" t="s">
        <v>145</v>
      </c>
      <c r="E11" s="9" t="s">
        <v>99</v>
      </c>
      <c r="F11" s="9" t="s">
        <v>114</v>
      </c>
      <c r="G11" s="9">
        <v>2</v>
      </c>
      <c r="H11" s="20">
        <v>8003</v>
      </c>
      <c r="I11" s="19">
        <v>0</v>
      </c>
      <c r="J11" s="20">
        <v>800.30000000000007</v>
      </c>
      <c r="L11" s="24" t="s">
        <v>202</v>
      </c>
      <c r="M11" s="23" t="s">
        <v>201</v>
      </c>
    </row>
    <row r="12" spans="1:13" x14ac:dyDescent="0.25">
      <c r="A12" s="22" t="s">
        <v>101</v>
      </c>
      <c r="B12" s="19">
        <v>11</v>
      </c>
      <c r="C12" s="21">
        <v>45308</v>
      </c>
      <c r="D12" s="9" t="s">
        <v>133</v>
      </c>
      <c r="E12" s="9" t="s">
        <v>99</v>
      </c>
      <c r="F12" s="9" t="s">
        <v>114</v>
      </c>
      <c r="G12" s="9">
        <v>2</v>
      </c>
      <c r="H12" s="20">
        <v>22810</v>
      </c>
      <c r="I12" s="19">
        <v>0</v>
      </c>
      <c r="J12" s="20">
        <v>2281</v>
      </c>
      <c r="L12" s="24" t="s">
        <v>200</v>
      </c>
      <c r="M12" s="23" t="s">
        <v>199</v>
      </c>
    </row>
    <row r="13" spans="1:13" x14ac:dyDescent="0.25">
      <c r="A13" s="22" t="s">
        <v>101</v>
      </c>
      <c r="B13" s="19">
        <v>12</v>
      </c>
      <c r="C13" s="21">
        <v>45308</v>
      </c>
      <c r="D13" s="9" t="s">
        <v>162</v>
      </c>
      <c r="E13" s="9" t="s">
        <v>115</v>
      </c>
      <c r="F13" s="9" t="s">
        <v>114</v>
      </c>
      <c r="G13" s="9">
        <v>2</v>
      </c>
      <c r="H13" s="20">
        <v>9968</v>
      </c>
      <c r="I13" s="19">
        <v>0</v>
      </c>
      <c r="J13" s="20">
        <v>996.80000000000007</v>
      </c>
      <c r="L13" s="24"/>
      <c r="M13" s="23"/>
    </row>
    <row r="14" spans="1:13" x14ac:dyDescent="0.25">
      <c r="A14" s="22" t="s">
        <v>101</v>
      </c>
      <c r="B14" s="19">
        <v>13</v>
      </c>
      <c r="C14" s="21">
        <v>45308</v>
      </c>
      <c r="D14" s="9" t="s">
        <v>100</v>
      </c>
      <c r="E14" s="9" t="s">
        <v>115</v>
      </c>
      <c r="F14" s="9" t="s">
        <v>114</v>
      </c>
      <c r="G14" s="9">
        <v>3</v>
      </c>
      <c r="H14" s="20">
        <v>14922</v>
      </c>
      <c r="I14" s="19">
        <v>0</v>
      </c>
      <c r="J14" s="20">
        <v>1492.2</v>
      </c>
      <c r="L14" s="24" t="s">
        <v>198</v>
      </c>
      <c r="M14" s="23" t="s">
        <v>197</v>
      </c>
    </row>
    <row r="15" spans="1:13" x14ac:dyDescent="0.25">
      <c r="A15" s="22" t="s">
        <v>101</v>
      </c>
      <c r="B15" s="19">
        <v>14</v>
      </c>
      <c r="C15" s="21">
        <v>45309</v>
      </c>
      <c r="D15" s="9" t="s">
        <v>166</v>
      </c>
      <c r="E15" s="9" t="s">
        <v>115</v>
      </c>
      <c r="F15" s="9" t="s">
        <v>114</v>
      </c>
      <c r="G15" s="9">
        <v>2</v>
      </c>
      <c r="H15" s="20">
        <v>4166</v>
      </c>
      <c r="I15" s="19">
        <v>0</v>
      </c>
      <c r="J15" s="20">
        <v>416.6</v>
      </c>
      <c r="L15" s="24" t="s">
        <v>196</v>
      </c>
      <c r="M15" s="23" t="s">
        <v>195</v>
      </c>
    </row>
    <row r="16" spans="1:13" x14ac:dyDescent="0.25">
      <c r="A16" s="22" t="s">
        <v>101</v>
      </c>
      <c r="B16" s="19">
        <v>15</v>
      </c>
      <c r="C16" s="21">
        <v>45309</v>
      </c>
      <c r="D16" s="9" t="s">
        <v>184</v>
      </c>
      <c r="E16" s="9" t="s">
        <v>115</v>
      </c>
      <c r="F16" s="9" t="s">
        <v>114</v>
      </c>
      <c r="G16" s="9">
        <v>2</v>
      </c>
      <c r="H16" s="20">
        <v>1916</v>
      </c>
      <c r="I16" s="19">
        <v>0</v>
      </c>
      <c r="J16" s="20">
        <v>191.60000000000002</v>
      </c>
    </row>
    <row r="17" spans="1:10" x14ac:dyDescent="0.25">
      <c r="A17" s="22" t="s">
        <v>101</v>
      </c>
      <c r="B17" s="19">
        <v>16</v>
      </c>
      <c r="C17" s="21">
        <v>45310</v>
      </c>
      <c r="D17" s="9" t="s">
        <v>100</v>
      </c>
      <c r="E17" s="9" t="s">
        <v>115</v>
      </c>
      <c r="F17" s="9" t="s">
        <v>114</v>
      </c>
      <c r="G17" s="9">
        <v>3</v>
      </c>
      <c r="H17" s="20">
        <v>9776</v>
      </c>
      <c r="I17" s="19">
        <v>0</v>
      </c>
      <c r="J17" s="20">
        <v>977.6</v>
      </c>
    </row>
    <row r="18" spans="1:10" x14ac:dyDescent="0.25">
      <c r="A18" s="22" t="s">
        <v>101</v>
      </c>
      <c r="B18" s="19">
        <v>17</v>
      </c>
      <c r="C18" s="21">
        <v>45310</v>
      </c>
      <c r="D18" s="9" t="s">
        <v>116</v>
      </c>
      <c r="E18" s="9" t="s">
        <v>115</v>
      </c>
      <c r="F18" s="9" t="s">
        <v>114</v>
      </c>
      <c r="G18" s="9">
        <v>2</v>
      </c>
      <c r="H18" s="20">
        <v>7224</v>
      </c>
      <c r="I18" s="19">
        <v>0</v>
      </c>
      <c r="J18" s="20">
        <v>722.40000000000009</v>
      </c>
    </row>
    <row r="19" spans="1:10" x14ac:dyDescent="0.25">
      <c r="A19" s="22" t="s">
        <v>101</v>
      </c>
      <c r="B19" s="19">
        <v>18</v>
      </c>
      <c r="C19" s="21">
        <v>45310</v>
      </c>
      <c r="D19" s="9" t="s">
        <v>100</v>
      </c>
      <c r="E19" s="9" t="s">
        <v>115</v>
      </c>
      <c r="F19" s="9" t="s">
        <v>114</v>
      </c>
      <c r="G19" s="9">
        <v>3</v>
      </c>
      <c r="H19" s="20">
        <v>7436</v>
      </c>
      <c r="I19" s="19">
        <v>0</v>
      </c>
      <c r="J19" s="20">
        <v>743.6</v>
      </c>
    </row>
    <row r="20" spans="1:10" x14ac:dyDescent="0.25">
      <c r="A20" s="22" t="s">
        <v>101</v>
      </c>
      <c r="B20" s="19">
        <v>19</v>
      </c>
      <c r="C20" s="21">
        <v>45311</v>
      </c>
      <c r="D20" s="9" t="s">
        <v>130</v>
      </c>
      <c r="E20" s="9" t="s">
        <v>115</v>
      </c>
      <c r="F20" s="9" t="s">
        <v>114</v>
      </c>
      <c r="G20" s="9">
        <v>2</v>
      </c>
      <c r="H20" s="20">
        <v>8045</v>
      </c>
      <c r="I20" s="19">
        <v>0</v>
      </c>
      <c r="J20" s="20">
        <v>804.5</v>
      </c>
    </row>
    <row r="21" spans="1:10" x14ac:dyDescent="0.25">
      <c r="A21" s="22" t="s">
        <v>101</v>
      </c>
      <c r="B21" s="19">
        <v>20</v>
      </c>
      <c r="C21" s="21">
        <v>45311</v>
      </c>
      <c r="D21" s="9" t="s">
        <v>111</v>
      </c>
      <c r="E21" s="9" t="s">
        <v>115</v>
      </c>
      <c r="F21" s="9" t="s">
        <v>98</v>
      </c>
      <c r="G21" s="9">
        <v>2</v>
      </c>
      <c r="H21" s="20">
        <v>9931</v>
      </c>
      <c r="I21" s="19">
        <v>0</v>
      </c>
      <c r="J21" s="20">
        <v>993.1</v>
      </c>
    </row>
    <row r="22" spans="1:10" x14ac:dyDescent="0.25">
      <c r="A22" s="22" t="s">
        <v>101</v>
      </c>
      <c r="B22" s="19">
        <v>21</v>
      </c>
      <c r="C22" s="21">
        <v>45311</v>
      </c>
      <c r="D22" s="9" t="s">
        <v>194</v>
      </c>
      <c r="E22" s="9" t="s">
        <v>115</v>
      </c>
      <c r="F22" s="9" t="s">
        <v>98</v>
      </c>
      <c r="G22" s="9">
        <v>2</v>
      </c>
      <c r="H22" s="20">
        <v>24026</v>
      </c>
      <c r="I22" s="19">
        <v>0</v>
      </c>
      <c r="J22" s="20">
        <v>2402.6</v>
      </c>
    </row>
    <row r="23" spans="1:10" x14ac:dyDescent="0.25">
      <c r="A23" s="22" t="s">
        <v>101</v>
      </c>
      <c r="B23" s="19">
        <v>22</v>
      </c>
      <c r="C23" s="21">
        <v>45314</v>
      </c>
      <c r="D23" s="9" t="s">
        <v>131</v>
      </c>
      <c r="E23" s="9" t="s">
        <v>115</v>
      </c>
      <c r="F23" s="9" t="s">
        <v>98</v>
      </c>
      <c r="G23" s="9">
        <v>2</v>
      </c>
      <c r="H23" s="20">
        <v>24909</v>
      </c>
      <c r="I23" s="19">
        <v>0</v>
      </c>
      <c r="J23" s="20">
        <v>2490.9</v>
      </c>
    </row>
    <row r="24" spans="1:10" x14ac:dyDescent="0.25">
      <c r="A24" s="22" t="s">
        <v>101</v>
      </c>
      <c r="B24" s="19">
        <v>23</v>
      </c>
      <c r="C24" s="21">
        <v>45315</v>
      </c>
      <c r="D24" s="9" t="s">
        <v>161</v>
      </c>
      <c r="E24" s="9" t="s">
        <v>115</v>
      </c>
      <c r="F24" s="9" t="s">
        <v>98</v>
      </c>
      <c r="G24" s="9">
        <v>2</v>
      </c>
      <c r="H24" s="20">
        <v>11905</v>
      </c>
      <c r="I24" s="19">
        <v>0</v>
      </c>
      <c r="J24" s="20">
        <v>1190.5</v>
      </c>
    </row>
    <row r="25" spans="1:10" x14ac:dyDescent="0.25">
      <c r="A25" s="22" t="s">
        <v>101</v>
      </c>
      <c r="B25" s="19">
        <v>24</v>
      </c>
      <c r="C25" s="21">
        <v>45317</v>
      </c>
      <c r="D25" s="9" t="s">
        <v>140</v>
      </c>
      <c r="E25" s="9" t="s">
        <v>115</v>
      </c>
      <c r="F25" s="9" t="s">
        <v>98</v>
      </c>
      <c r="G25" s="9">
        <v>2</v>
      </c>
      <c r="H25" s="20">
        <v>3300</v>
      </c>
      <c r="I25" s="19">
        <v>0</v>
      </c>
      <c r="J25" s="20">
        <v>330</v>
      </c>
    </row>
    <row r="26" spans="1:10" x14ac:dyDescent="0.25">
      <c r="A26" s="22" t="s">
        <v>101</v>
      </c>
      <c r="B26" s="19">
        <v>25</v>
      </c>
      <c r="C26" s="21">
        <v>45317</v>
      </c>
      <c r="D26" s="9" t="s">
        <v>156</v>
      </c>
      <c r="E26" s="9" t="s">
        <v>115</v>
      </c>
      <c r="F26" s="9" t="s">
        <v>98</v>
      </c>
      <c r="G26" s="9">
        <v>2</v>
      </c>
      <c r="H26" s="20">
        <v>4671</v>
      </c>
      <c r="I26" s="19">
        <v>0</v>
      </c>
      <c r="J26" s="20">
        <v>467.1</v>
      </c>
    </row>
    <row r="27" spans="1:10" x14ac:dyDescent="0.25">
      <c r="A27" s="22" t="s">
        <v>101</v>
      </c>
      <c r="B27" s="19">
        <v>26</v>
      </c>
      <c r="C27" s="21">
        <v>45317</v>
      </c>
      <c r="D27" s="9" t="s">
        <v>166</v>
      </c>
      <c r="E27" s="9" t="s">
        <v>115</v>
      </c>
      <c r="F27" s="9" t="s">
        <v>98</v>
      </c>
      <c r="G27" s="9">
        <v>2</v>
      </c>
      <c r="H27" s="20">
        <v>7989</v>
      </c>
      <c r="I27" s="19">
        <v>0</v>
      </c>
      <c r="J27" s="20">
        <v>798.90000000000009</v>
      </c>
    </row>
    <row r="28" spans="1:10" x14ac:dyDescent="0.25">
      <c r="A28" s="22" t="s">
        <v>101</v>
      </c>
      <c r="B28" s="19">
        <v>27</v>
      </c>
      <c r="C28" s="21">
        <v>45317</v>
      </c>
      <c r="D28" s="9" t="s">
        <v>135</v>
      </c>
      <c r="E28" s="9" t="s">
        <v>115</v>
      </c>
      <c r="F28" s="9" t="s">
        <v>98</v>
      </c>
      <c r="G28" s="9">
        <v>2</v>
      </c>
      <c r="H28" s="20">
        <v>15770</v>
      </c>
      <c r="I28" s="19">
        <v>0</v>
      </c>
      <c r="J28" s="20">
        <v>1577</v>
      </c>
    </row>
    <row r="29" spans="1:10" x14ac:dyDescent="0.25">
      <c r="A29" s="22" t="s">
        <v>101</v>
      </c>
      <c r="B29" s="19">
        <v>28</v>
      </c>
      <c r="C29" s="21">
        <v>45318</v>
      </c>
      <c r="D29" s="9" t="s">
        <v>111</v>
      </c>
      <c r="E29" s="9" t="s">
        <v>115</v>
      </c>
      <c r="F29" s="9" t="s">
        <v>98</v>
      </c>
      <c r="G29" s="9">
        <v>2</v>
      </c>
      <c r="H29" s="20">
        <v>23326</v>
      </c>
      <c r="I29" s="19">
        <v>0</v>
      </c>
      <c r="J29" s="20">
        <v>2332.6</v>
      </c>
    </row>
    <row r="30" spans="1:10" x14ac:dyDescent="0.25">
      <c r="A30" s="22" t="s">
        <v>101</v>
      </c>
      <c r="B30" s="19">
        <v>29</v>
      </c>
      <c r="C30" s="21">
        <v>45318</v>
      </c>
      <c r="D30" s="9" t="s">
        <v>107</v>
      </c>
      <c r="E30" s="9" t="s">
        <v>115</v>
      </c>
      <c r="F30" s="9" t="s">
        <v>98</v>
      </c>
      <c r="G30" s="9">
        <v>2</v>
      </c>
      <c r="H30" s="20">
        <v>8778</v>
      </c>
      <c r="I30" s="19">
        <v>0</v>
      </c>
      <c r="J30" s="20">
        <v>877.80000000000007</v>
      </c>
    </row>
    <row r="31" spans="1:10" x14ac:dyDescent="0.25">
      <c r="A31" s="22" t="s">
        <v>101</v>
      </c>
      <c r="B31" s="19">
        <v>30</v>
      </c>
      <c r="C31" s="21">
        <v>45318</v>
      </c>
      <c r="D31" s="9" t="s">
        <v>107</v>
      </c>
      <c r="E31" s="9" t="s">
        <v>115</v>
      </c>
      <c r="F31" s="9" t="s">
        <v>98</v>
      </c>
      <c r="G31" s="9">
        <v>2</v>
      </c>
      <c r="H31" s="20">
        <v>17942</v>
      </c>
      <c r="I31" s="19">
        <v>0</v>
      </c>
      <c r="J31" s="20">
        <v>1794.2</v>
      </c>
    </row>
    <row r="32" spans="1:10" x14ac:dyDescent="0.25">
      <c r="A32" s="22" t="s">
        <v>101</v>
      </c>
      <c r="B32" s="19">
        <v>31</v>
      </c>
      <c r="C32" s="21">
        <v>45318</v>
      </c>
      <c r="D32" s="9" t="s">
        <v>117</v>
      </c>
      <c r="E32" s="9" t="s">
        <v>115</v>
      </c>
      <c r="F32" s="9" t="s">
        <v>98</v>
      </c>
      <c r="G32" s="9">
        <v>2</v>
      </c>
      <c r="H32" s="20">
        <v>1945</v>
      </c>
      <c r="I32" s="19">
        <v>0</v>
      </c>
      <c r="J32" s="20">
        <v>194.5</v>
      </c>
    </row>
    <row r="33" spans="1:10" x14ac:dyDescent="0.25">
      <c r="A33" s="22" t="s">
        <v>101</v>
      </c>
      <c r="B33" s="19">
        <v>32</v>
      </c>
      <c r="C33" s="21">
        <v>45318</v>
      </c>
      <c r="D33" s="9" t="s">
        <v>161</v>
      </c>
      <c r="E33" s="9" t="s">
        <v>115</v>
      </c>
      <c r="F33" s="9" t="s">
        <v>98</v>
      </c>
      <c r="G33" s="9">
        <v>2</v>
      </c>
      <c r="H33" s="20">
        <v>20621</v>
      </c>
      <c r="I33" s="19">
        <v>0</v>
      </c>
      <c r="J33" s="20">
        <v>2062.1</v>
      </c>
    </row>
    <row r="34" spans="1:10" x14ac:dyDescent="0.25">
      <c r="A34" s="22" t="s">
        <v>101</v>
      </c>
      <c r="B34" s="19">
        <v>33</v>
      </c>
      <c r="C34" s="21">
        <v>45321</v>
      </c>
      <c r="D34" s="9" t="s">
        <v>111</v>
      </c>
      <c r="E34" s="9" t="s">
        <v>115</v>
      </c>
      <c r="F34" s="9" t="s">
        <v>98</v>
      </c>
      <c r="G34" s="9">
        <v>2</v>
      </c>
      <c r="H34" s="20">
        <v>14393</v>
      </c>
      <c r="I34" s="19">
        <v>0</v>
      </c>
      <c r="J34" s="20">
        <v>1439.3000000000002</v>
      </c>
    </row>
    <row r="35" spans="1:10" x14ac:dyDescent="0.25">
      <c r="A35" s="22" t="s">
        <v>101</v>
      </c>
      <c r="B35" s="19">
        <v>34</v>
      </c>
      <c r="C35" s="21">
        <v>45322</v>
      </c>
      <c r="D35" s="9" t="s">
        <v>102</v>
      </c>
      <c r="E35" s="9" t="s">
        <v>115</v>
      </c>
      <c r="F35" s="9" t="s">
        <v>98</v>
      </c>
      <c r="G35" s="9">
        <v>2</v>
      </c>
      <c r="H35" s="20">
        <v>23780</v>
      </c>
      <c r="I35" s="19">
        <v>0</v>
      </c>
      <c r="J35" s="20">
        <v>2378</v>
      </c>
    </row>
    <row r="36" spans="1:10" x14ac:dyDescent="0.25">
      <c r="A36" s="22" t="s">
        <v>101</v>
      </c>
      <c r="B36" s="19">
        <v>35</v>
      </c>
      <c r="C36" s="21">
        <v>45322</v>
      </c>
      <c r="D36" s="9" t="s">
        <v>100</v>
      </c>
      <c r="E36" s="9" t="s">
        <v>115</v>
      </c>
      <c r="F36" s="9" t="s">
        <v>98</v>
      </c>
      <c r="G36" s="9">
        <v>3</v>
      </c>
      <c r="H36" s="20">
        <v>7610</v>
      </c>
      <c r="I36" s="19">
        <v>0</v>
      </c>
      <c r="J36" s="20">
        <v>761</v>
      </c>
    </row>
    <row r="37" spans="1:10" x14ac:dyDescent="0.25">
      <c r="A37" s="22" t="s">
        <v>101</v>
      </c>
      <c r="B37" s="19">
        <v>36</v>
      </c>
      <c r="C37" s="21">
        <v>45322</v>
      </c>
      <c r="D37" s="9" t="s">
        <v>166</v>
      </c>
      <c r="E37" s="9" t="s">
        <v>115</v>
      </c>
      <c r="F37" s="9" t="s">
        <v>98</v>
      </c>
      <c r="G37" s="9">
        <v>2</v>
      </c>
      <c r="H37" s="20">
        <v>10285</v>
      </c>
      <c r="I37" s="19">
        <v>0</v>
      </c>
      <c r="J37" s="20">
        <v>1028.5</v>
      </c>
    </row>
    <row r="38" spans="1:10" x14ac:dyDescent="0.25">
      <c r="A38" s="22" t="s">
        <v>101</v>
      </c>
      <c r="B38" s="19">
        <v>37</v>
      </c>
      <c r="C38" s="21">
        <v>45322</v>
      </c>
      <c r="D38" s="9" t="s">
        <v>111</v>
      </c>
      <c r="E38" s="9" t="s">
        <v>115</v>
      </c>
      <c r="F38" s="9" t="s">
        <v>98</v>
      </c>
      <c r="G38" s="9">
        <v>2</v>
      </c>
      <c r="H38" s="20">
        <v>17320</v>
      </c>
      <c r="I38" s="19">
        <v>0</v>
      </c>
      <c r="J38" s="20">
        <v>1732</v>
      </c>
    </row>
    <row r="39" spans="1:10" x14ac:dyDescent="0.25">
      <c r="A39" s="22" t="s">
        <v>101</v>
      </c>
      <c r="B39" s="19">
        <v>38</v>
      </c>
      <c r="C39" s="21">
        <v>45323</v>
      </c>
      <c r="D39" s="9" t="s">
        <v>161</v>
      </c>
      <c r="E39" s="9" t="s">
        <v>115</v>
      </c>
      <c r="F39" s="9" t="s">
        <v>98</v>
      </c>
      <c r="G39" s="9">
        <v>2</v>
      </c>
      <c r="H39" s="20">
        <v>2544</v>
      </c>
      <c r="I39" s="19">
        <v>0</v>
      </c>
      <c r="J39" s="20">
        <v>254.4</v>
      </c>
    </row>
    <row r="40" spans="1:10" x14ac:dyDescent="0.25">
      <c r="A40" s="22" t="s">
        <v>101</v>
      </c>
      <c r="B40" s="19">
        <v>39</v>
      </c>
      <c r="C40" s="21">
        <v>45324</v>
      </c>
      <c r="D40" s="9" t="s">
        <v>192</v>
      </c>
      <c r="E40" s="9" t="s">
        <v>115</v>
      </c>
      <c r="F40" s="9" t="s">
        <v>98</v>
      </c>
      <c r="G40" s="9">
        <v>2</v>
      </c>
      <c r="H40" s="20">
        <v>14678</v>
      </c>
      <c r="I40" s="19">
        <v>0</v>
      </c>
      <c r="J40" s="20">
        <v>1467.8000000000002</v>
      </c>
    </row>
    <row r="41" spans="1:10" x14ac:dyDescent="0.25">
      <c r="A41" s="22" t="s">
        <v>101</v>
      </c>
      <c r="B41" s="19">
        <v>40</v>
      </c>
      <c r="C41" s="21">
        <v>45324</v>
      </c>
      <c r="D41" s="9" t="s">
        <v>131</v>
      </c>
      <c r="E41" s="9" t="s">
        <v>115</v>
      </c>
      <c r="F41" s="9" t="s">
        <v>98</v>
      </c>
      <c r="G41" s="9">
        <v>2</v>
      </c>
      <c r="H41" s="20">
        <v>12399</v>
      </c>
      <c r="I41" s="19">
        <v>0</v>
      </c>
      <c r="J41" s="20">
        <v>1239.9000000000001</v>
      </c>
    </row>
    <row r="42" spans="1:10" x14ac:dyDescent="0.25">
      <c r="A42" s="22" t="s">
        <v>101</v>
      </c>
      <c r="B42" s="19">
        <v>41</v>
      </c>
      <c r="C42" s="21">
        <v>45325</v>
      </c>
      <c r="D42" s="9" t="s">
        <v>130</v>
      </c>
      <c r="E42" s="9" t="s">
        <v>115</v>
      </c>
      <c r="F42" s="9" t="s">
        <v>98</v>
      </c>
      <c r="G42" s="9">
        <v>2</v>
      </c>
      <c r="H42" s="20">
        <v>8233</v>
      </c>
      <c r="I42" s="19">
        <v>0</v>
      </c>
      <c r="J42" s="20">
        <v>823.30000000000007</v>
      </c>
    </row>
    <row r="43" spans="1:10" x14ac:dyDescent="0.25">
      <c r="A43" s="22" t="s">
        <v>101</v>
      </c>
      <c r="B43" s="19">
        <v>42</v>
      </c>
      <c r="C43" s="21">
        <v>45325</v>
      </c>
      <c r="D43" s="9" t="s">
        <v>149</v>
      </c>
      <c r="E43" s="9" t="s">
        <v>115</v>
      </c>
      <c r="F43" s="9" t="s">
        <v>98</v>
      </c>
      <c r="G43" s="9">
        <v>2</v>
      </c>
      <c r="H43" s="20">
        <v>5618</v>
      </c>
      <c r="I43" s="19">
        <v>0</v>
      </c>
      <c r="J43" s="20">
        <v>561.80000000000007</v>
      </c>
    </row>
    <row r="44" spans="1:10" x14ac:dyDescent="0.25">
      <c r="A44" s="22" t="s">
        <v>101</v>
      </c>
      <c r="B44" s="19">
        <v>43</v>
      </c>
      <c r="C44" s="21">
        <v>45325</v>
      </c>
      <c r="D44" s="9" t="s">
        <v>151</v>
      </c>
      <c r="E44" s="9" t="s">
        <v>115</v>
      </c>
      <c r="F44" s="9" t="s">
        <v>98</v>
      </c>
      <c r="G44" s="9">
        <v>2</v>
      </c>
      <c r="H44" s="20">
        <v>4999</v>
      </c>
      <c r="I44" s="19">
        <v>0</v>
      </c>
      <c r="J44" s="20">
        <v>499.90000000000003</v>
      </c>
    </row>
    <row r="45" spans="1:10" x14ac:dyDescent="0.25">
      <c r="A45" s="22" t="s">
        <v>101</v>
      </c>
      <c r="B45" s="19">
        <v>44</v>
      </c>
      <c r="C45" s="21">
        <v>45325</v>
      </c>
      <c r="D45" s="9" t="s">
        <v>109</v>
      </c>
      <c r="E45" s="9" t="s">
        <v>115</v>
      </c>
      <c r="F45" s="9" t="s">
        <v>98</v>
      </c>
      <c r="G45" s="9">
        <v>1</v>
      </c>
      <c r="H45" s="20">
        <v>17672</v>
      </c>
      <c r="I45" s="19">
        <v>0</v>
      </c>
      <c r="J45" s="20">
        <v>1767.2</v>
      </c>
    </row>
    <row r="46" spans="1:10" x14ac:dyDescent="0.25">
      <c r="A46" s="22" t="s">
        <v>101</v>
      </c>
      <c r="B46" s="19">
        <v>45</v>
      </c>
      <c r="C46" s="21">
        <v>45325</v>
      </c>
      <c r="D46" s="9" t="s">
        <v>163</v>
      </c>
      <c r="E46" s="9" t="s">
        <v>115</v>
      </c>
      <c r="F46" s="9" t="s">
        <v>98</v>
      </c>
      <c r="G46" s="9">
        <v>1</v>
      </c>
      <c r="H46" s="20">
        <v>19512</v>
      </c>
      <c r="I46" s="19">
        <v>0</v>
      </c>
      <c r="J46" s="20">
        <v>1951.2</v>
      </c>
    </row>
    <row r="47" spans="1:10" x14ac:dyDescent="0.25">
      <c r="A47" s="22" t="s">
        <v>101</v>
      </c>
      <c r="B47" s="19">
        <v>46</v>
      </c>
      <c r="C47" s="21">
        <v>45325</v>
      </c>
      <c r="D47" s="9" t="s">
        <v>193</v>
      </c>
      <c r="E47" s="9" t="s">
        <v>115</v>
      </c>
      <c r="F47" s="9" t="s">
        <v>98</v>
      </c>
      <c r="G47" s="9">
        <v>2</v>
      </c>
      <c r="H47" s="20">
        <v>6352</v>
      </c>
      <c r="I47" s="19">
        <v>0</v>
      </c>
      <c r="J47" s="20">
        <v>635.20000000000005</v>
      </c>
    </row>
    <row r="48" spans="1:10" x14ac:dyDescent="0.25">
      <c r="A48" s="22" t="s">
        <v>101</v>
      </c>
      <c r="B48" s="19">
        <v>47</v>
      </c>
      <c r="C48" s="21">
        <v>45325</v>
      </c>
      <c r="D48" s="9" t="s">
        <v>111</v>
      </c>
      <c r="E48" s="9" t="s">
        <v>115</v>
      </c>
      <c r="F48" s="9" t="s">
        <v>98</v>
      </c>
      <c r="G48" s="9">
        <v>2</v>
      </c>
      <c r="H48" s="20">
        <v>19883</v>
      </c>
      <c r="I48" s="19">
        <v>0</v>
      </c>
      <c r="J48" s="20">
        <v>1988.3000000000002</v>
      </c>
    </row>
    <row r="49" spans="1:10" x14ac:dyDescent="0.25">
      <c r="A49" s="22" t="s">
        <v>101</v>
      </c>
      <c r="B49" s="19">
        <v>48</v>
      </c>
      <c r="C49" s="21">
        <v>45325</v>
      </c>
      <c r="D49" s="9" t="s">
        <v>111</v>
      </c>
      <c r="E49" s="9" t="s">
        <v>115</v>
      </c>
      <c r="F49" s="9" t="s">
        <v>98</v>
      </c>
      <c r="G49" s="9">
        <v>2</v>
      </c>
      <c r="H49" s="20">
        <v>18753</v>
      </c>
      <c r="I49" s="19">
        <v>0</v>
      </c>
      <c r="J49" s="20">
        <v>1875.3000000000002</v>
      </c>
    </row>
    <row r="50" spans="1:10" x14ac:dyDescent="0.25">
      <c r="A50" s="22" t="s">
        <v>101</v>
      </c>
      <c r="B50" s="19">
        <v>49</v>
      </c>
      <c r="C50" s="21">
        <v>45328</v>
      </c>
      <c r="D50" s="9" t="s">
        <v>110</v>
      </c>
      <c r="E50" s="9" t="s">
        <v>115</v>
      </c>
      <c r="F50" s="9" t="s">
        <v>98</v>
      </c>
      <c r="G50" s="9">
        <v>2</v>
      </c>
      <c r="H50" s="20">
        <v>5551</v>
      </c>
      <c r="I50" s="19">
        <v>0</v>
      </c>
      <c r="J50" s="20">
        <v>555.1</v>
      </c>
    </row>
    <row r="51" spans="1:10" x14ac:dyDescent="0.25">
      <c r="A51" s="22" t="s">
        <v>101</v>
      </c>
      <c r="B51" s="19">
        <v>50</v>
      </c>
      <c r="C51" s="21">
        <v>45328</v>
      </c>
      <c r="D51" s="9" t="s">
        <v>104</v>
      </c>
      <c r="E51" s="9" t="s">
        <v>115</v>
      </c>
      <c r="F51" s="9" t="s">
        <v>98</v>
      </c>
      <c r="G51" s="9">
        <v>2</v>
      </c>
      <c r="H51" s="20">
        <v>4753</v>
      </c>
      <c r="I51" s="19">
        <v>0</v>
      </c>
      <c r="J51" s="20">
        <v>475.3</v>
      </c>
    </row>
    <row r="52" spans="1:10" x14ac:dyDescent="0.25">
      <c r="A52" s="22" t="s">
        <v>101</v>
      </c>
      <c r="B52" s="19">
        <v>51</v>
      </c>
      <c r="C52" s="21">
        <v>45328</v>
      </c>
      <c r="D52" s="9" t="s">
        <v>192</v>
      </c>
      <c r="E52" s="9" t="s">
        <v>115</v>
      </c>
      <c r="F52" s="9" t="s">
        <v>98</v>
      </c>
      <c r="G52" s="9">
        <v>2</v>
      </c>
      <c r="H52" s="20">
        <v>1935</v>
      </c>
      <c r="I52" s="19">
        <v>0</v>
      </c>
      <c r="J52" s="20">
        <v>193.5</v>
      </c>
    </row>
    <row r="53" spans="1:10" x14ac:dyDescent="0.25">
      <c r="A53" s="22" t="s">
        <v>101</v>
      </c>
      <c r="B53" s="19">
        <v>52</v>
      </c>
      <c r="C53" s="21">
        <v>45328</v>
      </c>
      <c r="D53" s="9" t="s">
        <v>116</v>
      </c>
      <c r="E53" s="9" t="s">
        <v>115</v>
      </c>
      <c r="F53" s="9" t="s">
        <v>98</v>
      </c>
      <c r="G53" s="9">
        <v>1</v>
      </c>
      <c r="H53" s="20">
        <v>8118</v>
      </c>
      <c r="I53" s="19">
        <v>0</v>
      </c>
      <c r="J53" s="20">
        <v>811.80000000000007</v>
      </c>
    </row>
    <row r="54" spans="1:10" x14ac:dyDescent="0.25">
      <c r="A54" s="22" t="s">
        <v>101</v>
      </c>
      <c r="B54" s="19">
        <v>53</v>
      </c>
      <c r="C54" s="21">
        <v>45328</v>
      </c>
      <c r="D54" s="9" t="s">
        <v>121</v>
      </c>
      <c r="E54" s="9" t="s">
        <v>115</v>
      </c>
      <c r="F54" s="9" t="s">
        <v>98</v>
      </c>
      <c r="G54" s="9">
        <v>2</v>
      </c>
      <c r="H54" s="20">
        <v>2933</v>
      </c>
      <c r="I54" s="19">
        <v>0</v>
      </c>
      <c r="J54" s="20">
        <v>293.3</v>
      </c>
    </row>
    <row r="55" spans="1:10" x14ac:dyDescent="0.25">
      <c r="A55" s="22" t="s">
        <v>101</v>
      </c>
      <c r="B55" s="19">
        <v>54</v>
      </c>
      <c r="C55" s="21">
        <v>45329</v>
      </c>
      <c r="D55" s="9" t="s">
        <v>102</v>
      </c>
      <c r="E55" s="9" t="s">
        <v>115</v>
      </c>
      <c r="F55" s="9" t="s">
        <v>98</v>
      </c>
      <c r="G55" s="9">
        <v>2</v>
      </c>
      <c r="H55" s="20">
        <v>6802</v>
      </c>
      <c r="I55" s="19">
        <v>0</v>
      </c>
      <c r="J55" s="20">
        <v>680.2</v>
      </c>
    </row>
    <row r="56" spans="1:10" x14ac:dyDescent="0.25">
      <c r="A56" s="22" t="s">
        <v>101</v>
      </c>
      <c r="B56" s="19">
        <v>55</v>
      </c>
      <c r="C56" s="21">
        <v>45330</v>
      </c>
      <c r="D56" s="9" t="s">
        <v>111</v>
      </c>
      <c r="E56" s="9" t="s">
        <v>115</v>
      </c>
      <c r="F56" s="9" t="s">
        <v>98</v>
      </c>
      <c r="G56" s="9">
        <v>2</v>
      </c>
      <c r="H56" s="20">
        <v>21972</v>
      </c>
      <c r="I56" s="19">
        <v>0</v>
      </c>
      <c r="J56" s="20">
        <v>2197.2000000000003</v>
      </c>
    </row>
    <row r="57" spans="1:10" x14ac:dyDescent="0.25">
      <c r="A57" s="22" t="s">
        <v>101</v>
      </c>
      <c r="B57" s="19">
        <v>56</v>
      </c>
      <c r="C57" s="21">
        <v>45330</v>
      </c>
      <c r="D57" s="9" t="s">
        <v>131</v>
      </c>
      <c r="E57" s="9" t="s">
        <v>115</v>
      </c>
      <c r="F57" s="9" t="s">
        <v>98</v>
      </c>
      <c r="G57" s="9">
        <v>2</v>
      </c>
      <c r="H57" s="20">
        <v>14870</v>
      </c>
      <c r="I57" s="19">
        <v>0</v>
      </c>
      <c r="J57" s="20">
        <v>1487</v>
      </c>
    </row>
    <row r="58" spans="1:10" x14ac:dyDescent="0.25">
      <c r="A58" s="22" t="s">
        <v>101</v>
      </c>
      <c r="B58" s="19">
        <v>57</v>
      </c>
      <c r="C58" s="21">
        <v>45331</v>
      </c>
      <c r="D58" s="9" t="s">
        <v>111</v>
      </c>
      <c r="E58" s="9" t="s">
        <v>115</v>
      </c>
      <c r="F58" s="9" t="s">
        <v>98</v>
      </c>
      <c r="G58" s="9">
        <v>2</v>
      </c>
      <c r="H58" s="20">
        <v>24390</v>
      </c>
      <c r="I58" s="19">
        <v>0</v>
      </c>
      <c r="J58" s="20">
        <v>2439</v>
      </c>
    </row>
    <row r="59" spans="1:10" x14ac:dyDescent="0.25">
      <c r="A59" s="22" t="s">
        <v>101</v>
      </c>
      <c r="B59" s="19">
        <v>58</v>
      </c>
      <c r="C59" s="21">
        <v>45331</v>
      </c>
      <c r="D59" s="9" t="s">
        <v>102</v>
      </c>
      <c r="E59" s="9" t="s">
        <v>115</v>
      </c>
      <c r="F59" s="9" t="s">
        <v>98</v>
      </c>
      <c r="G59" s="9">
        <v>2</v>
      </c>
      <c r="H59" s="20">
        <v>5547</v>
      </c>
      <c r="I59" s="19">
        <v>0</v>
      </c>
      <c r="J59" s="20">
        <v>554.70000000000005</v>
      </c>
    </row>
    <row r="60" spans="1:10" x14ac:dyDescent="0.25">
      <c r="A60" s="22" t="s">
        <v>101</v>
      </c>
      <c r="B60" s="19">
        <v>59</v>
      </c>
      <c r="C60" s="21">
        <v>45331</v>
      </c>
      <c r="D60" s="9" t="s">
        <v>140</v>
      </c>
      <c r="E60" s="9" t="s">
        <v>115</v>
      </c>
      <c r="F60" s="9" t="s">
        <v>98</v>
      </c>
      <c r="G60" s="9">
        <v>2</v>
      </c>
      <c r="H60" s="20">
        <v>22942</v>
      </c>
      <c r="I60" s="19">
        <v>0</v>
      </c>
      <c r="J60" s="20">
        <v>2294.2000000000003</v>
      </c>
    </row>
    <row r="61" spans="1:10" x14ac:dyDescent="0.25">
      <c r="A61" s="22" t="s">
        <v>101</v>
      </c>
      <c r="B61" s="19">
        <v>60</v>
      </c>
      <c r="C61" s="21">
        <v>45332</v>
      </c>
      <c r="D61" s="9" t="s">
        <v>161</v>
      </c>
      <c r="E61" s="9" t="s">
        <v>99</v>
      </c>
      <c r="F61" s="9" t="s">
        <v>98</v>
      </c>
      <c r="G61" s="9">
        <v>2</v>
      </c>
      <c r="H61" s="20">
        <v>14569</v>
      </c>
      <c r="I61" s="19">
        <v>0</v>
      </c>
      <c r="J61" s="20">
        <v>1456.9</v>
      </c>
    </row>
    <row r="62" spans="1:10" x14ac:dyDescent="0.25">
      <c r="A62" s="22" t="s">
        <v>101</v>
      </c>
      <c r="B62" s="19">
        <v>61</v>
      </c>
      <c r="C62" s="21">
        <v>45332</v>
      </c>
      <c r="D62" s="9" t="s">
        <v>111</v>
      </c>
      <c r="E62" s="9" t="s">
        <v>99</v>
      </c>
      <c r="F62" s="9" t="s">
        <v>98</v>
      </c>
      <c r="G62" s="9">
        <v>2</v>
      </c>
      <c r="H62" s="20">
        <v>11909</v>
      </c>
      <c r="I62" s="19">
        <v>0</v>
      </c>
      <c r="J62" s="20">
        <v>1190.9000000000001</v>
      </c>
    </row>
    <row r="63" spans="1:10" x14ac:dyDescent="0.25">
      <c r="A63" s="22" t="s">
        <v>101</v>
      </c>
      <c r="B63" s="19">
        <v>62</v>
      </c>
      <c r="C63" s="21">
        <v>45335</v>
      </c>
      <c r="D63" s="9" t="s">
        <v>191</v>
      </c>
      <c r="E63" s="9" t="s">
        <v>115</v>
      </c>
      <c r="F63" s="9" t="s">
        <v>98</v>
      </c>
      <c r="G63" s="9">
        <v>2</v>
      </c>
      <c r="H63" s="20">
        <v>24973</v>
      </c>
      <c r="I63" s="19">
        <v>0</v>
      </c>
      <c r="J63" s="20">
        <v>2497.3000000000002</v>
      </c>
    </row>
    <row r="64" spans="1:10" x14ac:dyDescent="0.25">
      <c r="A64" s="22" t="s">
        <v>101</v>
      </c>
      <c r="B64" s="19">
        <v>63</v>
      </c>
      <c r="C64" s="21">
        <v>45335</v>
      </c>
      <c r="D64" s="9" t="s">
        <v>190</v>
      </c>
      <c r="E64" s="9" t="s">
        <v>115</v>
      </c>
      <c r="F64" s="9" t="s">
        <v>98</v>
      </c>
      <c r="G64" s="9">
        <v>2</v>
      </c>
      <c r="H64" s="20">
        <v>18970</v>
      </c>
      <c r="I64" s="19">
        <v>0</v>
      </c>
      <c r="J64" s="20">
        <v>1897</v>
      </c>
    </row>
    <row r="65" spans="1:10" x14ac:dyDescent="0.25">
      <c r="A65" s="22" t="s">
        <v>101</v>
      </c>
      <c r="B65" s="19">
        <v>64</v>
      </c>
      <c r="C65" s="21">
        <v>45335</v>
      </c>
      <c r="D65" s="9" t="s">
        <v>189</v>
      </c>
      <c r="E65" s="9" t="s">
        <v>115</v>
      </c>
      <c r="F65" s="9" t="s">
        <v>98</v>
      </c>
      <c r="G65" s="9">
        <v>2</v>
      </c>
      <c r="H65" s="20">
        <v>22361</v>
      </c>
      <c r="I65" s="19">
        <v>0</v>
      </c>
      <c r="J65" s="20">
        <v>2236.1</v>
      </c>
    </row>
    <row r="66" spans="1:10" x14ac:dyDescent="0.25">
      <c r="A66" s="22" t="s">
        <v>101</v>
      </c>
      <c r="B66" s="19">
        <v>65</v>
      </c>
      <c r="C66" s="21">
        <v>45335</v>
      </c>
      <c r="D66" s="9" t="s">
        <v>100</v>
      </c>
      <c r="E66" s="9" t="s">
        <v>115</v>
      </c>
      <c r="F66" s="9" t="s">
        <v>98</v>
      </c>
      <c r="G66" s="9">
        <v>3</v>
      </c>
      <c r="H66" s="20">
        <v>12225</v>
      </c>
      <c r="I66" s="19">
        <v>0</v>
      </c>
      <c r="J66" s="20">
        <v>1222.5</v>
      </c>
    </row>
    <row r="67" spans="1:10" x14ac:dyDescent="0.25">
      <c r="A67" s="22" t="s">
        <v>101</v>
      </c>
      <c r="B67" s="19">
        <v>66</v>
      </c>
      <c r="C67" s="21">
        <v>45336</v>
      </c>
      <c r="D67" s="9" t="s">
        <v>188</v>
      </c>
      <c r="E67" s="9" t="s">
        <v>115</v>
      </c>
      <c r="F67" s="9" t="s">
        <v>98</v>
      </c>
      <c r="G67" s="9">
        <v>2</v>
      </c>
      <c r="H67" s="20">
        <v>12522</v>
      </c>
      <c r="I67" s="19">
        <v>0</v>
      </c>
      <c r="J67" s="20">
        <v>1252.2</v>
      </c>
    </row>
    <row r="68" spans="1:10" x14ac:dyDescent="0.25">
      <c r="A68" s="22" t="s">
        <v>101</v>
      </c>
      <c r="B68" s="19">
        <v>67</v>
      </c>
      <c r="C68" s="21">
        <v>45336</v>
      </c>
      <c r="D68" s="9" t="s">
        <v>187</v>
      </c>
      <c r="E68" s="9" t="s">
        <v>115</v>
      </c>
      <c r="F68" s="9" t="s">
        <v>98</v>
      </c>
      <c r="G68" s="9">
        <v>2</v>
      </c>
      <c r="H68" s="20">
        <v>7987</v>
      </c>
      <c r="I68" s="19">
        <v>0</v>
      </c>
      <c r="J68" s="20">
        <v>798.7</v>
      </c>
    </row>
    <row r="69" spans="1:10" x14ac:dyDescent="0.25">
      <c r="A69" s="22" t="s">
        <v>101</v>
      </c>
      <c r="B69" s="19">
        <v>68</v>
      </c>
      <c r="C69" s="21">
        <v>45336</v>
      </c>
      <c r="D69" s="9" t="s">
        <v>186</v>
      </c>
      <c r="E69" s="9" t="s">
        <v>115</v>
      </c>
      <c r="F69" s="9" t="s">
        <v>98</v>
      </c>
      <c r="G69" s="9">
        <v>2</v>
      </c>
      <c r="H69" s="20">
        <v>5855</v>
      </c>
      <c r="I69" s="19">
        <v>0</v>
      </c>
      <c r="J69" s="20">
        <v>585.5</v>
      </c>
    </row>
    <row r="70" spans="1:10" x14ac:dyDescent="0.25">
      <c r="A70" s="22" t="s">
        <v>101</v>
      </c>
      <c r="B70" s="19">
        <v>69</v>
      </c>
      <c r="C70" s="21">
        <v>45336</v>
      </c>
      <c r="D70" s="9" t="s">
        <v>131</v>
      </c>
      <c r="E70" s="9" t="s">
        <v>115</v>
      </c>
      <c r="F70" s="9" t="s">
        <v>98</v>
      </c>
      <c r="G70" s="9">
        <v>2</v>
      </c>
      <c r="H70" s="20">
        <v>19600</v>
      </c>
      <c r="I70" s="19">
        <v>0</v>
      </c>
      <c r="J70" s="20">
        <v>1960</v>
      </c>
    </row>
    <row r="71" spans="1:10" x14ac:dyDescent="0.25">
      <c r="A71" s="22" t="s">
        <v>101</v>
      </c>
      <c r="B71" s="19">
        <v>70</v>
      </c>
      <c r="C71" s="21">
        <v>45336</v>
      </c>
      <c r="D71" s="9" t="s">
        <v>157</v>
      </c>
      <c r="E71" s="9" t="s">
        <v>115</v>
      </c>
      <c r="F71" s="9" t="s">
        <v>98</v>
      </c>
      <c r="G71" s="9">
        <v>2</v>
      </c>
      <c r="H71" s="20">
        <v>14989</v>
      </c>
      <c r="I71" s="19">
        <v>0</v>
      </c>
      <c r="J71" s="20">
        <v>1498.9</v>
      </c>
    </row>
    <row r="72" spans="1:10" x14ac:dyDescent="0.25">
      <c r="A72" s="22" t="s">
        <v>101</v>
      </c>
      <c r="B72" s="19">
        <v>71</v>
      </c>
      <c r="C72" s="21">
        <v>45336</v>
      </c>
      <c r="D72" s="9" t="s">
        <v>161</v>
      </c>
      <c r="E72" s="9" t="s">
        <v>115</v>
      </c>
      <c r="F72" s="9" t="s">
        <v>98</v>
      </c>
      <c r="G72" s="9">
        <v>2</v>
      </c>
      <c r="H72" s="20">
        <v>19340</v>
      </c>
      <c r="I72" s="19">
        <v>0</v>
      </c>
      <c r="J72" s="20">
        <v>1934</v>
      </c>
    </row>
    <row r="73" spans="1:10" x14ac:dyDescent="0.25">
      <c r="A73" s="22" t="s">
        <v>101</v>
      </c>
      <c r="B73" s="19">
        <v>72</v>
      </c>
      <c r="C73" s="21">
        <v>45337</v>
      </c>
      <c r="D73" s="9" t="s">
        <v>185</v>
      </c>
      <c r="E73" s="9" t="s">
        <v>99</v>
      </c>
      <c r="F73" s="9" t="s">
        <v>98</v>
      </c>
      <c r="G73" s="9">
        <v>2</v>
      </c>
      <c r="H73" s="20">
        <v>24314</v>
      </c>
      <c r="I73" s="19">
        <v>0</v>
      </c>
      <c r="J73" s="20">
        <v>2431.4</v>
      </c>
    </row>
    <row r="74" spans="1:10" x14ac:dyDescent="0.25">
      <c r="A74" s="22" t="s">
        <v>101</v>
      </c>
      <c r="B74" s="19">
        <v>73</v>
      </c>
      <c r="C74" s="21">
        <v>45337</v>
      </c>
      <c r="D74" s="9" t="s">
        <v>106</v>
      </c>
      <c r="E74" s="9" t="s">
        <v>99</v>
      </c>
      <c r="F74" s="9" t="s">
        <v>114</v>
      </c>
      <c r="G74" s="9">
        <v>3</v>
      </c>
      <c r="H74" s="20">
        <v>14736</v>
      </c>
      <c r="I74" s="19">
        <v>0</v>
      </c>
      <c r="J74" s="20">
        <v>1473.6000000000001</v>
      </c>
    </row>
    <row r="75" spans="1:10" x14ac:dyDescent="0.25">
      <c r="A75" s="22" t="s">
        <v>101</v>
      </c>
      <c r="B75" s="19">
        <v>74</v>
      </c>
      <c r="C75" s="21">
        <v>45337</v>
      </c>
      <c r="D75" s="9" t="s">
        <v>177</v>
      </c>
      <c r="E75" s="9" t="s">
        <v>99</v>
      </c>
      <c r="F75" s="9" t="s">
        <v>114</v>
      </c>
      <c r="G75" s="9">
        <v>2</v>
      </c>
      <c r="H75" s="20">
        <v>12487</v>
      </c>
      <c r="I75" s="19">
        <v>0</v>
      </c>
      <c r="J75" s="20">
        <v>1248.7</v>
      </c>
    </row>
    <row r="76" spans="1:10" x14ac:dyDescent="0.25">
      <c r="A76" s="22" t="s">
        <v>101</v>
      </c>
      <c r="B76" s="19">
        <v>75</v>
      </c>
      <c r="C76" s="21">
        <v>45338</v>
      </c>
      <c r="D76" s="9" t="s">
        <v>173</v>
      </c>
      <c r="E76" s="9" t="s">
        <v>99</v>
      </c>
      <c r="F76" s="9" t="s">
        <v>114</v>
      </c>
      <c r="G76" s="9">
        <v>2</v>
      </c>
      <c r="H76" s="20">
        <v>11697</v>
      </c>
      <c r="I76" s="19">
        <v>0</v>
      </c>
      <c r="J76" s="20">
        <v>1169.7</v>
      </c>
    </row>
    <row r="77" spans="1:10" x14ac:dyDescent="0.25">
      <c r="A77" s="22" t="s">
        <v>101</v>
      </c>
      <c r="B77" s="19">
        <v>76</v>
      </c>
      <c r="C77" s="21">
        <v>45338</v>
      </c>
      <c r="D77" s="9" t="s">
        <v>161</v>
      </c>
      <c r="E77" s="9" t="s">
        <v>99</v>
      </c>
      <c r="F77" s="9" t="s">
        <v>114</v>
      </c>
      <c r="G77" s="9">
        <v>2</v>
      </c>
      <c r="H77" s="20">
        <v>8264</v>
      </c>
      <c r="I77" s="19">
        <v>0</v>
      </c>
      <c r="J77" s="20">
        <v>826.40000000000009</v>
      </c>
    </row>
    <row r="78" spans="1:10" x14ac:dyDescent="0.25">
      <c r="A78" s="22" t="s">
        <v>101</v>
      </c>
      <c r="B78" s="19">
        <v>77</v>
      </c>
      <c r="C78" s="21">
        <v>45339</v>
      </c>
      <c r="D78" s="9" t="s">
        <v>102</v>
      </c>
      <c r="E78" s="9" t="s">
        <v>99</v>
      </c>
      <c r="F78" s="9" t="s">
        <v>114</v>
      </c>
      <c r="G78" s="9">
        <v>2</v>
      </c>
      <c r="H78" s="20">
        <v>3103</v>
      </c>
      <c r="I78" s="19">
        <v>0</v>
      </c>
      <c r="J78" s="20">
        <v>310.3</v>
      </c>
    </row>
    <row r="79" spans="1:10" x14ac:dyDescent="0.25">
      <c r="A79" s="22" t="s">
        <v>101</v>
      </c>
      <c r="B79" s="19">
        <v>78</v>
      </c>
      <c r="C79" s="21">
        <v>45339</v>
      </c>
      <c r="D79" s="9" t="s">
        <v>121</v>
      </c>
      <c r="E79" s="9" t="s">
        <v>99</v>
      </c>
      <c r="F79" s="9" t="s">
        <v>114</v>
      </c>
      <c r="G79" s="9">
        <v>2</v>
      </c>
      <c r="H79" s="20">
        <v>3853</v>
      </c>
      <c r="I79" s="19">
        <v>0</v>
      </c>
      <c r="J79" s="20">
        <v>385.3</v>
      </c>
    </row>
    <row r="80" spans="1:10" x14ac:dyDescent="0.25">
      <c r="A80" s="22" t="s">
        <v>101</v>
      </c>
      <c r="B80" s="19">
        <v>79</v>
      </c>
      <c r="C80" s="21">
        <v>45339</v>
      </c>
      <c r="D80" s="9" t="s">
        <v>100</v>
      </c>
      <c r="E80" s="9" t="s">
        <v>99</v>
      </c>
      <c r="F80" s="9" t="s">
        <v>114</v>
      </c>
      <c r="G80" s="9">
        <v>3</v>
      </c>
      <c r="H80" s="20">
        <v>12247</v>
      </c>
      <c r="I80" s="19">
        <v>0</v>
      </c>
      <c r="J80" s="20">
        <v>1224.7</v>
      </c>
    </row>
    <row r="81" spans="1:10" x14ac:dyDescent="0.25">
      <c r="A81" s="22" t="s">
        <v>101</v>
      </c>
      <c r="B81" s="19">
        <v>80</v>
      </c>
      <c r="C81" s="21">
        <v>45339</v>
      </c>
      <c r="D81" s="9" t="s">
        <v>111</v>
      </c>
      <c r="E81" s="9" t="s">
        <v>99</v>
      </c>
      <c r="F81" s="9" t="s">
        <v>114</v>
      </c>
      <c r="G81" s="9">
        <v>2</v>
      </c>
      <c r="H81" s="20">
        <v>15359</v>
      </c>
      <c r="I81" s="19">
        <v>0</v>
      </c>
      <c r="J81" s="20">
        <v>1535.9</v>
      </c>
    </row>
    <row r="82" spans="1:10" x14ac:dyDescent="0.25">
      <c r="A82" s="22" t="s">
        <v>101</v>
      </c>
      <c r="B82" s="19">
        <v>81</v>
      </c>
      <c r="C82" s="21">
        <v>45342</v>
      </c>
      <c r="D82" s="9" t="s">
        <v>184</v>
      </c>
      <c r="E82" s="9" t="s">
        <v>99</v>
      </c>
      <c r="F82" s="9" t="s">
        <v>114</v>
      </c>
      <c r="G82" s="9">
        <v>2</v>
      </c>
      <c r="H82" s="20">
        <v>12159</v>
      </c>
      <c r="I82" s="19">
        <v>0</v>
      </c>
      <c r="J82" s="20">
        <v>1215.9000000000001</v>
      </c>
    </row>
    <row r="83" spans="1:10" x14ac:dyDescent="0.25">
      <c r="A83" s="22" t="s">
        <v>101</v>
      </c>
      <c r="B83" s="19">
        <v>82</v>
      </c>
      <c r="C83" s="21">
        <v>45342</v>
      </c>
      <c r="D83" s="9" t="s">
        <v>183</v>
      </c>
      <c r="E83" s="9" t="s">
        <v>99</v>
      </c>
      <c r="F83" s="9" t="s">
        <v>114</v>
      </c>
      <c r="G83" s="9">
        <v>2</v>
      </c>
      <c r="H83" s="20">
        <v>8889</v>
      </c>
      <c r="I83" s="19">
        <v>0</v>
      </c>
      <c r="J83" s="20">
        <v>888.90000000000009</v>
      </c>
    </row>
    <row r="84" spans="1:10" x14ac:dyDescent="0.25">
      <c r="A84" s="22" t="s">
        <v>101</v>
      </c>
      <c r="B84" s="19">
        <v>83</v>
      </c>
      <c r="C84" s="21">
        <v>45342</v>
      </c>
      <c r="D84" s="9" t="s">
        <v>182</v>
      </c>
      <c r="E84" s="9" t="s">
        <v>99</v>
      </c>
      <c r="F84" s="9" t="s">
        <v>114</v>
      </c>
      <c r="G84" s="9">
        <v>2</v>
      </c>
      <c r="H84" s="20">
        <v>11800</v>
      </c>
      <c r="I84" s="19">
        <v>0</v>
      </c>
      <c r="J84" s="20">
        <v>1180</v>
      </c>
    </row>
    <row r="85" spans="1:10" x14ac:dyDescent="0.25">
      <c r="A85" s="22" t="s">
        <v>101</v>
      </c>
      <c r="B85" s="19">
        <v>84</v>
      </c>
      <c r="C85" s="21">
        <v>45342</v>
      </c>
      <c r="D85" s="9" t="s">
        <v>181</v>
      </c>
      <c r="E85" s="9" t="s">
        <v>99</v>
      </c>
      <c r="F85" s="9" t="s">
        <v>114</v>
      </c>
      <c r="G85" s="9">
        <v>2</v>
      </c>
      <c r="H85" s="20">
        <v>13570</v>
      </c>
      <c r="I85" s="19">
        <v>0</v>
      </c>
      <c r="J85" s="20">
        <v>1357</v>
      </c>
    </row>
    <row r="86" spans="1:10" x14ac:dyDescent="0.25">
      <c r="A86" s="22" t="s">
        <v>101</v>
      </c>
      <c r="B86" s="19">
        <v>85</v>
      </c>
      <c r="C86" s="21">
        <v>45342</v>
      </c>
      <c r="D86" s="9" t="s">
        <v>102</v>
      </c>
      <c r="E86" s="9" t="s">
        <v>99</v>
      </c>
      <c r="F86" s="9" t="s">
        <v>114</v>
      </c>
      <c r="G86" s="9">
        <v>2</v>
      </c>
      <c r="H86" s="20">
        <v>20838</v>
      </c>
      <c r="I86" s="19">
        <v>0</v>
      </c>
      <c r="J86" s="20">
        <v>2083.8000000000002</v>
      </c>
    </row>
    <row r="87" spans="1:10" x14ac:dyDescent="0.25">
      <c r="A87" s="22" t="s">
        <v>101</v>
      </c>
      <c r="B87" s="19">
        <v>86</v>
      </c>
      <c r="C87" s="21">
        <v>45343</v>
      </c>
      <c r="D87" s="9" t="s">
        <v>180</v>
      </c>
      <c r="E87" s="9" t="s">
        <v>99</v>
      </c>
      <c r="F87" s="9" t="s">
        <v>114</v>
      </c>
      <c r="G87" s="9">
        <v>2</v>
      </c>
      <c r="H87" s="20">
        <v>24270</v>
      </c>
      <c r="I87" s="19">
        <v>0</v>
      </c>
      <c r="J87" s="20">
        <v>2427</v>
      </c>
    </row>
    <row r="88" spans="1:10" x14ac:dyDescent="0.25">
      <c r="A88" s="22" t="s">
        <v>101</v>
      </c>
      <c r="B88" s="19">
        <v>87</v>
      </c>
      <c r="C88" s="21">
        <v>45343</v>
      </c>
      <c r="D88" s="9" t="s">
        <v>179</v>
      </c>
      <c r="E88" s="9" t="s">
        <v>99</v>
      </c>
      <c r="F88" s="9" t="s">
        <v>114</v>
      </c>
      <c r="G88" s="9">
        <v>2</v>
      </c>
      <c r="H88" s="20">
        <v>3643</v>
      </c>
      <c r="I88" s="19">
        <v>0</v>
      </c>
      <c r="J88" s="20">
        <v>364.3</v>
      </c>
    </row>
    <row r="89" spans="1:10" x14ac:dyDescent="0.25">
      <c r="A89" s="22" t="s">
        <v>101</v>
      </c>
      <c r="B89" s="19">
        <v>88</v>
      </c>
      <c r="C89" s="21">
        <v>45343</v>
      </c>
      <c r="D89" s="9" t="s">
        <v>178</v>
      </c>
      <c r="E89" s="9" t="s">
        <v>99</v>
      </c>
      <c r="F89" s="9" t="s">
        <v>114</v>
      </c>
      <c r="G89" s="9">
        <v>3</v>
      </c>
      <c r="H89" s="20">
        <v>14122</v>
      </c>
      <c r="I89" s="19">
        <v>0</v>
      </c>
      <c r="J89" s="20">
        <v>1412.2</v>
      </c>
    </row>
    <row r="90" spans="1:10" x14ac:dyDescent="0.25">
      <c r="A90" s="22" t="s">
        <v>101</v>
      </c>
      <c r="B90" s="19">
        <v>89</v>
      </c>
      <c r="C90" s="21">
        <v>45343</v>
      </c>
      <c r="D90" s="9" t="s">
        <v>150</v>
      </c>
      <c r="E90" s="9" t="s">
        <v>99</v>
      </c>
      <c r="F90" s="9" t="s">
        <v>114</v>
      </c>
      <c r="G90" s="9">
        <v>2</v>
      </c>
      <c r="H90" s="20">
        <v>8512</v>
      </c>
      <c r="I90" s="19">
        <v>0</v>
      </c>
      <c r="J90" s="20">
        <v>851.2</v>
      </c>
    </row>
    <row r="91" spans="1:10" x14ac:dyDescent="0.25">
      <c r="A91" s="22" t="s">
        <v>101</v>
      </c>
      <c r="B91" s="19">
        <v>90</v>
      </c>
      <c r="C91" s="21">
        <v>45344</v>
      </c>
      <c r="D91" s="9" t="s">
        <v>177</v>
      </c>
      <c r="E91" s="9" t="s">
        <v>99</v>
      </c>
      <c r="F91" s="9" t="s">
        <v>114</v>
      </c>
      <c r="G91" s="9">
        <v>2</v>
      </c>
      <c r="H91" s="20">
        <v>24611</v>
      </c>
      <c r="I91" s="19">
        <v>0</v>
      </c>
      <c r="J91" s="20">
        <v>2461.1000000000004</v>
      </c>
    </row>
    <row r="92" spans="1:10" x14ac:dyDescent="0.25">
      <c r="A92" s="22" t="s">
        <v>101</v>
      </c>
      <c r="B92" s="19">
        <v>91</v>
      </c>
      <c r="C92" s="21">
        <v>45344</v>
      </c>
      <c r="D92" s="9" t="s">
        <v>161</v>
      </c>
      <c r="E92" s="9" t="s">
        <v>99</v>
      </c>
      <c r="F92" s="9" t="s">
        <v>114</v>
      </c>
      <c r="G92" s="9">
        <v>2</v>
      </c>
      <c r="H92" s="20">
        <v>22242</v>
      </c>
      <c r="I92" s="19">
        <v>0</v>
      </c>
      <c r="J92" s="20">
        <v>2224.2000000000003</v>
      </c>
    </row>
    <row r="93" spans="1:10" x14ac:dyDescent="0.25">
      <c r="A93" s="22" t="s">
        <v>101</v>
      </c>
      <c r="B93" s="19">
        <v>92</v>
      </c>
      <c r="C93" s="21">
        <v>45345</v>
      </c>
      <c r="D93" s="9" t="s">
        <v>111</v>
      </c>
      <c r="E93" s="9" t="s">
        <v>99</v>
      </c>
      <c r="F93" s="9" t="s">
        <v>114</v>
      </c>
      <c r="G93" s="9">
        <v>2</v>
      </c>
      <c r="H93" s="20">
        <v>23378</v>
      </c>
      <c r="I93" s="19">
        <v>0</v>
      </c>
      <c r="J93" s="20">
        <v>2337.8000000000002</v>
      </c>
    </row>
    <row r="94" spans="1:10" x14ac:dyDescent="0.25">
      <c r="A94" s="22" t="s">
        <v>101</v>
      </c>
      <c r="B94" s="19">
        <v>93</v>
      </c>
      <c r="C94" s="21">
        <v>45345</v>
      </c>
      <c r="D94" s="9" t="s">
        <v>122</v>
      </c>
      <c r="E94" s="9" t="s">
        <v>99</v>
      </c>
      <c r="F94" s="9" t="s">
        <v>114</v>
      </c>
      <c r="G94" s="9">
        <v>2</v>
      </c>
      <c r="H94" s="20">
        <v>13433</v>
      </c>
      <c r="I94" s="19">
        <v>0</v>
      </c>
      <c r="J94" s="20">
        <v>1343.3000000000002</v>
      </c>
    </row>
    <row r="95" spans="1:10" x14ac:dyDescent="0.25">
      <c r="A95" s="22" t="s">
        <v>101</v>
      </c>
      <c r="B95" s="19">
        <v>94</v>
      </c>
      <c r="C95" s="21">
        <v>45345</v>
      </c>
      <c r="D95" s="9" t="s">
        <v>176</v>
      </c>
      <c r="E95" s="9" t="s">
        <v>99</v>
      </c>
      <c r="F95" s="9" t="s">
        <v>114</v>
      </c>
      <c r="G95" s="9">
        <v>2</v>
      </c>
      <c r="H95" s="20">
        <v>20325</v>
      </c>
      <c r="I95" s="19">
        <v>0</v>
      </c>
      <c r="J95" s="20">
        <v>2032.5</v>
      </c>
    </row>
    <row r="96" spans="1:10" x14ac:dyDescent="0.25">
      <c r="A96" s="22" t="s">
        <v>101</v>
      </c>
      <c r="B96" s="19">
        <v>95</v>
      </c>
      <c r="C96" s="21">
        <v>45346</v>
      </c>
      <c r="D96" s="9" t="s">
        <v>175</v>
      </c>
      <c r="E96" s="9" t="s">
        <v>99</v>
      </c>
      <c r="F96" s="9" t="s">
        <v>114</v>
      </c>
      <c r="G96" s="9">
        <v>2</v>
      </c>
      <c r="H96" s="20">
        <v>6769</v>
      </c>
      <c r="I96" s="19">
        <v>0</v>
      </c>
      <c r="J96" s="20">
        <v>676.90000000000009</v>
      </c>
    </row>
    <row r="97" spans="1:10" x14ac:dyDescent="0.25">
      <c r="A97" s="22" t="s">
        <v>101</v>
      </c>
      <c r="B97" s="19">
        <v>96</v>
      </c>
      <c r="C97" s="21">
        <v>45346</v>
      </c>
      <c r="D97" s="9" t="s">
        <v>113</v>
      </c>
      <c r="E97" s="9" t="s">
        <v>99</v>
      </c>
      <c r="F97" s="9" t="s">
        <v>114</v>
      </c>
      <c r="G97" s="9">
        <v>2</v>
      </c>
      <c r="H97" s="20">
        <v>7155</v>
      </c>
      <c r="I97" s="19">
        <v>0</v>
      </c>
      <c r="J97" s="20">
        <v>715.5</v>
      </c>
    </row>
    <row r="98" spans="1:10" x14ac:dyDescent="0.25">
      <c r="A98" s="22" t="s">
        <v>101</v>
      </c>
      <c r="B98" s="19">
        <v>97</v>
      </c>
      <c r="C98" s="21">
        <v>45350</v>
      </c>
      <c r="D98" s="9" t="s">
        <v>140</v>
      </c>
      <c r="E98" s="9" t="s">
        <v>99</v>
      </c>
      <c r="F98" s="9" t="s">
        <v>114</v>
      </c>
      <c r="G98" s="9">
        <v>2</v>
      </c>
      <c r="H98" s="20">
        <v>9899</v>
      </c>
      <c r="I98" s="19">
        <v>0</v>
      </c>
      <c r="J98" s="20">
        <v>989.90000000000009</v>
      </c>
    </row>
    <row r="99" spans="1:10" x14ac:dyDescent="0.25">
      <c r="A99" s="22" t="s">
        <v>101</v>
      </c>
      <c r="B99" s="19">
        <v>98</v>
      </c>
      <c r="C99" s="21">
        <v>45350</v>
      </c>
      <c r="D99" s="9" t="s">
        <v>174</v>
      </c>
      <c r="E99" s="9" t="s">
        <v>99</v>
      </c>
      <c r="F99" s="9" t="s">
        <v>114</v>
      </c>
      <c r="G99" s="9">
        <v>2</v>
      </c>
      <c r="H99" s="20">
        <v>9979</v>
      </c>
      <c r="I99" s="19">
        <v>0</v>
      </c>
      <c r="J99" s="20">
        <v>997.90000000000009</v>
      </c>
    </row>
    <row r="100" spans="1:10" x14ac:dyDescent="0.25">
      <c r="A100" s="22" t="s">
        <v>101</v>
      </c>
      <c r="B100" s="19">
        <v>99</v>
      </c>
      <c r="C100" s="21">
        <v>45350</v>
      </c>
      <c r="D100" s="9" t="s">
        <v>100</v>
      </c>
      <c r="E100" s="9" t="s">
        <v>99</v>
      </c>
      <c r="F100" s="9" t="s">
        <v>114</v>
      </c>
      <c r="G100" s="9">
        <v>3</v>
      </c>
      <c r="H100" s="20">
        <v>7454</v>
      </c>
      <c r="I100" s="19">
        <v>0</v>
      </c>
      <c r="J100" s="20">
        <v>745.40000000000009</v>
      </c>
    </row>
    <row r="101" spans="1:10" x14ac:dyDescent="0.25">
      <c r="A101" s="22" t="s">
        <v>101</v>
      </c>
      <c r="B101" s="19">
        <v>100</v>
      </c>
      <c r="C101" s="21">
        <v>45350</v>
      </c>
      <c r="D101" s="9" t="s">
        <v>166</v>
      </c>
      <c r="E101" s="9" t="s">
        <v>99</v>
      </c>
      <c r="F101" s="9" t="s">
        <v>114</v>
      </c>
      <c r="G101" s="9">
        <v>2</v>
      </c>
      <c r="H101" s="20">
        <v>11914</v>
      </c>
      <c r="I101" s="19">
        <v>0</v>
      </c>
      <c r="J101" s="20">
        <v>1191.4000000000001</v>
      </c>
    </row>
    <row r="102" spans="1:10" x14ac:dyDescent="0.25">
      <c r="A102" s="22" t="s">
        <v>101</v>
      </c>
      <c r="B102" s="19">
        <v>101</v>
      </c>
      <c r="C102" s="21">
        <v>45350</v>
      </c>
      <c r="D102" s="9" t="s">
        <v>117</v>
      </c>
      <c r="E102" s="9" t="s">
        <v>99</v>
      </c>
      <c r="F102" s="9" t="s">
        <v>114</v>
      </c>
      <c r="G102" s="9">
        <v>2</v>
      </c>
      <c r="H102" s="20">
        <v>14460</v>
      </c>
      <c r="I102" s="19">
        <v>0</v>
      </c>
      <c r="J102" s="20">
        <v>1446</v>
      </c>
    </row>
    <row r="103" spans="1:10" x14ac:dyDescent="0.25">
      <c r="A103" s="22" t="s">
        <v>101</v>
      </c>
      <c r="B103" s="19">
        <v>102</v>
      </c>
      <c r="C103" s="21">
        <v>45350</v>
      </c>
      <c r="D103" s="9" t="s">
        <v>173</v>
      </c>
      <c r="E103" s="9" t="s">
        <v>99</v>
      </c>
      <c r="F103" s="9" t="s">
        <v>114</v>
      </c>
      <c r="G103" s="9">
        <v>2</v>
      </c>
      <c r="H103" s="20">
        <v>3575</v>
      </c>
      <c r="I103" s="19">
        <v>0</v>
      </c>
      <c r="J103" s="20">
        <v>357.5</v>
      </c>
    </row>
    <row r="104" spans="1:10" x14ac:dyDescent="0.25">
      <c r="A104" s="22" t="s">
        <v>101</v>
      </c>
      <c r="B104" s="19">
        <v>103</v>
      </c>
      <c r="C104" s="21">
        <v>45353</v>
      </c>
      <c r="D104" s="9" t="s">
        <v>172</v>
      </c>
      <c r="E104" s="9" t="s">
        <v>99</v>
      </c>
      <c r="F104" s="9" t="s">
        <v>114</v>
      </c>
      <c r="G104" s="9">
        <v>2</v>
      </c>
      <c r="H104" s="20">
        <v>8206</v>
      </c>
      <c r="I104" s="19">
        <v>0</v>
      </c>
      <c r="J104" s="20">
        <v>820.6</v>
      </c>
    </row>
    <row r="105" spans="1:10" x14ac:dyDescent="0.25">
      <c r="A105" s="22" t="s">
        <v>101</v>
      </c>
      <c r="B105" s="19">
        <v>104</v>
      </c>
      <c r="C105" s="21">
        <v>45353</v>
      </c>
      <c r="D105" s="9" t="s">
        <v>171</v>
      </c>
      <c r="E105" s="9" t="s">
        <v>99</v>
      </c>
      <c r="F105" s="9" t="s">
        <v>114</v>
      </c>
      <c r="G105" s="9">
        <v>2</v>
      </c>
      <c r="H105" s="20">
        <v>10092</v>
      </c>
      <c r="I105" s="19">
        <v>0</v>
      </c>
      <c r="J105" s="20">
        <v>1009.2</v>
      </c>
    </row>
    <row r="106" spans="1:10" x14ac:dyDescent="0.25">
      <c r="A106" s="22" t="s">
        <v>101</v>
      </c>
      <c r="B106" s="19">
        <v>105</v>
      </c>
      <c r="C106" s="21">
        <v>45353</v>
      </c>
      <c r="D106" s="9" t="s">
        <v>170</v>
      </c>
      <c r="E106" s="9" t="s">
        <v>99</v>
      </c>
      <c r="F106" s="9" t="s">
        <v>114</v>
      </c>
      <c r="G106" s="9">
        <v>2</v>
      </c>
      <c r="H106" s="20">
        <v>14257</v>
      </c>
      <c r="I106" s="19">
        <v>0</v>
      </c>
      <c r="J106" s="20">
        <v>1425.7</v>
      </c>
    </row>
    <row r="107" spans="1:10" x14ac:dyDescent="0.25">
      <c r="A107" s="22" t="s">
        <v>101</v>
      </c>
      <c r="B107" s="19">
        <v>106</v>
      </c>
      <c r="C107" s="21">
        <v>45353</v>
      </c>
      <c r="D107" s="9" t="s">
        <v>100</v>
      </c>
      <c r="E107" s="9" t="s">
        <v>99</v>
      </c>
      <c r="F107" s="9" t="s">
        <v>114</v>
      </c>
      <c r="G107" s="9">
        <v>3</v>
      </c>
      <c r="H107" s="20">
        <v>22031</v>
      </c>
      <c r="I107" s="19">
        <v>0</v>
      </c>
      <c r="J107" s="20">
        <v>2203.1</v>
      </c>
    </row>
    <row r="108" spans="1:10" x14ac:dyDescent="0.25">
      <c r="A108" s="22" t="s">
        <v>101</v>
      </c>
      <c r="B108" s="19">
        <v>107</v>
      </c>
      <c r="C108" s="21">
        <v>45353</v>
      </c>
      <c r="D108" s="9" t="s">
        <v>169</v>
      </c>
      <c r="E108" s="9" t="s">
        <v>99</v>
      </c>
      <c r="F108" s="9" t="s">
        <v>114</v>
      </c>
      <c r="G108" s="9">
        <v>2</v>
      </c>
      <c r="H108" s="20">
        <v>1097</v>
      </c>
      <c r="I108" s="19">
        <v>0</v>
      </c>
      <c r="J108" s="20">
        <v>109.7</v>
      </c>
    </row>
    <row r="109" spans="1:10" x14ac:dyDescent="0.25">
      <c r="A109" s="22" t="s">
        <v>101</v>
      </c>
      <c r="B109" s="19">
        <v>108</v>
      </c>
      <c r="C109" s="21">
        <v>45354</v>
      </c>
      <c r="D109" s="9" t="s">
        <v>168</v>
      </c>
      <c r="E109" s="9" t="s">
        <v>99</v>
      </c>
      <c r="F109" s="9" t="s">
        <v>114</v>
      </c>
      <c r="G109" s="9">
        <v>2</v>
      </c>
      <c r="H109" s="20">
        <v>17443</v>
      </c>
      <c r="I109" s="19">
        <v>0</v>
      </c>
      <c r="J109" s="20">
        <v>1744.3000000000002</v>
      </c>
    </row>
    <row r="110" spans="1:10" x14ac:dyDescent="0.25">
      <c r="A110" s="22" t="s">
        <v>101</v>
      </c>
      <c r="B110" s="19">
        <v>109</v>
      </c>
      <c r="C110" s="21">
        <v>45354</v>
      </c>
      <c r="D110" s="9" t="s">
        <v>167</v>
      </c>
      <c r="E110" s="9" t="s">
        <v>99</v>
      </c>
      <c r="F110" s="9" t="s">
        <v>114</v>
      </c>
      <c r="G110" s="9">
        <v>2</v>
      </c>
      <c r="H110" s="20">
        <v>9451</v>
      </c>
      <c r="I110" s="19">
        <v>0</v>
      </c>
      <c r="J110" s="20">
        <v>945.1</v>
      </c>
    </row>
    <row r="111" spans="1:10" x14ac:dyDescent="0.25">
      <c r="A111" s="22" t="s">
        <v>101</v>
      </c>
      <c r="B111" s="19">
        <v>110</v>
      </c>
      <c r="C111" s="21">
        <v>45354</v>
      </c>
      <c r="D111" s="9" t="s">
        <v>107</v>
      </c>
      <c r="E111" s="9" t="s">
        <v>99</v>
      </c>
      <c r="F111" s="9" t="s">
        <v>114</v>
      </c>
      <c r="G111" s="9">
        <v>2</v>
      </c>
      <c r="H111" s="20">
        <v>24922</v>
      </c>
      <c r="I111" s="19">
        <v>0</v>
      </c>
      <c r="J111" s="20">
        <v>2492.2000000000003</v>
      </c>
    </row>
    <row r="112" spans="1:10" x14ac:dyDescent="0.25">
      <c r="A112" s="22" t="s">
        <v>101</v>
      </c>
      <c r="B112" s="19">
        <v>111</v>
      </c>
      <c r="C112" s="21">
        <v>45357</v>
      </c>
      <c r="D112" s="9" t="s">
        <v>136</v>
      </c>
      <c r="E112" s="9" t="s">
        <v>99</v>
      </c>
      <c r="F112" s="9" t="s">
        <v>114</v>
      </c>
      <c r="G112" s="9">
        <v>2</v>
      </c>
      <c r="H112" s="20">
        <v>19008</v>
      </c>
      <c r="I112" s="19">
        <v>0</v>
      </c>
      <c r="J112" s="20">
        <v>1900.8000000000002</v>
      </c>
    </row>
    <row r="113" spans="1:10" x14ac:dyDescent="0.25">
      <c r="A113" s="22" t="s">
        <v>101</v>
      </c>
      <c r="B113" s="19">
        <v>112</v>
      </c>
      <c r="C113" s="21">
        <v>45357</v>
      </c>
      <c r="D113" s="9" t="s">
        <v>137</v>
      </c>
      <c r="E113" s="9" t="s">
        <v>99</v>
      </c>
      <c r="F113" s="9" t="s">
        <v>114</v>
      </c>
      <c r="G113" s="9">
        <v>2</v>
      </c>
      <c r="H113" s="20">
        <v>22530</v>
      </c>
      <c r="I113" s="19">
        <v>0</v>
      </c>
      <c r="J113" s="20">
        <v>2253</v>
      </c>
    </row>
    <row r="114" spans="1:10" x14ac:dyDescent="0.25">
      <c r="A114" s="22" t="s">
        <v>101</v>
      </c>
      <c r="B114" s="19">
        <v>113</v>
      </c>
      <c r="C114" s="21">
        <v>45357</v>
      </c>
      <c r="D114" s="9" t="s">
        <v>166</v>
      </c>
      <c r="E114" s="9" t="s">
        <v>99</v>
      </c>
      <c r="F114" s="9" t="s">
        <v>114</v>
      </c>
      <c r="G114" s="9">
        <v>2</v>
      </c>
      <c r="H114" s="20">
        <v>15757</v>
      </c>
      <c r="I114" s="19">
        <v>0</v>
      </c>
      <c r="J114" s="20">
        <v>1575.7</v>
      </c>
    </row>
    <row r="115" spans="1:10" x14ac:dyDescent="0.25">
      <c r="A115" s="22" t="s">
        <v>101</v>
      </c>
      <c r="B115" s="19">
        <v>114</v>
      </c>
      <c r="C115" s="21">
        <v>45358</v>
      </c>
      <c r="D115" s="9" t="s">
        <v>102</v>
      </c>
      <c r="E115" s="9" t="s">
        <v>99</v>
      </c>
      <c r="F115" s="9" t="s">
        <v>114</v>
      </c>
      <c r="G115" s="9">
        <v>2</v>
      </c>
      <c r="H115" s="20">
        <v>15361</v>
      </c>
      <c r="I115" s="19">
        <v>0</v>
      </c>
      <c r="J115" s="20">
        <v>1536.1000000000001</v>
      </c>
    </row>
    <row r="116" spans="1:10" x14ac:dyDescent="0.25">
      <c r="A116" s="22" t="s">
        <v>101</v>
      </c>
      <c r="B116" s="19">
        <v>115</v>
      </c>
      <c r="C116" s="21">
        <v>45358</v>
      </c>
      <c r="D116" s="9" t="s">
        <v>165</v>
      </c>
      <c r="E116" s="9" t="s">
        <v>99</v>
      </c>
      <c r="F116" s="9" t="s">
        <v>114</v>
      </c>
      <c r="G116" s="9">
        <v>2</v>
      </c>
      <c r="H116" s="20">
        <v>9870</v>
      </c>
      <c r="I116" s="19">
        <v>0</v>
      </c>
      <c r="J116" s="20">
        <v>987</v>
      </c>
    </row>
    <row r="117" spans="1:10" x14ac:dyDescent="0.25">
      <c r="A117" s="22" t="s">
        <v>101</v>
      </c>
      <c r="B117" s="19">
        <v>116</v>
      </c>
      <c r="C117" s="21">
        <v>45358</v>
      </c>
      <c r="D117" s="9" t="s">
        <v>164</v>
      </c>
      <c r="E117" s="9" t="s">
        <v>99</v>
      </c>
      <c r="F117" s="9" t="s">
        <v>114</v>
      </c>
      <c r="G117" s="9">
        <v>2</v>
      </c>
      <c r="H117" s="20">
        <v>11617</v>
      </c>
      <c r="I117" s="19">
        <v>0</v>
      </c>
      <c r="J117" s="20">
        <v>1161.7</v>
      </c>
    </row>
    <row r="118" spans="1:10" x14ac:dyDescent="0.25">
      <c r="A118" s="22" t="s">
        <v>101</v>
      </c>
      <c r="B118" s="19">
        <v>117</v>
      </c>
      <c r="C118" s="21">
        <v>45358</v>
      </c>
      <c r="D118" s="9" t="s">
        <v>163</v>
      </c>
      <c r="E118" s="9" t="s">
        <v>99</v>
      </c>
      <c r="F118" s="9" t="s">
        <v>114</v>
      </c>
      <c r="G118" s="9">
        <v>1</v>
      </c>
      <c r="H118" s="20">
        <v>2747</v>
      </c>
      <c r="I118" s="19">
        <v>0</v>
      </c>
      <c r="J118" s="20">
        <v>274.7</v>
      </c>
    </row>
    <row r="119" spans="1:10" x14ac:dyDescent="0.25">
      <c r="A119" s="22" t="s">
        <v>101</v>
      </c>
      <c r="B119" s="19">
        <v>118</v>
      </c>
      <c r="C119" s="21">
        <v>45358</v>
      </c>
      <c r="D119" s="9" t="s">
        <v>162</v>
      </c>
      <c r="E119" s="9" t="s">
        <v>99</v>
      </c>
      <c r="F119" s="9" t="s">
        <v>114</v>
      </c>
      <c r="G119" s="9">
        <v>2</v>
      </c>
      <c r="H119" s="20">
        <v>13906</v>
      </c>
      <c r="I119" s="19">
        <v>0</v>
      </c>
      <c r="J119" s="20">
        <v>1390.6000000000001</v>
      </c>
    </row>
    <row r="120" spans="1:10" x14ac:dyDescent="0.25">
      <c r="A120" s="22" t="s">
        <v>101</v>
      </c>
      <c r="B120" s="19">
        <v>119</v>
      </c>
      <c r="C120" s="21">
        <v>45359</v>
      </c>
      <c r="D120" s="9" t="s">
        <v>161</v>
      </c>
      <c r="E120" s="9" t="s">
        <v>115</v>
      </c>
      <c r="F120" s="9" t="s">
        <v>114</v>
      </c>
      <c r="G120" s="9">
        <v>2</v>
      </c>
      <c r="H120" s="20">
        <v>5884</v>
      </c>
      <c r="I120" s="19">
        <v>0</v>
      </c>
      <c r="J120" s="20">
        <v>588.4</v>
      </c>
    </row>
    <row r="121" spans="1:10" x14ac:dyDescent="0.25">
      <c r="A121" s="22" t="s">
        <v>101</v>
      </c>
      <c r="B121" s="19">
        <v>120</v>
      </c>
      <c r="C121" s="21">
        <v>45359</v>
      </c>
      <c r="D121" s="9" t="s">
        <v>160</v>
      </c>
      <c r="E121" s="9" t="s">
        <v>99</v>
      </c>
      <c r="F121" s="9" t="s">
        <v>114</v>
      </c>
      <c r="G121" s="9">
        <v>2</v>
      </c>
      <c r="H121" s="20">
        <v>16431</v>
      </c>
      <c r="I121" s="19">
        <v>0</v>
      </c>
      <c r="J121" s="20">
        <v>1643.1000000000001</v>
      </c>
    </row>
    <row r="122" spans="1:10" x14ac:dyDescent="0.25">
      <c r="A122" s="22" t="s">
        <v>101</v>
      </c>
      <c r="B122" s="19">
        <v>121</v>
      </c>
      <c r="C122" s="21">
        <v>45359</v>
      </c>
      <c r="D122" s="9" t="s">
        <v>159</v>
      </c>
      <c r="E122" s="9" t="s">
        <v>99</v>
      </c>
      <c r="F122" s="9" t="s">
        <v>114</v>
      </c>
      <c r="G122" s="9">
        <v>2</v>
      </c>
      <c r="H122" s="20">
        <v>3937</v>
      </c>
      <c r="I122" s="19">
        <v>0</v>
      </c>
      <c r="J122" s="20">
        <v>393.70000000000005</v>
      </c>
    </row>
    <row r="123" spans="1:10" x14ac:dyDescent="0.25">
      <c r="A123" s="22" t="s">
        <v>101</v>
      </c>
      <c r="B123" s="19">
        <v>122</v>
      </c>
      <c r="C123" s="21">
        <v>45359</v>
      </c>
      <c r="D123" s="9" t="s">
        <v>109</v>
      </c>
      <c r="E123" s="9" t="s">
        <v>99</v>
      </c>
      <c r="F123" s="9" t="s">
        <v>114</v>
      </c>
      <c r="G123" s="9">
        <v>1</v>
      </c>
      <c r="H123" s="20">
        <v>11605</v>
      </c>
      <c r="I123" s="19">
        <v>0</v>
      </c>
      <c r="J123" s="20">
        <v>1160.5</v>
      </c>
    </row>
    <row r="124" spans="1:10" x14ac:dyDescent="0.25">
      <c r="A124" s="22" t="s">
        <v>101</v>
      </c>
      <c r="B124" s="19">
        <v>123</v>
      </c>
      <c r="C124" s="21">
        <v>45360</v>
      </c>
      <c r="D124" s="9" t="s">
        <v>131</v>
      </c>
      <c r="E124" s="9" t="s">
        <v>99</v>
      </c>
      <c r="F124" s="9" t="s">
        <v>114</v>
      </c>
      <c r="G124" s="9">
        <v>2</v>
      </c>
      <c r="H124" s="20">
        <v>8152</v>
      </c>
      <c r="I124" s="19">
        <v>0</v>
      </c>
      <c r="J124" s="20">
        <v>815.2</v>
      </c>
    </row>
    <row r="125" spans="1:10" x14ac:dyDescent="0.25">
      <c r="A125" s="22" t="s">
        <v>101</v>
      </c>
      <c r="B125" s="19">
        <v>124</v>
      </c>
      <c r="C125" s="21">
        <v>45360</v>
      </c>
      <c r="D125" s="9" t="s">
        <v>116</v>
      </c>
      <c r="E125" s="9" t="s">
        <v>99</v>
      </c>
      <c r="F125" s="9" t="s">
        <v>114</v>
      </c>
      <c r="G125" s="9">
        <v>2</v>
      </c>
      <c r="H125" s="20">
        <v>14870</v>
      </c>
      <c r="I125" s="19">
        <v>0</v>
      </c>
      <c r="J125" s="20">
        <v>1487</v>
      </c>
    </row>
    <row r="126" spans="1:10" x14ac:dyDescent="0.25">
      <c r="A126" s="22" t="s">
        <v>101</v>
      </c>
      <c r="B126" s="19">
        <v>125</v>
      </c>
      <c r="C126" s="21">
        <v>45360</v>
      </c>
      <c r="D126" s="9" t="s">
        <v>135</v>
      </c>
      <c r="E126" s="9" t="s">
        <v>99</v>
      </c>
      <c r="F126" s="9" t="s">
        <v>114</v>
      </c>
      <c r="G126" s="9">
        <v>2</v>
      </c>
      <c r="H126" s="20">
        <v>15866</v>
      </c>
      <c r="I126" s="19">
        <v>0</v>
      </c>
      <c r="J126" s="20">
        <v>1586.6000000000001</v>
      </c>
    </row>
    <row r="127" spans="1:10" x14ac:dyDescent="0.25">
      <c r="A127" s="22" t="s">
        <v>101</v>
      </c>
      <c r="B127" s="19">
        <v>126</v>
      </c>
      <c r="C127" s="21">
        <v>45360</v>
      </c>
      <c r="D127" s="9" t="s">
        <v>158</v>
      </c>
      <c r="E127" s="9" t="s">
        <v>99</v>
      </c>
      <c r="F127" s="9" t="s">
        <v>114</v>
      </c>
      <c r="G127" s="9">
        <v>2</v>
      </c>
      <c r="H127" s="20">
        <v>13074</v>
      </c>
      <c r="I127" s="19">
        <v>0</v>
      </c>
      <c r="J127" s="20">
        <v>1307.4000000000001</v>
      </c>
    </row>
    <row r="128" spans="1:10" x14ac:dyDescent="0.25">
      <c r="A128" s="22" t="s">
        <v>101</v>
      </c>
      <c r="B128" s="19">
        <v>127</v>
      </c>
      <c r="C128" s="21">
        <v>45361</v>
      </c>
      <c r="D128" s="9" t="s">
        <v>157</v>
      </c>
      <c r="E128" s="9" t="s">
        <v>99</v>
      </c>
      <c r="F128" s="9" t="s">
        <v>114</v>
      </c>
      <c r="G128" s="9">
        <v>2</v>
      </c>
      <c r="H128" s="20">
        <v>9649</v>
      </c>
      <c r="I128" s="19">
        <v>0</v>
      </c>
      <c r="J128" s="20">
        <v>964.90000000000009</v>
      </c>
    </row>
    <row r="129" spans="1:10" x14ac:dyDescent="0.25">
      <c r="A129" s="22" t="s">
        <v>101</v>
      </c>
      <c r="B129" s="19">
        <v>128</v>
      </c>
      <c r="C129" s="21">
        <v>45361</v>
      </c>
      <c r="D129" s="9" t="s">
        <v>156</v>
      </c>
      <c r="E129" s="9" t="s">
        <v>99</v>
      </c>
      <c r="F129" s="9" t="s">
        <v>114</v>
      </c>
      <c r="G129" s="9">
        <v>2</v>
      </c>
      <c r="H129" s="20">
        <v>23181</v>
      </c>
      <c r="I129" s="19">
        <v>0</v>
      </c>
      <c r="J129" s="20">
        <v>2318.1</v>
      </c>
    </row>
    <row r="130" spans="1:10" x14ac:dyDescent="0.25">
      <c r="A130" s="22" t="s">
        <v>101</v>
      </c>
      <c r="B130" s="19">
        <v>129</v>
      </c>
      <c r="C130" s="21">
        <v>45361</v>
      </c>
      <c r="D130" s="9" t="s">
        <v>155</v>
      </c>
      <c r="E130" s="9" t="s">
        <v>99</v>
      </c>
      <c r="F130" s="9" t="s">
        <v>114</v>
      </c>
      <c r="G130" s="9">
        <v>2</v>
      </c>
      <c r="H130" s="20">
        <v>8479</v>
      </c>
      <c r="I130" s="19">
        <v>0</v>
      </c>
      <c r="J130" s="20">
        <v>847.90000000000009</v>
      </c>
    </row>
    <row r="131" spans="1:10" x14ac:dyDescent="0.25">
      <c r="A131" s="22" t="s">
        <v>101</v>
      </c>
      <c r="B131" s="19">
        <v>130</v>
      </c>
      <c r="C131" s="21">
        <v>45361</v>
      </c>
      <c r="D131" s="9" t="s">
        <v>102</v>
      </c>
      <c r="E131" s="9" t="s">
        <v>99</v>
      </c>
      <c r="F131" s="9" t="s">
        <v>114</v>
      </c>
      <c r="G131" s="9">
        <v>2</v>
      </c>
      <c r="H131" s="20">
        <v>2127</v>
      </c>
      <c r="I131" s="19">
        <v>0</v>
      </c>
      <c r="J131" s="20">
        <v>212.70000000000002</v>
      </c>
    </row>
    <row r="132" spans="1:10" x14ac:dyDescent="0.25">
      <c r="A132" s="22" t="s">
        <v>101</v>
      </c>
      <c r="B132" s="19">
        <v>131</v>
      </c>
      <c r="C132" s="21">
        <v>45361</v>
      </c>
      <c r="D132" s="9" t="s">
        <v>100</v>
      </c>
      <c r="E132" s="9" t="s">
        <v>99</v>
      </c>
      <c r="F132" s="9" t="s">
        <v>114</v>
      </c>
      <c r="G132" s="9">
        <v>3</v>
      </c>
      <c r="H132" s="20">
        <v>9652</v>
      </c>
      <c r="I132" s="19">
        <v>0</v>
      </c>
      <c r="J132" s="20">
        <v>965.2</v>
      </c>
    </row>
    <row r="133" spans="1:10" x14ac:dyDescent="0.25">
      <c r="A133" s="22" t="s">
        <v>101</v>
      </c>
      <c r="B133" s="19">
        <v>132</v>
      </c>
      <c r="C133" s="21">
        <v>45364</v>
      </c>
      <c r="D133" s="9" t="s">
        <v>105</v>
      </c>
      <c r="E133" s="9" t="s">
        <v>99</v>
      </c>
      <c r="F133" s="9" t="s">
        <v>114</v>
      </c>
      <c r="G133" s="9">
        <v>3</v>
      </c>
      <c r="H133" s="20">
        <v>22982</v>
      </c>
      <c r="I133" s="19">
        <v>0</v>
      </c>
      <c r="J133" s="20">
        <v>2298.2000000000003</v>
      </c>
    </row>
    <row r="134" spans="1:10" x14ac:dyDescent="0.25">
      <c r="A134" s="22" t="s">
        <v>101</v>
      </c>
      <c r="B134" s="19">
        <v>133</v>
      </c>
      <c r="C134" s="21">
        <v>45364</v>
      </c>
      <c r="D134" s="9" t="s">
        <v>118</v>
      </c>
      <c r="E134" s="9" t="s">
        <v>99</v>
      </c>
      <c r="F134" s="9" t="s">
        <v>114</v>
      </c>
      <c r="G134" s="9">
        <v>2</v>
      </c>
      <c r="H134" s="20">
        <v>9393</v>
      </c>
      <c r="I134" s="19">
        <v>0</v>
      </c>
      <c r="J134" s="20">
        <v>939.30000000000007</v>
      </c>
    </row>
    <row r="135" spans="1:10" x14ac:dyDescent="0.25">
      <c r="A135" s="22" t="s">
        <v>101</v>
      </c>
      <c r="B135" s="19">
        <v>134</v>
      </c>
      <c r="C135" s="21">
        <v>45364</v>
      </c>
      <c r="D135" s="9" t="s">
        <v>105</v>
      </c>
      <c r="E135" s="9" t="s">
        <v>99</v>
      </c>
      <c r="F135" s="9" t="s">
        <v>114</v>
      </c>
      <c r="G135" s="9">
        <v>3</v>
      </c>
      <c r="H135" s="20">
        <v>14833</v>
      </c>
      <c r="I135" s="19">
        <v>0</v>
      </c>
      <c r="J135" s="20">
        <v>1483.3000000000002</v>
      </c>
    </row>
    <row r="136" spans="1:10" x14ac:dyDescent="0.25">
      <c r="A136" s="22" t="s">
        <v>101</v>
      </c>
      <c r="B136" s="19">
        <v>135</v>
      </c>
      <c r="C136" s="21">
        <v>45364</v>
      </c>
      <c r="D136" s="9" t="s">
        <v>154</v>
      </c>
      <c r="E136" s="9" t="s">
        <v>99</v>
      </c>
      <c r="F136" s="9" t="s">
        <v>114</v>
      </c>
      <c r="G136" s="9">
        <v>2</v>
      </c>
      <c r="H136" s="20">
        <v>24111</v>
      </c>
      <c r="I136" s="19">
        <v>0</v>
      </c>
      <c r="J136" s="20">
        <v>2411.1</v>
      </c>
    </row>
    <row r="137" spans="1:10" x14ac:dyDescent="0.25">
      <c r="A137" s="22" t="s">
        <v>101</v>
      </c>
      <c r="B137" s="19">
        <v>136</v>
      </c>
      <c r="C137" s="21">
        <v>45364</v>
      </c>
      <c r="D137" s="9" t="s">
        <v>100</v>
      </c>
      <c r="E137" s="9" t="s">
        <v>99</v>
      </c>
      <c r="F137" s="9" t="s">
        <v>114</v>
      </c>
      <c r="G137" s="9">
        <v>3</v>
      </c>
      <c r="H137" s="20">
        <v>9844</v>
      </c>
      <c r="I137" s="19">
        <v>0</v>
      </c>
      <c r="J137" s="20">
        <v>984.40000000000009</v>
      </c>
    </row>
    <row r="138" spans="1:10" x14ac:dyDescent="0.25">
      <c r="A138" s="22" t="s">
        <v>101</v>
      </c>
      <c r="B138" s="19">
        <v>137</v>
      </c>
      <c r="C138" s="21">
        <v>45365</v>
      </c>
      <c r="D138" s="9" t="s">
        <v>106</v>
      </c>
      <c r="E138" s="9" t="s">
        <v>99</v>
      </c>
      <c r="F138" s="9" t="s">
        <v>114</v>
      </c>
      <c r="G138" s="9">
        <v>3</v>
      </c>
      <c r="H138" s="20">
        <v>18092</v>
      </c>
      <c r="I138" s="19">
        <v>0</v>
      </c>
      <c r="J138" s="20">
        <v>1809.2</v>
      </c>
    </row>
    <row r="139" spans="1:10" x14ac:dyDescent="0.25">
      <c r="A139" s="22" t="s">
        <v>101</v>
      </c>
      <c r="B139" s="19">
        <v>138</v>
      </c>
      <c r="C139" s="21">
        <v>45365</v>
      </c>
      <c r="D139" s="9" t="s">
        <v>113</v>
      </c>
      <c r="E139" s="9" t="s">
        <v>99</v>
      </c>
      <c r="F139" s="9" t="s">
        <v>114</v>
      </c>
      <c r="G139" s="9">
        <v>2</v>
      </c>
      <c r="H139" s="20">
        <v>23481</v>
      </c>
      <c r="I139" s="19">
        <v>0</v>
      </c>
      <c r="J139" s="20">
        <v>2348.1</v>
      </c>
    </row>
    <row r="140" spans="1:10" x14ac:dyDescent="0.25">
      <c r="A140" s="22" t="s">
        <v>101</v>
      </c>
      <c r="B140" s="19">
        <v>139</v>
      </c>
      <c r="C140" s="21">
        <v>45365</v>
      </c>
      <c r="D140" s="9" t="s">
        <v>153</v>
      </c>
      <c r="E140" s="9" t="s">
        <v>99</v>
      </c>
      <c r="F140" s="9" t="s">
        <v>114</v>
      </c>
      <c r="G140" s="9">
        <v>3</v>
      </c>
      <c r="H140" s="20">
        <v>3421</v>
      </c>
      <c r="I140" s="19">
        <v>0</v>
      </c>
      <c r="J140" s="20">
        <v>342.1</v>
      </c>
    </row>
    <row r="141" spans="1:10" x14ac:dyDescent="0.25">
      <c r="A141" s="22" t="s">
        <v>101</v>
      </c>
      <c r="B141" s="19">
        <v>140</v>
      </c>
      <c r="C141" s="21">
        <v>45366</v>
      </c>
      <c r="D141" s="9" t="s">
        <v>140</v>
      </c>
      <c r="E141" s="9" t="s">
        <v>115</v>
      </c>
      <c r="F141" s="9" t="s">
        <v>114</v>
      </c>
      <c r="G141" s="9">
        <v>2</v>
      </c>
      <c r="H141" s="20">
        <v>22476</v>
      </c>
      <c r="I141" s="19">
        <v>0</v>
      </c>
      <c r="J141" s="20">
        <v>2247.6</v>
      </c>
    </row>
    <row r="142" spans="1:10" x14ac:dyDescent="0.25">
      <c r="A142" s="22" t="s">
        <v>101</v>
      </c>
      <c r="B142" s="19">
        <v>141</v>
      </c>
      <c r="C142" s="21">
        <v>45366</v>
      </c>
      <c r="D142" s="9" t="s">
        <v>152</v>
      </c>
      <c r="E142" s="9" t="s">
        <v>115</v>
      </c>
      <c r="F142" s="9" t="s">
        <v>114</v>
      </c>
      <c r="G142" s="9">
        <v>2</v>
      </c>
      <c r="H142" s="20">
        <v>16955</v>
      </c>
      <c r="I142" s="19">
        <v>0</v>
      </c>
      <c r="J142" s="20">
        <v>1695.5</v>
      </c>
    </row>
    <row r="143" spans="1:10" x14ac:dyDescent="0.25">
      <c r="A143" s="22" t="s">
        <v>101</v>
      </c>
      <c r="B143" s="19">
        <v>142</v>
      </c>
      <c r="C143" s="21">
        <v>45366</v>
      </c>
      <c r="D143" s="9" t="s">
        <v>151</v>
      </c>
      <c r="E143" s="9" t="s">
        <v>115</v>
      </c>
      <c r="F143" s="9" t="s">
        <v>114</v>
      </c>
      <c r="G143" s="9">
        <v>2</v>
      </c>
      <c r="H143" s="20">
        <v>20522</v>
      </c>
      <c r="I143" s="19">
        <v>0</v>
      </c>
      <c r="J143" s="20">
        <v>2052.2000000000003</v>
      </c>
    </row>
    <row r="144" spans="1:10" x14ac:dyDescent="0.25">
      <c r="A144" s="22" t="s">
        <v>101</v>
      </c>
      <c r="B144" s="19">
        <v>143</v>
      </c>
      <c r="C144" s="21">
        <v>45367</v>
      </c>
      <c r="D144" s="9" t="s">
        <v>120</v>
      </c>
      <c r="E144" s="9" t="s">
        <v>115</v>
      </c>
      <c r="F144" s="9" t="s">
        <v>114</v>
      </c>
      <c r="G144" s="9">
        <v>2</v>
      </c>
      <c r="H144" s="20">
        <v>11416</v>
      </c>
      <c r="I144" s="19">
        <v>0</v>
      </c>
      <c r="J144" s="20">
        <v>1141.6000000000001</v>
      </c>
    </row>
    <row r="145" spans="1:10" x14ac:dyDescent="0.25">
      <c r="A145" s="22" t="s">
        <v>101</v>
      </c>
      <c r="B145" s="19">
        <v>144</v>
      </c>
      <c r="C145" s="21">
        <v>45367</v>
      </c>
      <c r="D145" s="9" t="s">
        <v>150</v>
      </c>
      <c r="E145" s="9" t="s">
        <v>115</v>
      </c>
      <c r="F145" s="9" t="s">
        <v>114</v>
      </c>
      <c r="G145" s="9">
        <v>2</v>
      </c>
      <c r="H145" s="20">
        <v>1009</v>
      </c>
      <c r="I145" s="19">
        <v>0</v>
      </c>
      <c r="J145" s="20">
        <v>100.9</v>
      </c>
    </row>
    <row r="146" spans="1:10" x14ac:dyDescent="0.25">
      <c r="A146" s="22" t="s">
        <v>101</v>
      </c>
      <c r="B146" s="19">
        <v>145</v>
      </c>
      <c r="C146" s="21">
        <v>45367</v>
      </c>
      <c r="D146" s="9" t="s">
        <v>104</v>
      </c>
      <c r="E146" s="9" t="s">
        <v>115</v>
      </c>
      <c r="F146" s="9" t="s">
        <v>114</v>
      </c>
      <c r="G146" s="9">
        <v>2</v>
      </c>
      <c r="H146" s="20">
        <v>3992</v>
      </c>
      <c r="I146" s="19">
        <v>0</v>
      </c>
      <c r="J146" s="20">
        <v>399.20000000000005</v>
      </c>
    </row>
    <row r="147" spans="1:10" x14ac:dyDescent="0.25">
      <c r="A147" s="22" t="s">
        <v>101</v>
      </c>
      <c r="B147" s="19">
        <v>146</v>
      </c>
      <c r="C147" s="21">
        <v>45367</v>
      </c>
      <c r="D147" s="9" t="s">
        <v>138</v>
      </c>
      <c r="E147" s="9" t="s">
        <v>115</v>
      </c>
      <c r="F147" s="9" t="s">
        <v>114</v>
      </c>
      <c r="G147" s="9">
        <v>2</v>
      </c>
      <c r="H147" s="20">
        <v>4549</v>
      </c>
      <c r="I147" s="19">
        <v>0</v>
      </c>
      <c r="J147" s="20">
        <v>454.90000000000003</v>
      </c>
    </row>
    <row r="148" spans="1:10" x14ac:dyDescent="0.25">
      <c r="A148" s="22" t="s">
        <v>101</v>
      </c>
      <c r="B148" s="19">
        <v>147</v>
      </c>
      <c r="C148" s="21">
        <v>45371</v>
      </c>
      <c r="D148" s="9" t="s">
        <v>149</v>
      </c>
      <c r="E148" s="9" t="s">
        <v>115</v>
      </c>
      <c r="F148" s="9" t="s">
        <v>114</v>
      </c>
      <c r="G148" s="9">
        <v>2</v>
      </c>
      <c r="H148" s="20">
        <v>6522</v>
      </c>
      <c r="I148" s="19">
        <v>0</v>
      </c>
      <c r="J148" s="20">
        <v>652.20000000000005</v>
      </c>
    </row>
    <row r="149" spans="1:10" x14ac:dyDescent="0.25">
      <c r="A149" s="22" t="s">
        <v>101</v>
      </c>
      <c r="B149" s="19">
        <v>148</v>
      </c>
      <c r="C149" s="21">
        <v>45371</v>
      </c>
      <c r="D149" s="9" t="s">
        <v>123</v>
      </c>
      <c r="E149" s="9" t="s">
        <v>99</v>
      </c>
      <c r="F149" s="9" t="s">
        <v>114</v>
      </c>
      <c r="G149" s="9">
        <v>2</v>
      </c>
      <c r="H149" s="20">
        <v>11031</v>
      </c>
      <c r="I149" s="19">
        <v>0</v>
      </c>
      <c r="J149" s="20">
        <v>1103.1000000000001</v>
      </c>
    </row>
    <row r="150" spans="1:10" x14ac:dyDescent="0.25">
      <c r="A150" s="22" t="s">
        <v>101</v>
      </c>
      <c r="B150" s="19">
        <v>149</v>
      </c>
      <c r="C150" s="21">
        <v>45372</v>
      </c>
      <c r="D150" s="9" t="s">
        <v>148</v>
      </c>
      <c r="E150" s="9" t="s">
        <v>99</v>
      </c>
      <c r="F150" s="9" t="s">
        <v>114</v>
      </c>
      <c r="G150" s="9">
        <v>2</v>
      </c>
      <c r="H150" s="20">
        <v>7194</v>
      </c>
      <c r="I150" s="19">
        <v>0</v>
      </c>
      <c r="J150" s="20">
        <v>719.40000000000009</v>
      </c>
    </row>
    <row r="151" spans="1:10" x14ac:dyDescent="0.25">
      <c r="A151" s="22" t="s">
        <v>101</v>
      </c>
      <c r="B151" s="19">
        <v>150</v>
      </c>
      <c r="C151" s="21">
        <v>45372</v>
      </c>
      <c r="D151" s="9" t="s">
        <v>147</v>
      </c>
      <c r="E151" s="9" t="s">
        <v>99</v>
      </c>
      <c r="F151" s="9" t="s">
        <v>114</v>
      </c>
      <c r="G151" s="9">
        <v>2</v>
      </c>
      <c r="H151" s="20">
        <v>7538</v>
      </c>
      <c r="I151" s="19">
        <v>0</v>
      </c>
      <c r="J151" s="20">
        <v>753.80000000000007</v>
      </c>
    </row>
    <row r="152" spans="1:10" x14ac:dyDescent="0.25">
      <c r="A152" s="22" t="s">
        <v>101</v>
      </c>
      <c r="B152" s="19">
        <v>151</v>
      </c>
      <c r="C152" s="21">
        <v>45372</v>
      </c>
      <c r="D152" s="9" t="s">
        <v>146</v>
      </c>
      <c r="E152" s="9" t="s">
        <v>99</v>
      </c>
      <c r="F152" s="9" t="s">
        <v>114</v>
      </c>
      <c r="G152" s="9">
        <v>2</v>
      </c>
      <c r="H152" s="20">
        <v>14837</v>
      </c>
      <c r="I152" s="19">
        <v>0</v>
      </c>
      <c r="J152" s="20">
        <v>1483.7</v>
      </c>
    </row>
    <row r="153" spans="1:10" x14ac:dyDescent="0.25">
      <c r="A153" s="22" t="s">
        <v>101</v>
      </c>
      <c r="B153" s="19">
        <v>152</v>
      </c>
      <c r="C153" s="21">
        <v>45373</v>
      </c>
      <c r="D153" s="9" t="s">
        <v>120</v>
      </c>
      <c r="E153" s="9" t="s">
        <v>99</v>
      </c>
      <c r="F153" s="9" t="s">
        <v>114</v>
      </c>
      <c r="G153" s="9">
        <v>2</v>
      </c>
      <c r="H153" s="20">
        <v>16260</v>
      </c>
      <c r="I153" s="19">
        <v>0</v>
      </c>
      <c r="J153" s="20">
        <v>1626</v>
      </c>
    </row>
    <row r="154" spans="1:10" x14ac:dyDescent="0.25">
      <c r="A154" s="22" t="s">
        <v>101</v>
      </c>
      <c r="B154" s="19">
        <v>153</v>
      </c>
      <c r="C154" s="21">
        <v>45373</v>
      </c>
      <c r="D154" s="9" t="s">
        <v>100</v>
      </c>
      <c r="E154" s="9" t="s">
        <v>99</v>
      </c>
      <c r="F154" s="9" t="s">
        <v>114</v>
      </c>
      <c r="G154" s="9">
        <v>3</v>
      </c>
      <c r="H154" s="20">
        <v>22773</v>
      </c>
      <c r="I154" s="19">
        <v>0</v>
      </c>
      <c r="J154" s="20">
        <v>2277.3000000000002</v>
      </c>
    </row>
    <row r="155" spans="1:10" x14ac:dyDescent="0.25">
      <c r="A155" s="22" t="s">
        <v>101</v>
      </c>
      <c r="B155" s="19">
        <v>154</v>
      </c>
      <c r="C155" s="21">
        <v>45374</v>
      </c>
      <c r="D155" s="9" t="s">
        <v>145</v>
      </c>
      <c r="E155" s="9" t="s">
        <v>99</v>
      </c>
      <c r="F155" s="9" t="s">
        <v>114</v>
      </c>
      <c r="G155" s="9">
        <v>2</v>
      </c>
      <c r="H155" s="20">
        <v>24879</v>
      </c>
      <c r="I155" s="19">
        <v>0</v>
      </c>
      <c r="J155" s="20">
        <v>2487.9</v>
      </c>
    </row>
    <row r="156" spans="1:10" x14ac:dyDescent="0.25">
      <c r="A156" s="22" t="s">
        <v>101</v>
      </c>
      <c r="B156" s="19">
        <v>155</v>
      </c>
      <c r="C156" s="21">
        <v>45375</v>
      </c>
      <c r="D156" s="9" t="s">
        <v>141</v>
      </c>
      <c r="E156" s="9" t="s">
        <v>99</v>
      </c>
      <c r="F156" s="9" t="s">
        <v>114</v>
      </c>
      <c r="G156" s="9">
        <v>2</v>
      </c>
      <c r="H156" s="20">
        <v>10711</v>
      </c>
      <c r="I156" s="19">
        <v>0</v>
      </c>
      <c r="J156" s="20">
        <v>1071.1000000000001</v>
      </c>
    </row>
    <row r="157" spans="1:10" x14ac:dyDescent="0.25">
      <c r="A157" s="22" t="s">
        <v>101</v>
      </c>
      <c r="B157" s="19">
        <v>156</v>
      </c>
      <c r="C157" s="21">
        <v>45375</v>
      </c>
      <c r="D157" s="9" t="s">
        <v>140</v>
      </c>
      <c r="E157" s="9" t="s">
        <v>99</v>
      </c>
      <c r="F157" s="9" t="s">
        <v>114</v>
      </c>
      <c r="G157" s="9">
        <v>2</v>
      </c>
      <c r="H157" s="20">
        <v>5859</v>
      </c>
      <c r="I157" s="19">
        <v>0</v>
      </c>
      <c r="J157" s="20">
        <v>585.9</v>
      </c>
    </row>
    <row r="158" spans="1:10" x14ac:dyDescent="0.25">
      <c r="A158" s="22" t="s">
        <v>101</v>
      </c>
      <c r="B158" s="19">
        <v>157</v>
      </c>
      <c r="C158" s="21">
        <v>45375</v>
      </c>
      <c r="D158" s="9" t="s">
        <v>135</v>
      </c>
      <c r="E158" s="9" t="s">
        <v>99</v>
      </c>
      <c r="F158" s="9" t="s">
        <v>114</v>
      </c>
      <c r="G158" s="9">
        <v>2</v>
      </c>
      <c r="H158" s="20">
        <v>24921</v>
      </c>
      <c r="I158" s="19">
        <v>0</v>
      </c>
      <c r="J158" s="20">
        <v>2492.1000000000004</v>
      </c>
    </row>
    <row r="159" spans="1:10" x14ac:dyDescent="0.25">
      <c r="A159" s="22" t="s">
        <v>101</v>
      </c>
      <c r="B159" s="19">
        <v>158</v>
      </c>
      <c r="C159" s="21">
        <v>45378</v>
      </c>
      <c r="D159" s="9" t="s">
        <v>144</v>
      </c>
      <c r="E159" s="9" t="s">
        <v>99</v>
      </c>
      <c r="F159" s="9" t="s">
        <v>114</v>
      </c>
      <c r="G159" s="9">
        <v>2</v>
      </c>
      <c r="H159" s="20">
        <v>6395</v>
      </c>
      <c r="I159" s="19">
        <v>0</v>
      </c>
      <c r="J159" s="20">
        <v>639.5</v>
      </c>
    </row>
    <row r="160" spans="1:10" x14ac:dyDescent="0.25">
      <c r="A160" s="22" t="s">
        <v>101</v>
      </c>
      <c r="B160" s="19">
        <v>159</v>
      </c>
      <c r="C160" s="21">
        <v>45378</v>
      </c>
      <c r="D160" s="9" t="s">
        <v>143</v>
      </c>
      <c r="E160" s="9" t="s">
        <v>99</v>
      </c>
      <c r="F160" s="9" t="s">
        <v>114</v>
      </c>
      <c r="G160" s="9">
        <v>2</v>
      </c>
      <c r="H160" s="20">
        <v>19632</v>
      </c>
      <c r="I160" s="19">
        <v>0</v>
      </c>
      <c r="J160" s="20">
        <v>1963.2</v>
      </c>
    </row>
    <row r="161" spans="1:10" x14ac:dyDescent="0.25">
      <c r="A161" s="22" t="s">
        <v>101</v>
      </c>
      <c r="B161" s="19">
        <v>160</v>
      </c>
      <c r="C161" s="21">
        <v>45379</v>
      </c>
      <c r="D161" s="9" t="s">
        <v>142</v>
      </c>
      <c r="E161" s="9" t="s">
        <v>99</v>
      </c>
      <c r="F161" s="9" t="s">
        <v>114</v>
      </c>
      <c r="G161" s="9">
        <v>2</v>
      </c>
      <c r="H161" s="20">
        <v>3791</v>
      </c>
      <c r="I161" s="19">
        <v>0</v>
      </c>
      <c r="J161" s="20">
        <v>379.1</v>
      </c>
    </row>
    <row r="162" spans="1:10" x14ac:dyDescent="0.25">
      <c r="A162" s="22" t="s">
        <v>101</v>
      </c>
      <c r="B162" s="19">
        <v>161</v>
      </c>
      <c r="C162" s="21">
        <v>45379</v>
      </c>
      <c r="D162" s="9" t="s">
        <v>100</v>
      </c>
      <c r="E162" s="9" t="s">
        <v>99</v>
      </c>
      <c r="F162" s="9" t="s">
        <v>114</v>
      </c>
      <c r="G162" s="9">
        <v>3</v>
      </c>
      <c r="H162" s="20">
        <v>24324</v>
      </c>
      <c r="I162" s="19">
        <v>0</v>
      </c>
      <c r="J162" s="20">
        <v>2432.4</v>
      </c>
    </row>
    <row r="163" spans="1:10" x14ac:dyDescent="0.25">
      <c r="A163" s="22" t="s">
        <v>101</v>
      </c>
      <c r="B163" s="19">
        <v>162</v>
      </c>
      <c r="C163" s="21">
        <v>45381</v>
      </c>
      <c r="D163" s="9" t="s">
        <v>113</v>
      </c>
      <c r="E163" s="9" t="s">
        <v>99</v>
      </c>
      <c r="F163" s="9" t="s">
        <v>114</v>
      </c>
      <c r="G163" s="9">
        <v>2</v>
      </c>
      <c r="H163" s="20">
        <v>10165</v>
      </c>
      <c r="I163" s="19">
        <v>0</v>
      </c>
      <c r="J163" s="20">
        <v>1016.5</v>
      </c>
    </row>
    <row r="164" spans="1:10" x14ac:dyDescent="0.25">
      <c r="A164" s="22" t="s">
        <v>101</v>
      </c>
      <c r="B164" s="19">
        <v>163</v>
      </c>
      <c r="C164" s="21">
        <v>45381</v>
      </c>
      <c r="D164" s="9" t="s">
        <v>141</v>
      </c>
      <c r="E164" s="9" t="s">
        <v>99</v>
      </c>
      <c r="F164" s="9" t="s">
        <v>114</v>
      </c>
      <c r="G164" s="9">
        <v>2</v>
      </c>
      <c r="H164" s="20">
        <v>24846</v>
      </c>
      <c r="I164" s="19">
        <v>0</v>
      </c>
      <c r="J164" s="20">
        <v>2484.6000000000004</v>
      </c>
    </row>
    <row r="165" spans="1:10" x14ac:dyDescent="0.25">
      <c r="A165" s="22" t="s">
        <v>101</v>
      </c>
      <c r="B165" s="19">
        <v>164</v>
      </c>
      <c r="C165" s="21">
        <v>45382</v>
      </c>
      <c r="D165" s="9" t="s">
        <v>112</v>
      </c>
      <c r="E165" s="9" t="s">
        <v>99</v>
      </c>
      <c r="F165" s="9" t="s">
        <v>114</v>
      </c>
      <c r="G165" s="9">
        <v>2</v>
      </c>
      <c r="H165" s="20">
        <v>9187</v>
      </c>
      <c r="I165" s="19">
        <v>0</v>
      </c>
      <c r="J165" s="20">
        <v>918.7</v>
      </c>
    </row>
    <row r="166" spans="1:10" x14ac:dyDescent="0.25">
      <c r="A166" s="22" t="s">
        <v>101</v>
      </c>
      <c r="B166" s="19">
        <v>165</v>
      </c>
      <c r="C166" s="21">
        <v>45382</v>
      </c>
      <c r="D166" s="9" t="s">
        <v>140</v>
      </c>
      <c r="E166" s="9" t="s">
        <v>99</v>
      </c>
      <c r="F166" s="9" t="s">
        <v>114</v>
      </c>
      <c r="G166" s="9">
        <v>2</v>
      </c>
      <c r="H166" s="20">
        <v>21383</v>
      </c>
      <c r="I166" s="19">
        <v>0</v>
      </c>
      <c r="J166" s="20">
        <v>2138.3000000000002</v>
      </c>
    </row>
    <row r="167" spans="1:10" x14ac:dyDescent="0.25">
      <c r="A167" s="22" t="s">
        <v>101</v>
      </c>
      <c r="B167" s="19">
        <v>166</v>
      </c>
      <c r="C167" s="21">
        <v>45382</v>
      </c>
      <c r="D167" s="9" t="s">
        <v>117</v>
      </c>
      <c r="E167" s="9" t="s">
        <v>99</v>
      </c>
      <c r="F167" s="9" t="s">
        <v>114</v>
      </c>
      <c r="G167" s="9">
        <v>2</v>
      </c>
      <c r="H167" s="20">
        <v>19946</v>
      </c>
      <c r="I167" s="19">
        <v>0</v>
      </c>
      <c r="J167" s="20">
        <v>1994.6000000000001</v>
      </c>
    </row>
    <row r="168" spans="1:10" x14ac:dyDescent="0.25">
      <c r="A168" s="22" t="s">
        <v>101</v>
      </c>
      <c r="B168" s="19">
        <v>167</v>
      </c>
      <c r="C168" s="21">
        <v>45382</v>
      </c>
      <c r="D168" s="9" t="s">
        <v>139</v>
      </c>
      <c r="E168" s="9" t="s">
        <v>99</v>
      </c>
      <c r="F168" s="9" t="s">
        <v>114</v>
      </c>
      <c r="G168" s="9">
        <v>2</v>
      </c>
      <c r="H168" s="20">
        <v>21921</v>
      </c>
      <c r="I168" s="19">
        <v>0</v>
      </c>
      <c r="J168" s="20">
        <v>2192.1</v>
      </c>
    </row>
    <row r="169" spans="1:10" x14ac:dyDescent="0.25">
      <c r="A169" s="22" t="s">
        <v>101</v>
      </c>
      <c r="B169" s="19">
        <v>168</v>
      </c>
      <c r="C169" s="21">
        <v>45382</v>
      </c>
      <c r="D169" s="9" t="s">
        <v>139</v>
      </c>
      <c r="E169" s="9" t="s">
        <v>99</v>
      </c>
      <c r="F169" s="9" t="s">
        <v>114</v>
      </c>
      <c r="G169" s="9">
        <v>2</v>
      </c>
      <c r="H169" s="20">
        <v>15300</v>
      </c>
      <c r="I169" s="19">
        <v>0</v>
      </c>
      <c r="J169" s="20">
        <v>1530</v>
      </c>
    </row>
    <row r="170" spans="1:10" x14ac:dyDescent="0.25">
      <c r="A170" s="22" t="s">
        <v>101</v>
      </c>
      <c r="B170" s="19">
        <v>169</v>
      </c>
      <c r="C170" s="21">
        <v>45382</v>
      </c>
      <c r="D170" s="9" t="s">
        <v>138</v>
      </c>
      <c r="E170" s="9" t="s">
        <v>99</v>
      </c>
      <c r="F170" s="9" t="s">
        <v>114</v>
      </c>
      <c r="G170" s="9">
        <v>2</v>
      </c>
      <c r="H170" s="20">
        <v>3637</v>
      </c>
      <c r="I170" s="19">
        <v>0</v>
      </c>
      <c r="J170" s="20">
        <v>363.70000000000005</v>
      </c>
    </row>
    <row r="171" spans="1:10" x14ac:dyDescent="0.25">
      <c r="A171" s="22" t="s">
        <v>101</v>
      </c>
      <c r="B171" s="19">
        <v>170</v>
      </c>
      <c r="C171" s="21">
        <v>45385</v>
      </c>
      <c r="D171" s="9" t="s">
        <v>137</v>
      </c>
      <c r="E171" s="9" t="s">
        <v>99</v>
      </c>
      <c r="F171" s="9" t="s">
        <v>114</v>
      </c>
      <c r="G171" s="9">
        <v>2</v>
      </c>
      <c r="H171" s="20">
        <v>3731</v>
      </c>
      <c r="I171" s="19">
        <v>0</v>
      </c>
      <c r="J171" s="20">
        <v>373.1</v>
      </c>
    </row>
    <row r="172" spans="1:10" x14ac:dyDescent="0.25">
      <c r="A172" s="22" t="s">
        <v>101</v>
      </c>
      <c r="B172" s="19">
        <v>171</v>
      </c>
      <c r="C172" s="21">
        <v>45385</v>
      </c>
      <c r="D172" s="9" t="s">
        <v>136</v>
      </c>
      <c r="E172" s="9" t="s">
        <v>99</v>
      </c>
      <c r="F172" s="9" t="s">
        <v>114</v>
      </c>
      <c r="G172" s="9">
        <v>2</v>
      </c>
      <c r="H172" s="20">
        <v>6927</v>
      </c>
      <c r="I172" s="19">
        <v>0</v>
      </c>
      <c r="J172" s="20">
        <v>692.7</v>
      </c>
    </row>
    <row r="173" spans="1:10" x14ac:dyDescent="0.25">
      <c r="A173" s="22" t="s">
        <v>101</v>
      </c>
      <c r="B173" s="19">
        <v>172</v>
      </c>
      <c r="C173" s="21">
        <v>45386</v>
      </c>
      <c r="D173" s="9" t="s">
        <v>116</v>
      </c>
      <c r="E173" s="9" t="s">
        <v>115</v>
      </c>
      <c r="F173" s="9" t="s">
        <v>114</v>
      </c>
      <c r="G173" s="9">
        <v>1</v>
      </c>
      <c r="H173" s="20">
        <v>11772</v>
      </c>
      <c r="I173" s="19">
        <v>0</v>
      </c>
      <c r="J173" s="20">
        <v>1177.2</v>
      </c>
    </row>
    <row r="174" spans="1:10" x14ac:dyDescent="0.25">
      <c r="A174" s="22" t="s">
        <v>101</v>
      </c>
      <c r="B174" s="19">
        <v>173</v>
      </c>
      <c r="C174" s="21">
        <v>45386</v>
      </c>
      <c r="D174" s="9" t="s">
        <v>135</v>
      </c>
      <c r="E174" s="9" t="s">
        <v>115</v>
      </c>
      <c r="F174" s="9" t="s">
        <v>114</v>
      </c>
      <c r="G174" s="9">
        <v>2</v>
      </c>
      <c r="H174" s="20">
        <v>22249</v>
      </c>
      <c r="I174" s="19">
        <v>0</v>
      </c>
      <c r="J174" s="20">
        <v>2224.9</v>
      </c>
    </row>
    <row r="175" spans="1:10" x14ac:dyDescent="0.25">
      <c r="A175" s="22" t="s">
        <v>101</v>
      </c>
      <c r="B175" s="19">
        <v>174</v>
      </c>
      <c r="C175" s="21">
        <v>45387</v>
      </c>
      <c r="D175" s="9" t="s">
        <v>120</v>
      </c>
      <c r="E175" s="9" t="s">
        <v>115</v>
      </c>
      <c r="F175" s="9" t="s">
        <v>114</v>
      </c>
      <c r="G175" s="9">
        <v>2</v>
      </c>
      <c r="H175" s="20">
        <v>13884</v>
      </c>
      <c r="I175" s="19">
        <v>0</v>
      </c>
      <c r="J175" s="20">
        <v>1388.4</v>
      </c>
    </row>
    <row r="176" spans="1:10" x14ac:dyDescent="0.25">
      <c r="A176" s="22" t="s">
        <v>101</v>
      </c>
      <c r="B176" s="19">
        <v>175</v>
      </c>
      <c r="C176" s="21">
        <v>45387</v>
      </c>
      <c r="D176" s="9" t="s">
        <v>113</v>
      </c>
      <c r="E176" s="9" t="s">
        <v>115</v>
      </c>
      <c r="F176" s="9" t="s">
        <v>114</v>
      </c>
      <c r="G176" s="9">
        <v>2</v>
      </c>
      <c r="H176" s="20">
        <v>21333</v>
      </c>
      <c r="I176" s="19">
        <v>0</v>
      </c>
      <c r="J176" s="20">
        <v>2133.3000000000002</v>
      </c>
    </row>
    <row r="177" spans="1:10" x14ac:dyDescent="0.25">
      <c r="A177" s="22" t="s">
        <v>101</v>
      </c>
      <c r="B177" s="19">
        <v>176</v>
      </c>
      <c r="C177" s="21">
        <v>45388</v>
      </c>
      <c r="D177" s="9" t="s">
        <v>134</v>
      </c>
      <c r="E177" s="9" t="s">
        <v>115</v>
      </c>
      <c r="F177" s="9" t="s">
        <v>114</v>
      </c>
      <c r="G177" s="9">
        <v>3</v>
      </c>
      <c r="H177" s="20">
        <v>24338</v>
      </c>
      <c r="I177" s="19">
        <v>0</v>
      </c>
      <c r="J177" s="20">
        <v>2433.8000000000002</v>
      </c>
    </row>
    <row r="178" spans="1:10" x14ac:dyDescent="0.25">
      <c r="A178" s="22" t="s">
        <v>101</v>
      </c>
      <c r="B178" s="19">
        <v>177</v>
      </c>
      <c r="C178" s="21">
        <v>45388</v>
      </c>
      <c r="D178" s="9" t="s">
        <v>133</v>
      </c>
      <c r="E178" s="9" t="s">
        <v>115</v>
      </c>
      <c r="F178" s="9" t="s">
        <v>114</v>
      </c>
      <c r="G178" s="9">
        <v>2</v>
      </c>
      <c r="H178" s="20">
        <v>24371</v>
      </c>
      <c r="I178" s="19">
        <v>0</v>
      </c>
      <c r="J178" s="20">
        <v>2437.1</v>
      </c>
    </row>
    <row r="179" spans="1:10" x14ac:dyDescent="0.25">
      <c r="A179" s="22" t="s">
        <v>101</v>
      </c>
      <c r="B179" s="19">
        <v>178</v>
      </c>
      <c r="C179" s="21">
        <v>45388</v>
      </c>
      <c r="D179" s="9" t="s">
        <v>132</v>
      </c>
      <c r="E179" s="9" t="s">
        <v>115</v>
      </c>
      <c r="F179" s="9" t="s">
        <v>114</v>
      </c>
      <c r="G179" s="9">
        <v>2</v>
      </c>
      <c r="H179" s="20">
        <v>22914</v>
      </c>
      <c r="I179" s="19">
        <v>0</v>
      </c>
      <c r="J179" s="20">
        <v>2291.4</v>
      </c>
    </row>
    <row r="180" spans="1:10" x14ac:dyDescent="0.25">
      <c r="A180" s="22" t="s">
        <v>101</v>
      </c>
      <c r="B180" s="19">
        <v>179</v>
      </c>
      <c r="C180" s="21">
        <v>45389</v>
      </c>
      <c r="D180" s="9" t="s">
        <v>112</v>
      </c>
      <c r="E180" s="9" t="s">
        <v>115</v>
      </c>
      <c r="F180" s="9" t="s">
        <v>114</v>
      </c>
      <c r="G180" s="9">
        <v>2</v>
      </c>
      <c r="H180" s="20">
        <v>7478</v>
      </c>
      <c r="I180" s="19">
        <v>0</v>
      </c>
      <c r="J180" s="20">
        <v>747.80000000000007</v>
      </c>
    </row>
    <row r="181" spans="1:10" x14ac:dyDescent="0.25">
      <c r="A181" s="22" t="s">
        <v>101</v>
      </c>
      <c r="B181" s="19">
        <v>180</v>
      </c>
      <c r="C181" s="21">
        <v>45389</v>
      </c>
      <c r="D181" s="9" t="s">
        <v>111</v>
      </c>
      <c r="E181" s="9" t="s">
        <v>115</v>
      </c>
      <c r="F181" s="9" t="s">
        <v>114</v>
      </c>
      <c r="G181" s="9">
        <v>2</v>
      </c>
      <c r="H181" s="20">
        <v>1450</v>
      </c>
      <c r="I181" s="19">
        <v>0</v>
      </c>
      <c r="J181" s="20">
        <v>145</v>
      </c>
    </row>
    <row r="182" spans="1:10" x14ac:dyDescent="0.25">
      <c r="A182" s="22" t="s">
        <v>101</v>
      </c>
      <c r="B182" s="19">
        <v>181</v>
      </c>
      <c r="C182" s="21">
        <v>45389</v>
      </c>
      <c r="D182" s="9" t="s">
        <v>131</v>
      </c>
      <c r="E182" s="9" t="s">
        <v>115</v>
      </c>
      <c r="F182" s="9" t="s">
        <v>114</v>
      </c>
      <c r="G182" s="9">
        <v>2</v>
      </c>
      <c r="H182" s="20">
        <v>6062</v>
      </c>
      <c r="I182" s="19">
        <v>0</v>
      </c>
      <c r="J182" s="20">
        <v>606.20000000000005</v>
      </c>
    </row>
    <row r="183" spans="1:10" x14ac:dyDescent="0.25">
      <c r="A183" s="22" t="s">
        <v>101</v>
      </c>
      <c r="B183" s="19">
        <v>182</v>
      </c>
      <c r="C183" s="21">
        <v>45389</v>
      </c>
      <c r="D183" s="9" t="s">
        <v>113</v>
      </c>
      <c r="E183" s="9" t="s">
        <v>115</v>
      </c>
      <c r="F183" s="9" t="s">
        <v>114</v>
      </c>
      <c r="G183" s="9">
        <v>2</v>
      </c>
      <c r="H183" s="20">
        <v>16485</v>
      </c>
      <c r="I183" s="19">
        <v>0</v>
      </c>
      <c r="J183" s="20">
        <v>1648.5</v>
      </c>
    </row>
    <row r="184" spans="1:10" x14ac:dyDescent="0.25">
      <c r="A184" s="22" t="s">
        <v>101</v>
      </c>
      <c r="B184" s="19">
        <v>183</v>
      </c>
      <c r="C184" s="21">
        <v>45389</v>
      </c>
      <c r="D184" s="9" t="s">
        <v>100</v>
      </c>
      <c r="E184" s="9" t="s">
        <v>115</v>
      </c>
      <c r="F184" s="9" t="s">
        <v>114</v>
      </c>
      <c r="G184" s="9">
        <v>3</v>
      </c>
      <c r="H184" s="20">
        <v>21226</v>
      </c>
      <c r="I184" s="19">
        <v>0</v>
      </c>
      <c r="J184" s="20">
        <v>2122.6</v>
      </c>
    </row>
    <row r="185" spans="1:10" x14ac:dyDescent="0.25">
      <c r="A185" s="22" t="s">
        <v>101</v>
      </c>
      <c r="B185" s="19">
        <v>184</v>
      </c>
      <c r="C185" s="21">
        <v>45392</v>
      </c>
      <c r="D185" s="9" t="s">
        <v>130</v>
      </c>
      <c r="E185" s="9" t="s">
        <v>115</v>
      </c>
      <c r="F185" s="9" t="s">
        <v>114</v>
      </c>
      <c r="G185" s="9">
        <v>2</v>
      </c>
      <c r="H185" s="20">
        <v>13623</v>
      </c>
      <c r="I185" s="19">
        <v>0</v>
      </c>
      <c r="J185" s="20">
        <v>1362.3000000000002</v>
      </c>
    </row>
    <row r="186" spans="1:10" x14ac:dyDescent="0.25">
      <c r="A186" s="22" t="s">
        <v>101</v>
      </c>
      <c r="B186" s="19">
        <v>185</v>
      </c>
      <c r="C186" s="21">
        <v>45394</v>
      </c>
      <c r="D186" s="9" t="s">
        <v>129</v>
      </c>
      <c r="E186" s="9" t="s">
        <v>115</v>
      </c>
      <c r="F186" s="9" t="s">
        <v>114</v>
      </c>
      <c r="G186" s="9">
        <v>2</v>
      </c>
      <c r="H186" s="20">
        <v>21853</v>
      </c>
      <c r="I186" s="19">
        <v>0</v>
      </c>
      <c r="J186" s="20">
        <v>2185.3000000000002</v>
      </c>
    </row>
    <row r="187" spans="1:10" x14ac:dyDescent="0.25">
      <c r="A187" s="22" t="s">
        <v>101</v>
      </c>
      <c r="B187" s="19">
        <v>186</v>
      </c>
      <c r="C187" s="21">
        <v>45394</v>
      </c>
      <c r="D187" s="9" t="s">
        <v>112</v>
      </c>
      <c r="E187" s="9" t="s">
        <v>115</v>
      </c>
      <c r="F187" s="9" t="s">
        <v>114</v>
      </c>
      <c r="G187" s="9">
        <v>2</v>
      </c>
      <c r="H187" s="20">
        <v>5852</v>
      </c>
      <c r="I187" s="19">
        <v>0</v>
      </c>
      <c r="J187" s="20">
        <v>585.20000000000005</v>
      </c>
    </row>
    <row r="188" spans="1:10" x14ac:dyDescent="0.25">
      <c r="A188" s="22" t="s">
        <v>101</v>
      </c>
      <c r="B188" s="19">
        <v>187</v>
      </c>
      <c r="C188" s="21">
        <v>45399</v>
      </c>
      <c r="D188" s="9" t="s">
        <v>129</v>
      </c>
      <c r="E188" s="9" t="s">
        <v>115</v>
      </c>
      <c r="F188" s="9" t="s">
        <v>114</v>
      </c>
      <c r="G188" s="9">
        <v>2</v>
      </c>
      <c r="H188" s="20">
        <v>21289</v>
      </c>
      <c r="I188" s="19">
        <v>0</v>
      </c>
      <c r="J188" s="20">
        <v>2128.9</v>
      </c>
    </row>
    <row r="189" spans="1:10" x14ac:dyDescent="0.25">
      <c r="A189" s="22" t="s">
        <v>101</v>
      </c>
      <c r="B189" s="19">
        <v>188</v>
      </c>
      <c r="C189" s="21">
        <v>45399</v>
      </c>
      <c r="D189" s="9" t="s">
        <v>111</v>
      </c>
      <c r="E189" s="9" t="s">
        <v>115</v>
      </c>
      <c r="F189" s="9" t="s">
        <v>114</v>
      </c>
      <c r="G189" s="9">
        <v>2</v>
      </c>
      <c r="H189" s="20">
        <v>16851</v>
      </c>
      <c r="I189" s="19">
        <v>0</v>
      </c>
      <c r="J189" s="20">
        <v>1685.1000000000001</v>
      </c>
    </row>
    <row r="190" spans="1:10" x14ac:dyDescent="0.25">
      <c r="A190" s="22" t="s">
        <v>101</v>
      </c>
      <c r="B190" s="19">
        <v>189</v>
      </c>
      <c r="C190" s="21">
        <v>45399</v>
      </c>
      <c r="D190" s="9" t="s">
        <v>128</v>
      </c>
      <c r="E190" s="9" t="s">
        <v>115</v>
      </c>
      <c r="F190" s="9" t="s">
        <v>114</v>
      </c>
      <c r="G190" s="9">
        <v>2</v>
      </c>
      <c r="H190" s="20">
        <v>1408</v>
      </c>
      <c r="I190" s="19">
        <v>0</v>
      </c>
      <c r="J190" s="20">
        <v>140.80000000000001</v>
      </c>
    </row>
    <row r="191" spans="1:10" x14ac:dyDescent="0.25">
      <c r="A191" s="22" t="s">
        <v>101</v>
      </c>
      <c r="B191" s="19">
        <v>190</v>
      </c>
      <c r="C191" s="21">
        <v>45399</v>
      </c>
      <c r="D191" s="9" t="s">
        <v>127</v>
      </c>
      <c r="E191" s="9" t="s">
        <v>115</v>
      </c>
      <c r="F191" s="9" t="s">
        <v>114</v>
      </c>
      <c r="G191" s="9">
        <v>2</v>
      </c>
      <c r="H191" s="20">
        <v>12483</v>
      </c>
      <c r="I191" s="19">
        <v>0</v>
      </c>
      <c r="J191" s="20">
        <v>1248.3000000000002</v>
      </c>
    </row>
    <row r="192" spans="1:10" x14ac:dyDescent="0.25">
      <c r="A192" s="22" t="s">
        <v>101</v>
      </c>
      <c r="B192" s="19">
        <v>191</v>
      </c>
      <c r="C192" s="21">
        <v>45400</v>
      </c>
      <c r="D192" s="9" t="s">
        <v>126</v>
      </c>
      <c r="E192" s="9" t="s">
        <v>115</v>
      </c>
      <c r="F192" s="9" t="s">
        <v>114</v>
      </c>
      <c r="G192" s="9">
        <v>1</v>
      </c>
      <c r="H192" s="20">
        <v>10978</v>
      </c>
      <c r="I192" s="19">
        <v>0</v>
      </c>
      <c r="J192" s="20">
        <v>1097.8</v>
      </c>
    </row>
    <row r="193" spans="1:10" x14ac:dyDescent="0.25">
      <c r="A193" s="22" t="s">
        <v>101</v>
      </c>
      <c r="B193" s="19">
        <v>192</v>
      </c>
      <c r="C193" s="21">
        <v>45400</v>
      </c>
      <c r="D193" s="9" t="s">
        <v>102</v>
      </c>
      <c r="E193" s="9" t="s">
        <v>115</v>
      </c>
      <c r="F193" s="9" t="s">
        <v>114</v>
      </c>
      <c r="G193" s="9">
        <v>2</v>
      </c>
      <c r="H193" s="20">
        <v>9557</v>
      </c>
      <c r="I193" s="19">
        <v>0</v>
      </c>
      <c r="J193" s="20">
        <v>955.7</v>
      </c>
    </row>
    <row r="194" spans="1:10" x14ac:dyDescent="0.25">
      <c r="A194" s="22" t="s">
        <v>101</v>
      </c>
      <c r="B194" s="19">
        <v>193</v>
      </c>
      <c r="C194" s="21">
        <v>45401</v>
      </c>
      <c r="D194" s="9" t="s">
        <v>120</v>
      </c>
      <c r="E194" s="9" t="s">
        <v>115</v>
      </c>
      <c r="F194" s="9" t="s">
        <v>114</v>
      </c>
      <c r="G194" s="9">
        <v>2</v>
      </c>
      <c r="H194" s="20">
        <v>21914</v>
      </c>
      <c r="I194" s="19">
        <v>0</v>
      </c>
      <c r="J194" s="20">
        <v>2191.4</v>
      </c>
    </row>
    <row r="195" spans="1:10" x14ac:dyDescent="0.25">
      <c r="A195" s="22" t="s">
        <v>101</v>
      </c>
      <c r="B195" s="19">
        <v>194</v>
      </c>
      <c r="C195" s="21">
        <v>45401</v>
      </c>
      <c r="D195" s="9" t="s">
        <v>100</v>
      </c>
      <c r="E195" s="9" t="s">
        <v>115</v>
      </c>
      <c r="F195" s="9" t="s">
        <v>114</v>
      </c>
      <c r="G195" s="9">
        <v>3</v>
      </c>
      <c r="H195" s="20">
        <v>10774</v>
      </c>
      <c r="I195" s="19">
        <v>0</v>
      </c>
      <c r="J195" s="20">
        <v>1077.4000000000001</v>
      </c>
    </row>
    <row r="196" spans="1:10" x14ac:dyDescent="0.25">
      <c r="A196" s="22" t="s">
        <v>101</v>
      </c>
      <c r="B196" s="19">
        <v>195</v>
      </c>
      <c r="C196" s="21">
        <v>45402</v>
      </c>
      <c r="D196" s="9" t="s">
        <v>125</v>
      </c>
      <c r="E196" s="9" t="s">
        <v>115</v>
      </c>
      <c r="F196" s="9" t="s">
        <v>114</v>
      </c>
      <c r="G196" s="9">
        <v>2</v>
      </c>
      <c r="H196" s="20">
        <v>14616</v>
      </c>
      <c r="I196" s="19">
        <v>0</v>
      </c>
      <c r="J196" s="20">
        <v>1461.6000000000001</v>
      </c>
    </row>
    <row r="197" spans="1:10" x14ac:dyDescent="0.25">
      <c r="A197" s="22" t="s">
        <v>101</v>
      </c>
      <c r="B197" s="19">
        <v>196</v>
      </c>
      <c r="C197" s="21">
        <v>45402</v>
      </c>
      <c r="D197" s="9" t="s">
        <v>124</v>
      </c>
      <c r="E197" s="9" t="s">
        <v>115</v>
      </c>
      <c r="F197" s="9" t="s">
        <v>114</v>
      </c>
      <c r="G197" s="9">
        <v>2</v>
      </c>
      <c r="H197" s="20">
        <v>3135</v>
      </c>
      <c r="I197" s="19">
        <v>0</v>
      </c>
      <c r="J197" s="20">
        <v>313.5</v>
      </c>
    </row>
    <row r="198" spans="1:10" x14ac:dyDescent="0.25">
      <c r="A198" s="22" t="s">
        <v>101</v>
      </c>
      <c r="B198" s="19">
        <v>197</v>
      </c>
      <c r="C198" s="21">
        <v>45402</v>
      </c>
      <c r="D198" s="9" t="s">
        <v>123</v>
      </c>
      <c r="E198" s="9" t="s">
        <v>115</v>
      </c>
      <c r="F198" s="9" t="s">
        <v>114</v>
      </c>
      <c r="G198" s="9">
        <v>2</v>
      </c>
      <c r="H198" s="20">
        <v>13476</v>
      </c>
      <c r="I198" s="19">
        <v>0</v>
      </c>
      <c r="J198" s="20">
        <v>1347.6000000000001</v>
      </c>
    </row>
    <row r="199" spans="1:10" x14ac:dyDescent="0.25">
      <c r="A199" s="22" t="s">
        <v>101</v>
      </c>
      <c r="B199" s="19">
        <v>198</v>
      </c>
      <c r="C199" s="21">
        <v>45402</v>
      </c>
      <c r="D199" s="9" t="s">
        <v>122</v>
      </c>
      <c r="E199" s="9" t="s">
        <v>115</v>
      </c>
      <c r="F199" s="9" t="s">
        <v>114</v>
      </c>
      <c r="G199" s="9">
        <v>2</v>
      </c>
      <c r="H199" s="20">
        <v>16166</v>
      </c>
      <c r="I199" s="19">
        <v>0</v>
      </c>
      <c r="J199" s="20">
        <v>1616.6000000000001</v>
      </c>
    </row>
    <row r="200" spans="1:10" x14ac:dyDescent="0.25">
      <c r="A200" s="22" t="s">
        <v>101</v>
      </c>
      <c r="B200" s="19">
        <v>199</v>
      </c>
      <c r="C200" s="21">
        <v>45402</v>
      </c>
      <c r="D200" s="9" t="s">
        <v>121</v>
      </c>
      <c r="E200" s="9" t="s">
        <v>115</v>
      </c>
      <c r="F200" s="9" t="s">
        <v>114</v>
      </c>
      <c r="G200" s="9">
        <v>2</v>
      </c>
      <c r="H200" s="20">
        <v>1691</v>
      </c>
      <c r="I200" s="19">
        <v>0</v>
      </c>
      <c r="J200" s="20">
        <v>169.10000000000002</v>
      </c>
    </row>
    <row r="201" spans="1:10" x14ac:dyDescent="0.25">
      <c r="A201" s="22" t="s">
        <v>101</v>
      </c>
      <c r="B201" s="19">
        <v>200</v>
      </c>
      <c r="C201" s="21">
        <v>45402</v>
      </c>
      <c r="D201" s="9" t="s">
        <v>100</v>
      </c>
      <c r="E201" s="9" t="s">
        <v>115</v>
      </c>
      <c r="F201" s="9" t="s">
        <v>114</v>
      </c>
      <c r="G201" s="9">
        <v>3</v>
      </c>
      <c r="H201" s="20">
        <v>6541</v>
      </c>
      <c r="I201" s="19">
        <v>0</v>
      </c>
      <c r="J201" s="20">
        <v>654.1</v>
      </c>
    </row>
    <row r="202" spans="1:10" x14ac:dyDescent="0.25">
      <c r="A202" s="22" t="s">
        <v>101</v>
      </c>
      <c r="B202" s="19">
        <v>201</v>
      </c>
      <c r="C202" s="21">
        <v>45403</v>
      </c>
      <c r="D202" s="9" t="s">
        <v>120</v>
      </c>
      <c r="E202" s="9" t="s">
        <v>115</v>
      </c>
      <c r="F202" s="9" t="s">
        <v>114</v>
      </c>
      <c r="G202" s="9">
        <v>2</v>
      </c>
      <c r="H202" s="20">
        <v>4237</v>
      </c>
      <c r="I202" s="19">
        <v>0</v>
      </c>
      <c r="J202" s="20">
        <v>423.70000000000005</v>
      </c>
    </row>
    <row r="203" spans="1:10" x14ac:dyDescent="0.25">
      <c r="A203" s="22" t="s">
        <v>101</v>
      </c>
      <c r="B203" s="19">
        <v>202</v>
      </c>
      <c r="C203" s="21">
        <v>45403</v>
      </c>
      <c r="D203" s="9" t="s">
        <v>112</v>
      </c>
      <c r="E203" s="9" t="s">
        <v>115</v>
      </c>
      <c r="F203" s="9" t="s">
        <v>114</v>
      </c>
      <c r="G203" s="9">
        <v>2</v>
      </c>
      <c r="H203" s="20">
        <v>4092</v>
      </c>
      <c r="I203" s="19">
        <v>0</v>
      </c>
      <c r="J203" s="20">
        <v>409.20000000000005</v>
      </c>
    </row>
    <row r="204" spans="1:10" x14ac:dyDescent="0.25">
      <c r="A204" s="22" t="s">
        <v>101</v>
      </c>
      <c r="B204" s="19">
        <v>203</v>
      </c>
      <c r="C204" s="21">
        <v>45406</v>
      </c>
      <c r="D204" s="9" t="s">
        <v>119</v>
      </c>
      <c r="E204" s="9" t="s">
        <v>115</v>
      </c>
      <c r="F204" s="9" t="s">
        <v>114</v>
      </c>
      <c r="G204" s="9">
        <v>2</v>
      </c>
      <c r="H204" s="20">
        <v>19397</v>
      </c>
      <c r="I204" s="19">
        <v>0</v>
      </c>
      <c r="J204" s="20">
        <v>1939.7</v>
      </c>
    </row>
    <row r="205" spans="1:10" x14ac:dyDescent="0.25">
      <c r="A205" s="22" t="s">
        <v>101</v>
      </c>
      <c r="B205" s="19">
        <v>204</v>
      </c>
      <c r="C205" s="21">
        <v>45406</v>
      </c>
      <c r="D205" s="9" t="s">
        <v>118</v>
      </c>
      <c r="E205" s="9" t="s">
        <v>115</v>
      </c>
      <c r="F205" s="9" t="s">
        <v>114</v>
      </c>
      <c r="G205" s="9">
        <v>2</v>
      </c>
      <c r="H205" s="20">
        <v>17502</v>
      </c>
      <c r="I205" s="19">
        <v>0</v>
      </c>
      <c r="J205" s="20">
        <v>1750.2</v>
      </c>
    </row>
    <row r="206" spans="1:10" x14ac:dyDescent="0.25">
      <c r="A206" s="22" t="s">
        <v>101</v>
      </c>
      <c r="B206" s="19">
        <v>205</v>
      </c>
      <c r="C206" s="21">
        <v>45407</v>
      </c>
      <c r="D206" s="9" t="s">
        <v>117</v>
      </c>
      <c r="E206" s="9" t="s">
        <v>115</v>
      </c>
      <c r="F206" s="9" t="s">
        <v>114</v>
      </c>
      <c r="G206" s="9">
        <v>2</v>
      </c>
      <c r="H206" s="20">
        <v>8155</v>
      </c>
      <c r="I206" s="19">
        <v>0</v>
      </c>
      <c r="J206" s="20">
        <v>815.5</v>
      </c>
    </row>
    <row r="207" spans="1:10" x14ac:dyDescent="0.25">
      <c r="A207" s="22" t="s">
        <v>101</v>
      </c>
      <c r="B207" s="19">
        <v>206</v>
      </c>
      <c r="C207" s="21">
        <v>45408</v>
      </c>
      <c r="D207" s="9" t="s">
        <v>100</v>
      </c>
      <c r="E207" s="9" t="s">
        <v>115</v>
      </c>
      <c r="F207" s="9" t="s">
        <v>114</v>
      </c>
      <c r="G207" s="9">
        <v>3</v>
      </c>
      <c r="H207" s="20">
        <v>23446</v>
      </c>
      <c r="I207" s="19">
        <v>0</v>
      </c>
      <c r="J207" s="20">
        <v>2344.6</v>
      </c>
    </row>
    <row r="208" spans="1:10" x14ac:dyDescent="0.25">
      <c r="A208" s="22" t="s">
        <v>101</v>
      </c>
      <c r="B208" s="19">
        <v>207</v>
      </c>
      <c r="C208" s="21">
        <v>45408</v>
      </c>
      <c r="D208" s="9" t="s">
        <v>116</v>
      </c>
      <c r="E208" s="9" t="s">
        <v>115</v>
      </c>
      <c r="F208" s="9" t="s">
        <v>114</v>
      </c>
      <c r="G208" s="9">
        <v>2</v>
      </c>
      <c r="H208" s="20">
        <v>24188</v>
      </c>
      <c r="I208" s="19">
        <v>0</v>
      </c>
      <c r="J208" s="20">
        <v>2418.8000000000002</v>
      </c>
    </row>
    <row r="209" spans="1:10" x14ac:dyDescent="0.25">
      <c r="A209" s="22" t="s">
        <v>101</v>
      </c>
      <c r="B209" s="19">
        <v>208</v>
      </c>
      <c r="C209" s="21">
        <v>45409</v>
      </c>
      <c r="D209" s="9" t="s">
        <v>100</v>
      </c>
      <c r="E209" s="9" t="s">
        <v>99</v>
      </c>
      <c r="F209" s="9" t="s">
        <v>98</v>
      </c>
      <c r="G209" s="9">
        <v>3</v>
      </c>
      <c r="H209" s="20">
        <v>12527</v>
      </c>
      <c r="I209" s="19">
        <v>0</v>
      </c>
      <c r="J209" s="20">
        <v>1252.7</v>
      </c>
    </row>
    <row r="210" spans="1:10" x14ac:dyDescent="0.25">
      <c r="A210" s="22" t="s">
        <v>101</v>
      </c>
      <c r="B210" s="19">
        <v>209</v>
      </c>
      <c r="C210" s="21">
        <v>45409</v>
      </c>
      <c r="D210" s="9" t="s">
        <v>113</v>
      </c>
      <c r="E210" s="9" t="s">
        <v>99</v>
      </c>
      <c r="F210" s="9" t="s">
        <v>98</v>
      </c>
      <c r="G210" s="9">
        <v>2</v>
      </c>
      <c r="H210" s="20">
        <v>4124</v>
      </c>
      <c r="I210" s="19">
        <v>0</v>
      </c>
      <c r="J210" s="20">
        <v>412.40000000000003</v>
      </c>
    </row>
    <row r="211" spans="1:10" x14ac:dyDescent="0.25">
      <c r="A211" s="22" t="s">
        <v>101</v>
      </c>
      <c r="B211" s="19">
        <v>210</v>
      </c>
      <c r="C211" s="21">
        <v>45410</v>
      </c>
      <c r="D211" s="9" t="s">
        <v>112</v>
      </c>
      <c r="E211" s="9" t="s">
        <v>99</v>
      </c>
      <c r="F211" s="9" t="s">
        <v>98</v>
      </c>
      <c r="G211" s="9">
        <v>2</v>
      </c>
      <c r="H211" s="20">
        <v>20959</v>
      </c>
      <c r="I211" s="19">
        <v>0</v>
      </c>
      <c r="J211" s="20">
        <v>2095.9</v>
      </c>
    </row>
    <row r="212" spans="1:10" x14ac:dyDescent="0.25">
      <c r="A212" s="22" t="s">
        <v>101</v>
      </c>
      <c r="B212" s="19">
        <v>211</v>
      </c>
      <c r="C212" s="21">
        <v>45410</v>
      </c>
      <c r="D212" s="9" t="s">
        <v>100</v>
      </c>
      <c r="E212" s="9" t="s">
        <v>99</v>
      </c>
      <c r="F212" s="9" t="s">
        <v>98</v>
      </c>
      <c r="G212" s="9">
        <v>3</v>
      </c>
      <c r="H212" s="20">
        <v>12614</v>
      </c>
      <c r="I212" s="19">
        <v>0</v>
      </c>
      <c r="J212" s="20">
        <v>1261.4000000000001</v>
      </c>
    </row>
    <row r="213" spans="1:10" x14ac:dyDescent="0.25">
      <c r="A213" s="22" t="s">
        <v>101</v>
      </c>
      <c r="B213" s="19">
        <v>212</v>
      </c>
      <c r="C213" s="21">
        <v>45410</v>
      </c>
      <c r="D213" s="9" t="s">
        <v>113</v>
      </c>
      <c r="E213" s="9" t="s">
        <v>99</v>
      </c>
      <c r="F213" s="9" t="s">
        <v>98</v>
      </c>
      <c r="G213" s="9">
        <v>2</v>
      </c>
      <c r="H213" s="20">
        <v>21325</v>
      </c>
      <c r="I213" s="19">
        <v>0</v>
      </c>
      <c r="J213" s="20">
        <v>2132.5</v>
      </c>
    </row>
    <row r="214" spans="1:10" x14ac:dyDescent="0.25">
      <c r="A214" s="22" t="s">
        <v>101</v>
      </c>
      <c r="B214" s="19">
        <v>213</v>
      </c>
      <c r="C214" s="21">
        <v>45414</v>
      </c>
      <c r="D214" s="9" t="s">
        <v>113</v>
      </c>
      <c r="E214" s="9" t="s">
        <v>99</v>
      </c>
      <c r="F214" s="9" t="s">
        <v>98</v>
      </c>
      <c r="G214" s="9">
        <v>2</v>
      </c>
      <c r="H214" s="20">
        <v>3833</v>
      </c>
      <c r="I214" s="19">
        <v>0</v>
      </c>
      <c r="J214" s="20">
        <v>383.3</v>
      </c>
    </row>
    <row r="215" spans="1:10" x14ac:dyDescent="0.25">
      <c r="A215" s="22" t="s">
        <v>101</v>
      </c>
      <c r="B215" s="19">
        <v>214</v>
      </c>
      <c r="C215" s="21">
        <v>45415</v>
      </c>
      <c r="D215" s="9" t="s">
        <v>111</v>
      </c>
      <c r="E215" s="9" t="s">
        <v>99</v>
      </c>
      <c r="F215" s="9" t="s">
        <v>98</v>
      </c>
      <c r="G215" s="9">
        <v>2</v>
      </c>
      <c r="H215" s="20">
        <v>5290</v>
      </c>
      <c r="I215" s="19">
        <v>0</v>
      </c>
      <c r="J215" s="20">
        <v>529</v>
      </c>
    </row>
    <row r="216" spans="1:10" x14ac:dyDescent="0.25">
      <c r="A216" s="22" t="s">
        <v>101</v>
      </c>
      <c r="B216" s="19">
        <v>215</v>
      </c>
      <c r="C216" s="21">
        <v>45416</v>
      </c>
      <c r="D216" s="9" t="s">
        <v>100</v>
      </c>
      <c r="E216" s="9" t="s">
        <v>99</v>
      </c>
      <c r="F216" s="9" t="s">
        <v>98</v>
      </c>
      <c r="G216" s="9">
        <v>3</v>
      </c>
      <c r="H216" s="20">
        <v>5436</v>
      </c>
      <c r="I216" s="19">
        <v>0</v>
      </c>
      <c r="J216" s="20">
        <v>543.6</v>
      </c>
    </row>
    <row r="217" spans="1:10" x14ac:dyDescent="0.25">
      <c r="A217" s="22" t="s">
        <v>101</v>
      </c>
      <c r="B217" s="19">
        <v>216</v>
      </c>
      <c r="C217" s="21">
        <v>45417</v>
      </c>
      <c r="D217" s="9" t="s">
        <v>112</v>
      </c>
      <c r="E217" s="9" t="s">
        <v>99</v>
      </c>
      <c r="F217" s="9" t="s">
        <v>98</v>
      </c>
      <c r="G217" s="9">
        <v>2</v>
      </c>
      <c r="H217" s="20">
        <v>17595</v>
      </c>
      <c r="I217" s="19">
        <v>0</v>
      </c>
      <c r="J217" s="20">
        <v>1759.5</v>
      </c>
    </row>
    <row r="218" spans="1:10" x14ac:dyDescent="0.25">
      <c r="A218" s="22" t="s">
        <v>101</v>
      </c>
      <c r="B218" s="19">
        <v>217</v>
      </c>
      <c r="C218" s="21">
        <v>45420</v>
      </c>
      <c r="D218" s="9" t="s">
        <v>111</v>
      </c>
      <c r="E218" s="9" t="s">
        <v>99</v>
      </c>
      <c r="F218" s="9" t="s">
        <v>98</v>
      </c>
      <c r="G218" s="9">
        <v>2</v>
      </c>
      <c r="H218" s="20">
        <v>15789</v>
      </c>
      <c r="I218" s="19">
        <v>0</v>
      </c>
      <c r="J218" s="20">
        <v>1578.9</v>
      </c>
    </row>
    <row r="219" spans="1:10" x14ac:dyDescent="0.25">
      <c r="A219" s="22" t="s">
        <v>101</v>
      </c>
      <c r="B219" s="19">
        <v>218</v>
      </c>
      <c r="C219" s="21">
        <v>45422</v>
      </c>
      <c r="D219" s="9" t="s">
        <v>100</v>
      </c>
      <c r="E219" s="9" t="s">
        <v>99</v>
      </c>
      <c r="F219" s="9" t="s">
        <v>98</v>
      </c>
      <c r="G219" s="9">
        <v>3</v>
      </c>
      <c r="H219" s="20">
        <v>12698</v>
      </c>
      <c r="I219" s="19">
        <v>0</v>
      </c>
      <c r="J219" s="20">
        <v>1269.8000000000002</v>
      </c>
    </row>
    <row r="220" spans="1:10" x14ac:dyDescent="0.25">
      <c r="A220" s="22" t="s">
        <v>101</v>
      </c>
      <c r="B220" s="19">
        <v>219</v>
      </c>
      <c r="C220" s="21">
        <v>45423</v>
      </c>
      <c r="D220" s="9" t="s">
        <v>112</v>
      </c>
      <c r="E220" s="9" t="s">
        <v>99</v>
      </c>
      <c r="F220" s="9" t="s">
        <v>98</v>
      </c>
      <c r="G220" s="9">
        <v>2</v>
      </c>
      <c r="H220" s="20">
        <v>16011</v>
      </c>
      <c r="I220" s="19">
        <v>0</v>
      </c>
      <c r="J220" s="20">
        <v>1601.1000000000001</v>
      </c>
    </row>
    <row r="221" spans="1:10" x14ac:dyDescent="0.25">
      <c r="A221" s="22" t="s">
        <v>101</v>
      </c>
      <c r="B221" s="19">
        <v>220</v>
      </c>
      <c r="C221" s="21">
        <v>45424</v>
      </c>
      <c r="D221" s="9" t="s">
        <v>111</v>
      </c>
      <c r="E221" s="9" t="s">
        <v>99</v>
      </c>
      <c r="F221" s="9" t="s">
        <v>98</v>
      </c>
      <c r="G221" s="9">
        <v>2</v>
      </c>
      <c r="H221" s="20">
        <v>17009</v>
      </c>
      <c r="I221" s="19">
        <v>0</v>
      </c>
      <c r="J221" s="20">
        <v>1700.9</v>
      </c>
    </row>
    <row r="222" spans="1:10" x14ac:dyDescent="0.25">
      <c r="A222" s="22" t="s">
        <v>101</v>
      </c>
      <c r="B222" s="19">
        <v>221</v>
      </c>
      <c r="C222" s="21">
        <v>45428</v>
      </c>
      <c r="D222" s="9" t="s">
        <v>100</v>
      </c>
      <c r="E222" s="9" t="s">
        <v>99</v>
      </c>
      <c r="F222" s="9" t="s">
        <v>98</v>
      </c>
      <c r="G222" s="9">
        <v>3</v>
      </c>
      <c r="H222" s="20">
        <v>19498</v>
      </c>
      <c r="I222" s="19">
        <v>0</v>
      </c>
      <c r="J222" s="20">
        <v>1949.8000000000002</v>
      </c>
    </row>
    <row r="223" spans="1:10" x14ac:dyDescent="0.25">
      <c r="A223" s="22" t="s">
        <v>101</v>
      </c>
      <c r="B223" s="19">
        <v>222</v>
      </c>
      <c r="C223" s="21">
        <v>45428</v>
      </c>
      <c r="D223" s="9" t="s">
        <v>110</v>
      </c>
      <c r="E223" s="9" t="s">
        <v>99</v>
      </c>
      <c r="F223" s="9" t="s">
        <v>98</v>
      </c>
      <c r="G223" s="9">
        <v>2</v>
      </c>
      <c r="H223" s="20">
        <v>17667</v>
      </c>
      <c r="I223" s="19">
        <v>0</v>
      </c>
      <c r="J223" s="20">
        <v>1766.7</v>
      </c>
    </row>
    <row r="224" spans="1:10" x14ac:dyDescent="0.25">
      <c r="A224" s="22" t="s">
        <v>101</v>
      </c>
      <c r="B224" s="19">
        <v>223</v>
      </c>
      <c r="C224" s="21">
        <v>45428</v>
      </c>
      <c r="D224" s="9" t="s">
        <v>109</v>
      </c>
      <c r="E224" s="9" t="s">
        <v>99</v>
      </c>
      <c r="F224" s="9" t="s">
        <v>98</v>
      </c>
      <c r="G224" s="9">
        <v>1</v>
      </c>
      <c r="H224" s="20">
        <v>23363</v>
      </c>
      <c r="I224" s="19">
        <v>0</v>
      </c>
      <c r="J224" s="20">
        <v>2336.3000000000002</v>
      </c>
    </row>
    <row r="225" spans="1:10" x14ac:dyDescent="0.25">
      <c r="A225" s="22" t="s">
        <v>101</v>
      </c>
      <c r="B225" s="19">
        <v>224</v>
      </c>
      <c r="C225" s="21">
        <v>45429</v>
      </c>
      <c r="D225" s="9" t="s">
        <v>108</v>
      </c>
      <c r="E225" s="9" t="s">
        <v>99</v>
      </c>
      <c r="F225" s="9" t="s">
        <v>98</v>
      </c>
      <c r="G225" s="9">
        <v>3</v>
      </c>
      <c r="H225" s="20">
        <v>16793</v>
      </c>
      <c r="I225" s="19">
        <v>0</v>
      </c>
      <c r="J225" s="20">
        <v>1679.3000000000002</v>
      </c>
    </row>
    <row r="226" spans="1:10" x14ac:dyDescent="0.25">
      <c r="A226" s="22" t="s">
        <v>101</v>
      </c>
      <c r="B226" s="19">
        <v>225</v>
      </c>
      <c r="C226" s="21">
        <v>45429</v>
      </c>
      <c r="D226" s="9" t="s">
        <v>107</v>
      </c>
      <c r="E226" s="9" t="s">
        <v>99</v>
      </c>
      <c r="F226" s="9" t="s">
        <v>98</v>
      </c>
      <c r="G226" s="9">
        <v>2</v>
      </c>
      <c r="H226" s="20">
        <v>19682</v>
      </c>
      <c r="I226" s="19">
        <v>0</v>
      </c>
      <c r="J226" s="20">
        <v>1968.2</v>
      </c>
    </row>
    <row r="227" spans="1:10" x14ac:dyDescent="0.25">
      <c r="A227" s="22" t="s">
        <v>101</v>
      </c>
      <c r="B227" s="19">
        <v>226</v>
      </c>
      <c r="C227" s="21">
        <v>45429</v>
      </c>
      <c r="D227" s="9" t="s">
        <v>100</v>
      </c>
      <c r="E227" s="9" t="s">
        <v>99</v>
      </c>
      <c r="F227" s="9" t="s">
        <v>98</v>
      </c>
      <c r="G227" s="9">
        <v>3</v>
      </c>
      <c r="H227" s="20">
        <v>3385</v>
      </c>
      <c r="I227" s="19">
        <v>0</v>
      </c>
      <c r="J227" s="20">
        <v>338.5</v>
      </c>
    </row>
    <row r="228" spans="1:10" x14ac:dyDescent="0.25">
      <c r="A228" s="22" t="s">
        <v>101</v>
      </c>
      <c r="B228" s="19">
        <v>227</v>
      </c>
      <c r="C228" s="21">
        <v>45430</v>
      </c>
      <c r="D228" s="9" t="s">
        <v>106</v>
      </c>
      <c r="E228" s="9" t="s">
        <v>99</v>
      </c>
      <c r="F228" s="9" t="s">
        <v>98</v>
      </c>
      <c r="G228" s="9">
        <v>3</v>
      </c>
      <c r="H228" s="20">
        <v>6383</v>
      </c>
      <c r="I228" s="19">
        <v>0</v>
      </c>
      <c r="J228" s="20">
        <v>638.30000000000007</v>
      </c>
    </row>
    <row r="229" spans="1:10" x14ac:dyDescent="0.25">
      <c r="A229" s="22" t="s">
        <v>101</v>
      </c>
      <c r="B229" s="19">
        <v>228</v>
      </c>
      <c r="C229" s="21">
        <v>45430</v>
      </c>
      <c r="D229" s="9" t="s">
        <v>105</v>
      </c>
      <c r="E229" s="9" t="s">
        <v>99</v>
      </c>
      <c r="F229" s="9" t="s">
        <v>98</v>
      </c>
      <c r="G229" s="9">
        <v>3</v>
      </c>
      <c r="H229" s="20">
        <v>3993</v>
      </c>
      <c r="I229" s="19">
        <v>0</v>
      </c>
      <c r="J229" s="20">
        <v>399.3</v>
      </c>
    </row>
    <row r="230" spans="1:10" x14ac:dyDescent="0.25">
      <c r="A230" s="22" t="s">
        <v>101</v>
      </c>
      <c r="B230" s="19">
        <v>229</v>
      </c>
      <c r="C230" s="21">
        <v>45430</v>
      </c>
      <c r="D230" s="9" t="s">
        <v>104</v>
      </c>
      <c r="E230" s="9" t="s">
        <v>99</v>
      </c>
      <c r="F230" s="9" t="s">
        <v>98</v>
      </c>
      <c r="G230" s="9">
        <v>2</v>
      </c>
      <c r="H230" s="20">
        <v>6769</v>
      </c>
      <c r="I230" s="19">
        <v>0</v>
      </c>
      <c r="J230" s="20">
        <v>676.90000000000009</v>
      </c>
    </row>
    <row r="231" spans="1:10" x14ac:dyDescent="0.25">
      <c r="A231" s="22" t="s">
        <v>101</v>
      </c>
      <c r="B231" s="19">
        <v>230</v>
      </c>
      <c r="C231" s="21">
        <v>45431</v>
      </c>
      <c r="D231" s="9" t="s">
        <v>103</v>
      </c>
      <c r="E231" s="9" t="s">
        <v>99</v>
      </c>
      <c r="F231" s="9" t="s">
        <v>98</v>
      </c>
      <c r="G231" s="9">
        <v>2</v>
      </c>
      <c r="H231" s="20">
        <v>15420</v>
      </c>
      <c r="I231" s="19">
        <v>0</v>
      </c>
      <c r="J231" s="20">
        <v>1542</v>
      </c>
    </row>
    <row r="232" spans="1:10" x14ac:dyDescent="0.25">
      <c r="A232" s="22" t="s">
        <v>101</v>
      </c>
      <c r="B232" s="19">
        <v>231</v>
      </c>
      <c r="C232" s="21">
        <v>45431</v>
      </c>
      <c r="D232" s="9" t="s">
        <v>102</v>
      </c>
      <c r="E232" s="9" t="s">
        <v>99</v>
      </c>
      <c r="F232" s="9" t="s">
        <v>98</v>
      </c>
      <c r="G232" s="9">
        <v>2</v>
      </c>
      <c r="H232" s="20">
        <v>21580</v>
      </c>
      <c r="I232" s="19">
        <v>0</v>
      </c>
      <c r="J232" s="20">
        <v>2158</v>
      </c>
    </row>
    <row r="233" spans="1:10" x14ac:dyDescent="0.25">
      <c r="A233" s="22" t="s">
        <v>101</v>
      </c>
      <c r="B233" s="19">
        <v>232</v>
      </c>
      <c r="C233" s="21">
        <v>45431</v>
      </c>
      <c r="D233" s="9" t="s">
        <v>100</v>
      </c>
      <c r="E233" s="9" t="s">
        <v>99</v>
      </c>
      <c r="F233" s="9" t="s">
        <v>98</v>
      </c>
      <c r="G233" s="9">
        <v>3</v>
      </c>
      <c r="H233" s="20">
        <v>3483</v>
      </c>
      <c r="I233" s="19">
        <v>0</v>
      </c>
      <c r="J233" s="20">
        <v>348.3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4C16-0433-4E2B-A126-763951D0A959}">
  <dimension ref="A1:M22"/>
  <sheetViews>
    <sheetView showGridLines="0" workbookViewId="0">
      <selection activeCell="P4" sqref="P4"/>
    </sheetView>
  </sheetViews>
  <sheetFormatPr baseColWidth="10" defaultRowHeight="15" x14ac:dyDescent="0.25"/>
  <cols>
    <col min="1" max="1" width="10.7109375" customWidth="1"/>
    <col min="2" max="2" width="7.7109375" customWidth="1"/>
    <col min="3" max="3" width="14.5703125" bestFit="1" customWidth="1"/>
    <col min="4" max="4" width="17.5703125" bestFit="1" customWidth="1"/>
    <col min="5" max="5" width="14.5703125" bestFit="1" customWidth="1"/>
    <col min="6" max="6" width="11.5703125" bestFit="1" customWidth="1"/>
    <col min="7" max="7" width="12.85546875" bestFit="1" customWidth="1"/>
    <col min="8" max="8" width="12.140625" bestFit="1" customWidth="1"/>
    <col min="9" max="9" width="12" bestFit="1" customWidth="1"/>
    <col min="10" max="10" width="13.28515625" bestFit="1" customWidth="1"/>
    <col min="11" max="11" width="12.5703125" bestFit="1" customWidth="1"/>
    <col min="12" max="12" width="12.42578125" bestFit="1" customWidth="1"/>
    <col min="13" max="13" width="13.28515625" bestFit="1" customWidth="1"/>
    <col min="14" max="14" width="12.7109375" bestFit="1" customWidth="1"/>
    <col min="15" max="15" width="12.85546875" bestFit="1" customWidth="1"/>
    <col min="16" max="16" width="13.5703125" bestFit="1" customWidth="1"/>
    <col min="17" max="18" width="13.28515625" bestFit="1" customWidth="1"/>
    <col min="19" max="19" width="13.140625" bestFit="1" customWidth="1"/>
    <col min="20" max="20" width="12.5703125" bestFit="1" customWidth="1"/>
    <col min="21" max="21" width="13.28515625" bestFit="1" customWidth="1"/>
    <col min="22" max="22" width="13.140625" bestFit="1" customWidth="1"/>
    <col min="23" max="23" width="12.28515625" bestFit="1" customWidth="1"/>
    <col min="24" max="24" width="12.85546875" bestFit="1" customWidth="1"/>
    <col min="25" max="25" width="12.7109375" bestFit="1" customWidth="1"/>
    <col min="26" max="26" width="12" bestFit="1" customWidth="1"/>
    <col min="27" max="27" width="12.140625" bestFit="1" customWidth="1"/>
    <col min="28" max="28" width="13.42578125" bestFit="1" customWidth="1"/>
    <col min="29" max="30" width="12.7109375" bestFit="1" customWidth="1"/>
    <col min="31" max="31" width="13.140625" bestFit="1" customWidth="1"/>
    <col min="32" max="32" width="13" bestFit="1" customWidth="1"/>
    <col min="33" max="33" width="11.5703125" bestFit="1" customWidth="1"/>
    <col min="34" max="34" width="11.7109375" bestFit="1" customWidth="1"/>
    <col min="35" max="35" width="13" bestFit="1" customWidth="1"/>
    <col min="36" max="36" width="13.28515625" bestFit="1" customWidth="1"/>
    <col min="37" max="37" width="12.5703125" bestFit="1" customWidth="1"/>
    <col min="38" max="38" width="12" bestFit="1" customWidth="1"/>
    <col min="39" max="39" width="12.140625" bestFit="1" customWidth="1"/>
    <col min="40" max="40" width="12.5703125" bestFit="1" customWidth="1"/>
    <col min="41" max="41" width="12" bestFit="1" customWidth="1"/>
    <col min="42" max="42" width="12.42578125" bestFit="1" customWidth="1"/>
    <col min="43" max="43" width="12.85546875" bestFit="1" customWidth="1"/>
    <col min="44" max="44" width="13.28515625" bestFit="1" customWidth="1"/>
    <col min="45" max="45" width="12" bestFit="1" customWidth="1"/>
    <col min="46" max="47" width="12.42578125" bestFit="1" customWidth="1"/>
    <col min="48" max="48" width="12.5703125" bestFit="1" customWidth="1"/>
    <col min="49" max="49" width="11.5703125" bestFit="1" customWidth="1"/>
    <col min="50" max="50" width="12.5703125" bestFit="1" customWidth="1"/>
    <col min="51" max="52" width="12.7109375" bestFit="1" customWidth="1"/>
    <col min="53" max="53" width="11.5703125" bestFit="1" customWidth="1"/>
    <col min="54" max="54" width="12.140625" bestFit="1" customWidth="1"/>
    <col min="55" max="55" width="12.5703125" bestFit="1" customWidth="1"/>
    <col min="56" max="58" width="12.85546875" bestFit="1" customWidth="1"/>
    <col min="59" max="59" width="12.28515625" bestFit="1" customWidth="1"/>
    <col min="60" max="60" width="12" bestFit="1" customWidth="1"/>
    <col min="61" max="61" width="12.42578125" bestFit="1" customWidth="1"/>
    <col min="62" max="62" width="12.140625" bestFit="1" customWidth="1"/>
    <col min="63" max="63" width="12.5703125" bestFit="1" customWidth="1"/>
    <col min="64" max="64" width="12.28515625" bestFit="1" customWidth="1"/>
    <col min="65" max="65" width="12.7109375" bestFit="1" customWidth="1"/>
    <col min="66" max="66" width="12.85546875" bestFit="1" customWidth="1"/>
    <col min="67" max="67" width="11.28515625" bestFit="1" customWidth="1"/>
    <col min="68" max="68" width="12" bestFit="1" customWidth="1"/>
    <col min="69" max="69" width="13.42578125" bestFit="1" customWidth="1"/>
    <col min="70" max="70" width="12.42578125" bestFit="1" customWidth="1"/>
    <col min="71" max="71" width="13.28515625" bestFit="1" customWidth="1"/>
    <col min="72" max="72" width="12.85546875" bestFit="1" customWidth="1"/>
    <col min="73" max="73" width="13.28515625" bestFit="1" customWidth="1"/>
    <col min="74" max="74" width="12.28515625" bestFit="1" customWidth="1"/>
    <col min="75" max="75" width="13.140625" bestFit="1" customWidth="1"/>
    <col min="76" max="76" width="12.7109375" bestFit="1" customWidth="1"/>
    <col min="77" max="77" width="12.5703125" bestFit="1" customWidth="1"/>
    <col min="78" max="78" width="11" bestFit="1" customWidth="1"/>
    <col min="79" max="79" width="12.28515625" bestFit="1" customWidth="1"/>
    <col min="81" max="81" width="12.28515625" bestFit="1" customWidth="1"/>
    <col min="82" max="82" width="13.42578125" bestFit="1" customWidth="1"/>
    <col min="83" max="83" width="12.7109375" bestFit="1" customWidth="1"/>
    <col min="84" max="84" width="12.85546875" bestFit="1" customWidth="1"/>
    <col min="85" max="85" width="12.7109375" bestFit="1" customWidth="1"/>
    <col min="86" max="86" width="13.28515625" bestFit="1" customWidth="1"/>
    <col min="87" max="87" width="13.7109375" bestFit="1" customWidth="1"/>
    <col min="88" max="88" width="12.5703125" bestFit="1" customWidth="1"/>
    <col min="89" max="89" width="12.140625" bestFit="1" customWidth="1"/>
    <col min="90" max="90" width="11.7109375" bestFit="1" customWidth="1"/>
    <col min="91" max="91" width="12.5703125" bestFit="1" customWidth="1"/>
    <col min="92" max="92" width="12.28515625" bestFit="1" customWidth="1"/>
    <col min="93" max="94" width="12.5703125" bestFit="1" customWidth="1"/>
    <col min="95" max="95" width="12.7109375" bestFit="1" customWidth="1"/>
    <col min="96" max="96" width="12.5703125" bestFit="1" customWidth="1"/>
  </cols>
  <sheetData>
    <row r="1" spans="1:13" ht="21" x14ac:dyDescent="0.35">
      <c r="A1" s="18" t="s">
        <v>97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5">
      <c r="A2" s="15"/>
      <c r="B2" s="15"/>
      <c r="C2" s="15"/>
      <c r="D2" s="15" t="s">
        <v>96</v>
      </c>
      <c r="E2" s="15" t="s">
        <v>65</v>
      </c>
      <c r="F2" s="15"/>
      <c r="G2" s="15"/>
      <c r="H2" s="15"/>
      <c r="I2" s="15"/>
      <c r="J2" s="15"/>
      <c r="K2" s="15"/>
      <c r="L2" s="15"/>
      <c r="M2" s="15"/>
    </row>
    <row r="3" spans="1:13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x14ac:dyDescent="0.25">
      <c r="A4" s="15"/>
      <c r="B4" s="15"/>
      <c r="C4" s="15"/>
      <c r="D4" s="15" t="s">
        <v>95</v>
      </c>
      <c r="E4" s="15" t="s">
        <v>94</v>
      </c>
      <c r="F4" s="15"/>
      <c r="G4" s="15"/>
      <c r="H4" s="15"/>
      <c r="I4" s="15"/>
      <c r="J4" s="15"/>
      <c r="K4" s="15"/>
      <c r="L4" s="15"/>
      <c r="M4" s="15"/>
    </row>
    <row r="5" spans="1:13" x14ac:dyDescent="0.25">
      <c r="A5" s="15"/>
      <c r="B5" s="15"/>
      <c r="C5" s="15"/>
      <c r="D5" s="17" t="s">
        <v>93</v>
      </c>
      <c r="E5" s="16">
        <v>636892.30000000005</v>
      </c>
      <c r="F5" s="15"/>
      <c r="G5" s="15"/>
      <c r="H5" s="15"/>
      <c r="I5" s="15"/>
      <c r="J5" s="15"/>
      <c r="K5" s="15"/>
      <c r="L5" s="15"/>
      <c r="M5" s="15"/>
    </row>
    <row r="6" spans="1:13" x14ac:dyDescent="0.25">
      <c r="A6" s="15"/>
      <c r="B6" s="15"/>
      <c r="C6" s="15"/>
      <c r="D6" s="17" t="s">
        <v>92</v>
      </c>
      <c r="E6" s="16">
        <v>276844.7</v>
      </c>
      <c r="F6" s="15"/>
      <c r="G6" s="15"/>
      <c r="H6" s="15"/>
      <c r="I6" s="15"/>
      <c r="J6" s="15"/>
      <c r="K6" s="15"/>
      <c r="L6" s="15"/>
      <c r="M6" s="15"/>
    </row>
    <row r="7" spans="1:13" x14ac:dyDescent="0.25">
      <c r="A7" s="15"/>
      <c r="B7" s="15"/>
      <c r="C7" s="15"/>
      <c r="D7" s="17" t="s">
        <v>91</v>
      </c>
      <c r="E7" s="16">
        <v>913737</v>
      </c>
      <c r="F7" s="15"/>
      <c r="G7" s="15"/>
      <c r="H7" s="15"/>
      <c r="I7" s="15"/>
      <c r="J7" s="15"/>
      <c r="K7" s="15"/>
      <c r="L7" s="15"/>
      <c r="M7" s="15"/>
    </row>
    <row r="8" spans="1:13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3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F3F7-135D-41D7-B658-A44C3A174396}">
  <dimension ref="A1:C6"/>
  <sheetViews>
    <sheetView workbookViewId="0">
      <selection activeCell="C5" sqref="C5"/>
    </sheetView>
  </sheetViews>
  <sheetFormatPr baseColWidth="10" defaultRowHeight="15" x14ac:dyDescent="0.25"/>
  <cols>
    <col min="1" max="1" width="10" bestFit="1" customWidth="1"/>
    <col min="2" max="2" width="21.85546875" bestFit="1" customWidth="1"/>
    <col min="3" max="3" width="23" bestFit="1" customWidth="1"/>
    <col min="4" max="4" width="4" bestFit="1" customWidth="1"/>
    <col min="5" max="5" width="5" bestFit="1" customWidth="1"/>
    <col min="6" max="10" width="3" bestFit="1" customWidth="1"/>
    <col min="11" max="11" width="12.5703125" bestFit="1" customWidth="1"/>
    <col min="12" max="16" width="3" bestFit="1" customWidth="1"/>
    <col min="18" max="18" width="12.5703125" bestFit="1" customWidth="1"/>
  </cols>
  <sheetData>
    <row r="1" spans="1:3" x14ac:dyDescent="0.25">
      <c r="A1" s="11" t="s">
        <v>57</v>
      </c>
      <c r="B1" t="s">
        <v>65</v>
      </c>
    </row>
    <row r="3" spans="1:3" x14ac:dyDescent="0.25">
      <c r="A3" s="10" t="s">
        <v>64</v>
      </c>
      <c r="B3" t="s">
        <v>63</v>
      </c>
      <c r="C3" t="s">
        <v>62</v>
      </c>
    </row>
    <row r="4" spans="1:3" x14ac:dyDescent="0.25">
      <c r="A4" s="9" t="s">
        <v>44</v>
      </c>
      <c r="B4">
        <v>5474.6</v>
      </c>
      <c r="C4">
        <v>5117.59</v>
      </c>
    </row>
    <row r="5" spans="1:3" x14ac:dyDescent="0.25">
      <c r="A5" s="9" t="s">
        <v>17</v>
      </c>
      <c r="B5">
        <v>3588.79</v>
      </c>
      <c r="C5">
        <v>3807.748</v>
      </c>
    </row>
    <row r="6" spans="1:3" x14ac:dyDescent="0.25">
      <c r="A6" s="9" t="s">
        <v>4</v>
      </c>
      <c r="B6">
        <v>798.6</v>
      </c>
      <c r="C6">
        <v>958.32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B12C-A5D5-449D-8FCE-EB852BAFC0B5}">
  <dimension ref="A1:K60"/>
  <sheetViews>
    <sheetView topLeftCell="C1" zoomScaleNormal="100" workbookViewId="0">
      <selection activeCell="M8" sqref="M8"/>
    </sheetView>
  </sheetViews>
  <sheetFormatPr baseColWidth="10" defaultRowHeight="15" x14ac:dyDescent="0.25"/>
  <cols>
    <col min="1" max="4" width="11.42578125" style="2"/>
    <col min="5" max="5" width="12.5703125" style="2" bestFit="1" customWidth="1"/>
    <col min="6" max="8" width="11.42578125" style="2"/>
    <col min="9" max="9" width="7.85546875" style="1" customWidth="1"/>
    <col min="10" max="10" width="11.42578125" style="1"/>
    <col min="11" max="11" width="17.5703125" bestFit="1" customWidth="1"/>
    <col min="12" max="12" width="21.85546875" bestFit="1" customWidth="1"/>
    <col min="13" max="13" width="23" customWidth="1"/>
  </cols>
  <sheetData>
    <row r="1" spans="1:11" s="5" customFormat="1" ht="45" x14ac:dyDescent="0.25">
      <c r="A1" s="7" t="s">
        <v>61</v>
      </c>
      <c r="B1" s="7" t="s">
        <v>60</v>
      </c>
      <c r="C1" s="7" t="s">
        <v>59</v>
      </c>
      <c r="D1" s="7" t="s">
        <v>58</v>
      </c>
      <c r="E1" s="7" t="s">
        <v>57</v>
      </c>
      <c r="F1" s="7" t="s">
        <v>56</v>
      </c>
      <c r="G1" s="8" t="s">
        <v>55</v>
      </c>
      <c r="H1" s="7" t="s">
        <v>54</v>
      </c>
      <c r="I1" s="6" t="s">
        <v>53</v>
      </c>
      <c r="J1" s="6" t="s">
        <v>52</v>
      </c>
      <c r="K1" s="6" t="s">
        <v>51</v>
      </c>
    </row>
    <row r="2" spans="1:11" x14ac:dyDescent="0.25">
      <c r="A2" s="2">
        <v>2024</v>
      </c>
      <c r="B2" s="2">
        <v>1</v>
      </c>
      <c r="C2" s="2" t="s">
        <v>44</v>
      </c>
      <c r="D2" s="4">
        <v>45293</v>
      </c>
      <c r="E2" s="2" t="s">
        <v>37</v>
      </c>
      <c r="F2" s="2" t="s">
        <v>39</v>
      </c>
      <c r="G2" s="2" t="s">
        <v>20</v>
      </c>
      <c r="H2">
        <v>12000</v>
      </c>
      <c r="I2" s="3">
        <v>110</v>
      </c>
      <c r="J2" s="3">
        <v>132</v>
      </c>
      <c r="K2" t="s">
        <v>18</v>
      </c>
    </row>
    <row r="3" spans="1:11" x14ac:dyDescent="0.25">
      <c r="A3" s="2">
        <v>2024</v>
      </c>
      <c r="B3" s="2">
        <v>1</v>
      </c>
      <c r="C3" s="2" t="s">
        <v>44</v>
      </c>
      <c r="D3" s="4">
        <v>45293</v>
      </c>
      <c r="E3" s="2" t="s">
        <v>37</v>
      </c>
      <c r="F3" s="2" t="s">
        <v>39</v>
      </c>
      <c r="G3" s="2" t="s">
        <v>19</v>
      </c>
      <c r="H3">
        <v>32</v>
      </c>
      <c r="I3" s="3">
        <v>133.1</v>
      </c>
      <c r="J3" s="3">
        <v>159.72</v>
      </c>
      <c r="K3" t="s">
        <v>0</v>
      </c>
    </row>
    <row r="4" spans="1:11" x14ac:dyDescent="0.25">
      <c r="A4" s="2">
        <v>2024</v>
      </c>
      <c r="B4" s="2">
        <v>1</v>
      </c>
      <c r="C4" s="2" t="s">
        <v>44</v>
      </c>
      <c r="D4" s="4">
        <v>45294</v>
      </c>
      <c r="E4" s="2" t="s">
        <v>37</v>
      </c>
      <c r="F4" s="2" t="s">
        <v>36</v>
      </c>
      <c r="G4" s="2" t="s">
        <v>1</v>
      </c>
      <c r="H4">
        <v>65</v>
      </c>
      <c r="I4" s="3">
        <v>160.82</v>
      </c>
      <c r="J4" s="3">
        <v>192.98399999999998</v>
      </c>
      <c r="K4" t="s">
        <v>18</v>
      </c>
    </row>
    <row r="5" spans="1:11" x14ac:dyDescent="0.25">
      <c r="A5" s="2">
        <v>2024</v>
      </c>
      <c r="B5" s="2">
        <v>1</v>
      </c>
      <c r="C5" s="2" t="s">
        <v>44</v>
      </c>
      <c r="D5" s="4">
        <v>45295</v>
      </c>
      <c r="E5" s="2" t="s">
        <v>37</v>
      </c>
      <c r="F5" s="2" t="s">
        <v>42</v>
      </c>
      <c r="G5" s="2" t="s">
        <v>30</v>
      </c>
      <c r="H5">
        <v>93</v>
      </c>
      <c r="I5" s="3">
        <v>194.08</v>
      </c>
      <c r="J5" s="3">
        <v>232.89600000000002</v>
      </c>
      <c r="K5" t="s">
        <v>0</v>
      </c>
    </row>
    <row r="6" spans="1:11" x14ac:dyDescent="0.25">
      <c r="A6" s="2">
        <v>2024</v>
      </c>
      <c r="B6" s="2">
        <v>1</v>
      </c>
      <c r="C6" s="2" t="s">
        <v>44</v>
      </c>
      <c r="D6" s="4">
        <v>45295</v>
      </c>
      <c r="E6" s="2" t="s">
        <v>37</v>
      </c>
      <c r="F6" s="2" t="s">
        <v>40</v>
      </c>
      <c r="G6" s="2" t="s">
        <v>25</v>
      </c>
      <c r="H6">
        <v>132</v>
      </c>
      <c r="I6" s="3">
        <v>234</v>
      </c>
      <c r="J6" s="3">
        <v>280.8</v>
      </c>
      <c r="K6" t="s">
        <v>18</v>
      </c>
    </row>
    <row r="7" spans="1:11" x14ac:dyDescent="0.25">
      <c r="A7" s="2">
        <v>2024</v>
      </c>
      <c r="B7" s="2">
        <v>1</v>
      </c>
      <c r="C7" s="2" t="s">
        <v>44</v>
      </c>
      <c r="D7" s="4">
        <v>45295</v>
      </c>
      <c r="E7" s="2" t="s">
        <v>37</v>
      </c>
      <c r="F7" s="2" t="s">
        <v>39</v>
      </c>
      <c r="G7" s="2" t="s">
        <v>28</v>
      </c>
      <c r="H7">
        <v>15</v>
      </c>
      <c r="I7" s="3">
        <v>110</v>
      </c>
      <c r="J7" s="3">
        <v>132</v>
      </c>
      <c r="K7" t="s">
        <v>0</v>
      </c>
    </row>
    <row r="8" spans="1:11" x14ac:dyDescent="0.25">
      <c r="A8" s="2">
        <v>2024</v>
      </c>
      <c r="B8" s="2">
        <v>1</v>
      </c>
      <c r="C8" s="2" t="s">
        <v>44</v>
      </c>
      <c r="D8" s="4">
        <v>45298</v>
      </c>
      <c r="E8" s="2" t="s">
        <v>37</v>
      </c>
      <c r="F8" s="2" t="s">
        <v>38</v>
      </c>
      <c r="G8" s="2" t="s">
        <v>30</v>
      </c>
      <c r="H8">
        <v>32</v>
      </c>
      <c r="I8" s="3">
        <v>133.1</v>
      </c>
      <c r="J8" s="3">
        <v>159.72</v>
      </c>
      <c r="K8" t="s">
        <v>18</v>
      </c>
    </row>
    <row r="9" spans="1:11" x14ac:dyDescent="0.25">
      <c r="A9" s="2">
        <v>2024</v>
      </c>
      <c r="B9" s="2">
        <v>1</v>
      </c>
      <c r="C9" s="2" t="s">
        <v>44</v>
      </c>
      <c r="D9" s="4">
        <v>45299</v>
      </c>
      <c r="E9" s="2" t="s">
        <v>37</v>
      </c>
      <c r="F9" s="2" t="s">
        <v>36</v>
      </c>
      <c r="G9" s="2" t="s">
        <v>25</v>
      </c>
      <c r="H9">
        <v>62</v>
      </c>
      <c r="I9" s="3">
        <v>160.82</v>
      </c>
      <c r="J9" s="3">
        <v>192.98399999999998</v>
      </c>
      <c r="K9" t="s">
        <v>0</v>
      </c>
    </row>
    <row r="10" spans="1:11" x14ac:dyDescent="0.25">
      <c r="A10" s="2">
        <v>2024</v>
      </c>
      <c r="B10" s="2">
        <v>1</v>
      </c>
      <c r="C10" s="2" t="s">
        <v>44</v>
      </c>
      <c r="D10" s="4">
        <v>45300</v>
      </c>
      <c r="E10" s="2" t="s">
        <v>27</v>
      </c>
      <c r="F10" s="2" t="s">
        <v>34</v>
      </c>
      <c r="G10" s="2" t="s">
        <v>28</v>
      </c>
      <c r="H10">
        <v>93</v>
      </c>
      <c r="I10" s="3">
        <v>194.08</v>
      </c>
      <c r="J10" s="3">
        <v>232.89600000000002</v>
      </c>
      <c r="K10" t="s">
        <v>18</v>
      </c>
    </row>
    <row r="11" spans="1:11" x14ac:dyDescent="0.25">
      <c r="A11" s="2">
        <v>2024</v>
      </c>
      <c r="B11" s="2">
        <v>1</v>
      </c>
      <c r="C11" s="2" t="s">
        <v>44</v>
      </c>
      <c r="D11" s="4">
        <v>45301</v>
      </c>
      <c r="E11" s="2" t="s">
        <v>27</v>
      </c>
      <c r="F11" s="2" t="s">
        <v>29</v>
      </c>
      <c r="G11" s="2" t="s">
        <v>50</v>
      </c>
      <c r="H11">
        <v>133</v>
      </c>
      <c r="I11" s="3">
        <v>235</v>
      </c>
      <c r="J11" s="3">
        <v>211.5</v>
      </c>
      <c r="K11" t="s">
        <v>18</v>
      </c>
    </row>
    <row r="12" spans="1:11" x14ac:dyDescent="0.25">
      <c r="A12" s="2">
        <v>2024</v>
      </c>
      <c r="B12" s="2">
        <v>1</v>
      </c>
      <c r="C12" s="2" t="s">
        <v>44</v>
      </c>
      <c r="D12" s="4">
        <v>45301</v>
      </c>
      <c r="E12" s="2" t="s">
        <v>27</v>
      </c>
      <c r="F12" s="2" t="s">
        <v>33</v>
      </c>
      <c r="G12" s="2" t="s">
        <v>25</v>
      </c>
      <c r="H12">
        <v>14</v>
      </c>
      <c r="I12" s="3">
        <v>110</v>
      </c>
      <c r="J12" s="3">
        <v>99</v>
      </c>
      <c r="K12" t="s">
        <v>0</v>
      </c>
    </row>
    <row r="13" spans="1:11" x14ac:dyDescent="0.25">
      <c r="A13" s="2">
        <v>2024</v>
      </c>
      <c r="B13" s="2">
        <v>1</v>
      </c>
      <c r="C13" s="2" t="s">
        <v>44</v>
      </c>
      <c r="D13" s="4">
        <v>45301</v>
      </c>
      <c r="E13" s="2" t="s">
        <v>27</v>
      </c>
      <c r="F13" s="2" t="s">
        <v>33</v>
      </c>
      <c r="G13" s="2" t="s">
        <v>50</v>
      </c>
      <c r="H13">
        <v>54</v>
      </c>
      <c r="I13" s="3">
        <v>132</v>
      </c>
      <c r="J13" s="3">
        <v>118.8</v>
      </c>
      <c r="K13" t="s">
        <v>18</v>
      </c>
    </row>
    <row r="14" spans="1:11" x14ac:dyDescent="0.25">
      <c r="A14" s="2">
        <v>2024</v>
      </c>
      <c r="B14" s="2">
        <v>1</v>
      </c>
      <c r="C14" s="2" t="s">
        <v>44</v>
      </c>
      <c r="D14" s="4">
        <v>45301</v>
      </c>
      <c r="E14" s="2" t="s">
        <v>27</v>
      </c>
      <c r="F14" s="2" t="s">
        <v>32</v>
      </c>
      <c r="G14" s="2" t="s">
        <v>30</v>
      </c>
      <c r="H14">
        <v>65</v>
      </c>
      <c r="I14" s="3">
        <v>159.5</v>
      </c>
      <c r="J14" s="3">
        <v>143.55000000000001</v>
      </c>
      <c r="K14" t="s">
        <v>0</v>
      </c>
    </row>
    <row r="15" spans="1:11" x14ac:dyDescent="0.25">
      <c r="A15" s="2">
        <v>2024</v>
      </c>
      <c r="B15" s="2">
        <v>1</v>
      </c>
      <c r="C15" s="2" t="s">
        <v>44</v>
      </c>
      <c r="D15" s="4">
        <v>45301</v>
      </c>
      <c r="E15" s="2" t="s">
        <v>27</v>
      </c>
      <c r="F15" s="2" t="s">
        <v>31</v>
      </c>
      <c r="G15" s="2" t="s">
        <v>25</v>
      </c>
      <c r="H15">
        <v>99</v>
      </c>
      <c r="I15" s="3">
        <v>192.5</v>
      </c>
      <c r="J15" s="3">
        <v>173.25</v>
      </c>
      <c r="K15" t="s">
        <v>18</v>
      </c>
    </row>
    <row r="16" spans="1:11" x14ac:dyDescent="0.25">
      <c r="A16" s="2">
        <v>2024</v>
      </c>
      <c r="B16" s="2">
        <v>1</v>
      </c>
      <c r="C16" s="2" t="s">
        <v>44</v>
      </c>
      <c r="D16" s="4">
        <v>45302</v>
      </c>
      <c r="E16" s="2" t="s">
        <v>27</v>
      </c>
      <c r="F16" s="2" t="s">
        <v>29</v>
      </c>
      <c r="G16" s="2" t="s">
        <v>28</v>
      </c>
      <c r="H16">
        <v>141</v>
      </c>
      <c r="I16" s="3">
        <v>232.1</v>
      </c>
      <c r="J16" s="3">
        <v>208.89</v>
      </c>
      <c r="K16" t="s">
        <v>0</v>
      </c>
    </row>
    <row r="17" spans="1:11" x14ac:dyDescent="0.25">
      <c r="A17" s="2">
        <v>2024</v>
      </c>
      <c r="B17" s="2">
        <v>1</v>
      </c>
      <c r="C17" s="2" t="s">
        <v>44</v>
      </c>
      <c r="D17" s="4">
        <v>45303</v>
      </c>
      <c r="E17" s="2" t="s">
        <v>27</v>
      </c>
      <c r="F17" s="2" t="s">
        <v>26</v>
      </c>
      <c r="G17" s="2" t="s">
        <v>28</v>
      </c>
      <c r="H17">
        <v>65</v>
      </c>
      <c r="I17" s="3">
        <v>110</v>
      </c>
      <c r="J17" s="3">
        <v>99</v>
      </c>
      <c r="K17" t="s">
        <v>18</v>
      </c>
    </row>
    <row r="18" spans="1:11" x14ac:dyDescent="0.25">
      <c r="A18" s="2">
        <v>2024</v>
      </c>
      <c r="B18" s="2">
        <v>1</v>
      </c>
      <c r="C18" s="2" t="s">
        <v>44</v>
      </c>
      <c r="D18" s="4">
        <v>45304</v>
      </c>
      <c r="E18" s="2" t="s">
        <v>16</v>
      </c>
      <c r="F18" s="2" t="s">
        <v>24</v>
      </c>
      <c r="G18" s="2" t="s">
        <v>49</v>
      </c>
      <c r="H18">
        <v>54</v>
      </c>
      <c r="I18" s="3">
        <v>133.1</v>
      </c>
      <c r="J18" s="3">
        <v>119.78999999999999</v>
      </c>
      <c r="K18" t="s">
        <v>0</v>
      </c>
    </row>
    <row r="19" spans="1:11" x14ac:dyDescent="0.25">
      <c r="A19" s="2">
        <v>2024</v>
      </c>
      <c r="B19" s="2">
        <v>1</v>
      </c>
      <c r="C19" s="2" t="s">
        <v>44</v>
      </c>
      <c r="D19" s="4">
        <v>45305</v>
      </c>
      <c r="E19" s="2" t="s">
        <v>16</v>
      </c>
      <c r="F19" s="2" t="s">
        <v>24</v>
      </c>
      <c r="G19" s="2" t="s">
        <v>30</v>
      </c>
      <c r="H19">
        <v>65</v>
      </c>
      <c r="I19" s="3">
        <v>160.82</v>
      </c>
      <c r="J19" s="3">
        <v>144.738</v>
      </c>
      <c r="K19" t="s">
        <v>18</v>
      </c>
    </row>
    <row r="20" spans="1:11" x14ac:dyDescent="0.25">
      <c r="A20" s="2">
        <v>2024</v>
      </c>
      <c r="B20" s="2">
        <v>1</v>
      </c>
      <c r="C20" s="2" t="s">
        <v>44</v>
      </c>
      <c r="D20" s="4">
        <v>45306</v>
      </c>
      <c r="E20" s="2" t="s">
        <v>16</v>
      </c>
      <c r="F20" s="2" t="s">
        <v>22</v>
      </c>
      <c r="G20" s="2" t="s">
        <v>25</v>
      </c>
      <c r="H20">
        <v>42</v>
      </c>
      <c r="I20" s="3">
        <v>194.08</v>
      </c>
      <c r="J20" s="3">
        <v>174.67200000000003</v>
      </c>
      <c r="K20" t="s">
        <v>18</v>
      </c>
    </row>
    <row r="21" spans="1:11" x14ac:dyDescent="0.25">
      <c r="A21" s="2">
        <v>2024</v>
      </c>
      <c r="B21" s="2">
        <v>1</v>
      </c>
      <c r="C21" s="2" t="s">
        <v>44</v>
      </c>
      <c r="D21" s="4">
        <v>45307</v>
      </c>
      <c r="E21" s="2" t="s">
        <v>16</v>
      </c>
      <c r="F21" s="2" t="s">
        <v>15</v>
      </c>
      <c r="G21" s="2" t="s">
        <v>28</v>
      </c>
      <c r="H21">
        <v>122</v>
      </c>
      <c r="I21" s="3">
        <v>234</v>
      </c>
      <c r="J21" s="3">
        <v>187.20000000000002</v>
      </c>
      <c r="K21" t="s">
        <v>0</v>
      </c>
    </row>
    <row r="22" spans="1:11" x14ac:dyDescent="0.25">
      <c r="A22" s="2">
        <v>2024</v>
      </c>
      <c r="B22" s="2">
        <v>1</v>
      </c>
      <c r="C22" s="2" t="s">
        <v>44</v>
      </c>
      <c r="D22" s="4">
        <v>45308</v>
      </c>
      <c r="E22" s="2" t="s">
        <v>16</v>
      </c>
      <c r="F22" s="2" t="s">
        <v>13</v>
      </c>
      <c r="G22" s="2" t="s">
        <v>30</v>
      </c>
      <c r="H22">
        <v>23</v>
      </c>
      <c r="I22" s="3">
        <v>110</v>
      </c>
      <c r="J22" s="3">
        <v>88</v>
      </c>
      <c r="K22" t="s">
        <v>18</v>
      </c>
    </row>
    <row r="23" spans="1:11" x14ac:dyDescent="0.25">
      <c r="A23" s="2">
        <v>2024</v>
      </c>
      <c r="B23" s="2">
        <v>1</v>
      </c>
      <c r="C23" s="2" t="s">
        <v>44</v>
      </c>
      <c r="D23" s="4">
        <v>45309</v>
      </c>
      <c r="E23" s="2" t="s">
        <v>16</v>
      </c>
      <c r="F23" s="2" t="s">
        <v>15</v>
      </c>
      <c r="G23" s="2" t="s">
        <v>25</v>
      </c>
      <c r="H23">
        <v>54</v>
      </c>
      <c r="I23" s="3">
        <v>133.1</v>
      </c>
      <c r="J23" s="3">
        <v>106.48</v>
      </c>
      <c r="K23" t="s">
        <v>0</v>
      </c>
    </row>
    <row r="24" spans="1:11" x14ac:dyDescent="0.25">
      <c r="A24" s="2">
        <v>2024</v>
      </c>
      <c r="B24" s="2">
        <v>1</v>
      </c>
      <c r="C24" s="2" t="s">
        <v>44</v>
      </c>
      <c r="D24" s="4">
        <v>45310</v>
      </c>
      <c r="E24" s="2" t="s">
        <v>14</v>
      </c>
      <c r="F24" s="2" t="s">
        <v>5</v>
      </c>
      <c r="G24" s="2" t="s">
        <v>28</v>
      </c>
      <c r="H24">
        <v>123</v>
      </c>
      <c r="I24" s="3">
        <v>162</v>
      </c>
      <c r="J24" s="3">
        <v>129.6</v>
      </c>
      <c r="K24" t="s">
        <v>18</v>
      </c>
    </row>
    <row r="25" spans="1:11" x14ac:dyDescent="0.25">
      <c r="A25" s="2">
        <v>2024</v>
      </c>
      <c r="B25" s="2">
        <v>1</v>
      </c>
      <c r="C25" s="2" t="s">
        <v>44</v>
      </c>
      <c r="D25" s="4">
        <v>45311</v>
      </c>
      <c r="E25" s="2" t="s">
        <v>14</v>
      </c>
      <c r="F25" s="2" t="s">
        <v>43</v>
      </c>
      <c r="G25" s="2" t="s">
        <v>48</v>
      </c>
      <c r="H25">
        <v>100</v>
      </c>
      <c r="I25" s="3">
        <v>200</v>
      </c>
      <c r="J25" s="3">
        <v>160</v>
      </c>
      <c r="K25" t="s">
        <v>0</v>
      </c>
    </row>
    <row r="26" spans="1:11" x14ac:dyDescent="0.25">
      <c r="A26" s="2">
        <v>2024</v>
      </c>
      <c r="B26" s="2">
        <v>1</v>
      </c>
      <c r="C26" s="2" t="s">
        <v>44</v>
      </c>
      <c r="D26" s="4">
        <v>45316</v>
      </c>
      <c r="E26" s="2" t="s">
        <v>14</v>
      </c>
      <c r="F26" s="2" t="s">
        <v>47</v>
      </c>
      <c r="G26" s="2" t="s">
        <v>48</v>
      </c>
      <c r="H26">
        <v>143</v>
      </c>
      <c r="I26" s="3">
        <v>241.1</v>
      </c>
      <c r="J26" s="3">
        <v>192.88</v>
      </c>
      <c r="K26" t="s">
        <v>18</v>
      </c>
    </row>
    <row r="27" spans="1:11" x14ac:dyDescent="0.25">
      <c r="A27" s="2">
        <v>2024</v>
      </c>
      <c r="B27" s="2">
        <v>1</v>
      </c>
      <c r="C27" s="2" t="s">
        <v>44</v>
      </c>
      <c r="D27" s="4">
        <v>45317</v>
      </c>
      <c r="E27" s="2" t="s">
        <v>14</v>
      </c>
      <c r="F27" s="2" t="s">
        <v>43</v>
      </c>
      <c r="G27" s="2" t="s">
        <v>35</v>
      </c>
      <c r="H27">
        <v>14</v>
      </c>
      <c r="I27" s="3">
        <v>110</v>
      </c>
      <c r="J27" s="3">
        <v>88</v>
      </c>
      <c r="K27" t="s">
        <v>0</v>
      </c>
    </row>
    <row r="28" spans="1:11" x14ac:dyDescent="0.25">
      <c r="A28" s="2">
        <v>2024</v>
      </c>
      <c r="B28" s="2">
        <v>1</v>
      </c>
      <c r="C28" s="2" t="s">
        <v>44</v>
      </c>
      <c r="D28" s="4">
        <v>45318</v>
      </c>
      <c r="E28" s="2" t="s">
        <v>14</v>
      </c>
      <c r="F28" s="2" t="s">
        <v>47</v>
      </c>
      <c r="G28" s="2" t="s">
        <v>35</v>
      </c>
      <c r="H28">
        <v>123</v>
      </c>
      <c r="I28" s="3">
        <v>133.1</v>
      </c>
      <c r="J28" s="3">
        <v>106.48</v>
      </c>
      <c r="K28" t="s">
        <v>18</v>
      </c>
    </row>
    <row r="29" spans="1:11" x14ac:dyDescent="0.25">
      <c r="A29" s="2">
        <v>2024</v>
      </c>
      <c r="B29" s="2">
        <v>1</v>
      </c>
      <c r="C29" s="2" t="s">
        <v>44</v>
      </c>
      <c r="D29" s="4">
        <v>45319</v>
      </c>
      <c r="E29" s="2" t="s">
        <v>14</v>
      </c>
      <c r="F29" s="2" t="s">
        <v>45</v>
      </c>
      <c r="G29" s="2" t="s">
        <v>35</v>
      </c>
      <c r="H29">
        <v>34</v>
      </c>
      <c r="I29" s="3">
        <v>160.82</v>
      </c>
      <c r="J29" s="3">
        <v>128.65600000000001</v>
      </c>
      <c r="K29" t="s">
        <v>18</v>
      </c>
    </row>
    <row r="30" spans="1:11" x14ac:dyDescent="0.25">
      <c r="A30" s="2">
        <v>2024</v>
      </c>
      <c r="B30" s="2">
        <v>1</v>
      </c>
      <c r="C30" s="2" t="s">
        <v>44</v>
      </c>
      <c r="D30" s="4">
        <v>45320</v>
      </c>
      <c r="E30" s="2" t="s">
        <v>14</v>
      </c>
      <c r="F30" s="2" t="s">
        <v>46</v>
      </c>
      <c r="G30" s="2" t="s">
        <v>23</v>
      </c>
      <c r="H30">
        <v>66</v>
      </c>
      <c r="I30" s="3">
        <v>194.08</v>
      </c>
      <c r="J30" s="3">
        <v>155.26400000000001</v>
      </c>
      <c r="K30" t="s">
        <v>0</v>
      </c>
    </row>
    <row r="31" spans="1:11" x14ac:dyDescent="0.25">
      <c r="A31" s="2">
        <v>2024</v>
      </c>
      <c r="B31" s="2">
        <v>1</v>
      </c>
      <c r="C31" s="2" t="s">
        <v>44</v>
      </c>
      <c r="D31" s="4">
        <v>45321</v>
      </c>
      <c r="E31" s="2" t="s">
        <v>14</v>
      </c>
      <c r="F31" s="2" t="s">
        <v>45</v>
      </c>
      <c r="G31" s="2" t="s">
        <v>23</v>
      </c>
      <c r="H31">
        <v>226</v>
      </c>
      <c r="I31" s="3">
        <v>321</v>
      </c>
      <c r="J31" s="3">
        <v>256.8</v>
      </c>
      <c r="K31" t="s">
        <v>18</v>
      </c>
    </row>
    <row r="32" spans="1:11" x14ac:dyDescent="0.25">
      <c r="A32" s="2">
        <v>2024</v>
      </c>
      <c r="B32" s="2">
        <v>1</v>
      </c>
      <c r="C32" s="2" t="s">
        <v>44</v>
      </c>
      <c r="D32" s="4">
        <v>45322</v>
      </c>
      <c r="E32" s="2" t="s">
        <v>14</v>
      </c>
      <c r="F32" s="2" t="s">
        <v>43</v>
      </c>
      <c r="G32" s="2" t="s">
        <v>21</v>
      </c>
      <c r="H32">
        <v>657</v>
      </c>
      <c r="I32" s="3">
        <v>386.3</v>
      </c>
      <c r="J32" s="3">
        <v>309.04000000000002</v>
      </c>
      <c r="K32" t="s">
        <v>0</v>
      </c>
    </row>
    <row r="33" spans="1:11" x14ac:dyDescent="0.25">
      <c r="A33" s="2">
        <v>2024</v>
      </c>
      <c r="B33" s="2">
        <v>1</v>
      </c>
      <c r="C33" s="2" t="s">
        <v>17</v>
      </c>
      <c r="D33" s="4">
        <v>45323</v>
      </c>
      <c r="E33" s="2" t="s">
        <v>37</v>
      </c>
      <c r="F33" s="2" t="s">
        <v>39</v>
      </c>
      <c r="G33" s="2" t="s">
        <v>20</v>
      </c>
      <c r="H33">
        <v>23</v>
      </c>
      <c r="I33" s="3">
        <v>133.1</v>
      </c>
      <c r="J33" s="3">
        <v>106.48</v>
      </c>
      <c r="K33" t="s">
        <v>18</v>
      </c>
    </row>
    <row r="34" spans="1:11" x14ac:dyDescent="0.25">
      <c r="A34" s="2">
        <v>2024</v>
      </c>
      <c r="B34" s="2">
        <v>1</v>
      </c>
      <c r="C34" s="2" t="s">
        <v>17</v>
      </c>
      <c r="D34" s="4">
        <v>45324</v>
      </c>
      <c r="E34" s="2" t="s">
        <v>37</v>
      </c>
      <c r="F34" s="2" t="s">
        <v>39</v>
      </c>
      <c r="G34" s="2" t="s">
        <v>19</v>
      </c>
      <c r="H34">
        <v>54</v>
      </c>
      <c r="I34" s="3">
        <v>160.82</v>
      </c>
      <c r="J34" s="3">
        <v>128.65600000000001</v>
      </c>
      <c r="K34" t="s">
        <v>0</v>
      </c>
    </row>
    <row r="35" spans="1:11" x14ac:dyDescent="0.25">
      <c r="A35" s="2">
        <v>2024</v>
      </c>
      <c r="B35" s="2">
        <v>1</v>
      </c>
      <c r="C35" s="2" t="s">
        <v>17</v>
      </c>
      <c r="D35" s="4">
        <v>45324</v>
      </c>
      <c r="E35" s="2" t="s">
        <v>37</v>
      </c>
      <c r="F35" s="2" t="s">
        <v>36</v>
      </c>
      <c r="G35" s="2" t="s">
        <v>19</v>
      </c>
      <c r="H35">
        <v>123</v>
      </c>
      <c r="I35" s="3">
        <v>194.08</v>
      </c>
      <c r="J35" s="3">
        <v>155.26400000000001</v>
      </c>
      <c r="K35" t="s">
        <v>18</v>
      </c>
    </row>
    <row r="36" spans="1:11" x14ac:dyDescent="0.25">
      <c r="A36" s="2">
        <v>2024</v>
      </c>
      <c r="B36" s="2">
        <v>1</v>
      </c>
      <c r="C36" s="2" t="s">
        <v>17</v>
      </c>
      <c r="D36" s="4">
        <v>45327</v>
      </c>
      <c r="E36" s="2" t="s">
        <v>37</v>
      </c>
      <c r="F36" s="2" t="s">
        <v>42</v>
      </c>
      <c r="G36" s="2" t="s">
        <v>41</v>
      </c>
      <c r="H36">
        <v>100</v>
      </c>
      <c r="I36" s="3">
        <v>234</v>
      </c>
      <c r="J36" s="3">
        <v>187.20000000000002</v>
      </c>
      <c r="K36" t="s">
        <v>0</v>
      </c>
    </row>
    <row r="37" spans="1:11" x14ac:dyDescent="0.25">
      <c r="A37" s="2">
        <v>2024</v>
      </c>
      <c r="B37" s="2">
        <v>1</v>
      </c>
      <c r="C37" s="2" t="s">
        <v>17</v>
      </c>
      <c r="D37" s="4">
        <v>45329</v>
      </c>
      <c r="E37" s="2" t="s">
        <v>37</v>
      </c>
      <c r="F37" s="2" t="s">
        <v>40</v>
      </c>
      <c r="G37" s="2" t="s">
        <v>30</v>
      </c>
      <c r="H37">
        <v>143</v>
      </c>
      <c r="I37" s="3">
        <v>281.89999999999998</v>
      </c>
      <c r="J37" s="3">
        <v>225.51999999999998</v>
      </c>
      <c r="K37" t="s">
        <v>18</v>
      </c>
    </row>
    <row r="38" spans="1:11" x14ac:dyDescent="0.25">
      <c r="A38" s="2">
        <v>2024</v>
      </c>
      <c r="B38" s="2">
        <v>1</v>
      </c>
      <c r="C38" s="2" t="s">
        <v>17</v>
      </c>
      <c r="D38" s="4">
        <v>45329</v>
      </c>
      <c r="E38" s="2" t="s">
        <v>37</v>
      </c>
      <c r="F38" s="2" t="s">
        <v>39</v>
      </c>
      <c r="G38" s="2" t="s">
        <v>28</v>
      </c>
      <c r="H38">
        <v>54</v>
      </c>
      <c r="I38" s="3">
        <v>110</v>
      </c>
      <c r="J38" s="3">
        <v>88</v>
      </c>
      <c r="K38" t="s">
        <v>18</v>
      </c>
    </row>
    <row r="39" spans="1:11" x14ac:dyDescent="0.25">
      <c r="A39" s="2">
        <v>2024</v>
      </c>
      <c r="B39" s="2">
        <v>1</v>
      </c>
      <c r="C39" s="2" t="s">
        <v>17</v>
      </c>
      <c r="D39" s="4">
        <v>45330</v>
      </c>
      <c r="E39" s="2" t="s">
        <v>37</v>
      </c>
      <c r="F39" s="2" t="s">
        <v>38</v>
      </c>
      <c r="G39" s="2" t="s">
        <v>25</v>
      </c>
      <c r="H39">
        <v>123</v>
      </c>
      <c r="I39" s="3">
        <v>133.1</v>
      </c>
      <c r="J39" s="3">
        <v>106.48</v>
      </c>
      <c r="K39" t="s">
        <v>0</v>
      </c>
    </row>
    <row r="40" spans="1:11" x14ac:dyDescent="0.25">
      <c r="A40" s="2">
        <v>2024</v>
      </c>
      <c r="B40" s="2">
        <v>1</v>
      </c>
      <c r="C40" s="2" t="s">
        <v>17</v>
      </c>
      <c r="D40" s="4">
        <v>45331</v>
      </c>
      <c r="E40" s="2" t="s">
        <v>37</v>
      </c>
      <c r="F40" s="2" t="s">
        <v>36</v>
      </c>
      <c r="G40" s="2" t="s">
        <v>35</v>
      </c>
      <c r="H40">
        <v>34</v>
      </c>
      <c r="I40" s="3">
        <v>160.82</v>
      </c>
      <c r="J40" s="3">
        <v>192.98399999999998</v>
      </c>
      <c r="K40" t="s">
        <v>18</v>
      </c>
    </row>
    <row r="41" spans="1:11" x14ac:dyDescent="0.25">
      <c r="A41" s="2">
        <v>2024</v>
      </c>
      <c r="B41" s="2">
        <v>1</v>
      </c>
      <c r="C41" s="2" t="s">
        <v>17</v>
      </c>
      <c r="D41" s="4">
        <v>45332</v>
      </c>
      <c r="E41" s="2" t="s">
        <v>27</v>
      </c>
      <c r="F41" s="2" t="s">
        <v>34</v>
      </c>
      <c r="G41" s="2" t="s">
        <v>23</v>
      </c>
      <c r="H41">
        <v>66</v>
      </c>
      <c r="I41" s="3">
        <v>194.08</v>
      </c>
      <c r="J41" s="3">
        <v>232.89600000000002</v>
      </c>
      <c r="K41" t="s">
        <v>0</v>
      </c>
    </row>
    <row r="42" spans="1:11" x14ac:dyDescent="0.25">
      <c r="A42" s="2">
        <v>2024</v>
      </c>
      <c r="B42" s="2">
        <v>1</v>
      </c>
      <c r="C42" s="2" t="s">
        <v>17</v>
      </c>
      <c r="D42" s="4">
        <v>45333</v>
      </c>
      <c r="E42" s="2" t="s">
        <v>27</v>
      </c>
      <c r="F42" s="2" t="s">
        <v>29</v>
      </c>
      <c r="G42" s="2" t="s">
        <v>23</v>
      </c>
      <c r="H42">
        <v>78</v>
      </c>
      <c r="I42" s="3">
        <v>134</v>
      </c>
      <c r="J42" s="3">
        <v>160.79999999999998</v>
      </c>
      <c r="K42" t="s">
        <v>18</v>
      </c>
    </row>
    <row r="43" spans="1:11" x14ac:dyDescent="0.25">
      <c r="A43" s="2">
        <v>2024</v>
      </c>
      <c r="B43" s="2">
        <v>1</v>
      </c>
      <c r="C43" s="2" t="s">
        <v>17</v>
      </c>
      <c r="D43" s="4">
        <v>45334</v>
      </c>
      <c r="E43" s="2" t="s">
        <v>27</v>
      </c>
      <c r="F43" s="2" t="s">
        <v>33</v>
      </c>
      <c r="G43" s="2" t="s">
        <v>21</v>
      </c>
      <c r="H43">
        <v>89</v>
      </c>
      <c r="I43" s="3">
        <v>110</v>
      </c>
      <c r="J43" s="3">
        <v>132</v>
      </c>
      <c r="K43" t="s">
        <v>0</v>
      </c>
    </row>
    <row r="44" spans="1:11" x14ac:dyDescent="0.25">
      <c r="A44" s="2">
        <v>2024</v>
      </c>
      <c r="B44" s="2">
        <v>1</v>
      </c>
      <c r="C44" s="2" t="s">
        <v>17</v>
      </c>
      <c r="D44" s="4">
        <v>45335</v>
      </c>
      <c r="E44" s="2" t="s">
        <v>27</v>
      </c>
      <c r="F44" s="2" t="s">
        <v>33</v>
      </c>
      <c r="G44" s="2" t="s">
        <v>20</v>
      </c>
      <c r="H44">
        <v>23</v>
      </c>
      <c r="I44" s="3">
        <v>123</v>
      </c>
      <c r="J44" s="3">
        <v>147.6</v>
      </c>
      <c r="K44" t="s">
        <v>18</v>
      </c>
    </row>
    <row r="45" spans="1:11" x14ac:dyDescent="0.25">
      <c r="A45" s="2">
        <v>2024</v>
      </c>
      <c r="B45" s="2">
        <v>1</v>
      </c>
      <c r="C45" s="2" t="s">
        <v>17</v>
      </c>
      <c r="D45" s="4">
        <v>45336</v>
      </c>
      <c r="E45" s="2" t="s">
        <v>27</v>
      </c>
      <c r="F45" s="2" t="s">
        <v>32</v>
      </c>
      <c r="G45" s="2" t="s">
        <v>19</v>
      </c>
      <c r="H45">
        <v>54</v>
      </c>
      <c r="I45" s="3">
        <v>148.69999999999999</v>
      </c>
      <c r="J45" s="3">
        <v>178.43999999999997</v>
      </c>
      <c r="K45" t="s">
        <v>0</v>
      </c>
    </row>
    <row r="46" spans="1:11" x14ac:dyDescent="0.25">
      <c r="A46" s="2">
        <v>2024</v>
      </c>
      <c r="B46" s="2">
        <v>1</v>
      </c>
      <c r="C46" s="2" t="s">
        <v>17</v>
      </c>
      <c r="D46" s="4">
        <v>45337</v>
      </c>
      <c r="E46" s="2" t="s">
        <v>27</v>
      </c>
      <c r="F46" s="2" t="s">
        <v>31</v>
      </c>
      <c r="G46" s="2" t="s">
        <v>30</v>
      </c>
      <c r="H46">
        <v>123</v>
      </c>
      <c r="I46" s="3">
        <v>179.54</v>
      </c>
      <c r="J46" s="3">
        <v>215.44799999999998</v>
      </c>
      <c r="K46" t="s">
        <v>18</v>
      </c>
    </row>
    <row r="47" spans="1:11" x14ac:dyDescent="0.25">
      <c r="A47" s="2">
        <v>2024</v>
      </c>
      <c r="B47" s="2">
        <v>1</v>
      </c>
      <c r="C47" s="2" t="s">
        <v>17</v>
      </c>
      <c r="D47" s="4">
        <v>45338</v>
      </c>
      <c r="E47" s="2" t="s">
        <v>27</v>
      </c>
      <c r="F47" s="2" t="s">
        <v>29</v>
      </c>
      <c r="G47" s="2" t="s">
        <v>28</v>
      </c>
      <c r="H47">
        <v>100</v>
      </c>
      <c r="I47" s="3">
        <v>216.55</v>
      </c>
      <c r="J47" s="3">
        <v>259.86</v>
      </c>
      <c r="K47" t="s">
        <v>18</v>
      </c>
    </row>
    <row r="48" spans="1:11" x14ac:dyDescent="0.25">
      <c r="A48" s="2">
        <v>2024</v>
      </c>
      <c r="B48" s="2">
        <v>1</v>
      </c>
      <c r="C48" s="2" t="s">
        <v>17</v>
      </c>
      <c r="D48" s="4">
        <v>45339</v>
      </c>
      <c r="E48" s="2" t="s">
        <v>27</v>
      </c>
      <c r="F48" s="2" t="s">
        <v>26</v>
      </c>
      <c r="G48" s="2" t="s">
        <v>25</v>
      </c>
      <c r="H48">
        <v>143</v>
      </c>
      <c r="I48" s="3">
        <v>110</v>
      </c>
      <c r="J48" s="3">
        <v>132</v>
      </c>
      <c r="K48" t="s">
        <v>0</v>
      </c>
    </row>
    <row r="49" spans="1:11" x14ac:dyDescent="0.25">
      <c r="A49" s="2">
        <v>2024</v>
      </c>
      <c r="B49" s="2">
        <v>1</v>
      </c>
      <c r="C49" s="2" t="s">
        <v>17</v>
      </c>
      <c r="D49" s="4">
        <v>45340</v>
      </c>
      <c r="E49" s="2" t="s">
        <v>16</v>
      </c>
      <c r="F49" s="2" t="s">
        <v>24</v>
      </c>
      <c r="G49" s="2" t="s">
        <v>25</v>
      </c>
      <c r="H49">
        <v>54</v>
      </c>
      <c r="I49" s="3">
        <v>133.1</v>
      </c>
      <c r="J49" s="3">
        <v>159.72</v>
      </c>
      <c r="K49" t="s">
        <v>18</v>
      </c>
    </row>
    <row r="50" spans="1:11" x14ac:dyDescent="0.25">
      <c r="A50" s="2">
        <v>2024</v>
      </c>
      <c r="B50" s="2">
        <v>1</v>
      </c>
      <c r="C50" s="2" t="s">
        <v>17</v>
      </c>
      <c r="D50" s="4">
        <v>45342</v>
      </c>
      <c r="E50" s="2" t="s">
        <v>16</v>
      </c>
      <c r="F50" s="2" t="s">
        <v>24</v>
      </c>
      <c r="G50" s="2" t="s">
        <v>23</v>
      </c>
      <c r="H50">
        <v>66</v>
      </c>
      <c r="I50" s="3">
        <v>160.82</v>
      </c>
      <c r="J50" s="3">
        <v>192.98399999999998</v>
      </c>
      <c r="K50" t="s">
        <v>0</v>
      </c>
    </row>
    <row r="51" spans="1:11" x14ac:dyDescent="0.25">
      <c r="A51" s="2">
        <v>2024</v>
      </c>
      <c r="B51" s="2">
        <v>1</v>
      </c>
      <c r="C51" s="2" t="s">
        <v>17</v>
      </c>
      <c r="D51" s="4">
        <v>45342</v>
      </c>
      <c r="E51" s="2" t="s">
        <v>16</v>
      </c>
      <c r="F51" s="2" t="s">
        <v>22</v>
      </c>
      <c r="G51" s="2" t="s">
        <v>21</v>
      </c>
      <c r="H51">
        <v>78</v>
      </c>
      <c r="I51" s="3">
        <v>194.08</v>
      </c>
      <c r="J51" s="3">
        <v>232.89600000000002</v>
      </c>
      <c r="K51" t="s">
        <v>18</v>
      </c>
    </row>
    <row r="52" spans="1:11" x14ac:dyDescent="0.25">
      <c r="A52" s="2">
        <v>2024</v>
      </c>
      <c r="B52" s="2">
        <v>1</v>
      </c>
      <c r="C52" s="2" t="s">
        <v>17</v>
      </c>
      <c r="D52" s="4">
        <v>45342</v>
      </c>
      <c r="E52" s="2" t="s">
        <v>16</v>
      </c>
      <c r="F52" s="2" t="s">
        <v>15</v>
      </c>
      <c r="G52" s="2" t="s">
        <v>20</v>
      </c>
      <c r="H52">
        <v>78</v>
      </c>
      <c r="I52" s="3">
        <v>234</v>
      </c>
      <c r="J52" s="3">
        <v>280.8</v>
      </c>
      <c r="K52" t="s">
        <v>0</v>
      </c>
    </row>
    <row r="53" spans="1:11" x14ac:dyDescent="0.25">
      <c r="A53" s="2">
        <v>2024</v>
      </c>
      <c r="B53" s="2">
        <v>1</v>
      </c>
      <c r="C53" s="2" t="s">
        <v>17</v>
      </c>
      <c r="D53" s="4">
        <v>45344</v>
      </c>
      <c r="E53" s="2" t="s">
        <v>16</v>
      </c>
      <c r="F53" s="2" t="s">
        <v>13</v>
      </c>
      <c r="G53" s="2" t="s">
        <v>19</v>
      </c>
      <c r="H53">
        <v>23</v>
      </c>
      <c r="I53" s="3">
        <v>110</v>
      </c>
      <c r="J53" s="3">
        <v>132</v>
      </c>
      <c r="K53" t="s">
        <v>18</v>
      </c>
    </row>
    <row r="54" spans="1:11" x14ac:dyDescent="0.25">
      <c r="A54" s="2">
        <v>2024</v>
      </c>
      <c r="B54" s="2">
        <v>1</v>
      </c>
      <c r="C54" s="2" t="s">
        <v>17</v>
      </c>
      <c r="D54" s="4">
        <v>45345</v>
      </c>
      <c r="E54" s="2" t="s">
        <v>16</v>
      </c>
      <c r="F54" s="2" t="s">
        <v>15</v>
      </c>
      <c r="G54" s="2" t="s">
        <v>1</v>
      </c>
      <c r="H54">
        <v>54</v>
      </c>
      <c r="I54" s="3">
        <v>133.1</v>
      </c>
      <c r="J54" s="3">
        <v>159.72</v>
      </c>
      <c r="K54" t="s">
        <v>0</v>
      </c>
    </row>
    <row r="55" spans="1:11" x14ac:dyDescent="0.25">
      <c r="A55" s="2">
        <v>2024</v>
      </c>
      <c r="B55" s="2">
        <v>1</v>
      </c>
      <c r="C55" s="2" t="s">
        <v>4</v>
      </c>
      <c r="D55" s="4">
        <v>45353</v>
      </c>
      <c r="E55" s="2" t="s">
        <v>14</v>
      </c>
      <c r="F55" s="2" t="s">
        <v>13</v>
      </c>
      <c r="G55" s="2" t="s">
        <v>1</v>
      </c>
      <c r="H55">
        <v>54</v>
      </c>
      <c r="I55" s="3">
        <v>133.1</v>
      </c>
      <c r="J55" s="3">
        <v>159.72</v>
      </c>
      <c r="K55" t="s">
        <v>0</v>
      </c>
    </row>
    <row r="56" spans="1:11" x14ac:dyDescent="0.25">
      <c r="A56" s="2">
        <v>2024</v>
      </c>
      <c r="B56" s="2">
        <v>1</v>
      </c>
      <c r="C56" s="2" t="s">
        <v>4</v>
      </c>
      <c r="D56" s="4">
        <v>45353</v>
      </c>
      <c r="E56" s="2" t="s">
        <v>12</v>
      </c>
      <c r="F56" s="2" t="s">
        <v>11</v>
      </c>
      <c r="G56" s="2" t="s">
        <v>1</v>
      </c>
      <c r="H56">
        <v>54</v>
      </c>
      <c r="I56" s="3">
        <v>133.1</v>
      </c>
      <c r="J56" s="3">
        <v>159.72</v>
      </c>
      <c r="K56" t="s">
        <v>0</v>
      </c>
    </row>
    <row r="57" spans="1:11" x14ac:dyDescent="0.25">
      <c r="A57" s="2">
        <v>2024</v>
      </c>
      <c r="B57" s="2">
        <v>1</v>
      </c>
      <c r="C57" s="2" t="s">
        <v>4</v>
      </c>
      <c r="D57" s="4">
        <v>45353</v>
      </c>
      <c r="E57" s="2" t="s">
        <v>10</v>
      </c>
      <c r="F57" s="2" t="s">
        <v>9</v>
      </c>
      <c r="G57" s="2" t="s">
        <v>1</v>
      </c>
      <c r="H57">
        <v>54</v>
      </c>
      <c r="I57" s="3">
        <v>133.1</v>
      </c>
      <c r="J57" s="3">
        <v>159.72</v>
      </c>
      <c r="K57" t="s">
        <v>0</v>
      </c>
    </row>
    <row r="58" spans="1:11" x14ac:dyDescent="0.25">
      <c r="A58" s="2">
        <v>2024</v>
      </c>
      <c r="B58" s="2">
        <v>1</v>
      </c>
      <c r="C58" s="2" t="s">
        <v>4</v>
      </c>
      <c r="D58" s="4">
        <v>45353</v>
      </c>
      <c r="E58" s="2" t="s">
        <v>8</v>
      </c>
      <c r="F58" s="2" t="s">
        <v>7</v>
      </c>
      <c r="G58" s="2" t="s">
        <v>1</v>
      </c>
      <c r="H58">
        <v>54</v>
      </c>
      <c r="I58" s="3">
        <v>133.1</v>
      </c>
      <c r="J58" s="3">
        <v>159.72</v>
      </c>
      <c r="K58" t="s">
        <v>0</v>
      </c>
    </row>
    <row r="59" spans="1:11" x14ac:dyDescent="0.25">
      <c r="A59" s="2">
        <v>2024</v>
      </c>
      <c r="B59" s="2">
        <v>1</v>
      </c>
      <c r="C59" s="2" t="s">
        <v>4</v>
      </c>
      <c r="D59" s="4">
        <v>45353</v>
      </c>
      <c r="E59" s="2" t="s">
        <v>6</v>
      </c>
      <c r="F59" s="2" t="s">
        <v>5</v>
      </c>
      <c r="G59" s="2" t="s">
        <v>1</v>
      </c>
      <c r="H59">
        <v>54</v>
      </c>
      <c r="I59" s="3">
        <v>133.1</v>
      </c>
      <c r="J59" s="3">
        <v>159.72</v>
      </c>
      <c r="K59" t="s">
        <v>0</v>
      </c>
    </row>
    <row r="60" spans="1:11" x14ac:dyDescent="0.25">
      <c r="A60" s="2">
        <v>2024</v>
      </c>
      <c r="B60" s="2">
        <v>1</v>
      </c>
      <c r="C60" s="2" t="s">
        <v>4</v>
      </c>
      <c r="D60" s="4">
        <v>45353</v>
      </c>
      <c r="E60" s="2" t="s">
        <v>3</v>
      </c>
      <c r="F60" s="2" t="s">
        <v>2</v>
      </c>
      <c r="G60" s="2" t="s">
        <v>1</v>
      </c>
      <c r="H60">
        <v>54</v>
      </c>
      <c r="I60" s="3">
        <v>133.1</v>
      </c>
      <c r="J60" s="3">
        <v>159.72</v>
      </c>
      <c r="K60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2B35-47C2-4D26-BE46-E3A7DDF96F99}">
  <dimension ref="A1:E15"/>
  <sheetViews>
    <sheetView zoomScale="140" zoomScaleNormal="140" workbookViewId="0">
      <selection activeCell="B6" sqref="B6"/>
    </sheetView>
  </sheetViews>
  <sheetFormatPr baseColWidth="10" defaultRowHeight="15" x14ac:dyDescent="0.25"/>
  <cols>
    <col min="2" max="2" width="17.85546875" customWidth="1"/>
    <col min="3" max="3" width="21.7109375" customWidth="1"/>
    <col min="4" max="4" width="14.140625" bestFit="1" customWidth="1"/>
    <col min="5" max="5" width="11.42578125" style="12"/>
    <col min="6" max="7" width="11.42578125" customWidth="1"/>
  </cols>
  <sheetData>
    <row r="1" spans="1:5" ht="18.75" x14ac:dyDescent="0.3">
      <c r="A1" s="14" t="s">
        <v>90</v>
      </c>
      <c r="B1" s="14" t="s">
        <v>89</v>
      </c>
      <c r="C1" s="14" t="s">
        <v>88</v>
      </c>
      <c r="D1" s="14" t="s">
        <v>87</v>
      </c>
      <c r="E1" s="13" t="s">
        <v>86</v>
      </c>
    </row>
    <row r="2" spans="1:5" x14ac:dyDescent="0.25">
      <c r="A2" t="s">
        <v>72</v>
      </c>
      <c r="B2" t="s">
        <v>85</v>
      </c>
      <c r="C2" t="s">
        <v>84</v>
      </c>
      <c r="D2" t="s">
        <v>66</v>
      </c>
      <c r="E2" s="12">
        <v>21500</v>
      </c>
    </row>
    <row r="3" spans="1:5" x14ac:dyDescent="0.25">
      <c r="A3" t="s">
        <v>69</v>
      </c>
      <c r="B3" t="s">
        <v>73</v>
      </c>
      <c r="C3" t="s">
        <v>44</v>
      </c>
      <c r="D3" t="s">
        <v>77</v>
      </c>
      <c r="E3" s="12">
        <v>1300</v>
      </c>
    </row>
    <row r="4" spans="1:5" x14ac:dyDescent="0.25">
      <c r="A4" t="s">
        <v>80</v>
      </c>
      <c r="B4" t="s">
        <v>79</v>
      </c>
      <c r="C4" t="s">
        <v>17</v>
      </c>
      <c r="D4" t="s">
        <v>66</v>
      </c>
      <c r="E4" s="12">
        <v>22000</v>
      </c>
    </row>
    <row r="5" spans="1:5" x14ac:dyDescent="0.25">
      <c r="A5" t="s">
        <v>69</v>
      </c>
      <c r="B5" t="s">
        <v>83</v>
      </c>
      <c r="C5" t="s">
        <v>17</v>
      </c>
      <c r="D5" t="s">
        <v>74</v>
      </c>
      <c r="E5" s="12">
        <v>2880</v>
      </c>
    </row>
    <row r="6" spans="1:5" x14ac:dyDescent="0.25">
      <c r="A6" t="s">
        <v>72</v>
      </c>
      <c r="B6" t="s">
        <v>76</v>
      </c>
      <c r="C6" t="s">
        <v>17</v>
      </c>
      <c r="D6" t="s">
        <v>66</v>
      </c>
      <c r="E6" s="12">
        <v>22000</v>
      </c>
    </row>
    <row r="7" spans="1:5" x14ac:dyDescent="0.25">
      <c r="A7" t="s">
        <v>80</v>
      </c>
      <c r="B7" t="s">
        <v>82</v>
      </c>
      <c r="C7" t="s">
        <v>81</v>
      </c>
      <c r="D7" t="s">
        <v>77</v>
      </c>
      <c r="E7" s="12">
        <v>2880</v>
      </c>
    </row>
    <row r="8" spans="1:5" x14ac:dyDescent="0.25">
      <c r="A8" t="s">
        <v>80</v>
      </c>
      <c r="B8" t="s">
        <v>79</v>
      </c>
      <c r="C8" t="s">
        <v>4</v>
      </c>
      <c r="D8" t="s">
        <v>77</v>
      </c>
      <c r="E8" s="12">
        <v>21900</v>
      </c>
    </row>
    <row r="9" spans="1:5" x14ac:dyDescent="0.25">
      <c r="A9" t="s">
        <v>72</v>
      </c>
      <c r="B9" t="s">
        <v>78</v>
      </c>
      <c r="C9" t="s">
        <v>4</v>
      </c>
      <c r="D9" t="s">
        <v>66</v>
      </c>
      <c r="E9" s="12">
        <v>1250</v>
      </c>
    </row>
    <row r="10" spans="1:5" x14ac:dyDescent="0.25">
      <c r="A10" t="s">
        <v>72</v>
      </c>
      <c r="B10" t="s">
        <v>78</v>
      </c>
      <c r="C10" t="s">
        <v>4</v>
      </c>
      <c r="D10" t="s">
        <v>74</v>
      </c>
      <c r="E10" s="12">
        <v>21500</v>
      </c>
    </row>
    <row r="11" spans="1:5" x14ac:dyDescent="0.25">
      <c r="A11" t="s">
        <v>72</v>
      </c>
      <c r="B11" t="s">
        <v>71</v>
      </c>
      <c r="C11" t="s">
        <v>4</v>
      </c>
      <c r="D11" t="s">
        <v>77</v>
      </c>
      <c r="E11" s="12">
        <v>1850</v>
      </c>
    </row>
    <row r="12" spans="1:5" x14ac:dyDescent="0.25">
      <c r="A12" t="s">
        <v>72</v>
      </c>
      <c r="B12" t="s">
        <v>76</v>
      </c>
      <c r="C12" t="s">
        <v>75</v>
      </c>
      <c r="D12" t="s">
        <v>74</v>
      </c>
      <c r="E12" s="12">
        <v>1850</v>
      </c>
    </row>
    <row r="13" spans="1:5" x14ac:dyDescent="0.25">
      <c r="A13" t="s">
        <v>69</v>
      </c>
      <c r="B13" t="s">
        <v>73</v>
      </c>
      <c r="C13" t="s">
        <v>70</v>
      </c>
      <c r="D13" t="s">
        <v>66</v>
      </c>
      <c r="E13" s="12">
        <v>21800</v>
      </c>
    </row>
    <row r="14" spans="1:5" x14ac:dyDescent="0.25">
      <c r="A14" t="s">
        <v>72</v>
      </c>
      <c r="B14" t="s">
        <v>71</v>
      </c>
      <c r="C14" t="s">
        <v>70</v>
      </c>
      <c r="D14" t="s">
        <v>66</v>
      </c>
      <c r="E14" s="12">
        <v>1300</v>
      </c>
    </row>
    <row r="15" spans="1:5" x14ac:dyDescent="0.25">
      <c r="A15" t="s">
        <v>69</v>
      </c>
      <c r="B15" t="s">
        <v>68</v>
      </c>
      <c r="C15" t="s">
        <v>67</v>
      </c>
      <c r="D15" t="s">
        <v>66</v>
      </c>
      <c r="E15" s="12">
        <v>22000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6DCF-5D50-4C60-9DE4-68DB910807DC}">
  <dimension ref="B1:L27"/>
  <sheetViews>
    <sheetView tabSelected="1" workbookViewId="0">
      <selection activeCell="L15" sqref="L15"/>
    </sheetView>
  </sheetViews>
  <sheetFormatPr baseColWidth="10" defaultRowHeight="15" x14ac:dyDescent="0.25"/>
  <cols>
    <col min="2" max="2" width="29.85546875" customWidth="1"/>
    <col min="3" max="3" width="29.28515625" bestFit="1" customWidth="1"/>
    <col min="4" max="4" width="8.42578125" bestFit="1" customWidth="1"/>
    <col min="5" max="5" width="11.28515625" bestFit="1" customWidth="1"/>
    <col min="8" max="8" width="22.85546875" bestFit="1" customWidth="1"/>
  </cols>
  <sheetData>
    <row r="1" spans="2:12" ht="11.25" customHeight="1" x14ac:dyDescent="0.25"/>
    <row r="2" spans="2:12" ht="32.25" thickBot="1" x14ac:dyDescent="0.55000000000000004">
      <c r="B2" s="39" t="s">
        <v>265</v>
      </c>
    </row>
    <row r="3" spans="2:12" ht="16.5" customHeight="1" x14ac:dyDescent="0.5">
      <c r="B3" s="39"/>
      <c r="H3" s="38" t="s">
        <v>258</v>
      </c>
      <c r="I3" s="38"/>
      <c r="K3" s="37" t="s">
        <v>264</v>
      </c>
      <c r="L3" s="37" t="s">
        <v>263</v>
      </c>
    </row>
    <row r="4" spans="2:12" ht="26.25" customHeight="1" x14ac:dyDescent="0.3">
      <c r="B4" s="36" t="s">
        <v>262</v>
      </c>
      <c r="C4" s="36" t="s">
        <v>261</v>
      </c>
      <c r="D4" s="36" t="s">
        <v>260</v>
      </c>
      <c r="E4" s="36" t="s">
        <v>259</v>
      </c>
      <c r="F4" s="36" t="s">
        <v>258</v>
      </c>
      <c r="K4">
        <v>40</v>
      </c>
      <c r="L4">
        <v>1</v>
      </c>
    </row>
    <row r="5" spans="2:12" ht="18.75" x14ac:dyDescent="0.3">
      <c r="B5" s="35" t="s">
        <v>257</v>
      </c>
      <c r="C5" s="35" t="s">
        <v>226</v>
      </c>
      <c r="D5" s="35">
        <v>500</v>
      </c>
      <c r="E5" s="35">
        <v>1</v>
      </c>
      <c r="F5" s="35">
        <f>D5*E5</f>
        <v>500</v>
      </c>
      <c r="H5" t="s">
        <v>256</v>
      </c>
      <c r="I5">
        <v>1930</v>
      </c>
      <c r="K5">
        <v>2026.6666666666667</v>
      </c>
      <c r="L5">
        <v>6</v>
      </c>
    </row>
    <row r="6" spans="2:12" ht="18.75" x14ac:dyDescent="0.3">
      <c r="B6" s="35" t="s">
        <v>255</v>
      </c>
      <c r="C6" s="35" t="s">
        <v>254</v>
      </c>
      <c r="D6" s="35">
        <v>20</v>
      </c>
      <c r="E6" s="35">
        <v>2</v>
      </c>
      <c r="F6" s="35">
        <f>D6*E6</f>
        <v>40</v>
      </c>
      <c r="H6" t="s">
        <v>253</v>
      </c>
      <c r="I6">
        <v>505.63641267039088</v>
      </c>
      <c r="K6">
        <v>4013.3333333333335</v>
      </c>
      <c r="L6">
        <v>4</v>
      </c>
    </row>
    <row r="7" spans="2:12" ht="19.5" thickBot="1" x14ac:dyDescent="0.35">
      <c r="B7" s="35" t="s">
        <v>252</v>
      </c>
      <c r="C7" s="35" t="s">
        <v>229</v>
      </c>
      <c r="D7" s="35">
        <v>300</v>
      </c>
      <c r="E7" s="35">
        <v>3</v>
      </c>
      <c r="F7" s="35">
        <f>D7*E7</f>
        <v>900</v>
      </c>
      <c r="H7" t="s">
        <v>251</v>
      </c>
      <c r="I7">
        <v>1260</v>
      </c>
      <c r="K7" s="34" t="s">
        <v>250</v>
      </c>
      <c r="L7" s="34">
        <v>1</v>
      </c>
    </row>
    <row r="8" spans="2:12" ht="18.75" x14ac:dyDescent="0.3">
      <c r="B8" s="35" t="s">
        <v>249</v>
      </c>
      <c r="C8" s="35" t="s">
        <v>232</v>
      </c>
      <c r="D8" s="35">
        <v>250</v>
      </c>
      <c r="E8" s="35">
        <v>4</v>
      </c>
      <c r="F8" s="35">
        <f>D8*E8</f>
        <v>1000</v>
      </c>
      <c r="H8" t="s">
        <v>248</v>
      </c>
      <c r="I8" t="e">
        <v>#N/A</v>
      </c>
    </row>
    <row r="9" spans="2:12" ht="18.75" x14ac:dyDescent="0.3">
      <c r="B9" s="35" t="s">
        <v>247</v>
      </c>
      <c r="C9" s="35" t="s">
        <v>246</v>
      </c>
      <c r="D9" s="35">
        <v>150</v>
      </c>
      <c r="E9" s="35">
        <v>5</v>
      </c>
      <c r="F9" s="35">
        <f>D9*E9</f>
        <v>750</v>
      </c>
      <c r="H9" t="s">
        <v>245</v>
      </c>
      <c r="I9">
        <v>1751.5759138039612</v>
      </c>
    </row>
    <row r="10" spans="2:12" ht="18.75" x14ac:dyDescent="0.3">
      <c r="B10" s="35" t="s">
        <v>244</v>
      </c>
      <c r="C10" s="35" t="s">
        <v>243</v>
      </c>
      <c r="D10" s="35">
        <v>600</v>
      </c>
      <c r="E10" s="35">
        <v>6</v>
      </c>
      <c r="F10" s="35">
        <f>D10*E10</f>
        <v>3600</v>
      </c>
      <c r="H10" t="s">
        <v>242</v>
      </c>
      <c r="I10">
        <v>3068018.1818181816</v>
      </c>
    </row>
    <row r="11" spans="2:12" ht="18.75" x14ac:dyDescent="0.3">
      <c r="B11" s="35" t="s">
        <v>241</v>
      </c>
      <c r="C11" s="35" t="s">
        <v>240</v>
      </c>
      <c r="D11" s="35">
        <v>50</v>
      </c>
      <c r="E11" s="35">
        <v>7</v>
      </c>
      <c r="F11" s="35">
        <f>D11*E11</f>
        <v>350</v>
      </c>
      <c r="H11" t="s">
        <v>239</v>
      </c>
      <c r="I11">
        <v>1.2093147518456346</v>
      </c>
    </row>
    <row r="12" spans="2:12" ht="18.75" x14ac:dyDescent="0.3">
      <c r="B12" s="35" t="s">
        <v>238</v>
      </c>
      <c r="C12" s="35" t="s">
        <v>237</v>
      </c>
      <c r="D12" s="35">
        <v>190</v>
      </c>
      <c r="E12" s="35">
        <v>8</v>
      </c>
      <c r="F12" s="35">
        <f>D12*E12</f>
        <v>1520</v>
      </c>
      <c r="H12" t="s">
        <v>236</v>
      </c>
      <c r="I12">
        <v>1.1786507359055387</v>
      </c>
    </row>
    <row r="13" spans="2:12" ht="18.75" x14ac:dyDescent="0.3">
      <c r="B13" s="35" t="s">
        <v>235</v>
      </c>
      <c r="C13" s="35" t="s">
        <v>229</v>
      </c>
      <c r="D13" s="35">
        <v>300</v>
      </c>
      <c r="E13" s="35">
        <v>9</v>
      </c>
      <c r="F13" s="35">
        <f>D13*E13</f>
        <v>2700</v>
      </c>
      <c r="H13" t="s">
        <v>234</v>
      </c>
      <c r="I13">
        <v>5960</v>
      </c>
    </row>
    <row r="14" spans="2:12" ht="18.75" x14ac:dyDescent="0.3">
      <c r="B14" s="35" t="s">
        <v>233</v>
      </c>
      <c r="C14" s="35" t="s">
        <v>232</v>
      </c>
      <c r="D14" s="35">
        <v>250</v>
      </c>
      <c r="E14" s="35">
        <v>10</v>
      </c>
      <c r="F14" s="35">
        <f>D14*E14</f>
        <v>2500</v>
      </c>
      <c r="H14" t="s">
        <v>231</v>
      </c>
      <c r="I14">
        <v>40</v>
      </c>
    </row>
    <row r="15" spans="2:12" ht="18.75" x14ac:dyDescent="0.3">
      <c r="B15" s="35" t="s">
        <v>230</v>
      </c>
      <c r="C15" s="35" t="s">
        <v>229</v>
      </c>
      <c r="D15" s="35">
        <v>300</v>
      </c>
      <c r="E15" s="35">
        <v>11</v>
      </c>
      <c r="F15" s="35">
        <f>D15*E15</f>
        <v>3300</v>
      </c>
      <c r="H15" t="s">
        <v>228</v>
      </c>
      <c r="I15">
        <v>6000</v>
      </c>
    </row>
    <row r="16" spans="2:12" ht="18.75" x14ac:dyDescent="0.3">
      <c r="B16" s="35" t="s">
        <v>227</v>
      </c>
      <c r="C16" s="35" t="s">
        <v>226</v>
      </c>
      <c r="D16" s="35">
        <v>500</v>
      </c>
      <c r="E16" s="35">
        <v>12</v>
      </c>
      <c r="F16" s="35">
        <f>D16*E16</f>
        <v>6000</v>
      </c>
      <c r="H16" t="s">
        <v>225</v>
      </c>
      <c r="I16">
        <v>23160</v>
      </c>
    </row>
    <row r="17" spans="2:9" ht="15.75" thickBot="1" x14ac:dyDescent="0.3">
      <c r="H17" s="34" t="s">
        <v>224</v>
      </c>
      <c r="I17" s="34">
        <v>12</v>
      </c>
    </row>
    <row r="22" spans="2:9" x14ac:dyDescent="0.25">
      <c r="I22">
        <v>1</v>
      </c>
    </row>
    <row r="27" spans="2:9" ht="31.5" x14ac:dyDescent="0.5">
      <c r="B27" s="33" t="s">
        <v>223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TD Ejercicio</vt:lpstr>
      <vt:lpstr>TD ejerc resultados</vt:lpstr>
      <vt:lpstr>TD1 EJ</vt:lpstr>
      <vt:lpstr>TD1</vt:lpstr>
      <vt:lpstr>TD2</vt:lpstr>
      <vt:lpstr>Complementos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ISABEL AMABLE GUERRERO</dc:creator>
  <cp:lastModifiedBy>XIMENA ISABEL AMABLE GUERRERO</cp:lastModifiedBy>
  <dcterms:created xsi:type="dcterms:W3CDTF">2024-10-02T20:26:40Z</dcterms:created>
  <dcterms:modified xsi:type="dcterms:W3CDTF">2024-10-02T20:39:56Z</dcterms:modified>
</cp:coreProperties>
</file>