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61C52F9F-7031-4A81-A84E-6F795478A8AE}" xr6:coauthVersionLast="47" xr6:coauthVersionMax="47" xr10:uidLastSave="{00000000-0000-0000-0000-000000000000}"/>
  <bookViews>
    <workbookView xWindow="-96" yWindow="0" windowWidth="11712" windowHeight="12336" firstSheet="3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0" i="7"/>
  <c r="A41" i="7"/>
</calcChain>
</file>

<file path=xl/sharedStrings.xml><?xml version="1.0" encoding="utf-8"?>
<sst xmlns="http://schemas.openxmlformats.org/spreadsheetml/2006/main" count="472" uniqueCount="212">
  <si>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</si>
  <si>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</si>
  <si>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</si>
  <si>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</si>
  <si>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</si>
  <si>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</si>
  <si>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</si>
  <si>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</si>
  <si>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</si>
  <si>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</si>
  <si>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</si>
  <si>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</si>
  <si>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</si>
  <si>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</si>
  <si>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</si>
  <si>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</si>
  <si>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</si>
  <si>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</si>
  <si>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</si>
  <si>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</si>
  <si>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</si>
  <si>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</si>
  <si>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</si>
  <si>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</si>
  <si>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</si>
  <si>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</si>
  <si>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</si>
  <si>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</si>
  <si>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</si>
  <si>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</si>
  <si>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</si>
  <si>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</si>
  <si>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</si>
  <si>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</si>
  <si>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</si>
  <si>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</si>
  <si>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</si>
  <si>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</si>
  <si>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</si>
  <si>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</si>
  <si>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</si>
  <si>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</si>
  <si>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</si>
  <si>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</si>
  <si>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</si>
  <si>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</si>
  <si>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</si>
  <si>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</si>
  <si>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</si>
  <si>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</si>
  <si>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</si>
  <si>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</si>
  <si>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</si>
  <si>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</si>
  <si>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</si>
  <si>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</si>
  <si>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</si>
  <si>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</si>
  <si>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</si>
  <si>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</si>
  <si>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</si>
  <si>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</si>
  <si>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</si>
  <si>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</si>
  <si>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</si>
  <si>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</si>
  <si>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</si>
  <si>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</si>
  <si>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</si>
  <si>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</si>
  <si>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</si>
  <si>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</si>
  <si>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</si>
  <si>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</si>
  <si>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</si>
  <si>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</si>
  <si>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</si>
  <si>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</si>
  <si>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</si>
  <si>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</si>
  <si>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</si>
  <si>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</si>
  <si>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</si>
  <si>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</si>
  <si>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</si>
  <si>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</si>
  <si>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</si>
  <si>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</si>
  <si>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</si>
  <si>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</si>
  <si>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</si>
  <si>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</si>
  <si>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</si>
  <si>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</si>
  <si>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</si>
  <si>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</si>
  <si>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</si>
  <si>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</si>
  <si>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</si>
  <si>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</si>
  <si>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</si>
  <si>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</si>
  <si>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</si>
  <si>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</si>
  <si>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</si>
  <si>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</si>
  <si>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</si>
  <si>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</si>
  <si>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</si>
  <si>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</si>
  <si>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</si>
  <si>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</si>
  <si>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</si>
  <si>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</si>
  <si>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</si>
  <si>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</si>
  <si>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</si>
  <si>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</si>
  <si>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</si>
  <si>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</si>
  <si>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</si>
  <si>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</si>
  <si>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</si>
  <si>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</si>
  <si>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</si>
  <si>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</si>
  <si>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</si>
  <si>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</si>
  <si>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</si>
  <si>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</si>
  <si>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</si>
  <si>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</si>
  <si>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</si>
  <si>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</si>
  <si>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</si>
  <si>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</si>
  <si>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</si>
  <si>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</si>
  <si>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</si>
  <si>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</si>
  <si>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</si>
  <si>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</si>
  <si>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</si>
  <si>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</si>
  <si>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</si>
  <si>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</si>
  <si>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</si>
  <si>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</si>
  <si>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</si>
  <si>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</si>
  <si>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</si>
  <si>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</si>
  <si>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</si>
  <si>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</si>
  <si>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</si>
  <si>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</si>
  <si>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</si>
  <si>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</si>
  <si>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</si>
  <si>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</si>
  <si>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</si>
  <si>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</si>
  <si>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</si>
  <si>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</si>
  <si>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</si>
  <si>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</si>
  <si>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</si>
  <si>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</si>
  <si>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</si>
  <si>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</si>
  <si>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</si>
  <si>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</si>
  <si>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</si>
  <si>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</si>
  <si>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</si>
  <si>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</si>
  <si>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</si>
  <si>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</si>
  <si>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</si>
  <si>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</si>
  <si>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</si>
  <si>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</si>
  <si>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</si>
  <si>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</si>
  <si>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</si>
  <si>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</si>
  <si>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</si>
  <si>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</si>
  <si>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</si>
  <si>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</si>
  <si>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</si>
  <si>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</si>
  <si>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</si>
  <si>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</si>
  <si>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</si>
  <si>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</si>
  <si>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</si>
  <si>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</si>
  <si>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</si>
  <si>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</si>
  <si>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</si>
  <si>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</si>
  <si>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</si>
  <si>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</si>
  <si>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Edad</t>
  </si>
  <si>
    <t>Genero</t>
  </si>
  <si>
    <t>Cantidad Personal</t>
  </si>
  <si>
    <t>Salario Anual</t>
  </si>
  <si>
    <t>Cantidad Empleados</t>
  </si>
  <si>
    <t>Recuento</t>
  </si>
  <si>
    <t>20-29</t>
  </si>
  <si>
    <t>60-69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</si>
</sst>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3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NumberFormat="1"/>
  </cellXfs>
  <cellStyles count="3">
    <cellStyle name="Millares" xfId="1" builtinId="3"/>
    <cellStyle name="Normal" xfId="0" builtinId="0"/>
    <cellStyle name="Porcentaje" xfId="2" builtinId="5"/>
  </cellStyles>
  <dxfs count="53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Headphones</c:v>
                </c:pt>
                <c:pt idx="1">
                  <c:v>Smartwatches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14943</c:v>
                </c:pt>
                <c:pt idx="1">
                  <c:v>16341</c:v>
                </c:pt>
                <c:pt idx="2">
                  <c:v>28641</c:v>
                </c:pt>
                <c:pt idx="3">
                  <c:v>72211</c:v>
                </c:pt>
                <c:pt idx="4">
                  <c:v>111196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0-A191-4D82-9ED0-5BE16B4A0EC4}"/>
              </c:ext>
            </c:extLst>
          </c:dPt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Administrativo</c:v>
                </c:pt>
              </c:strCache>
            </c:strRef>
          </c:cat>
          <c:val>
            <c:numRef>
              <c:f>INFOME_EJER2!$C$7:$C$8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Administrativo</c:v>
                </c:pt>
              </c:strCache>
            </c:strRef>
          </c:cat>
          <c:val>
            <c:numRef>
              <c:f>INFOME_EJER2!$D$7:$D$8</c:f>
              <c:numCache>
                <c:formatCode>_-[$USD]\ * #,##0.00_-;\-[$USD]\ * #,##0.00_-;_-[$USD]\ * "-"??_-;_-@_-</c:formatCode>
                <c:ptCount val="1"/>
                <c:pt idx="0">
                  <c:v>68148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INFOME_EJER2!$B$22:$B$24</c:f>
              <c:strCache>
                <c:ptCount val="2"/>
                <c:pt idx="0">
                  <c:v>20-29</c:v>
                </c:pt>
                <c:pt idx="1">
                  <c:v>60-69</c:v>
                </c:pt>
              </c:strCache>
            </c:strRef>
          </c:cat>
          <c:val>
            <c:numRef>
              <c:f>INFOME_EJER2!$C$22:$C$24</c:f>
              <c:numCache>
                <c:formatCode>General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Total general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Femenino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294132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100.00%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274320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90F85676-B356-431D-A6EB-8E16701FCDF7}" type="TxLink">
            <a:rPr lang="en-US" sz="3500" b="0" i="0" u="none" strike="noStrike" kern="1200">
              <a:solidFill>
                <a:srgbClr val="002060"/>
              </a:solidFill>
              <a:latin typeface="Arial Black" panose="020B0A04020102020204" pitchFamily="34" charset="0"/>
              <a:ea typeface="+mn-ea"/>
              <a:cs typeface="+mn-cs"/>
            </a:rPr>
            <a:pPr marL="0" indent="0"/>
            <a:t>#¡REF!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h="1"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/>
    </i>
    <i>
      <x v="3"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41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43">
      <pivotArea collapsedLevelsAreSubtotals="1" fieldPosition="0">
        <references count="1">
          <reference field="5" count="0"/>
        </references>
      </pivotArea>
    </format>
    <format dxfId="42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6" firstHeaderRow="1" firstDataRow="1" firstDataCol="1"/>
  <pivotFields count="9">
    <pivotField showAll="0"/>
    <pivotField showAll="0"/>
    <pivotField showAll="0"/>
    <pivotField showAll="0">
      <items count="8">
        <item x="3"/>
        <item h="1"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x="0"/>
        <item h="1" x="1"/>
        <item t="default"/>
      </items>
    </pivotField>
  </pivotFields>
  <rowFields count="1">
    <field x="8"/>
  </rowFields>
  <rowItems count="2">
    <i>
      <x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29">
      <pivotArea field="8" type="button" dataOnly="0" labelOnly="1" outline="0" axis="axisRow" fieldPosition="0"/>
    </format>
    <format dxfId="28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4" firstHeaderRow="1" firstDataRow="1" firstDataCol="1"/>
  <pivotFields count="9">
    <pivotField dataField="1" showAll="0"/>
    <pivotField showAll="0"/>
    <pivotField showAll="0"/>
    <pivotField showAll="0">
      <items count="8">
        <item x="3"/>
        <item h="1"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x="0"/>
        <item h="1" x="1"/>
        <item t="default"/>
      </items>
    </pivotField>
  </pivotFields>
  <rowFields count="1">
    <field x="7"/>
  </rowFields>
  <rowItems count="3">
    <i>
      <x v="1"/>
    </i>
    <i>
      <x v="5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31">
      <pivotArea field="7" type="button" dataOnly="0" labelOnly="1" outline="0" axis="axisRow" fieldPosition="0"/>
    </format>
    <format dxfId="30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8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x="3"/>
        <item h="1" x="1"/>
        <item h="1" x="0"/>
        <item h="1" x="2"/>
        <item h="1" x="5"/>
        <item h="1" x="6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x="0"/>
        <item h="1" x="1"/>
        <item t="default"/>
      </items>
    </pivotField>
  </pivotFields>
  <rowFields count="1">
    <field x="3"/>
  </rowFields>
  <rowItems count="2">
    <i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34">
      <pivotArea field="3" type="button" dataOnly="0" labelOnly="1" outline="0" axis="axisRow" fieldPosition="0"/>
    </format>
    <format dxfId="3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 s="1"/>
        <i x="1"/>
        <i x="0"/>
        <i x="2"/>
        <i x="5"/>
        <i x="6"/>
        <i x="4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 s="1"/>
        <i x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52"/>
    <tableColumn id="2" xr3:uid="{CAEA63EE-5517-4029-80DE-DE7ABE2E5FE3}" name="Fecha_Venta" dataDxfId="51"/>
    <tableColumn id="9" xr3:uid="{2C9B66F8-7131-4DF0-9EB5-8DA6CE795516}" name="AÑO" dataDxfId="50">
      <calculatedColumnFormula>YEAR(ventas[[#This Row],[Fecha_Venta]])</calculatedColumnFormula>
    </tableColumn>
    <tableColumn id="10" xr3:uid="{5CF4337F-83E1-4D83-A9C4-E333AA16FA95}" name="MES" dataDxfId="49">
      <calculatedColumnFormula>MONTH(ventas[[#This Row],[Fecha_Venta]])</calculatedColumnFormula>
    </tableColumn>
    <tableColumn id="3" xr3:uid="{72DA8C50-CDA6-43E5-9431-CA09B2A1FCBE}" name="Categoria" dataDxfId="48"/>
    <tableColumn id="4" xr3:uid="{F2936085-E31D-4D2E-AEFB-560F58DED709}" name="Nombre Producto" dataDxfId="47"/>
    <tableColumn id="5" xr3:uid="{52293038-8FA6-493E-80D2-45B3340AF0BE}" name="Unidades Vendidas" dataDxfId="46"/>
    <tableColumn id="7" xr3:uid="{6EAB6895-F3DA-4781-8FF6-2EA5365F5DE0}" name="Precio" dataDxfId="45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44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40" headerRowBorderDxfId="39" tableBorderDxfId="38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37"/>
    <tableColumn id="7" xr3:uid="{479B983A-A0DC-4CB3-83F9-1DA14406634A}" name="Fecha Nacimiento" dataDxfId="36"/>
    <tableColumn id="9" xr3:uid="{40E590F7-C3A8-4023-B335-4C8D470BAB64}" name="EdadTrabajador" dataDxfId="35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topLeftCell="D10" workbookViewId="0">
      <selection activeCell="N16" sqref="N16"/>
    </sheetView>
  </sheetViews>
  <sheetFormatPr baseColWidth="10" defaultRowHeight="14.4" x14ac:dyDescent="0.3"/>
  <cols>
    <col min="2" max="2" width="16.5546875" bestFit="1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176</v>
      </c>
      <c r="C6" s="11">
        <v>14943</v>
      </c>
    </row>
    <row r="7" spans="2:3" x14ac:dyDescent="0.3">
      <c r="B7" s="10" t="s">
        <v>171</v>
      </c>
      <c r="C7" s="11">
        <v>16341</v>
      </c>
    </row>
    <row r="8" spans="2:3" x14ac:dyDescent="0.3">
      <c r="B8" s="10" t="s">
        <v>167</v>
      </c>
      <c r="C8" s="11">
        <v>28641</v>
      </c>
    </row>
    <row r="9" spans="2:3" x14ac:dyDescent="0.3">
      <c r="B9" s="10" t="s">
        <v>180</v>
      </c>
      <c r="C9" s="11">
        <v>72211</v>
      </c>
    </row>
    <row r="10" spans="2:3" x14ac:dyDescent="0.3">
      <c r="B10" s="10" t="s">
        <v>165</v>
      </c>
      <c r="C10" s="11">
        <v>111196</v>
      </c>
    </row>
    <row r="11" spans="2:3" x14ac:dyDescent="0.3">
      <c r="B11" s="8" t="s">
        <v>199</v>
      </c>
      <c r="C11" s="3">
        <v>243332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34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41"/>
  <sheetViews>
    <sheetView showGridLines="0" tabSelected="1" workbookViewId="0">
      <selection activeCell="C5" sqref="C5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4.33203125" bestFit="1" customWidth="1"/>
  </cols>
  <sheetData>
    <row r="6" spans="2:4" x14ac:dyDescent="0.3">
      <c r="B6" s="17" t="s">
        <v>4</v>
      </c>
      <c r="C6" s="9" t="s">
        <v>206</v>
      </c>
      <c r="D6" s="9" t="s">
        <v>207</v>
      </c>
    </row>
    <row r="7" spans="2:4" x14ac:dyDescent="0.3">
      <c r="B7" s="8" t="s">
        <v>29</v>
      </c>
      <c r="C7" s="22">
        <v>2</v>
      </c>
      <c r="D7" s="18">
        <v>68148</v>
      </c>
    </row>
    <row r="8" spans="2:4" x14ac:dyDescent="0.3">
      <c r="B8" s="8" t="s">
        <v>199</v>
      </c>
      <c r="C8" s="22">
        <v>2</v>
      </c>
      <c r="D8" s="18">
        <v>68148</v>
      </c>
    </row>
    <row r="21" spans="2:3" x14ac:dyDescent="0.3">
      <c r="B21" s="17" t="s">
        <v>204</v>
      </c>
      <c r="C21" s="9" t="s">
        <v>208</v>
      </c>
    </row>
    <row r="22" spans="2:3" x14ac:dyDescent="0.3">
      <c r="B22" s="15" t="s">
        <v>210</v>
      </c>
      <c r="C22" s="22">
        <v>1</v>
      </c>
    </row>
    <row r="23" spans="2:3" x14ac:dyDescent="0.3">
      <c r="B23" s="15" t="s">
        <v>211</v>
      </c>
      <c r="C23" s="22">
        <v>1</v>
      </c>
    </row>
    <row r="24" spans="2:3" x14ac:dyDescent="0.3">
      <c r="B24" s="15" t="s">
        <v>199</v>
      </c>
      <c r="C24" s="22">
        <v>2</v>
      </c>
    </row>
    <row r="34" spans="1:3" x14ac:dyDescent="0.3">
      <c r="B34" s="17" t="s">
        <v>205</v>
      </c>
      <c r="C34" s="9" t="s">
        <v>209</v>
      </c>
    </row>
    <row r="35" spans="1:3" x14ac:dyDescent="0.3">
      <c r="B35" s="8" t="s">
        <v>13</v>
      </c>
      <c r="C35" s="16">
        <v>1</v>
      </c>
    </row>
    <row r="36" spans="1:3" x14ac:dyDescent="0.3">
      <c r="B36" s="8" t="s">
        <v>199</v>
      </c>
      <c r="C36" s="16">
        <v>1</v>
      </c>
    </row>
    <row r="40" spans="1:3" x14ac:dyDescent="0.3">
      <c r="A40" s="19" t="e">
        <f>GETPIVOTDATA("Género",$B$34,"Género","Masculino")</f>
        <v>#REF!</v>
      </c>
    </row>
    <row r="41" spans="1:3" x14ac:dyDescent="0.3">
      <c r="A41" s="19">
        <f>GETPIVOTDATA("Género",$B$34,"Género","Femenino")</f>
        <v>1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2026-02-04T02:18:33Z</dcterms:modified>
</cp:coreProperties>
</file>