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C920D11F-D3DA-4333-9DB3-CBFCC5609281}" xr6:coauthVersionLast="47" xr6:coauthVersionMax="47" xr10:uidLastSave="{00000000-0000-0000-0000-000000000000}"/>
  <bookViews>
    <workbookView xWindow="-96" yWindow="0" windowWidth="11712" windowHeight="12336" firstSheet="3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<sst xmlns="http://schemas.openxmlformats.org/spreadsheetml/2006/main" count="475" uniqueCount="215">
  <si>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</si>
  <si>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</si>
  <si>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</si>
  <si>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</si>
  <si>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</si>
  <si>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</si>
  <si>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</si>
  <si>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</si>
  <si>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</si>
  <si>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</si>
  <si>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</si>
  <si>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</si>
  <si>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</si>
  <si>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</si>
  <si>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</si>
  <si>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</si>
  <si>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</si>
  <si>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</si>
  <si>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</si>
  <si>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</si>
  <si>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</si>
  <si>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</si>
  <si>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</si>
  <si>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</si>
  <si>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</si>
  <si>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</si>
  <si>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</si>
  <si>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</si>
  <si>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</si>
  <si>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</si>
  <si>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</si>
  <si>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</si>
  <si>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</si>
  <si>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</si>
  <si>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</si>
  <si>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</si>
  <si>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</si>
  <si>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</si>
  <si>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</si>
  <si>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</si>
  <si>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</si>
  <si>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</si>
  <si>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</si>
  <si>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</si>
  <si>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</si>
  <si>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</si>
  <si>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</si>
  <si>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</si>
  <si>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</si>
  <si>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</si>
  <si>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</si>
  <si>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</si>
  <si>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</si>
  <si>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</si>
  <si>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</si>
  <si>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</si>
  <si>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</si>
  <si>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</si>
  <si>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</si>
  <si>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</si>
  <si>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</si>
  <si>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</si>
  <si>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</si>
  <si>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</si>
  <si>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</si>
  <si>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</si>
  <si>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</si>
  <si>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</si>
  <si>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</si>
  <si>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</si>
  <si>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</si>
  <si>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</si>
  <si>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</si>
  <si>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</si>
  <si>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</si>
  <si>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</si>
  <si>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</si>
  <si>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</si>
  <si>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</si>
  <si>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</si>
  <si>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</si>
  <si>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</si>
  <si>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</si>
  <si>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</si>
  <si>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</si>
  <si>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</si>
  <si>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</si>
  <si>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</si>
  <si>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</si>
  <si>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</si>
  <si>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</si>
  <si>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</si>
  <si>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</si>
  <si>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</si>
  <si>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</si>
  <si>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</si>
  <si>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</si>
  <si>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</si>
  <si>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</si>
  <si>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</si>
  <si>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</si>
  <si>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</si>
  <si>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</si>
  <si>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</si>
  <si>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</si>
  <si>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</si>
  <si>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</si>
  <si>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</si>
  <si>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</si>
  <si>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</si>
  <si>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</si>
  <si>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</si>
  <si>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</si>
  <si>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</si>
  <si>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</si>
  <si>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</si>
  <si>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</si>
  <si>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</si>
  <si>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</si>
  <si>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</si>
  <si>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</si>
  <si>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</si>
  <si>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</si>
  <si>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</si>
  <si>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</si>
  <si>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</si>
  <si>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</si>
  <si>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</si>
  <si>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</si>
  <si>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</si>
  <si>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</si>
  <si>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</si>
  <si>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</si>
  <si>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</si>
  <si>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</si>
  <si>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</si>
  <si>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</si>
  <si>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</si>
  <si>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</si>
  <si>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</si>
  <si>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</si>
  <si>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</si>
  <si>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</si>
  <si>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</si>
  <si>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</si>
  <si>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</si>
  <si>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</si>
  <si>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</si>
  <si>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</si>
  <si>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</si>
  <si>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</si>
  <si>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</si>
  <si>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</si>
  <si>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</si>
  <si>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</si>
  <si>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</si>
  <si>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</si>
  <si>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</si>
  <si>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</si>
  <si>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</si>
  <si>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</si>
  <si>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</si>
  <si>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</si>
  <si>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</si>
  <si>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</si>
  <si>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</si>
  <si>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</si>
  <si>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</si>
  <si>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</si>
  <si>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</si>
  <si>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</si>
  <si>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</si>
  <si>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</si>
  <si>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</si>
  <si>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</si>
  <si>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</si>
  <si>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</si>
  <si>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</si>
  <si>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</si>
  <si>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</si>
  <si>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</si>
  <si>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</si>
  <si>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</si>
  <si>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</si>
  <si>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</si>
  <si>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</si>
  <si>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</si>
  <si>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</si>
  <si>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</si>
  <si>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</si>
  <si>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</si>
  <si>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</si>
  <si>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</si>
  <si>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</si>
  <si>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</si>
  <si>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</si>
  <si>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</si>
  <si>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</si>
  <si>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</si>
  <si>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</si>
  <si>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</si>
  <si>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</si>
  <si>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</si>
  <si>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</si>
  <si>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20-29</t>
  </si>
  <si>
    <t>Edad</t>
  </si>
  <si>
    <t>Genero</t>
  </si>
  <si>
    <t>Cantidad Personal</t>
  </si>
  <si>
    <t>Salario Anual</t>
  </si>
  <si>
    <t>Cantidad Empleados</t>
  </si>
  <si>
    <t>Recuento</t>
  </si>
  <si>
    <t>50-59</t>
  </si>
  <si>
    <t>30-39</t>
  </si>
  <si>
    <t>60-69</t>
  </si>
  <si>
    <t>40-49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</si>
</sst>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123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IT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IT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520873.7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INFOME_EJER2!$B$22:$B$27</c:f>
              <c:strCache>
                <c:ptCount val="5"/>
                <c:pt idx="0">
                  <c:v>40-49</c:v>
                </c:pt>
                <c:pt idx="1">
                  <c:v>20-29</c:v>
                </c:pt>
                <c:pt idx="2">
                  <c:v>50-59</c:v>
                </c:pt>
                <c:pt idx="3">
                  <c:v>30-39</c:v>
                </c:pt>
                <c:pt idx="4">
                  <c:v>60-69</c:v>
                </c:pt>
              </c:strCache>
            </c:strRef>
          </c:cat>
          <c:val>
            <c:numRef>
              <c:f>INFOME_EJER2!$C$22:$C$27</c:f>
              <c:numCache>
                <c:formatCode>General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Masculino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#¡REF!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100.00%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111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113">
      <pivotArea collapsedLevelsAreSubtotals="1" fieldPosition="0">
        <references count="1">
          <reference field="5" count="0"/>
        </references>
      </pivotArea>
    </format>
    <format dxfId="112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h="1" x="3"/>
        <item h="1" x="1"/>
        <item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h="1" x="0"/>
        <item x="1"/>
        <item t="default"/>
      </items>
    </pivotField>
  </pivotFields>
  <rowFields count="1">
    <field x="8"/>
  </rowFields>
  <rowItems count="2">
    <i>
      <x v="1"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99">
      <pivotArea field="8" type="button" dataOnly="0" labelOnly="1" outline="0" axis="axisRow" fieldPosition="0"/>
    </format>
    <format dxfId="98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7" firstHeaderRow="1" firstDataRow="1" firstDataCol="1"/>
  <pivotFields count="9">
    <pivotField dataField="1" showAll="0"/>
    <pivotField showAll="0"/>
    <pivotField showAll="0"/>
    <pivotField showAll="0">
      <items count="8">
        <item h="1" x="3"/>
        <item h="1" x="1"/>
        <item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h="1" x="0"/>
        <item x="1"/>
        <item t="default"/>
      </items>
    </pivotField>
  </pivotFields>
  <rowFields count="1">
    <field x="7"/>
  </rowFields>
  <rowItems count="6">
    <i>
      <x v="3"/>
    </i>
    <i>
      <x v="1"/>
    </i>
    <i>
      <x v="4"/>
    </i>
    <i>
      <x v="2"/>
    </i>
    <i>
      <x v="5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101">
      <pivotArea field="7" type="button" dataOnly="0" labelOnly="1" outline="0" axis="axisRow" fieldPosition="0"/>
    </format>
    <format dxfId="100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h="1" x="3"/>
        <item h="1" x="1"/>
        <item x="0"/>
        <item h="1"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h="1" x="0"/>
        <item x="1"/>
        <item t="default"/>
      </items>
    </pivotField>
  </pivotFields>
  <rowFields count="1">
    <field x="3"/>
  </rowFields>
  <rowItems count="2"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104">
      <pivotArea field="3" type="button" dataOnly="0" labelOnly="1" outline="0" axis="axisRow" fieldPosition="0"/>
    </format>
    <format dxfId="10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0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/>
        <i x="1"/>
        <i x="0" s="1"/>
        <i x="2"/>
        <i x="6"/>
        <i x="4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122"/>
    <tableColumn id="2" xr3:uid="{CAEA63EE-5517-4029-80DE-DE7ABE2E5FE3}" name="Fecha_Venta" dataDxfId="121"/>
    <tableColumn id="9" xr3:uid="{2C9B66F8-7131-4DF0-9EB5-8DA6CE795516}" name="AÑO" dataDxfId="120">
      <calculatedColumnFormula>YEAR(ventas[[#This Row],[Fecha_Venta]])</calculatedColumnFormula>
    </tableColumn>
    <tableColumn id="10" xr3:uid="{5CF4337F-83E1-4D83-A9C4-E333AA16FA95}" name="MES" dataDxfId="119">
      <calculatedColumnFormula>MONTH(ventas[[#This Row],[Fecha_Venta]])</calculatedColumnFormula>
    </tableColumn>
    <tableColumn id="3" xr3:uid="{72DA8C50-CDA6-43E5-9431-CA09B2A1FCBE}" name="Categoria" dataDxfId="118"/>
    <tableColumn id="4" xr3:uid="{F2936085-E31D-4D2E-AEFB-560F58DED709}" name="Nombre Producto" dataDxfId="117"/>
    <tableColumn id="5" xr3:uid="{52293038-8FA6-493E-80D2-45B3340AF0BE}" name="Unidades Vendidas" dataDxfId="116"/>
    <tableColumn id="7" xr3:uid="{6EAB6895-F3DA-4781-8FF6-2EA5365F5DE0}" name="Precio" dataDxfId="115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114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110" headerRowBorderDxfId="109" tableBorderDxfId="108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107"/>
    <tableColumn id="7" xr3:uid="{479B983A-A0DC-4CB3-83F9-1DA14406634A}" name="Fecha Nacimiento" dataDxfId="106"/>
    <tableColumn id="9" xr3:uid="{40E590F7-C3A8-4023-B335-4C8D470BAB64}" name="EdadTrabajador" dataDxfId="105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opLeftCell="D10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34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93" sqref="A93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207</v>
      </c>
      <c r="D6" s="9" t="s">
        <v>208</v>
      </c>
    </row>
    <row r="7" spans="2:4" x14ac:dyDescent="0.3">
      <c r="B7" s="8" t="s">
        <v>12</v>
      </c>
      <c r="C7" s="22">
        <v>7</v>
      </c>
      <c r="D7" s="18">
        <v>520873.7</v>
      </c>
    </row>
    <row r="8" spans="2:4" x14ac:dyDescent="0.3">
      <c r="B8" s="8" t="s">
        <v>199</v>
      </c>
      <c r="C8" s="22">
        <v>7</v>
      </c>
      <c r="D8" s="18">
        <v>520873.7</v>
      </c>
    </row>
    <row r="21" spans="2:3" x14ac:dyDescent="0.3">
      <c r="B21" s="17" t="s">
        <v>205</v>
      </c>
      <c r="C21" s="9" t="s">
        <v>209</v>
      </c>
    </row>
    <row r="22" spans="2:3" x14ac:dyDescent="0.3">
      <c r="B22" s="15" t="s">
        <v>214</v>
      </c>
      <c r="C22" s="22">
        <v>1</v>
      </c>
    </row>
    <row r="23" spans="2:3" x14ac:dyDescent="0.3">
      <c r="B23" s="15" t="s">
        <v>204</v>
      </c>
      <c r="C23" s="22">
        <v>1</v>
      </c>
    </row>
    <row r="24" spans="2:3" x14ac:dyDescent="0.3">
      <c r="B24" s="15" t="s">
        <v>211</v>
      </c>
      <c r="C24" s="22">
        <v>1</v>
      </c>
    </row>
    <row r="25" spans="2:3" x14ac:dyDescent="0.3">
      <c r="B25" s="15" t="s">
        <v>212</v>
      </c>
      <c r="C25" s="22">
        <v>1</v>
      </c>
    </row>
    <row r="26" spans="2:3" x14ac:dyDescent="0.3">
      <c r="B26" s="15" t="s">
        <v>213</v>
      </c>
      <c r="C26" s="22">
        <v>3</v>
      </c>
    </row>
    <row r="27" spans="2:3" x14ac:dyDescent="0.3">
      <c r="B27" s="15" t="s">
        <v>199</v>
      </c>
      <c r="C27" s="22">
        <v>7</v>
      </c>
    </row>
    <row r="34" spans="1:3" x14ac:dyDescent="0.3">
      <c r="B34" s="17" t="s">
        <v>206</v>
      </c>
      <c r="C34" s="9" t="s">
        <v>210</v>
      </c>
    </row>
    <row r="35" spans="1:3" x14ac:dyDescent="0.3">
      <c r="B35" s="8" t="s">
        <v>22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>
        <f>GETPIVOTDATA("Género",$B$34,"Género","Masculino")</f>
        <v>1</v>
      </c>
    </row>
    <row r="41" spans="1:3" x14ac:dyDescent="0.3">
      <c r="A41" s="19" t="e">
        <f>GETPIVOTDATA("Género",$B$34,"Género","Femenino")</f>
        <v>#REF!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2026-01-28T01:05:13Z</dcterms:modified>
</cp:coreProperties>
</file>