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2872E6F0-476E-4415-8F25-C51004BD2B4E}" xr6:coauthVersionLast="47" xr6:coauthVersionMax="47" xr10:uidLastSave="{00000000-0000-0000-0000-000000000000}"/>
  <bookViews>
    <workbookView xWindow="-96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<sst xmlns="http://schemas.openxmlformats.org/spreadsheetml/2006/main" count="482" uniqueCount="215">
  <si>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</si>
  <si>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</si>
  <si>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</si>
  <si>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</si>
  <si>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</si>
  <si>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</si>
  <si>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</si>
  <si>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</si>
  <si>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</si>
  <si>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</si>
  <si>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</si>
  <si>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</si>
  <si>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</si>
  <si>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</si>
  <si>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</si>
  <si>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</si>
  <si>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</si>
  <si>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</si>
  <si>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</si>
  <si>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</si>
  <si>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</si>
  <si>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</si>
  <si>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</si>
  <si>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</si>
  <si>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</si>
  <si>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</si>
  <si>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</si>
  <si>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</si>
  <si>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</si>
  <si>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</si>
  <si>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</si>
  <si>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</si>
  <si>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</si>
  <si>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</si>
  <si>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</si>
  <si>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</si>
  <si>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</si>
  <si>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</si>
  <si>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</si>
  <si>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</si>
  <si>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</si>
  <si>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</si>
  <si>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</si>
  <si>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</si>
  <si>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</si>
  <si>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</si>
  <si>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</si>
  <si>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</si>
  <si>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</si>
  <si>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</si>
  <si>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</si>
  <si>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</si>
  <si>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</si>
  <si>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</si>
  <si>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</si>
  <si>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</si>
  <si>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</si>
  <si>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</si>
  <si>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</si>
  <si>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</si>
  <si>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</si>
  <si>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</si>
  <si>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</si>
  <si>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</si>
  <si>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</si>
  <si>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</si>
  <si>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</si>
  <si>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</si>
  <si>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</si>
  <si>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</si>
  <si>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</si>
  <si>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</si>
  <si>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</si>
  <si>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</si>
  <si>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</si>
  <si>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</si>
  <si>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</si>
  <si>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</si>
  <si>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</si>
  <si>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</si>
  <si>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</si>
  <si>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</si>
  <si>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</si>
  <si>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</si>
  <si>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</si>
  <si>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</si>
  <si>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</si>
  <si>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</si>
  <si>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</si>
  <si>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</si>
  <si>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</si>
  <si>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</si>
  <si>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</si>
  <si>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</si>
  <si>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</si>
  <si>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</si>
  <si>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</si>
  <si>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</si>
  <si>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</si>
  <si>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</si>
  <si>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</si>
  <si>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</si>
  <si>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</si>
  <si>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</si>
  <si>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</si>
  <si>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</si>
  <si>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</si>
  <si>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</si>
  <si>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</si>
  <si>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</si>
  <si>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</si>
  <si>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</si>
  <si>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</si>
  <si>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</si>
  <si>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</si>
  <si>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</si>
  <si>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</si>
  <si>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</si>
  <si>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</si>
  <si>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</si>
  <si>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</si>
  <si>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</si>
  <si>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</si>
  <si>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</si>
  <si>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</si>
  <si>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</si>
  <si>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</si>
  <si>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</si>
  <si>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</si>
  <si>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</si>
  <si>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</si>
  <si>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</si>
  <si>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</si>
  <si>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</si>
  <si>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</si>
  <si>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</si>
  <si>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</si>
  <si>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</si>
  <si>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</si>
  <si>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</si>
  <si>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</si>
  <si>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</si>
  <si>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</si>
  <si>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</si>
  <si>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</si>
  <si>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</si>
  <si>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</si>
  <si>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</si>
  <si>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</si>
  <si>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</si>
  <si>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</si>
  <si>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</si>
  <si>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</si>
  <si>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</si>
  <si>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</si>
  <si>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</si>
  <si>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</si>
  <si>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</si>
  <si>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</si>
  <si>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</si>
  <si>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</si>
  <si>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</si>
  <si>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</si>
  <si>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</si>
  <si>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</si>
  <si>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</si>
  <si>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</si>
  <si>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</si>
  <si>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</si>
  <si>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</si>
  <si>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</si>
  <si>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</si>
  <si>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</si>
  <si>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</si>
  <si>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</si>
  <si>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</si>
  <si>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</si>
  <si>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</si>
  <si>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</si>
  <si>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</si>
  <si>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</si>
  <si>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</si>
  <si>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</si>
  <si>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</si>
  <si>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</si>
  <si>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</si>
  <si>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</si>
  <si>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</si>
  <si>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</si>
  <si>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</si>
  <si>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</si>
  <si>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</si>
  <si>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</si>
  <si>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</si>
  <si>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</si>
  <si>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</si>
  <si>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</si>
  <si>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</si>
  <si>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</si>
  <si>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</si>
  <si>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</si>
  <si>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</si>
  <si>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</si>
  <si>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</si>
  <si>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</si>
  <si>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30-39</t>
  </si>
  <si>
    <t>40-49</t>
  </si>
  <si>
    <t>50-59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</si>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</sst>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2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</cellXfs>
  <cellStyles count="3">
    <cellStyle name="Millares" xfId="1" builtinId="3"/>
    <cellStyle name="Normal" xfId="0" builtinId="0"/>
    <cellStyle name="Porcentaje" xfId="2" builtinId="5"/>
  </cellStyles>
  <dxfs count="25"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3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3-F0FC-4CBE-AF60-241890D49B7D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INFOME_EJER2!$C$7:$C$14</c:f>
              <c:numCache>
                <c:formatCode>General</c:formatCode>
                <c:ptCount val="7"/>
                <c:pt idx="0">
                  <c:v>11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INFOME_EJER2!$D$7:$D$14</c:f>
              <c:numCache>
                <c:formatCode>_-[$USD]\ * #,##0.00_-;\-[$USD]\ * #,##0.00_-;_-[$USD]\ * "-"??_-;_-@_-</c:formatCode>
                <c:ptCount val="7"/>
                <c:pt idx="0">
                  <c:v>852310.05999999994</c:v>
                </c:pt>
                <c:pt idx="1">
                  <c:v>514771.72999999992</c:v>
                </c:pt>
                <c:pt idx="2">
                  <c:v>527719.51</c:v>
                </c:pt>
                <c:pt idx="3">
                  <c:v>502862.22000000009</c:v>
                </c:pt>
                <c:pt idx="4">
                  <c:v>388781.63</c:v>
                </c:pt>
                <c:pt idx="5">
                  <c:v>345257.38</c:v>
                </c:pt>
                <c:pt idx="6">
                  <c:v>372725.38999999996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50-59</c:v>
                </c:pt>
                <c:pt idx="1">
                  <c:v>40-49</c:v>
                </c:pt>
                <c:pt idx="2">
                  <c:v>20-29</c:v>
                </c:pt>
                <c:pt idx="3">
                  <c:v>60-69</c:v>
                </c:pt>
                <c:pt idx="4">
                  <c:v>30-39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5</c:v>
                </c:pt>
                <c:pt idx="1">
                  <c:v>9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Masculino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1242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58.00%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91440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42.00%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4">
      <pivotArea collapsedLevelsAreSubtotals="1" fieldPosition="0">
        <references count="1">
          <reference field="5" count="0"/>
        </references>
      </pivotArea>
    </format>
    <format dxfId="13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7" firstHeaderRow="1" firstDataRow="1" firstDataCol="1"/>
  <pivotFields count="9">
    <pivotField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x="1"/>
        <item t="default"/>
      </items>
    </pivotField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">
      <pivotArea field="8" type="button" dataOnly="0" labelOnly="1" outline="0" axis="axisRow" fieldPosition="0"/>
    </format>
    <format dxfId="0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x="1"/>
        <item t="default"/>
      </items>
    </pivotField>
  </pivotFields>
  <rowFields count="1">
    <field x="7"/>
  </rowFields>
  <rowItems count="6">
    <i>
      <x v="4"/>
    </i>
    <i>
      <x v="3"/>
    </i>
    <i>
      <x v="1"/>
    </i>
    <i>
      <x v="5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">
      <pivotArea field="7" type="button" dataOnly="0" labelOnly="1" outline="0" axis="axisRow" fieldPosition="0"/>
    </format>
    <format dxfId="2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14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x="1"/>
        <item x="0"/>
        <item x="2"/>
        <item x="5"/>
        <item x="6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x="1"/>
        <item t="default"/>
      </items>
    </pivotField>
  </pivotFields>
  <rowFields count="1">
    <field x="3"/>
  </rowFields>
  <rowItems count="8">
    <i>
      <x v="2"/>
    </i>
    <i>
      <x v="1"/>
    </i>
    <i>
      <x v="6"/>
    </i>
    <i>
      <x v="3"/>
    </i>
    <i>
      <x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">
      <pivotArea field="3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 s="1"/>
        <i x="0" s="1"/>
        <i x="2" s="1"/>
        <i x="5" s="1"/>
        <i x="6" s="1"/>
        <i x="4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24"/>
    <tableColumn id="2" xr3:uid="{CAEA63EE-5517-4029-80DE-DE7ABE2E5FE3}" name="Fecha_Venta" dataDxfId="23"/>
    <tableColumn id="9" xr3:uid="{2C9B66F8-7131-4DF0-9EB5-8DA6CE795516}" name="AÑO" dataDxfId="22">
      <calculatedColumnFormula>YEAR(ventas[[#This Row],[Fecha_Venta]])</calculatedColumnFormula>
    </tableColumn>
    <tableColumn id="10" xr3:uid="{5CF4337F-83E1-4D83-A9C4-E333AA16FA95}" name="MES" dataDxfId="21">
      <calculatedColumnFormula>MONTH(ventas[[#This Row],[Fecha_Venta]])</calculatedColumnFormula>
    </tableColumn>
    <tableColumn id="3" xr3:uid="{72DA8C50-CDA6-43E5-9431-CA09B2A1FCBE}" name="Categoria" dataDxfId="20"/>
    <tableColumn id="4" xr3:uid="{F2936085-E31D-4D2E-AEFB-560F58DED709}" name="Nombre Producto" dataDxfId="19"/>
    <tableColumn id="5" xr3:uid="{52293038-8FA6-493E-80D2-45B3340AF0BE}" name="Unidades Vendidas" dataDxfId="18"/>
    <tableColumn id="7" xr3:uid="{6EAB6895-F3DA-4781-8FF6-2EA5365F5DE0}" name="Precio" dataDxfId="17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6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2" headerRowBorderDxfId="11" tableBorderDxfId="10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9"/>
    <tableColumn id="7" xr3:uid="{479B983A-A0DC-4CB3-83F9-1DA14406634A}" name="Fecha Nacimiento" dataDxfId="8"/>
    <tableColumn id="9" xr3:uid="{40E590F7-C3A8-4023-B335-4C8D470BAB64}" name="EdadTrabajador" dataDxfId="7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93"/>
  <sheetViews>
    <sheetView showGridLines="0" tabSelected="1" topLeftCell="A88" workbookViewId="0">
      <selection activeCell="C93" sqref="C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7" bestFit="1" customWidth="1"/>
  </cols>
  <sheetData>
    <row r="6" spans="2:4" x14ac:dyDescent="0.3">
      <c r="B6" s="17" t="s">
        <v>4</v>
      </c>
      <c r="C6" s="9" t="s">
        <v>211</v>
      </c>
      <c r="D6" s="9" t="s">
        <v>212</v>
      </c>
    </row>
    <row r="7" spans="2:4" x14ac:dyDescent="0.3">
      <c r="B7" s="8" t="s">
        <v>12</v>
      </c>
      <c r="C7">
        <v>11</v>
      </c>
      <c r="D7" s="18">
        <v>852310.05999999994</v>
      </c>
    </row>
    <row r="8" spans="2:4" x14ac:dyDescent="0.3">
      <c r="B8" s="8" t="s">
        <v>17</v>
      </c>
      <c r="C8">
        <v>9</v>
      </c>
      <c r="D8" s="18">
        <v>514771.72999999992</v>
      </c>
    </row>
    <row r="9" spans="2:4" x14ac:dyDescent="0.3">
      <c r="B9" s="8" t="s">
        <v>36</v>
      </c>
      <c r="C9">
        <v>7</v>
      </c>
      <c r="D9" s="18">
        <v>527719.51</v>
      </c>
    </row>
    <row r="10" spans="2:4" x14ac:dyDescent="0.3">
      <c r="B10" s="8" t="s">
        <v>21</v>
      </c>
      <c r="C10">
        <v>7</v>
      </c>
      <c r="D10" s="18">
        <v>502862.22000000009</v>
      </c>
    </row>
    <row r="11" spans="2:4" x14ac:dyDescent="0.3">
      <c r="B11" s="8" t="s">
        <v>29</v>
      </c>
      <c r="C11">
        <v>6</v>
      </c>
      <c r="D11" s="18">
        <v>388781.63</v>
      </c>
    </row>
    <row r="12" spans="2:4" x14ac:dyDescent="0.3">
      <c r="B12" s="8" t="s">
        <v>52</v>
      </c>
      <c r="C12">
        <v>5</v>
      </c>
      <c r="D12" s="18">
        <v>345257.38</v>
      </c>
    </row>
    <row r="13" spans="2:4" x14ac:dyDescent="0.3">
      <c r="B13" s="8" t="s">
        <v>64</v>
      </c>
      <c r="C13">
        <v>5</v>
      </c>
      <c r="D13" s="18">
        <v>372725.38999999996</v>
      </c>
    </row>
    <row r="14" spans="2:4" x14ac:dyDescent="0.3">
      <c r="B14" s="8" t="s">
        <v>199</v>
      </c>
      <c r="C14">
        <v>50</v>
      </c>
      <c r="D14" s="18">
        <v>3504427.92</v>
      </c>
    </row>
    <row r="21" spans="2:3" x14ac:dyDescent="0.3">
      <c r="B21" s="17" t="s">
        <v>209</v>
      </c>
      <c r="C21" s="9" t="s">
        <v>213</v>
      </c>
    </row>
    <row r="22" spans="2:3" x14ac:dyDescent="0.3">
      <c r="B22" s="15" t="s">
        <v>207</v>
      </c>
      <c r="C22">
        <v>5</v>
      </c>
    </row>
    <row r="23" spans="2:3" x14ac:dyDescent="0.3">
      <c r="B23" s="15" t="s">
        <v>206</v>
      </c>
      <c r="C23">
        <v>9</v>
      </c>
    </row>
    <row r="24" spans="2:3" x14ac:dyDescent="0.3">
      <c r="B24" s="15" t="s">
        <v>204</v>
      </c>
      <c r="C24">
        <v>10</v>
      </c>
    </row>
    <row r="25" spans="2:3" x14ac:dyDescent="0.3">
      <c r="B25" s="15" t="s">
        <v>208</v>
      </c>
      <c r="C25">
        <v>12</v>
      </c>
    </row>
    <row r="26" spans="2:3" x14ac:dyDescent="0.3">
      <c r="B26" s="15" t="s">
        <v>205</v>
      </c>
      <c r="C26">
        <v>14</v>
      </c>
    </row>
    <row r="27" spans="2:3" x14ac:dyDescent="0.3">
      <c r="B27" s="15" t="s">
        <v>199</v>
      </c>
      <c r="C27">
        <v>50</v>
      </c>
    </row>
    <row r="34" spans="1:3" x14ac:dyDescent="0.3">
      <c r="B34" s="17" t="s">
        <v>210</v>
      </c>
      <c r="C34" s="9" t="s">
        <v>214</v>
      </c>
    </row>
    <row r="35" spans="1:3" x14ac:dyDescent="0.3">
      <c r="B35" s="8" t="s">
        <v>13</v>
      </c>
      <c r="C35" s="16">
        <v>0.57999999999999996</v>
      </c>
    </row>
    <row r="36" spans="1:3" x14ac:dyDescent="0.3">
      <c r="B36" s="8" t="s">
        <v>22</v>
      </c>
      <c r="C36" s="16">
        <v>0.42</v>
      </c>
    </row>
    <row r="37" spans="1:3" x14ac:dyDescent="0.3">
      <c r="B37" s="8" t="s">
        <v>199</v>
      </c>
      <c r="C37" s="16">
        <v>1</v>
      </c>
    </row>
    <row r="40" spans="1:3" x14ac:dyDescent="0.3">
      <c r="A40" s="19">
        <f>GETPIVOTDATA("Género",$B$34,"Género","Masculino")</f>
        <v>0.42</v>
      </c>
    </row>
    <row r="41" spans="1:3" x14ac:dyDescent="0.3">
      <c r="A41" s="19">
        <f>GETPIVOTDATA("Género",$B$34,"Género","Femenino")</f>
        <v>0.57999999999999996</v>
      </c>
    </row>
    <row r="93" spans="1:3" x14ac:dyDescent="0.3">
      <c r="A93">
        <v>1</v>
      </c>
      <c r="B93">
        <v>2</v>
      </c>
      <c r="C93">
        <v>3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2026-01-22T01:08:36Z</dcterms:modified>
</cp:coreProperties>
</file>