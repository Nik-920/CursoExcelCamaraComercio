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4A917481-39B1-49E7-BAB2-39578DC34747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1" i="7"/>
  <c r="A40" i="7"/>
</calcChain>
</file>

<file path=xl/sharedStrings.xml><?xml version="1.0" encoding="utf-8"?>
<sst xmlns="http://schemas.openxmlformats.org/spreadsheetml/2006/main" count="473" uniqueCount="213">
  <si>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</si>
  <si>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</si>
  <si>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</si>
  <si>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</si>
  <si>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</si>
  <si>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</si>
  <si>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</si>
  <si>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</si>
  <si>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</si>
  <si>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</si>
  <si>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</si>
  <si>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</si>
  <si>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</si>
  <si>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</si>
  <si>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</si>
  <si>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</si>
  <si>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</si>
  <si>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</si>
  <si>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</si>
  <si>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</si>
  <si>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</si>
  <si>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</si>
  <si>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</si>
  <si>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</si>
  <si>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</si>
  <si>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</si>
  <si>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</si>
  <si>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</si>
  <si>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</si>
  <si>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</si>
  <si>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</si>
  <si>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</si>
  <si>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</si>
  <si>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</si>
  <si>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</si>
  <si>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</si>
  <si>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</si>
  <si>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</si>
  <si>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</si>
  <si>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</si>
  <si>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</si>
  <si>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</si>
  <si>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</si>
  <si>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</si>
  <si>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</si>
  <si>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</si>
  <si>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</si>
  <si>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</si>
  <si>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</si>
  <si>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</si>
  <si>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</si>
  <si>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</si>
  <si>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</si>
  <si>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</si>
  <si>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</si>
  <si>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</si>
  <si>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</si>
  <si>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</si>
  <si>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</si>
  <si>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</si>
  <si>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</si>
  <si>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</si>
  <si>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</si>
  <si>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</si>
  <si>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</si>
  <si>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</si>
  <si>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</si>
  <si>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</si>
  <si>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</si>
  <si>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</si>
  <si>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</si>
  <si>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</si>
  <si>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</si>
  <si>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</si>
  <si>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</si>
  <si>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</si>
  <si>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</si>
  <si>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</si>
  <si>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</si>
  <si>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</si>
  <si>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</si>
  <si>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</si>
  <si>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</si>
  <si>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</si>
  <si>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</si>
  <si>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</si>
  <si>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</si>
  <si>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</si>
  <si>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</si>
  <si>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</si>
  <si>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</si>
  <si>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</si>
  <si>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</si>
  <si>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</si>
  <si>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</si>
  <si>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</si>
  <si>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</si>
  <si>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</si>
  <si>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</si>
  <si>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</si>
  <si>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</si>
  <si>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</si>
  <si>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</si>
  <si>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</si>
  <si>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</si>
  <si>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</si>
  <si>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</si>
  <si>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</si>
  <si>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</si>
  <si>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</si>
  <si>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</si>
  <si>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</si>
  <si>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</si>
  <si>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</si>
  <si>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</si>
  <si>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</si>
  <si>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</si>
  <si>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</si>
  <si>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</si>
  <si>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</si>
  <si>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</si>
  <si>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</si>
  <si>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</si>
  <si>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</si>
  <si>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</si>
  <si>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</si>
  <si>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</si>
  <si>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</si>
  <si>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</si>
  <si>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</si>
  <si>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</si>
  <si>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</si>
  <si>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</si>
  <si>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</si>
  <si>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</si>
  <si>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</si>
  <si>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</si>
  <si>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</si>
  <si>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</si>
  <si>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</si>
  <si>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</si>
  <si>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</si>
  <si>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</si>
  <si>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</si>
  <si>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</si>
  <si>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</si>
  <si>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</si>
  <si>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</si>
  <si>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</si>
  <si>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</si>
  <si>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</si>
  <si>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</si>
  <si>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</si>
  <si>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</si>
  <si>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</si>
  <si>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</si>
  <si>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</si>
  <si>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</si>
  <si>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</si>
  <si>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</si>
  <si>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</si>
  <si>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</si>
  <si>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</si>
  <si>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</si>
  <si>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</si>
  <si>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</si>
  <si>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</si>
  <si>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</si>
  <si>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</si>
  <si>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</si>
  <si>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</si>
  <si>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</si>
  <si>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</si>
  <si>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</si>
  <si>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</si>
  <si>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</si>
  <si>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</si>
  <si>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</si>
  <si>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</si>
  <si>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</si>
  <si>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</si>
  <si>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</si>
  <si>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</si>
  <si>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</si>
  <si>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</si>
  <si>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</si>
  <si>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</si>
  <si>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</si>
  <si>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</si>
  <si>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</si>
  <si>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</si>
  <si>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</si>
  <si>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</si>
  <si>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</si>
  <si>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</si>
  <si>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</si>
  <si>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</si>
  <si>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</si>
  <si>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</si>
  <si>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</si>
  <si>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</si>
  <si>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</si>
  <si>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</si>
  <si>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</si>
  <si>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Edad</t>
  </si>
  <si>
    <t>Genero</t>
  </si>
  <si>
    <t>Cantidad Personal</t>
  </si>
  <si>
    <t>Salario Anual</t>
  </si>
  <si>
    <t>Cantidad Empleados</t>
  </si>
  <si>
    <t>Recuento</t>
  </si>
  <si>
    <t>30-39</t>
  </si>
  <si>
    <t>60-69</t>
  </si>
  <si>
    <t>40-49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</si>
</sst>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67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0"/>
            <c:invertIfNegative val="0"/>
            <c:bubble3D val="0"/>
          </c:dPt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dLbl>
              <c:idx val="0"/>
              <c:layout>
                <c:manualLayout>
                  <c:x val="0.43378995433789952"/>
                  <c:y val="0"/>
                </c:manualLayout>
              </c:layout>
              <c:spPr>
                <a:noFill/>
                <a:ln>
                  <a:noFill/>
                </a:ln>
                <a:effectLst>
                  <a:outerShdw sx="3000" sy="3000" algn="ctr" rotWithShape="0">
                    <a:srgbClr val="000000"/>
                  </a:outerShdw>
                </a:effectLst>
              </c:spPr>
              <c:txPr>
                <a:bodyPr rot="0" spcFirstLastPara="1" vertOverflow="ellipsis" vert="horz" wrap="none" lIns="2880000" tIns="19050" rIns="38100" bIns="19050" anchor="ctr" anchorCtr="1">
                  <a:spAutoFit/>
                </a:bodyPr>
                <a:lstStyle/>
                <a:p>
                  <a:pPr>
                    <a:defRPr sz="9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PE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, </c:separator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</c:extLst>
            </c:dLbl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Mercadotecnia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Mercadotecnia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337474.16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INFOME_EJER2!$B$22:$B$25</c:f>
              <c:strCache>
                <c:ptCount val="3"/>
                <c:pt idx="0">
                  <c:v>60-69</c:v>
                </c:pt>
                <c:pt idx="1">
                  <c:v>40-49</c:v>
                </c:pt>
                <c:pt idx="2">
                  <c:v>30-39</c:v>
                </c:pt>
              </c:strCache>
            </c:strRef>
          </c:cat>
          <c:val>
            <c:numRef>
              <c:f>INFOME_EJER2!$C$22:$C$25</c:f>
              <c:numCache>
                <c:formatCode>General</c:formatCode>
                <c:ptCount val="3"/>
                <c:pt idx="0">
                  <c:v>1</c:v>
                </c:pt>
                <c:pt idx="1">
                  <c:v>2</c:v>
                </c:pt>
                <c:pt idx="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Femenino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100.00%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#¡REF!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56">
      <pivotArea collapsedLevelsAreSubtotals="1" fieldPosition="0">
        <references count="1">
          <reference field="5" count="0"/>
        </references>
      </pivotArea>
    </format>
    <format dxfId="55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57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h="1" x="1"/>
        <item h="1" x="0"/>
        <item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x="0"/>
        <item h="1" x="1"/>
        <item t="default"/>
      </items>
    </pivotField>
  </pivotFields>
  <rowFields count="1">
    <field x="8"/>
  </rowFields>
  <rowItems count="2">
    <i>
      <x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43">
      <pivotArea field="8" type="button" dataOnly="0" labelOnly="1" outline="0" axis="axisRow" fieldPosition="0"/>
    </format>
    <format dxfId="42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5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h="1" x="1"/>
        <item h="1" x="0"/>
        <item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x="0"/>
        <item h="1" x="1"/>
        <item t="default"/>
      </items>
    </pivotField>
  </pivotFields>
  <rowFields count="1">
    <field x="7"/>
  </rowFields>
  <rowItems count="4">
    <i>
      <x v="5"/>
    </i>
    <i>
      <x v="3"/>
    </i>
    <i>
      <x v="2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45">
      <pivotArea field="7" type="button" dataOnly="0" labelOnly="1" outline="0" axis="axisRow" fieldPosition="0"/>
    </format>
    <format dxfId="44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h="1" x="1"/>
        <item h="1" x="0"/>
        <item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x="0"/>
        <item h="1" x="1"/>
        <item t="default"/>
      </items>
    </pivotField>
  </pivotFields>
  <rowFields count="1">
    <field x="3"/>
  </rowFields>
  <rowItems count="2"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48">
      <pivotArea field="3" type="button" dataOnly="0" labelOnly="1" outline="0" axis="axisRow" fieldPosition="0"/>
    </format>
    <format dxfId="4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4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/>
        <i x="0"/>
        <i x="2" s="1"/>
        <i x="5"/>
        <i x="6"/>
        <i x="4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 s="1"/>
        <i x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66"/>
    <tableColumn id="2" xr3:uid="{CAEA63EE-5517-4029-80DE-DE7ABE2E5FE3}" name="Fecha_Venta" dataDxfId="65"/>
    <tableColumn id="9" xr3:uid="{2C9B66F8-7131-4DF0-9EB5-8DA6CE795516}" name="AÑO" dataDxfId="64">
      <calculatedColumnFormula>YEAR(ventas[[#This Row],[Fecha_Venta]])</calculatedColumnFormula>
    </tableColumn>
    <tableColumn id="10" xr3:uid="{5CF4337F-83E1-4D83-A9C4-E333AA16FA95}" name="MES" dataDxfId="63">
      <calculatedColumnFormula>MONTH(ventas[[#This Row],[Fecha_Venta]])</calculatedColumnFormula>
    </tableColumn>
    <tableColumn id="3" xr3:uid="{72DA8C50-CDA6-43E5-9431-CA09B2A1FCBE}" name="Categoria" dataDxfId="62"/>
    <tableColumn id="4" xr3:uid="{F2936085-E31D-4D2E-AEFB-560F58DED709}" name="Nombre Producto" dataDxfId="61"/>
    <tableColumn id="5" xr3:uid="{52293038-8FA6-493E-80D2-45B3340AF0BE}" name="Unidades Vendidas" dataDxfId="60"/>
    <tableColumn id="7" xr3:uid="{6EAB6895-F3DA-4781-8FF6-2EA5365F5DE0}" name="Precio" dataDxfId="59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58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54" headerRowBorderDxfId="53" tableBorderDxfId="52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51"/>
    <tableColumn id="7" xr3:uid="{479B983A-A0DC-4CB3-83F9-1DA14406634A}" name="Fecha Nacimiento" dataDxfId="50"/>
    <tableColumn id="9" xr3:uid="{40E590F7-C3A8-4023-B335-4C8D470BAB64}" name="EdadTrabajador" dataDxfId="49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206</v>
      </c>
      <c r="D6" s="9" t="s">
        <v>207</v>
      </c>
    </row>
    <row r="7" spans="2:4" x14ac:dyDescent="0.3">
      <c r="B7" s="8" t="s">
        <v>21</v>
      </c>
      <c r="C7" s="22">
        <v>5</v>
      </c>
      <c r="D7" s="18">
        <v>337474.16</v>
      </c>
    </row>
    <row r="8" spans="2:4" x14ac:dyDescent="0.3">
      <c r="B8" s="8" t="s">
        <v>199</v>
      </c>
      <c r="C8" s="22">
        <v>5</v>
      </c>
      <c r="D8" s="18">
        <v>337474.16</v>
      </c>
    </row>
    <row r="21" spans="2:3" x14ac:dyDescent="0.3">
      <c r="B21" s="17" t="s">
        <v>204</v>
      </c>
      <c r="C21" s="9" t="s">
        <v>208</v>
      </c>
    </row>
    <row r="22" spans="2:3" x14ac:dyDescent="0.3">
      <c r="B22" s="15" t="s">
        <v>211</v>
      </c>
      <c r="C22" s="22">
        <v>1</v>
      </c>
    </row>
    <row r="23" spans="2:3" x14ac:dyDescent="0.3">
      <c r="B23" s="15" t="s">
        <v>212</v>
      </c>
      <c r="C23" s="22">
        <v>2</v>
      </c>
    </row>
    <row r="24" spans="2:3" x14ac:dyDescent="0.3">
      <c r="B24" s="15" t="s">
        <v>210</v>
      </c>
      <c r="C24" s="22">
        <v>2</v>
      </c>
    </row>
    <row r="25" spans="2:3" x14ac:dyDescent="0.3">
      <c r="B25" s="15" t="s">
        <v>199</v>
      </c>
      <c r="C25" s="22">
        <v>5</v>
      </c>
    </row>
    <row r="34" spans="1:3" x14ac:dyDescent="0.3">
      <c r="B34" s="17" t="s">
        <v>205</v>
      </c>
      <c r="C34" s="9" t="s">
        <v>209</v>
      </c>
    </row>
    <row r="35" spans="1:3" x14ac:dyDescent="0.3">
      <c r="B35" s="8" t="s">
        <v>13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 t="e">
        <f>GETPIVOTDATA("Género",$B$34,"Género","Masculino")</f>
        <v>#REF!</v>
      </c>
    </row>
    <row r="41" spans="1:3" x14ac:dyDescent="0.3">
      <c r="A41" s="19">
        <f>GETPIVOTDATA("Género",$B$34,"Género","Femenino")</f>
        <v>1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2026-01-26T01:12:55Z</dcterms:modified>
</cp:coreProperties>
</file>