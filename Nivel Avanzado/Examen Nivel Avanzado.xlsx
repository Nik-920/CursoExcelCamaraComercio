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db\Nik Denilson\Cursos\EXCEL\Nivel Avanzado\"/>
    </mc:Choice>
  </mc:AlternateContent>
  <xr:revisionPtr revIDLastSave="0" documentId="13_ncr:1_{A2F3F5FA-3CDE-4689-AC73-EE171E44D25E}" xr6:coauthVersionLast="47" xr6:coauthVersionMax="47" xr10:uidLastSave="{00000000-0000-0000-0000-000000000000}"/>
  <bookViews>
    <workbookView xWindow="-96" yWindow="0" windowWidth="11712" windowHeight="12336" activeTab="4" xr2:uid="{00000000-000D-0000-FFFF-FFFF00000000}"/>
  </bookViews>
  <sheets>
    <sheet name="Ventas" sheetId="3" r:id="rId1"/>
    <sheet name="Precios" sheetId="4" r:id="rId2"/>
    <sheet name="INFORME_EJER1" sheetId="5" r:id="rId3"/>
    <sheet name="RH" sheetId="2" r:id="rId4"/>
    <sheet name="INFOME_EJER2" sheetId="7" r:id="rId5"/>
  </sheets>
  <definedNames>
    <definedName name="_xlnm._FilterDatabase" localSheetId="3" hidden="1">'RH'!$A$23:$I$73</definedName>
    <definedName name="SegmentaciónDeDatos_AÑO">#N/A</definedName>
    <definedName name="SegmentaciónDeDatos_Género">#N/A</definedName>
    <definedName name="SegmentaciónDeDatos_Puesto">#N/A</definedName>
  </definedNames>
  <calcPr calcId="191029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2" l="1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4" i="2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A40" i="7"/>
  <c r="A41" i="7"/>
</calcChain>
</file>

<file path=xl/sharedStrings.xml><?xml version="1.0" encoding="utf-8"?>
<sst xmlns="http://schemas.openxmlformats.org/spreadsheetml/2006/main" count="472" uniqueCount="212">
  <si>
    <t>EXAMEN NIVEL AVANZADO- CCE</t>
  </si>
  <si>
    <t>Nombre</t>
  </si>
  <si>
    <t>Apellido Paterno</t>
  </si>
  <si>
    <t>Apellido Materno</t>
  </si>
  <si>
    <t>Puesto</t>
  </si>
  <si>
    <t>Salario Anual (USD)</t>
  </si>
  <si>
    <t>Fecha Contratación</t>
  </si>
  <si>
    <t>Fecha Nacimiento</t>
  </si>
  <si>
    <t>Género</t>
  </si>
  <si>
    <t>Sonia</t>
  </si>
  <si>
    <t>Plaza</t>
  </si>
  <si>
    <t>Rivero</t>
  </si>
  <si>
    <t>IT</t>
  </si>
  <si>
    <t>Femenino</t>
  </si>
  <si>
    <t>Lina</t>
  </si>
  <si>
    <t>Torre</t>
  </si>
  <si>
    <t>Quirós</t>
  </si>
  <si>
    <t>Finanzas</t>
  </si>
  <si>
    <t>Gastón</t>
  </si>
  <si>
    <t>Gil</t>
  </si>
  <si>
    <t>Vargas</t>
  </si>
  <si>
    <t>Mercadotecnia</t>
  </si>
  <si>
    <t>Masculino</t>
  </si>
  <si>
    <t>Buenaventura</t>
  </si>
  <si>
    <t>Bustamante</t>
  </si>
  <si>
    <t>Iglesia</t>
  </si>
  <si>
    <t>Rufina</t>
  </si>
  <si>
    <t>Collado</t>
  </si>
  <si>
    <t>Menéndez</t>
  </si>
  <si>
    <t>Administrativo</t>
  </si>
  <si>
    <t>Vinicio</t>
  </si>
  <si>
    <t>Murillo</t>
  </si>
  <si>
    <t>Suarez</t>
  </si>
  <si>
    <t>Felicidad</t>
  </si>
  <si>
    <t>Rovira</t>
  </si>
  <si>
    <t>Molina</t>
  </si>
  <si>
    <t>Ventas</t>
  </si>
  <si>
    <t>Jorge</t>
  </si>
  <si>
    <t>Salas</t>
  </si>
  <si>
    <t>Vázquez</t>
  </si>
  <si>
    <t>Rosenda</t>
  </si>
  <si>
    <t>Alcalá</t>
  </si>
  <si>
    <t>Bueno</t>
  </si>
  <si>
    <t>Matías</t>
  </si>
  <si>
    <t>Abella</t>
  </si>
  <si>
    <t>Uriarte</t>
  </si>
  <si>
    <t>Pánfilo</t>
  </si>
  <si>
    <t>Morell</t>
  </si>
  <si>
    <t>Barros</t>
  </si>
  <si>
    <t>Consuela</t>
  </si>
  <si>
    <t>Gómez</t>
  </si>
  <si>
    <t>Cisneros</t>
  </si>
  <si>
    <t>Operación</t>
  </si>
  <si>
    <t>Apolonia</t>
  </si>
  <si>
    <t>Bernat</t>
  </si>
  <si>
    <t>Montero</t>
  </si>
  <si>
    <t>Asunción</t>
  </si>
  <si>
    <t>Mata</t>
  </si>
  <si>
    <t>Manuel</t>
  </si>
  <si>
    <t>Flavio</t>
  </si>
  <si>
    <t>Frutos</t>
  </si>
  <si>
    <t>Maestre</t>
  </si>
  <si>
    <t>María</t>
  </si>
  <si>
    <t>Molins</t>
  </si>
  <si>
    <t>RH</t>
  </si>
  <si>
    <t>Espiridión</t>
  </si>
  <si>
    <t>Espejo</t>
  </si>
  <si>
    <t>Fajardo</t>
  </si>
  <si>
    <t>María José</t>
  </si>
  <si>
    <t>Juan</t>
  </si>
  <si>
    <t>Tamayo</t>
  </si>
  <si>
    <t>Nidia</t>
  </si>
  <si>
    <t>Castillo</t>
  </si>
  <si>
    <t>Conde</t>
  </si>
  <si>
    <t>Viviana</t>
  </si>
  <si>
    <t>Posada</t>
  </si>
  <si>
    <t>Zamorano</t>
  </si>
  <si>
    <t>Ruperta</t>
  </si>
  <si>
    <t>Gutiérrez</t>
  </si>
  <si>
    <t>Garrido</t>
  </si>
  <si>
    <t>Emigdio</t>
  </si>
  <si>
    <t>Sanjuan</t>
  </si>
  <si>
    <t>Ugarte</t>
  </si>
  <si>
    <t>Eufemia</t>
  </si>
  <si>
    <t>Carlos</t>
  </si>
  <si>
    <t>Torrecilla</t>
  </si>
  <si>
    <t>Eva María</t>
  </si>
  <si>
    <t>Falcón</t>
  </si>
  <si>
    <t>Herrero</t>
  </si>
  <si>
    <t>Azahar</t>
  </si>
  <si>
    <t>Giménez</t>
  </si>
  <si>
    <t>Peral</t>
  </si>
  <si>
    <t>Inmaculada</t>
  </si>
  <si>
    <t>Barrios</t>
  </si>
  <si>
    <t>Cabrero</t>
  </si>
  <si>
    <t>Constanza</t>
  </si>
  <si>
    <t>Arrieta</t>
  </si>
  <si>
    <t>Benavent</t>
  </si>
  <si>
    <t>Maximino</t>
  </si>
  <si>
    <t>Fabregat</t>
  </si>
  <si>
    <t>Carretero</t>
  </si>
  <si>
    <t>Carmona</t>
  </si>
  <si>
    <t>Arce</t>
  </si>
  <si>
    <t>Catalina</t>
  </si>
  <si>
    <t>Casals</t>
  </si>
  <si>
    <t>Tello</t>
  </si>
  <si>
    <t>Alsina</t>
  </si>
  <si>
    <t>Roig</t>
  </si>
  <si>
    <t>Andrés</t>
  </si>
  <si>
    <t>Giner</t>
  </si>
  <si>
    <t>Bello</t>
  </si>
  <si>
    <t>Isa</t>
  </si>
  <si>
    <t>Escribano</t>
  </si>
  <si>
    <t>Barriga</t>
  </si>
  <si>
    <t>Almudena</t>
  </si>
  <si>
    <t>Felisa</t>
  </si>
  <si>
    <t>Sosa</t>
  </si>
  <si>
    <t>Dominguez</t>
  </si>
  <si>
    <t>Rocío</t>
  </si>
  <si>
    <t>Cuadrado</t>
  </si>
  <si>
    <t>Cáceres</t>
  </si>
  <si>
    <t>Dionisia</t>
  </si>
  <si>
    <t>Carpio</t>
  </si>
  <si>
    <t>Salamanca</t>
  </si>
  <si>
    <t>Jonatan</t>
  </si>
  <si>
    <t>Redondo</t>
  </si>
  <si>
    <t>Verdugo</t>
  </si>
  <si>
    <t>Gaspar</t>
  </si>
  <si>
    <t>Pont</t>
  </si>
  <si>
    <t>Nuria</t>
  </si>
  <si>
    <t>Alberola</t>
  </si>
  <si>
    <t>Seco</t>
  </si>
  <si>
    <t>Rafael</t>
  </si>
  <si>
    <t>Arroyo</t>
  </si>
  <si>
    <t>Lucas</t>
  </si>
  <si>
    <t>Rafaela</t>
  </si>
  <si>
    <t>Tirado</t>
  </si>
  <si>
    <t>Ortuño</t>
  </si>
  <si>
    <t>Cazorla</t>
  </si>
  <si>
    <t>Severino</t>
  </si>
  <si>
    <t>Berrocal</t>
  </si>
  <si>
    <t>Abellán</t>
  </si>
  <si>
    <t>Florencio</t>
  </si>
  <si>
    <t>Cuesta</t>
  </si>
  <si>
    <t>Heras</t>
  </si>
  <si>
    <t>Jacobo</t>
  </si>
  <si>
    <t>Pinedo</t>
  </si>
  <si>
    <t>Ribas</t>
  </si>
  <si>
    <t>Tristán</t>
  </si>
  <si>
    <t>Ripoll</t>
  </si>
  <si>
    <t>Artigas</t>
  </si>
  <si>
    <t>Amílcar</t>
  </si>
  <si>
    <t>Jove</t>
  </si>
  <si>
    <t>Criado</t>
  </si>
  <si>
    <t>Venceslás</t>
  </si>
  <si>
    <t>Torrens</t>
  </si>
  <si>
    <t>Abad</t>
  </si>
  <si>
    <t>Miguel</t>
  </si>
  <si>
    <t>Solera</t>
  </si>
  <si>
    <t xml:space="preserve">Datos de RH </t>
  </si>
  <si>
    <t>Sale ID</t>
  </si>
  <si>
    <t>Venta</t>
  </si>
  <si>
    <t>Categoria</t>
  </si>
  <si>
    <t>Nombre Producto</t>
  </si>
  <si>
    <t>Unidades Vendidas</t>
  </si>
  <si>
    <t>Laptops</t>
  </si>
  <si>
    <t>Lenovo ThinkPad X1</t>
  </si>
  <si>
    <t>Tablets</t>
  </si>
  <si>
    <t>Samsung Galaxy Tab</t>
  </si>
  <si>
    <t>Amazon Fire HD</t>
  </si>
  <si>
    <t>Microsoft Surface Pro</t>
  </si>
  <si>
    <t>Smartwatches</t>
  </si>
  <si>
    <t>Huawei Watch GT 3</t>
  </si>
  <si>
    <t>HP Spectre x360</t>
  </si>
  <si>
    <t>Apple Watch Series 7</t>
  </si>
  <si>
    <t>Asus ZenBook</t>
  </si>
  <si>
    <t>Headphones</t>
  </si>
  <si>
    <t>Sennheiser HD 560S</t>
  </si>
  <si>
    <t>iPad Pro</t>
  </si>
  <si>
    <t>Fitbit Sense</t>
  </si>
  <si>
    <t>Smartphones</t>
  </si>
  <si>
    <t>iPhone 13</t>
  </si>
  <si>
    <t>Sony WH-1000XM4</t>
  </si>
  <si>
    <t>Garmin Venu</t>
  </si>
  <si>
    <t>Google Pixel 6</t>
  </si>
  <si>
    <t>Bose QuietComfort 35</t>
  </si>
  <si>
    <t>Apple AirPods Pro</t>
  </si>
  <si>
    <t>Lenovo Tab P11</t>
  </si>
  <si>
    <t>Dell XPS 13</t>
  </si>
  <si>
    <t>Samsung Galaxy Watch 4</t>
  </si>
  <si>
    <t>OnePlus 9</t>
  </si>
  <si>
    <t>MacBook Pro</t>
  </si>
  <si>
    <t>Samsung Galaxy S21</t>
  </si>
  <si>
    <t>Beats Solo3</t>
  </si>
  <si>
    <t>Price (USD)</t>
  </si>
  <si>
    <t>Xiaomi Mi 11</t>
  </si>
  <si>
    <t>Precio</t>
  </si>
  <si>
    <t>Fecha_Venta</t>
  </si>
  <si>
    <t>Etiquetas de fila</t>
  </si>
  <si>
    <t>Total general</t>
  </si>
  <si>
    <t>Suma de Venta</t>
  </si>
  <si>
    <t>AÑO</t>
  </si>
  <si>
    <t>MES</t>
  </si>
  <si>
    <t>EdadTrabajador</t>
  </si>
  <si>
    <t>20-29</t>
  </si>
  <si>
    <t>60-69</t>
  </si>
  <si>
    <t>Edad</t>
  </si>
  <si>
    <t>Genero</t>
  </si>
  <si>
    <t>Cantidad Personal</t>
  </si>
  <si>
    <t>Salario Anual</t>
  </si>
  <si>
    <t>Cantidad Empleados</t>
  </si>
  <si>
    <t>Recuento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</si>
</sst>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yyyy\-mm\-dd"/>
    <numFmt numFmtId="165" formatCode="_-[$S/-280A]\ * #,##0.00_-;\-[$S/-280A]\ * #,##0.00_-;_-[$S/-280A]\ * &quot;-&quot;??_-;_-@_-"/>
    <numFmt numFmtId="166" formatCode="_-* #,##0_-;\-* #,##0_-;_-* &quot;-&quot;??_-;_-@_-"/>
    <numFmt numFmtId="167" formatCode="_-[$USD]\ * #,##0.00_-;\-[$USD]\ * #,##0.00_-;_-[$USD]\ 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1" fillId="0" borderId="2" xfId="0" applyFont="1" applyBorder="1" applyAlignment="1">
      <alignment horizontal="center" vertical="top"/>
    </xf>
    <xf numFmtId="1" fontId="1" fillId="0" borderId="0" xfId="0" applyNumberFormat="1" applyFont="1" applyAlignment="1">
      <alignment horizontal="center"/>
    </xf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left"/>
    </xf>
    <xf numFmtId="10" fontId="0" fillId="0" borderId="0" xfId="0" applyNumberFormat="1"/>
    <xf numFmtId="0" fontId="1" fillId="0" borderId="0" xfId="0" pivotButton="1" applyFont="1"/>
    <xf numFmtId="167" fontId="0" fillId="0" borderId="0" xfId="0" applyNumberFormat="1"/>
    <xf numFmtId="10" fontId="4" fillId="0" borderId="0" xfId="2" applyNumberFormat="1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67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_-[$USD]\ * #,##0.00_-;\-[$USD]\ * #,##0.00_-;_-[$USD]\ 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_-[$USD]\ * #,##0.00_-;\-[$USD]\ * #,##0.00_-;_-[$USD]\ 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_-[$USD]\ * #,##0.00_-;\-[$USD]\ * #,##0.00_-;_-[$USD]\ 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_-[$USD]\ * #,##0.00_-;\-[$USD]\ * #,##0.00_-;_-[$USD]\ 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_-[$USD]\ * #,##0.00_-;\-[$USD]\ * #,##0.00_-;_-[$USD]\ 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_-[$USD]\ * #,##0.00_-;\-[$USD]\ * #,##0.00_-;_-[$USD]\ 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_-[$USD]\ * #,##0.00_-;\-[$USD]\ * #,##0.00_-;_-[$USD]\ * &quot;-&quot;??_-;_-@_-"/>
    </dxf>
    <dxf>
      <font>
        <b/>
      </font>
    </dxf>
    <dxf>
      <font>
        <b/>
      </font>
    </dxf>
    <dxf>
      <numFmt numFmtId="1" formatCode="0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S/-280A]\ * #,##0.00_-;\-[$S/-280A]\ * #,##0.00_-;_-[$S/-280A]\ * &quot;-&quot;??_-;_-@_-"/>
    </dxf>
    <dxf>
      <numFmt numFmtId="166" formatCode="_-* #,##0_-;\-* #,##0_-;_-* &quot;-&quot;??_-;_-@_-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9" formatCode="d/mm/yyyy"/>
    </dxf>
    <dxf>
      <numFmt numFmtId="1" formatCode="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[Examen Nivel Avanzado.xlsx]INFORME_EJER1!TablaDinámica1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s-PE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Ventas por Categoria</a:t>
            </a:r>
            <a:endParaRPr lang="en-US">
              <a:solidFill>
                <a:sysClr val="windowText" lastClr="000000"/>
              </a:solidFill>
              <a:latin typeface="Arial Rounded MT Bold" panose="020F07040305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ysClr val="windowText" lastClr="000000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156082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97132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196B2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tx1">
            <a:lumMod val="85000"/>
            <a:lumOff val="15000"/>
            <a:alpha val="56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INFORME_EJER1!$C$5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156082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INFORME_EJER1!$B$6:$B$11</c:f>
              <c:strCache>
                <c:ptCount val="5"/>
                <c:pt idx="0">
                  <c:v>Smartwatches</c:v>
                </c:pt>
                <c:pt idx="1">
                  <c:v>Headphones</c:v>
                </c:pt>
                <c:pt idx="2">
                  <c:v>Tablets</c:v>
                </c:pt>
                <c:pt idx="3">
                  <c:v>Smartphones</c:v>
                </c:pt>
                <c:pt idx="4">
                  <c:v>Laptops</c:v>
                </c:pt>
              </c:strCache>
            </c:strRef>
          </c:cat>
          <c:val>
            <c:numRef>
              <c:f>INFORME_EJER1!$C$6:$C$11</c:f>
              <c:numCache>
                <c:formatCode>_-[$S/-280A]\ * #,##0.00_-;\-[$S/-280A]\ * #,##0.00_-;_-[$S/-280A]\ * "-"??_-;_-@_-</c:formatCode>
                <c:ptCount val="5"/>
                <c:pt idx="0">
                  <c:v>23321</c:v>
                </c:pt>
                <c:pt idx="1">
                  <c:v>48429</c:v>
                </c:pt>
                <c:pt idx="2">
                  <c:v>65359</c:v>
                </c:pt>
                <c:pt idx="3">
                  <c:v>77005</c:v>
                </c:pt>
                <c:pt idx="4">
                  <c:v>162149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D-4EBE-8445-058089B1AD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960268815"/>
        <c:axId val="960252495"/>
        <c:axId val="0"/>
      </c:bar3DChart>
      <c:catAx>
        <c:axId val="96026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0252495"/>
        <c:crosses val="autoZero"/>
        <c:auto val="1"/>
        <c:lblAlgn val="ctr"/>
        <c:lblOffset val="100"/>
        <c:noMultiLvlLbl val="0"/>
      </c:catAx>
      <c:valAx>
        <c:axId val="960252495"/>
        <c:scaling>
          <c:orientation val="minMax"/>
        </c:scaling>
        <c:delete val="1"/>
        <c:axPos val="l"/>
        <c:numFmt formatCode="_-[$S/-280A]\ * #,##0.00_-;\-[$S/-280A]\ * #,##0.00_-;_-[$S/-280A]\ * &quot;-&quot;??_-;_-@_-" sourceLinked="1"/>
        <c:majorTickMark val="out"/>
        <c:minorTickMark val="none"/>
        <c:tickLblPos val="nextTo"/>
        <c:crossAx val="96026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[Examen Nivel Avanzado.xlsx]INFORME_EJER1!TablaDinámica2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s-PE" sz="2400" b="0" i="0" u="none" strike="noStrike" kern="1200" spc="0" baseline="0">
                <a:solidFill>
                  <a:schemeClr val="dk1"/>
                </a:solidFill>
                <a:effectLst/>
                <a:latin typeface="Arial Rounded MT Bold" panose="020F0704030504030204" pitchFamily="34" charset="0"/>
                <a:cs typeface="Arial" panose="020B0604020202020204" pitchFamily="34" charset="0"/>
              </a:rPr>
              <a:t>Ventas por Nombre Producto</a:t>
            </a:r>
            <a:endParaRPr lang="en-US" sz="2400">
              <a:latin typeface="Arial Rounded MT Bold" panose="020F0704030504030204" pitchFamily="34" charset="0"/>
            </a:endParaRPr>
          </a:p>
        </c:rich>
      </c:tx>
      <c:layout>
        <c:manualLayout>
          <c:xMode val="edge"/>
          <c:yMode val="edge"/>
          <c:x val="0.31459612406217269"/>
          <c:y val="5.8254913257793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INFORME_EJER1!$C$23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INFORME_EJER1!$B$24:$B$48</c:f>
              <c:strCache>
                <c:ptCount val="24"/>
                <c:pt idx="0">
                  <c:v>Sennheiser HD 560S</c:v>
                </c:pt>
                <c:pt idx="1">
                  <c:v>Samsung Galaxy Watch 4</c:v>
                </c:pt>
                <c:pt idx="2">
                  <c:v>Amazon Fire HD</c:v>
                </c:pt>
                <c:pt idx="3">
                  <c:v>Beats Solo3</c:v>
                </c:pt>
                <c:pt idx="4">
                  <c:v>Fitbit Sense</c:v>
                </c:pt>
                <c:pt idx="5">
                  <c:v>Apple Watch Series 7</c:v>
                </c:pt>
                <c:pt idx="6">
                  <c:v>Huawei Watch GT 3</c:v>
                </c:pt>
                <c:pt idx="7">
                  <c:v>Sony WH-1000XM4</c:v>
                </c:pt>
                <c:pt idx="8">
                  <c:v>Apple AirPods Pro</c:v>
                </c:pt>
                <c:pt idx="9">
                  <c:v>iPad Pro</c:v>
                </c:pt>
                <c:pt idx="10">
                  <c:v>Garmin Venu</c:v>
                </c:pt>
                <c:pt idx="11">
                  <c:v>Samsung Galaxy S21</c:v>
                </c:pt>
                <c:pt idx="12">
                  <c:v>MacBook Pro</c:v>
                </c:pt>
                <c:pt idx="13">
                  <c:v>Google Pixel 6</c:v>
                </c:pt>
                <c:pt idx="14">
                  <c:v>Lenovo Tab P11</c:v>
                </c:pt>
                <c:pt idx="15">
                  <c:v>Dell XPS 13</c:v>
                </c:pt>
                <c:pt idx="16">
                  <c:v>Samsung Galaxy Tab</c:v>
                </c:pt>
                <c:pt idx="17">
                  <c:v>OnePlus 9</c:v>
                </c:pt>
                <c:pt idx="18">
                  <c:v>Microsoft Surface Pro</c:v>
                </c:pt>
                <c:pt idx="19">
                  <c:v>Bose QuietComfort 35</c:v>
                </c:pt>
                <c:pt idx="20">
                  <c:v>iPhone 13</c:v>
                </c:pt>
                <c:pt idx="21">
                  <c:v>Asus ZenBook</c:v>
                </c:pt>
                <c:pt idx="22">
                  <c:v>Lenovo ThinkPad X1</c:v>
                </c:pt>
                <c:pt idx="23">
                  <c:v>HP Spectre x360</c:v>
                </c:pt>
              </c:strCache>
            </c:strRef>
          </c:cat>
          <c:val>
            <c:numRef>
              <c:f>INFORME_EJER1!$C$24:$C$48</c:f>
              <c:numCache>
                <c:formatCode>_-[$S/-280A]\ * #,##0.00_-;\-[$S/-280A]\ * #,##0.00_-;_-[$S/-280A]\ * "-"??_-;_-@_-</c:formatCode>
                <c:ptCount val="24"/>
                <c:pt idx="0">
                  <c:v>1791</c:v>
                </c:pt>
                <c:pt idx="1">
                  <c:v>1992</c:v>
                </c:pt>
                <c:pt idx="2">
                  <c:v>2235</c:v>
                </c:pt>
                <c:pt idx="3">
                  <c:v>2388</c:v>
                </c:pt>
                <c:pt idx="4">
                  <c:v>2990</c:v>
                </c:pt>
                <c:pt idx="5">
                  <c:v>3990</c:v>
                </c:pt>
                <c:pt idx="6">
                  <c:v>4577</c:v>
                </c:pt>
                <c:pt idx="7">
                  <c:v>6980</c:v>
                </c:pt>
                <c:pt idx="8">
                  <c:v>7968</c:v>
                </c:pt>
                <c:pt idx="9">
                  <c:v>7992</c:v>
                </c:pt>
                <c:pt idx="10">
                  <c:v>9772</c:v>
                </c:pt>
                <c:pt idx="11">
                  <c:v>11186</c:v>
                </c:pt>
                <c:pt idx="12">
                  <c:v>11691</c:v>
                </c:pt>
                <c:pt idx="13">
                  <c:v>14975</c:v>
                </c:pt>
                <c:pt idx="14">
                  <c:v>15134</c:v>
                </c:pt>
                <c:pt idx="15">
                  <c:v>16983</c:v>
                </c:pt>
                <c:pt idx="16">
                  <c:v>17523</c:v>
                </c:pt>
                <c:pt idx="17">
                  <c:v>19683</c:v>
                </c:pt>
                <c:pt idx="18">
                  <c:v>22475</c:v>
                </c:pt>
                <c:pt idx="19">
                  <c:v>29302</c:v>
                </c:pt>
                <c:pt idx="20">
                  <c:v>31161</c:v>
                </c:pt>
                <c:pt idx="21">
                  <c:v>34162</c:v>
                </c:pt>
                <c:pt idx="22">
                  <c:v>44363</c:v>
                </c:pt>
                <c:pt idx="23">
                  <c:v>54950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8-4158-BA72-D255E1CDD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overlap val="-15"/>
        <c:axId val="1841494463"/>
        <c:axId val="1841495903"/>
      </c:barChart>
      <c:catAx>
        <c:axId val="184149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es-PE"/>
          </a:p>
        </c:txPr>
        <c:crossAx val="1841495903"/>
        <c:crosses val="autoZero"/>
        <c:auto val="1"/>
        <c:lblAlgn val="ctr"/>
        <c:lblOffset val="100"/>
        <c:noMultiLvlLbl val="0"/>
      </c:catAx>
      <c:valAx>
        <c:axId val="18414959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S/-280A]\ * #,##0.00_-;\-[$S/-280A]\ * #,##0.00_-;_-[$S/-28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4149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[Examen Nivel Avanzado.xlsx]INFOME_EJER2!TablaDinámica3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s-PE" b="1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Cantidad</a:t>
            </a:r>
            <a:r>
              <a:rPr lang="es-PE" b="1" baseline="0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 de Trabajadores - Puesto</a:t>
            </a:r>
            <a:endParaRPr lang="es-PE" b="1">
              <a:solidFill>
                <a:sysClr val="windowText" lastClr="000000"/>
              </a:solidFill>
              <a:latin typeface="Arial Rounded MT Bold" panose="020F0704030504030204" pitchFamily="34" charset="0"/>
            </a:endParaRPr>
          </a:p>
        </c:rich>
      </c:tx>
      <c:layout>
        <c:manualLayout>
          <c:xMode val="edge"/>
          <c:yMode val="edge"/>
          <c:x val="0.35873278682630422"/>
          <c:y val="5.4534849810440364E-2"/>
        </c:manualLayout>
      </c:layout>
      <c:overlay val="1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sx="3000" sy="3000" algn="ctr" rotWithShape="0">
                <a:srgbClr val="000000"/>
              </a:outerShdw>
            </a:effectLst>
          </c:spPr>
          <c:txPr>
            <a:bodyPr rot="0" spcFirstLastPara="1" vertOverflow="ellipsis" vert="horz" wrap="none" lIns="52920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.43378995433789952"/>
              <c:y val="0"/>
            </c:manualLayout>
          </c:layout>
          <c:spPr>
            <a:noFill/>
            <a:ln>
              <a:noFill/>
            </a:ln>
            <a:effectLst>
              <a:outerShdw sx="3000" sy="3000" algn="ctr" rotWithShape="0">
                <a:srgbClr val="000000"/>
              </a:outerShdw>
            </a:effectLst>
          </c:spPr>
          <c:txPr>
            <a:bodyPr rot="0" spcFirstLastPara="1" vertOverflow="ellipsis" vert="horz" wrap="none" lIns="28800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491768237874375"/>
          <c:y val="0.17953484981044035"/>
          <c:w val="0.75082317621256245"/>
          <c:h val="0.80657626130067073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INFOME_EJER2!$C$6</c:f>
              <c:strCache>
                <c:ptCount val="1"/>
                <c:pt idx="0">
                  <c:v>Cantidad Personal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0FC-4CBE-AF60-241890D49B7D}"/>
              </c:ext>
            </c:extLst>
          </c:dPt>
          <c:dLbls>
            <c:spPr>
              <a:noFill/>
              <a:ln>
                <a:noFill/>
              </a:ln>
              <a:effectLst>
                <a:outerShdw sx="3000" sy="3000" algn="ctr" rotWithShape="0">
                  <a:srgbClr val="000000"/>
                </a:outerShdw>
              </a:effectLst>
            </c:spPr>
            <c:txPr>
              <a:bodyPr rot="0" spcFirstLastPara="1" vertOverflow="ellipsis" vert="horz" wrap="none" lIns="52920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INFOME_EJER2!$B$7:$B$8</c:f>
              <c:strCache>
                <c:ptCount val="1"/>
                <c:pt idx="0">
                  <c:v>Administrativo</c:v>
                </c:pt>
              </c:strCache>
            </c:strRef>
          </c:cat>
          <c:val>
            <c:numRef>
              <c:f>INFOME_EJER2!$C$7:$C$8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C-4CBE-AF60-241890D49B7D}"/>
            </c:ext>
          </c:extLst>
        </c:ser>
        <c:ser>
          <c:idx val="1"/>
          <c:order val="1"/>
          <c:tx>
            <c:strRef>
              <c:f>INFOME_EJER2!$D$6</c:f>
              <c:strCache>
                <c:ptCount val="1"/>
                <c:pt idx="0">
                  <c:v>Salario Anual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INFOME_EJER2!$B$7:$B$8</c:f>
              <c:strCache>
                <c:ptCount val="1"/>
                <c:pt idx="0">
                  <c:v>Administrativo</c:v>
                </c:pt>
              </c:strCache>
            </c:strRef>
          </c:cat>
          <c:val>
            <c:numRef>
              <c:f>INFOME_EJER2!$D$7:$D$8</c:f>
              <c:numCache>
                <c:formatCode>_-[$USD]\ * #,##0.00_-;\-[$USD]\ * #,##0.00_-;_-[$USD]\ * "-"??_-;_-@_-</c:formatCode>
                <c:ptCount val="1"/>
                <c:pt idx="0">
                  <c:v>68148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FC-4CBE-AF60-241890D49B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41537183"/>
        <c:axId val="1841537663"/>
        <c:axId val="0"/>
      </c:bar3DChart>
      <c:catAx>
        <c:axId val="1841537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41537663"/>
        <c:crosses val="autoZero"/>
        <c:auto val="1"/>
        <c:lblAlgn val="r"/>
        <c:lblOffset val="100"/>
        <c:noMultiLvlLbl val="0"/>
      </c:catAx>
      <c:valAx>
        <c:axId val="1841537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4153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[Examen Nivel Avanzado.xlsx]INFOME_EJER2!TablaDinámica4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</a:t>
            </a:r>
            <a:r>
              <a:rPr lang="en-US" baseline="0"/>
              <a:t>Empleados por Edad</a:t>
            </a:r>
            <a:endParaRPr lang="en-US"/>
          </a:p>
        </c:rich>
      </c:tx>
      <c:layout>
        <c:manualLayout>
          <c:xMode val="edge"/>
          <c:yMode val="edge"/>
          <c:x val="0.24048977822726289"/>
          <c:y val="4.113990156516778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INFOME_EJER2!$C$21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69-41E2-9D16-13C314D743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69-41E2-9D16-13C314D743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69-41E2-9D16-13C314D743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669-41E2-9D16-13C314D743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669-41E2-9D16-13C314D7432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INFOME_EJER2!$B$22:$B$24</c:f>
              <c:strCache>
                <c:ptCount val="2"/>
                <c:pt idx="0">
                  <c:v>20-29</c:v>
                </c:pt>
                <c:pt idx="1">
                  <c:v>60-69</c:v>
                </c:pt>
              </c:strCache>
            </c:strRef>
          </c:cat>
          <c:val>
            <c:numRef>
              <c:f>INFOME_EJER2!$C$22:$C$24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0-4518-BAAA-034EA086D11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810785681078568"/>
          <c:y val="0.18709428785826093"/>
          <c:w val="0.1818921717354138"/>
          <c:h val="0.4025442332528946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1501054699450891E-3"/>
          <c:y val="0"/>
          <c:w val="0.99884998879272324"/>
          <c:h val="0.95492153286664405"/>
        </c:manualLayout>
      </c:layout>
      <c:doughnutChart>
        <c:varyColors val="1"/>
        <c:ser>
          <c:idx val="0"/>
          <c:order val="0"/>
          <c:tx>
            <c:v> </c:v>
          </c:tx>
          <c:spPr>
            <a:solidFill>
              <a:srgbClr val="002060">
                <a:alpha val="50000"/>
              </a:srgbClr>
            </a:solidFill>
          </c:spPr>
          <c:dPt>
            <c:idx val="0"/>
            <c:bubble3D val="0"/>
            <c:spPr>
              <a:solidFill>
                <a:srgbClr val="00206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60-4D1B-9814-62A301843129}"/>
              </c:ext>
            </c:extLst>
          </c:dPt>
          <c:dPt>
            <c:idx val="1"/>
            <c:bubble3D val="0"/>
            <c:spPr>
              <a:solidFill>
                <a:srgbClr val="00206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60-4D1B-9814-62A301843129}"/>
              </c:ext>
            </c:extLst>
          </c:dPt>
          <c:dPt>
            <c:idx val="2"/>
            <c:bubble3D val="0"/>
            <c:spPr>
              <a:solidFill>
                <a:srgbClr val="00206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60-4D1B-9814-62A301843129}"/>
              </c:ext>
            </c:extLst>
          </c:dPt>
          <c:dPt>
            <c:idx val="3"/>
            <c:bubble3D val="0"/>
            <c:spPr>
              <a:solidFill>
                <a:srgbClr val="00206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60-4D1B-9814-62A301843129}"/>
              </c:ext>
            </c:extLst>
          </c:dPt>
          <c:dPt>
            <c:idx val="4"/>
            <c:bubble3D val="0"/>
            <c:spPr>
              <a:solidFill>
                <a:srgbClr val="00206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21-4A81-945A-9AF377F1AA43}"/>
              </c:ext>
            </c:extLst>
          </c:dPt>
          <c:dPt>
            <c:idx val="5"/>
            <c:bubble3D val="0"/>
            <c:spPr>
              <a:solidFill>
                <a:srgbClr val="00206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960-4D1B-9814-62A301843129}"/>
              </c:ext>
            </c:extLst>
          </c:dPt>
          <c:dPt>
            <c:idx val="6"/>
            <c:bubble3D val="0"/>
            <c:spPr>
              <a:solidFill>
                <a:srgbClr val="00206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960-4D1B-9814-62A301843129}"/>
              </c:ext>
            </c:extLst>
          </c:dPt>
          <c:dPt>
            <c:idx val="7"/>
            <c:bubble3D val="0"/>
            <c:spPr>
              <a:solidFill>
                <a:srgbClr val="00206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960-4D1B-9814-62A301843129}"/>
              </c:ext>
            </c:extLst>
          </c:dPt>
          <c:dPt>
            <c:idx val="8"/>
            <c:bubble3D val="0"/>
            <c:spPr>
              <a:solidFill>
                <a:srgbClr val="00206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960-4D1B-9814-62A301843129}"/>
              </c:ext>
            </c:extLst>
          </c:dPt>
          <c:dPt>
            <c:idx val="9"/>
            <c:bubble3D val="0"/>
            <c:spPr>
              <a:solidFill>
                <a:srgbClr val="002060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960-4D1B-9814-62A301843129}"/>
              </c:ext>
            </c:extLst>
          </c:dPt>
          <c:val>
            <c:numLit>
              <c:formatCode>General</c:formatCode>
              <c:ptCount val="1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9F21-4A81-945A-9AF377F1A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  <c:holeSize val="75"/>
      </c:doughnutChart>
      <c:doughnutChart>
        <c:varyColors val="1"/>
        <c:ser>
          <c:idx val="1"/>
          <c:order val="1"/>
          <c:tx>
            <c:strRef>
              <c:f>INFOME_EJER2!$B$36</c:f>
              <c:strCache>
                <c:ptCount val="1"/>
                <c:pt idx="0">
                  <c:v>Total general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alpha val="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F21-4A81-945A-9AF377F1AA43}"/>
              </c:ext>
            </c:extLst>
          </c:dPt>
          <c:dPt>
            <c:idx val="1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21-4A81-945A-9AF377F1AA43}"/>
              </c:ext>
            </c:extLst>
          </c:dPt>
          <c:val>
            <c:numRef>
              <c:f>INFOME_EJER2!$C$35:$C$36</c:f>
              <c:numCache>
                <c:formatCode>0.00%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21-4A81-945A-9AF377F1A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dist="254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847137778663741E-2"/>
          <c:y val="2.3821987625508027E-2"/>
          <c:w val="0.91737898269045481"/>
          <c:h val="0.97617801237449198"/>
        </c:manualLayout>
      </c:layout>
      <c:doughnutChart>
        <c:varyColors val="1"/>
        <c:ser>
          <c:idx val="0"/>
          <c:order val="0"/>
          <c:tx>
            <c:v> </c:v>
          </c:tx>
          <c:spPr>
            <a:solidFill>
              <a:schemeClr val="accent5">
                <a:alpha val="50000"/>
              </a:schemeClr>
            </a:solidFill>
          </c:spPr>
          <c:dPt>
            <c:idx val="0"/>
            <c:bubble3D val="0"/>
            <c:spPr>
              <a:solidFill>
                <a:schemeClr val="accent5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4B-4031-BE8A-0835505ADF23}"/>
              </c:ext>
            </c:extLst>
          </c:dPt>
          <c:dPt>
            <c:idx val="1"/>
            <c:bubble3D val="0"/>
            <c:spPr>
              <a:solidFill>
                <a:schemeClr val="accent5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4B-4031-BE8A-0835505ADF23}"/>
              </c:ext>
            </c:extLst>
          </c:dPt>
          <c:dPt>
            <c:idx val="2"/>
            <c:bubble3D val="0"/>
            <c:spPr>
              <a:solidFill>
                <a:schemeClr val="accent5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4B-4031-BE8A-0835505ADF23}"/>
              </c:ext>
            </c:extLst>
          </c:dPt>
          <c:dPt>
            <c:idx val="3"/>
            <c:bubble3D val="0"/>
            <c:spPr>
              <a:solidFill>
                <a:schemeClr val="accent5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C4B-4031-BE8A-0835505ADF23}"/>
              </c:ext>
            </c:extLst>
          </c:dPt>
          <c:dPt>
            <c:idx val="4"/>
            <c:bubble3D val="0"/>
            <c:spPr>
              <a:solidFill>
                <a:schemeClr val="accent5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C4B-4031-BE8A-0835505ADF23}"/>
              </c:ext>
            </c:extLst>
          </c:dPt>
          <c:dPt>
            <c:idx val="5"/>
            <c:bubble3D val="0"/>
            <c:spPr>
              <a:solidFill>
                <a:schemeClr val="accent5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C4B-4031-BE8A-0835505ADF23}"/>
              </c:ext>
            </c:extLst>
          </c:dPt>
          <c:dPt>
            <c:idx val="6"/>
            <c:bubble3D val="0"/>
            <c:spPr>
              <a:solidFill>
                <a:schemeClr val="accent5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C4B-4031-BE8A-0835505ADF23}"/>
              </c:ext>
            </c:extLst>
          </c:dPt>
          <c:dPt>
            <c:idx val="7"/>
            <c:bubble3D val="0"/>
            <c:spPr>
              <a:solidFill>
                <a:schemeClr val="accent5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C4B-4031-BE8A-0835505ADF23}"/>
              </c:ext>
            </c:extLst>
          </c:dPt>
          <c:dPt>
            <c:idx val="8"/>
            <c:bubble3D val="0"/>
            <c:spPr>
              <a:solidFill>
                <a:schemeClr val="accent5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C4B-4031-BE8A-0835505ADF23}"/>
              </c:ext>
            </c:extLst>
          </c:dPt>
          <c:dPt>
            <c:idx val="9"/>
            <c:bubble3D val="0"/>
            <c:spPr>
              <a:solidFill>
                <a:schemeClr val="accent5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C4B-4031-BE8A-0835505ADF23}"/>
              </c:ext>
            </c:extLst>
          </c:dPt>
          <c:val>
            <c:numLit>
              <c:formatCode>General</c:formatCode>
              <c:ptCount val="1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4-8C4B-4031-BE8A-0835505AD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INFOME_EJER2!$B$35</c:f>
              <c:strCache>
                <c:ptCount val="1"/>
                <c:pt idx="0">
                  <c:v>Femenino</c:v>
                </c:pt>
              </c:strCache>
            </c:strRef>
          </c:tx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C4B-4031-BE8A-0835505ADF23}"/>
              </c:ext>
            </c:extLst>
          </c:dPt>
          <c:dPt>
            <c:idx val="1"/>
            <c:bubble3D val="0"/>
            <c:spPr>
              <a:solidFill>
                <a:schemeClr val="bg1">
                  <a:alpha val="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C4B-4031-BE8A-0835505ADF23}"/>
              </c:ext>
            </c:extLst>
          </c:dPt>
          <c:val>
            <c:numRef>
              <c:f>INFOME_EJER2!$C$35:$C$36</c:f>
              <c:numCache>
                <c:formatCode>0.00%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C4B-4031-BE8A-0835505AD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85725</xdr:rowOff>
    </xdr:from>
    <xdr:to>
      <xdr:col>1</xdr:col>
      <xdr:colOff>582930</xdr:colOff>
      <xdr:row>6</xdr:row>
      <xdr:rowOff>0</xdr:rowOff>
    </xdr:to>
    <xdr:pic>
      <xdr:nvPicPr>
        <xdr:cNvPr id="2" name="Imagen 2" descr="Microsoft Excel Logo - símbolo, significado logotipo, historia, PNG">
          <a:extLst>
            <a:ext uri="{FF2B5EF4-FFF2-40B4-BE49-F238E27FC236}">
              <a16:creationId xmlns:a16="http://schemas.microsoft.com/office/drawing/2014/main" id="{153C75D6-6957-43E5-8305-DBEF4B89C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5725"/>
          <a:ext cx="1070610" cy="1011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320040</xdr:colOff>
      <xdr:row>6</xdr:row>
      <xdr:rowOff>76200</xdr:rowOff>
    </xdr:from>
    <xdr:to>
      <xdr:col>13</xdr:col>
      <xdr:colOff>348615</xdr:colOff>
      <xdr:row>12</xdr:row>
      <xdr:rowOff>152400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D177C23A-C8A4-42BA-9F3B-22A8E51A13A6}"/>
            </a:ext>
          </a:extLst>
        </xdr:cNvPr>
        <xdr:cNvSpPr/>
      </xdr:nvSpPr>
      <xdr:spPr>
        <a:xfrm>
          <a:off x="1112520" y="1173480"/>
          <a:ext cx="9385935" cy="1173480"/>
        </a:xfrm>
        <a:prstGeom prst="roundRect">
          <a:avLst/>
        </a:prstGeom>
        <a:ln w="38100">
          <a:solidFill>
            <a:srgbClr val="00B05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Instrucciones:</a:t>
          </a:r>
        </a:p>
        <a:p>
          <a: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</a:t>
          </a:r>
          <a:r>
            <a:rPr lang="es-PE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Obtenga el precio del Nombre Producto de la hoja de calculo Precios</a:t>
          </a:r>
          <a:endParaRPr lang="es-PE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 Determine</a:t>
          </a:r>
          <a:r>
            <a:rPr lang="es-PE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el valor de Ventas </a:t>
          </a:r>
          <a:endParaRPr lang="es-PE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3. Crea un infome</a:t>
          </a:r>
          <a:r>
            <a:rPr lang="es-PE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Ventas por Categoria</a:t>
          </a:r>
        </a:p>
        <a:p>
          <a:r>
            <a:rPr lang="es-PE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4. Crea un informe de las Ventas por Nombre Producto</a:t>
          </a:r>
          <a:endParaRPr lang="es-PE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r"/>
          <a:r>
            <a:rPr lang="es-PE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!Exitos!</a:t>
          </a:r>
        </a:p>
        <a:p>
          <a:pPr algn="l"/>
          <a:endParaRPr lang="es-PE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4</xdr:row>
      <xdr:rowOff>19050</xdr:rowOff>
    </xdr:from>
    <xdr:to>
      <xdr:col>12</xdr:col>
      <xdr:colOff>167640</xdr:colOff>
      <xdr:row>21</xdr:row>
      <xdr:rowOff>53340</xdr:rowOff>
    </xdr:to>
    <xdr:graphicFrame macro="">
      <xdr:nvGraphicFramePr>
        <xdr:cNvPr id="3" name="VentasCategoria">
          <a:extLst>
            <a:ext uri="{FF2B5EF4-FFF2-40B4-BE49-F238E27FC236}">
              <a16:creationId xmlns:a16="http://schemas.microsoft.com/office/drawing/2014/main" id="{28C06D63-8FA1-F98E-21C7-F1444744C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220980</xdr:colOff>
      <xdr:row>22</xdr:row>
      <xdr:rowOff>156210</xdr:rowOff>
    </xdr:from>
    <xdr:to>
      <xdr:col>16</xdr:col>
      <xdr:colOff>365760</xdr:colOff>
      <xdr:row>47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5D8D085-67B0-CA7D-3F1F-2139604F2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533400</xdr:colOff>
      <xdr:row>0</xdr:row>
      <xdr:rowOff>34290</xdr:rowOff>
    </xdr:from>
    <xdr:to>
      <xdr:col>8</xdr:col>
      <xdr:colOff>220980</xdr:colOff>
      <xdr:row>4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AÑO">
              <a:extLst>
                <a:ext uri="{FF2B5EF4-FFF2-40B4-BE49-F238E27FC236}">
                  <a16:creationId xmlns:a16="http://schemas.microsoft.com/office/drawing/2014/main" id="{A7C182BF-EA95-B736-172C-E257CFB290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0300" y="34290"/>
              <a:ext cx="2065020" cy="716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0</xdr:row>
      <xdr:rowOff>7620</xdr:rowOff>
    </xdr:from>
    <xdr:to>
      <xdr:col>9</xdr:col>
      <xdr:colOff>600075</xdr:colOff>
      <xdr:row>15</xdr:row>
      <xdr:rowOff>160020</xdr:rowOff>
    </xdr:to>
    <xdr:sp macro="" textlink="">
      <xdr:nvSpPr>
        <xdr:cNvPr id="2" name="Rectángulo redondeado 2">
          <a:extLst>
            <a:ext uri="{FF2B5EF4-FFF2-40B4-BE49-F238E27FC236}">
              <a16:creationId xmlns:a16="http://schemas.microsoft.com/office/drawing/2014/main" id="{3490FD7F-D228-4067-86F6-8B1F890CEA23}"/>
            </a:ext>
          </a:extLst>
        </xdr:cNvPr>
        <xdr:cNvSpPr/>
      </xdr:nvSpPr>
      <xdr:spPr>
        <a:xfrm>
          <a:off x="533400" y="7620"/>
          <a:ext cx="10887075" cy="2895600"/>
        </a:xfrm>
        <a:prstGeom prst="roundRect">
          <a:avLst/>
        </a:prstGeom>
        <a:ln w="38100">
          <a:solidFill>
            <a:srgbClr val="00B05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Instrucciones:</a:t>
          </a:r>
        </a:p>
        <a:p>
          <a: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</a:t>
          </a:r>
          <a:r>
            <a:rPr lang="es-PE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rango de celdas de los datos convertir en formato de tabla con el nombre de </a:t>
          </a:r>
          <a:r>
            <a:rPr lang="es-PE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"RH"</a:t>
          </a:r>
        </a:p>
        <a:p>
          <a:r>
            <a:rPr lang="es-PE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 Crea una nueva columna a los datos con nombre </a:t>
          </a:r>
          <a:r>
            <a:rPr lang="es-PE" sz="1100" b="1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"Edad Trabajador" , </a:t>
          </a:r>
          <a:r>
            <a:rPr lang="es-PE" sz="11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</a:t>
          </a:r>
          <a:r>
            <a:rPr lang="es-PE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etermine con una formula la edad Actual del trabajador con referencia a la columna </a:t>
          </a:r>
          <a:r>
            <a:rPr lang="es-PE" sz="1100" b="1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"Fecha Nacimiento"</a:t>
          </a:r>
        </a:p>
        <a:p>
          <a: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3. Crea una</a:t>
          </a:r>
          <a:r>
            <a:rPr lang="es-PE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tabla Dinamica con los datos del formato de tabla "RH" que determine la cantidad de trabajadores y </a:t>
          </a:r>
          <a:r>
            <a:rPr lang="es-PE" sz="1200" b="1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"Salario Anual (USD)"</a:t>
          </a:r>
          <a:r>
            <a:rPr lang="es-PE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y por </a:t>
          </a:r>
          <a:r>
            <a:rPr lang="es-PE" sz="1200" b="1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"Puesto" </a:t>
          </a:r>
          <a:endParaRPr lang="es-PE" sz="1200" b="1" i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4. Crea una tabla Dinamica que agrupe</a:t>
          </a:r>
          <a:r>
            <a:rPr lang="es-PE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el rango de edades de trabajadores con referencia a la columna cread</a:t>
          </a:r>
          <a:r>
            <a:rPr lang="es-PE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PE" sz="1200" b="1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"Edad Trabajador"</a:t>
          </a:r>
          <a:r>
            <a:rPr lang="es-PE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</a:t>
          </a:r>
          <a: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por ejemplo</a:t>
          </a:r>
          <a:b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20 a 29 Años</a:t>
          </a:r>
          <a:b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30 a 39 Años</a:t>
          </a:r>
          <a:b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	40 a 49 Años</a:t>
          </a:r>
        </a:p>
        <a:p>
          <a: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50 a 59 Años</a:t>
          </a:r>
        </a:p>
        <a:p>
          <a:r>
            <a:rPr lang="es-PE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60 Años en</a:t>
          </a:r>
          <a:r>
            <a:rPr lang="es-PE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adelante</a:t>
          </a:r>
        </a:p>
        <a:p>
          <a:r>
            <a:rPr lang="es-PE" sz="12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5. Crea una tabla dinamica que determine el % de participación de la cantidad de trabajadores por la columna </a:t>
          </a:r>
          <a:r>
            <a:rPr lang="es-PE" sz="1200" b="1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"Género"</a:t>
          </a:r>
          <a:endParaRPr lang="es-PE" sz="1200" b="1" i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r"/>
          <a:r>
            <a:rPr lang="es-PE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!Exitos!</a:t>
          </a:r>
        </a:p>
        <a:p>
          <a:pPr algn="l"/>
          <a:endParaRPr lang="es-PE" sz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4</xdr:row>
      <xdr:rowOff>102870</xdr:rowOff>
    </xdr:from>
    <xdr:to>
      <xdr:col>11</xdr:col>
      <xdr:colOff>38100</xdr:colOff>
      <xdr:row>19</xdr:row>
      <xdr:rowOff>102870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67F14C8-DE86-9519-A0A5-DCA748415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144780</xdr:colOff>
      <xdr:row>20</xdr:row>
      <xdr:rowOff>30480</xdr:rowOff>
    </xdr:from>
    <xdr:to>
      <xdr:col>9</xdr:col>
      <xdr:colOff>0</xdr:colOff>
      <xdr:row>37</xdr:row>
      <xdr:rowOff>41910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BAA7F06-3AD3-A8F5-E751-A75F8201B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365760</xdr:colOff>
      <xdr:row>37</xdr:row>
      <xdr:rowOff>179070</xdr:rowOff>
    </xdr:from>
    <xdr:to>
      <xdr:col>3</xdr:col>
      <xdr:colOff>944880</xdr:colOff>
      <xdr:row>53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BDD59E3-C60F-7A69-1A34-EA3B16519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944880</xdr:colOff>
      <xdr:row>37</xdr:row>
      <xdr:rowOff>175260</xdr:rowOff>
    </xdr:from>
    <xdr:to>
      <xdr:col>7</xdr:col>
      <xdr:colOff>525780</xdr:colOff>
      <xdr:row>53</xdr:row>
      <xdr:rowOff>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E3248FC9-199A-58F6-C43E-520ADA6A13F3}"/>
            </a:ext>
          </a:extLst>
        </xdr:cNvPr>
        <xdr:cNvGrpSpPr/>
      </xdr:nvGrpSpPr>
      <xdr:grpSpPr>
        <a:xfrm>
          <a:off x="3131820" y="6941820"/>
          <a:ext cx="2941320" cy="2750820"/>
          <a:chOff x="3131820" y="6941820"/>
          <a:chExt cx="3009900" cy="2750820"/>
        </a:xfrm>
      </xdr:grpSpPr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0E3615FC-0E80-463A-892F-BBCD6897A62F}"/>
              </a:ext>
            </a:extLst>
          </xdr:cNvPr>
          <xdr:cNvGraphicFramePr>
            <a:graphicFrameLocks/>
          </xdr:cNvGraphicFramePr>
        </xdr:nvGraphicFramePr>
        <xdr:xfrm>
          <a:off x="3131820" y="6941820"/>
          <a:ext cx="3009900" cy="27508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$A$41">
        <xdr:nvSpPr>
          <xdr:cNvPr id="10" name="CuadroTexto 1">
            <a:extLst>
              <a:ext uri="{FF2B5EF4-FFF2-40B4-BE49-F238E27FC236}">
                <a16:creationId xmlns:a16="http://schemas.microsoft.com/office/drawing/2014/main" id="{D7A4CAA7-3FA4-108B-EBDA-CA9CD6B01021}"/>
              </a:ext>
            </a:extLst>
          </xdr:cNvPr>
          <xdr:cNvSpPr txBox="1"/>
        </xdr:nvSpPr>
        <xdr:spPr>
          <a:xfrm>
            <a:off x="3604260" y="7932420"/>
            <a:ext cx="2011680" cy="7315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fld id="{DB8AF978-D446-4FAC-9AD7-6A35A7278FF3}" type="TxLink">
              <a:rPr lang="en-US" sz="3500" b="0" i="0" u="none" strike="noStrike" kern="1200">
                <a:solidFill>
                  <a:schemeClr val="accent5"/>
                </a:solidFill>
                <a:latin typeface="Arial Black" panose="020B0A04020102020204" pitchFamily="34" charset="0"/>
              </a:rPr>
              <a:pPr/>
              <a:t>100.00%</a:t>
            </a:fld>
            <a:endParaRPr lang="es-PE" sz="3500" kern="1200">
              <a:solidFill>
                <a:schemeClr val="accent5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 editAs="oneCell">
    <xdr:from>
      <xdr:col>3</xdr:col>
      <xdr:colOff>144780</xdr:colOff>
      <xdr:row>0</xdr:row>
      <xdr:rowOff>68580</xdr:rowOff>
    </xdr:from>
    <xdr:to>
      <xdr:col>12</xdr:col>
      <xdr:colOff>274320</xdr:colOff>
      <xdr:row>4</xdr:row>
      <xdr:rowOff>60960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uesto">
              <a:extLst>
                <a:ext uri="{FF2B5EF4-FFF2-40B4-BE49-F238E27FC236}">
                  <a16:creationId xmlns:a16="http://schemas.microsoft.com/office/drawing/2014/main" id="{0A2180BE-A856-156B-BA1E-DEAEA0E6EE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es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1720" y="68580"/>
              <a:ext cx="7452360" cy="723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99060</xdr:colOff>
      <xdr:row>0</xdr:row>
      <xdr:rowOff>83821</xdr:rowOff>
    </xdr:from>
    <xdr:to>
      <xdr:col>3</xdr:col>
      <xdr:colOff>60960</xdr:colOff>
      <xdr:row>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Género">
              <a:extLst>
                <a:ext uri="{FF2B5EF4-FFF2-40B4-BE49-F238E27FC236}">
                  <a16:creationId xmlns:a16="http://schemas.microsoft.com/office/drawing/2014/main" id="{742EBE85-7BBF-34ED-B8E1-C271E6BDCA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é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" y="83821"/>
              <a:ext cx="2148840" cy="685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0.34314</cdr:x>
      <cdr:y>0.362</cdr:y>
    </cdr:from>
    <cdr:to>
      <cdr:x>0.63725</cdr:x>
      <cdr:y>0.69487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C5F4C8-27A6-0D86-B6A0-E31EFB47A9E1}"/>
            </a:ext>
          </a:extLst>
        </cdr:cNvPr>
        <cdr:cNvSpPr txBox="1"/>
      </cdr:nvSpPr>
      <cdr:spPr>
        <a:xfrm xmlns:a="http://schemas.openxmlformats.org/drawingml/2006/main">
          <a:off x="1066800" y="99441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PE" sz="1100" kern="1200"/>
        </a:p>
      </cdr:txBody>
    </cdr:sp>
  </cdr:relSizeAnchor>
  <cdr:relSizeAnchor xmlns:cdr="http://schemas.openxmlformats.org/drawingml/2006/chartDrawing">
    <cdr:from>
      <cdr:x>0.13435</cdr:x>
      <cdr:y>0.33703</cdr:y>
    </cdr:from>
    <cdr:to>
      <cdr:x>1</cdr:x>
      <cdr:y>0.58114</cdr:y>
    </cdr:to>
    <cdr:sp macro="" textlink="INFOME_EJER2!$A$40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6D5052F8-CDE4-C14C-F216-2E4A03ADFE4A}"/>
            </a:ext>
          </a:extLst>
        </cdr:cNvPr>
        <cdr:cNvSpPr txBox="1"/>
      </cdr:nvSpPr>
      <cdr:spPr>
        <a:xfrm xmlns:a="http://schemas.openxmlformats.org/drawingml/2006/main">
          <a:off x="371628" y="925830"/>
          <a:ext cx="2394432" cy="670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indent="0"/>
          <a:fld id="{90F85676-B356-431D-A6EB-8E16701FCDF7}" type="TxLink">
            <a:rPr lang="en-US" sz="3500" b="0" i="0" u="none" strike="noStrike" kern="1200">
              <a:solidFill>
                <a:srgbClr val="002060"/>
              </a:solidFill>
              <a:latin typeface="Arial Black" panose="020B0A04020102020204" pitchFamily="34" charset="0"/>
              <a:ea typeface="+mn-ea"/>
              <a:cs typeface="+mn-cs"/>
            </a:rPr>
            <a:pPr marL="0" indent="0"/>
            <a:t>#¡REF!</a:t>
          </a:fld>
          <a:endParaRPr lang="es-PE" sz="3500" b="0" i="0" u="none" strike="noStrike" kern="1200">
            <a:solidFill>
              <a:srgbClr val="002060"/>
            </a:solidFill>
            <a:latin typeface="Arial Black" panose="020B0A04020102020204" pitchFamily="34" charset="0"/>
            <a:ea typeface="+mn-ea"/>
            <a:cs typeface="+mn-cs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 Denilson Ramirez" refreshedDate="46023.441765856478" createdVersion="8" refreshedVersion="8" minRefreshableVersion="3" recordCount="50" xr:uid="{B624B663-2D3F-4A7A-948A-4F30A1BCF9CB}">
  <cacheSource type="worksheet">
    <worksheetSource name="ventas"/>
  </cacheSource>
  <cacheFields count="9">
    <cacheField name="Sale ID" numFmtId="1">
      <sharedItems containsSemiMixedTypes="0" containsString="0" containsNumber="1" containsInteger="1" minValue="1" maxValue="50"/>
    </cacheField>
    <cacheField name="Fecha_Venta" numFmtId="14">
      <sharedItems containsSemiMixedTypes="0" containsNonDate="0" containsDate="1" containsString="0" minDate="2023-06-19T00:00:00" maxDate="2024-06-03T00:00:00"/>
    </cacheField>
    <cacheField name="AÑO" numFmtId="1">
      <sharedItems containsSemiMixedTypes="0" containsString="0" containsNumber="1" containsInteger="1" minValue="2023" maxValue="2024" count="2">
        <n v="2024"/>
        <n v="2023"/>
      </sharedItems>
    </cacheField>
    <cacheField name="MES" numFmtId="1">
      <sharedItems containsSemiMixedTypes="0" containsString="0" containsNumber="1" containsInteger="1" minValue="1" maxValue="12"/>
    </cacheField>
    <cacheField name="Categoria" numFmtId="49">
      <sharedItems count="5">
        <s v="Laptops"/>
        <s v="Tablets"/>
        <s v="Smartwatches"/>
        <s v="Headphones"/>
        <s v="Smartphones"/>
      </sharedItems>
    </cacheField>
    <cacheField name="Nombre Producto" numFmtId="49">
      <sharedItems count="24">
        <s v="Lenovo ThinkPad X1"/>
        <s v="Samsung Galaxy Tab"/>
        <s v="Amazon Fire HD"/>
        <s v="Microsoft Surface Pro"/>
        <s v="Huawei Watch GT 3"/>
        <s v="HP Spectre x360"/>
        <s v="Apple Watch Series 7"/>
        <s v="Asus ZenBook"/>
        <s v="Sennheiser HD 560S"/>
        <s v="iPad Pro"/>
        <s v="Fitbit Sense"/>
        <s v="iPhone 13"/>
        <s v="Sony WH-1000XM4"/>
        <s v="Garmin Venu"/>
        <s v="Google Pixel 6"/>
        <s v="Bose QuietComfort 35"/>
        <s v="Apple AirPods Pro"/>
        <s v="Lenovo Tab P11"/>
        <s v="Dell XPS 13"/>
        <s v="Samsung Galaxy Watch 4"/>
        <s v="OnePlus 9"/>
        <s v="MacBook Pro"/>
        <s v="Samsung Galaxy S21"/>
        <s v="Beats Solo3"/>
      </sharedItems>
    </cacheField>
    <cacheField name="Unidades Vendidas" numFmtId="1">
      <sharedItems containsSemiMixedTypes="0" containsString="0" containsNumber="1" containsInteger="1" minValue="1" maxValue="25"/>
    </cacheField>
    <cacheField name="Precio" numFmtId="166">
      <sharedItems containsSemiMixedTypes="0" containsString="0" containsNumber="1" containsInteger="1" minValue="149" maxValue="1299"/>
    </cacheField>
    <cacheField name="Venta" numFmtId="165">
      <sharedItems containsSemiMixedTypes="0" containsString="0" containsNumber="1" containsInteger="1" minValue="999" maxValue="26378"/>
    </cacheField>
  </cacheFields>
  <extLst>
    <ext xmlns:x14="http://schemas.microsoft.com/office/spreadsheetml/2009/9/main" uri="{725AE2AE-9491-48be-B2B4-4EB974FC3084}">
      <x14:pivotCacheDefinition pivotCacheId="122362080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 Denilson Ramirez" refreshedDate="46023.449853587961" createdVersion="8" refreshedVersion="8" minRefreshableVersion="3" recordCount="50" xr:uid="{1B5798C0-0B3A-471A-A495-2B893FA1C709}">
  <cacheSource type="worksheet">
    <worksheetSource name="RH"/>
  </cacheSource>
  <cacheFields count="9">
    <cacheField name="Nombre" numFmtId="0">
      <sharedItems/>
    </cacheField>
    <cacheField name="Apellido Paterno" numFmtId="0">
      <sharedItems/>
    </cacheField>
    <cacheField name="Apellido Materno" numFmtId="0">
      <sharedItems/>
    </cacheField>
    <cacheField name="Puesto" numFmtId="0">
      <sharedItems count="7">
        <s v="IT"/>
        <s v="Finanzas"/>
        <s v="Mercadotecnia"/>
        <s v="Administrativo"/>
        <s v="Ventas"/>
        <s v="Operación"/>
        <s v="RH"/>
      </sharedItems>
    </cacheField>
    <cacheField name="Salario Anual (USD)" numFmtId="0">
      <sharedItems containsSemiMixedTypes="0" containsString="0" containsNumber="1" minValue="31169.9" maxValue="116901.06"/>
    </cacheField>
    <cacheField name="Fecha Contratación" numFmtId="164">
      <sharedItems containsSemiMixedTypes="0" containsNonDate="0" containsDate="1" containsString="0" minDate="2014-09-08T00:00:00" maxDate="2024-05-26T00:00:00"/>
    </cacheField>
    <cacheField name="Fecha Nacimiento" numFmtId="164">
      <sharedItems containsSemiMixedTypes="0" containsNonDate="0" containsDate="1" containsString="0" minDate="1959-04-24T00:00:00" maxDate="2004-03-28T00:00:00"/>
    </cacheField>
    <cacheField name="EdadTrabajador" numFmtId="1">
      <sharedItems containsSemiMixedTypes="0" containsString="0" containsNumber="1" containsInteger="1" minValue="21" maxValue="66" count="29">
        <n v="49"/>
        <n v="35"/>
        <n v="48"/>
        <n v="29"/>
        <n v="62"/>
        <n v="60"/>
        <n v="63"/>
        <n v="22"/>
        <n v="50"/>
        <n v="28"/>
        <n v="37"/>
        <n v="34"/>
        <n v="30"/>
        <n v="61"/>
        <n v="51"/>
        <n v="65"/>
        <n v="32"/>
        <n v="24"/>
        <n v="44"/>
        <n v="59"/>
        <n v="54"/>
        <n v="43"/>
        <n v="31"/>
        <n v="66"/>
        <n v="23"/>
        <n v="21"/>
        <n v="39"/>
        <n v="40"/>
        <n v="33"/>
      </sharedItems>
      <fieldGroup base="7">
        <rangePr autoStart="0" startNum="20" endNum="66" groupInterval="10"/>
        <groupItems count="7">
          <s v="&lt;20"/>
          <s v="20-29"/>
          <s v="30-39"/>
          <s v="40-49"/>
          <s v="50-59"/>
          <s v="60-69"/>
          <s v="&gt;70"/>
        </groupItems>
      </fieldGroup>
    </cacheField>
    <cacheField name="Género" numFmtId="0">
      <sharedItems count="2">
        <s v="Femenino"/>
        <s v="Masculino"/>
      </sharedItems>
    </cacheField>
  </cacheFields>
  <extLst>
    <ext xmlns:x14="http://schemas.microsoft.com/office/spreadsheetml/2009/9/main" uri="{725AE2AE-9491-48be-B2B4-4EB974FC3084}">
      <x14:pivotCacheDefinition pivotCacheId="19374163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d v="2024-01-19T00:00:00"/>
    <x v="0"/>
    <n v="1"/>
    <x v="0"/>
    <x v="0"/>
    <n v="15"/>
    <n v="1199"/>
    <n v="17985"/>
  </r>
  <r>
    <n v="2"/>
    <d v="2023-09-07T00:00:00"/>
    <x v="1"/>
    <n v="9"/>
    <x v="1"/>
    <x v="1"/>
    <n v="22"/>
    <n v="649"/>
    <n v="14278"/>
  </r>
  <r>
    <n v="3"/>
    <d v="2023-08-20T00:00:00"/>
    <x v="1"/>
    <n v="8"/>
    <x v="1"/>
    <x v="2"/>
    <n v="15"/>
    <n v="149"/>
    <n v="2235"/>
  </r>
  <r>
    <n v="4"/>
    <d v="2024-01-01T00:00:00"/>
    <x v="0"/>
    <n v="1"/>
    <x v="1"/>
    <x v="3"/>
    <n v="20"/>
    <n v="899"/>
    <n v="17980"/>
  </r>
  <r>
    <n v="5"/>
    <d v="2023-09-05T00:00:00"/>
    <x v="1"/>
    <n v="9"/>
    <x v="2"/>
    <x v="4"/>
    <n v="12"/>
    <n v="199"/>
    <n v="2388"/>
  </r>
  <r>
    <n v="6"/>
    <d v="2023-08-27T00:00:00"/>
    <x v="1"/>
    <n v="8"/>
    <x v="1"/>
    <x v="1"/>
    <n v="5"/>
    <n v="649"/>
    <n v="3245"/>
  </r>
  <r>
    <n v="7"/>
    <d v="2023-12-24T00:00:00"/>
    <x v="1"/>
    <n v="12"/>
    <x v="0"/>
    <x v="5"/>
    <n v="4"/>
    <n v="1099"/>
    <n v="4396"/>
  </r>
  <r>
    <n v="8"/>
    <d v="2024-01-25T00:00:00"/>
    <x v="0"/>
    <n v="1"/>
    <x v="2"/>
    <x v="6"/>
    <n v="5"/>
    <n v="399"/>
    <n v="1995"/>
  </r>
  <r>
    <n v="9"/>
    <d v="2024-02-06T00:00:00"/>
    <x v="0"/>
    <n v="2"/>
    <x v="0"/>
    <x v="7"/>
    <n v="17"/>
    <n v="899"/>
    <n v="15283"/>
  </r>
  <r>
    <n v="10"/>
    <d v="2023-08-14T00:00:00"/>
    <x v="1"/>
    <n v="8"/>
    <x v="3"/>
    <x v="8"/>
    <n v="9"/>
    <n v="199"/>
    <n v="1791"/>
  </r>
  <r>
    <n v="11"/>
    <d v="2024-05-12T00:00:00"/>
    <x v="0"/>
    <n v="5"/>
    <x v="1"/>
    <x v="9"/>
    <n v="8"/>
    <n v="999"/>
    <n v="7992"/>
  </r>
  <r>
    <n v="12"/>
    <d v="2024-04-16T00:00:00"/>
    <x v="0"/>
    <n v="4"/>
    <x v="2"/>
    <x v="10"/>
    <n v="10"/>
    <n v="299"/>
    <n v="2990"/>
  </r>
  <r>
    <n v="13"/>
    <d v="2023-09-16T00:00:00"/>
    <x v="1"/>
    <n v="9"/>
    <x v="4"/>
    <x v="11"/>
    <n v="5"/>
    <n v="799"/>
    <n v="3995"/>
  </r>
  <r>
    <n v="14"/>
    <d v="2024-04-23T00:00:00"/>
    <x v="0"/>
    <n v="4"/>
    <x v="3"/>
    <x v="12"/>
    <n v="20"/>
    <n v="349"/>
    <n v="6980"/>
  </r>
  <r>
    <n v="15"/>
    <d v="2023-09-10T00:00:00"/>
    <x v="1"/>
    <n v="9"/>
    <x v="2"/>
    <x v="13"/>
    <n v="8"/>
    <n v="349"/>
    <n v="2792"/>
  </r>
  <r>
    <n v="16"/>
    <d v="2023-10-24T00:00:00"/>
    <x v="1"/>
    <n v="10"/>
    <x v="4"/>
    <x v="11"/>
    <n v="10"/>
    <n v="799"/>
    <n v="7990"/>
  </r>
  <r>
    <n v="17"/>
    <d v="2023-07-03T00:00:00"/>
    <x v="1"/>
    <n v="7"/>
    <x v="2"/>
    <x v="13"/>
    <n v="20"/>
    <n v="349"/>
    <n v="6980"/>
  </r>
  <r>
    <n v="18"/>
    <d v="2023-10-06T00:00:00"/>
    <x v="1"/>
    <n v="10"/>
    <x v="4"/>
    <x v="14"/>
    <n v="9"/>
    <n v="599"/>
    <n v="5391"/>
  </r>
  <r>
    <n v="19"/>
    <d v="2024-04-29T00:00:00"/>
    <x v="0"/>
    <n v="4"/>
    <x v="3"/>
    <x v="15"/>
    <n v="23"/>
    <n v="299"/>
    <n v="6877"/>
  </r>
  <r>
    <n v="20"/>
    <d v="2024-01-31T00:00:00"/>
    <x v="0"/>
    <n v="1"/>
    <x v="3"/>
    <x v="16"/>
    <n v="7"/>
    <n v="249"/>
    <n v="1743"/>
  </r>
  <r>
    <n v="21"/>
    <d v="2023-07-05T00:00:00"/>
    <x v="1"/>
    <n v="7"/>
    <x v="0"/>
    <x v="7"/>
    <n v="5"/>
    <n v="899"/>
    <n v="4495"/>
  </r>
  <r>
    <n v="22"/>
    <d v="2024-02-28T00:00:00"/>
    <x v="0"/>
    <n v="2"/>
    <x v="1"/>
    <x v="17"/>
    <n v="19"/>
    <n v="329"/>
    <n v="6251"/>
  </r>
  <r>
    <n v="23"/>
    <d v="2024-05-23T00:00:00"/>
    <x v="0"/>
    <n v="5"/>
    <x v="2"/>
    <x v="6"/>
    <n v="5"/>
    <n v="399"/>
    <n v="1995"/>
  </r>
  <r>
    <n v="24"/>
    <d v="2023-10-16T00:00:00"/>
    <x v="1"/>
    <n v="10"/>
    <x v="0"/>
    <x v="7"/>
    <n v="16"/>
    <n v="899"/>
    <n v="14384"/>
  </r>
  <r>
    <n v="25"/>
    <d v="2023-12-02T00:00:00"/>
    <x v="1"/>
    <n v="12"/>
    <x v="1"/>
    <x v="17"/>
    <n v="5"/>
    <n v="329"/>
    <n v="1645"/>
  </r>
  <r>
    <n v="26"/>
    <d v="2023-12-18T00:00:00"/>
    <x v="1"/>
    <n v="12"/>
    <x v="0"/>
    <x v="0"/>
    <n v="22"/>
    <n v="1199"/>
    <n v="26378"/>
  </r>
  <r>
    <n v="27"/>
    <d v="2023-08-20T00:00:00"/>
    <x v="1"/>
    <n v="8"/>
    <x v="2"/>
    <x v="4"/>
    <n v="11"/>
    <n v="199"/>
    <n v="2189"/>
  </r>
  <r>
    <n v="28"/>
    <d v="2023-07-29T00:00:00"/>
    <x v="1"/>
    <n v="7"/>
    <x v="0"/>
    <x v="18"/>
    <n v="10"/>
    <n v="999"/>
    <n v="9990"/>
  </r>
  <r>
    <n v="29"/>
    <d v="2024-06-02T00:00:00"/>
    <x v="0"/>
    <n v="6"/>
    <x v="0"/>
    <x v="18"/>
    <n v="6"/>
    <n v="999"/>
    <n v="5994"/>
  </r>
  <r>
    <n v="30"/>
    <d v="2023-07-20T00:00:00"/>
    <x v="1"/>
    <n v="7"/>
    <x v="0"/>
    <x v="5"/>
    <n v="23"/>
    <n v="1099"/>
    <n v="25277"/>
  </r>
  <r>
    <n v="31"/>
    <d v="2024-01-08T00:00:00"/>
    <x v="0"/>
    <n v="1"/>
    <x v="4"/>
    <x v="11"/>
    <n v="6"/>
    <n v="799"/>
    <n v="4794"/>
  </r>
  <r>
    <n v="32"/>
    <d v="2023-07-26T00:00:00"/>
    <x v="1"/>
    <n v="7"/>
    <x v="3"/>
    <x v="15"/>
    <n v="8"/>
    <n v="299"/>
    <n v="2392"/>
  </r>
  <r>
    <n v="33"/>
    <d v="2023-06-19T00:00:00"/>
    <x v="1"/>
    <n v="6"/>
    <x v="4"/>
    <x v="14"/>
    <n v="16"/>
    <n v="599"/>
    <n v="9584"/>
  </r>
  <r>
    <n v="34"/>
    <d v="2024-03-26T00:00:00"/>
    <x v="0"/>
    <n v="3"/>
    <x v="3"/>
    <x v="15"/>
    <n v="12"/>
    <n v="299"/>
    <n v="3588"/>
  </r>
  <r>
    <n v="35"/>
    <d v="2023-08-26T00:00:00"/>
    <x v="1"/>
    <n v="8"/>
    <x v="2"/>
    <x v="19"/>
    <n v="8"/>
    <n v="249"/>
    <n v="1992"/>
  </r>
  <r>
    <n v="36"/>
    <d v="2023-07-01T00:00:00"/>
    <x v="1"/>
    <n v="7"/>
    <x v="4"/>
    <x v="20"/>
    <n v="8"/>
    <n v="729"/>
    <n v="5832"/>
  </r>
  <r>
    <n v="37"/>
    <d v="2023-12-01T00:00:00"/>
    <x v="1"/>
    <n v="12"/>
    <x v="4"/>
    <x v="20"/>
    <n v="19"/>
    <n v="729"/>
    <n v="13851"/>
  </r>
  <r>
    <n v="38"/>
    <d v="2023-08-15T00:00:00"/>
    <x v="1"/>
    <n v="8"/>
    <x v="4"/>
    <x v="11"/>
    <n v="18"/>
    <n v="799"/>
    <n v="14382"/>
  </r>
  <r>
    <n v="39"/>
    <d v="2023-11-05T00:00:00"/>
    <x v="1"/>
    <n v="11"/>
    <x v="1"/>
    <x v="17"/>
    <n v="22"/>
    <n v="329"/>
    <n v="7238"/>
  </r>
  <r>
    <n v="40"/>
    <d v="2023-06-23T00:00:00"/>
    <x v="1"/>
    <n v="6"/>
    <x v="3"/>
    <x v="15"/>
    <n v="16"/>
    <n v="299"/>
    <n v="4784"/>
  </r>
  <r>
    <n v="41"/>
    <d v="2024-05-20T00:00:00"/>
    <x v="0"/>
    <n v="5"/>
    <x v="3"/>
    <x v="15"/>
    <n v="22"/>
    <n v="299"/>
    <n v="6578"/>
  </r>
  <r>
    <n v="42"/>
    <d v="2024-03-11T00:00:00"/>
    <x v="0"/>
    <n v="3"/>
    <x v="0"/>
    <x v="21"/>
    <n v="9"/>
    <n v="1299"/>
    <n v="11691"/>
  </r>
  <r>
    <n v="43"/>
    <d v="2024-05-22T00:00:00"/>
    <x v="0"/>
    <n v="5"/>
    <x v="3"/>
    <x v="15"/>
    <n v="5"/>
    <n v="299"/>
    <n v="1495"/>
  </r>
  <r>
    <n v="44"/>
    <d v="2023-09-21T00:00:00"/>
    <x v="1"/>
    <n v="9"/>
    <x v="3"/>
    <x v="15"/>
    <n v="12"/>
    <n v="299"/>
    <n v="3588"/>
  </r>
  <r>
    <n v="45"/>
    <d v="2023-08-02T00:00:00"/>
    <x v="1"/>
    <n v="8"/>
    <x v="0"/>
    <x v="5"/>
    <n v="23"/>
    <n v="1099"/>
    <n v="25277"/>
  </r>
  <r>
    <n v="46"/>
    <d v="2024-02-20T00:00:00"/>
    <x v="0"/>
    <n v="2"/>
    <x v="1"/>
    <x v="3"/>
    <n v="5"/>
    <n v="899"/>
    <n v="4495"/>
  </r>
  <r>
    <n v="47"/>
    <d v="2023-11-11T00:00:00"/>
    <x v="1"/>
    <n v="11"/>
    <x v="0"/>
    <x v="18"/>
    <n v="1"/>
    <n v="999"/>
    <n v="999"/>
  </r>
  <r>
    <n v="48"/>
    <d v="2023-09-07T00:00:00"/>
    <x v="1"/>
    <n v="9"/>
    <x v="4"/>
    <x v="22"/>
    <n v="14"/>
    <n v="799"/>
    <n v="11186"/>
  </r>
  <r>
    <n v="49"/>
    <d v="2023-09-22T00:00:00"/>
    <x v="1"/>
    <n v="9"/>
    <x v="3"/>
    <x v="23"/>
    <n v="12"/>
    <n v="199"/>
    <n v="2388"/>
  </r>
  <r>
    <n v="50"/>
    <d v="2024-01-21T00:00:00"/>
    <x v="0"/>
    <n v="1"/>
    <x v="3"/>
    <x v="16"/>
    <n v="25"/>
    <n v="249"/>
    <n v="62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Sonia"/>
    <s v="Plaza"/>
    <s v="Rivero"/>
    <x v="0"/>
    <n v="88943.65"/>
    <d v="2015-02-06T00:00:00"/>
    <d v="1976-01-12T00:00:00"/>
    <x v="0"/>
    <x v="0"/>
  </r>
  <r>
    <s v="Lina"/>
    <s v="Torre"/>
    <s v="Quirós"/>
    <x v="1"/>
    <n v="57958.15"/>
    <d v="2019-07-28T00:00:00"/>
    <d v="1990-11-04T00:00:00"/>
    <x v="1"/>
    <x v="0"/>
  </r>
  <r>
    <s v="Gastón"/>
    <s v="Gil"/>
    <s v="Vargas"/>
    <x v="2"/>
    <n v="87646.39"/>
    <d v="2016-10-12T00:00:00"/>
    <d v="1977-08-04T00:00:00"/>
    <x v="2"/>
    <x v="1"/>
  </r>
  <r>
    <s v="Buenaventura"/>
    <s v="Bustamante"/>
    <s v="Iglesia"/>
    <x v="1"/>
    <n v="85754.4"/>
    <d v="2023-06-22T00:00:00"/>
    <d v="1996-05-26T00:00:00"/>
    <x v="3"/>
    <x v="1"/>
  </r>
  <r>
    <s v="Rufina"/>
    <s v="Collado"/>
    <s v="Menéndez"/>
    <x v="3"/>
    <n v="36978.1"/>
    <d v="2016-02-03T00:00:00"/>
    <d v="1963-06-06T00:00:00"/>
    <x v="4"/>
    <x v="0"/>
  </r>
  <r>
    <s v="Vinicio"/>
    <s v="Murillo"/>
    <s v="Suarez"/>
    <x v="0"/>
    <n v="57720.42"/>
    <d v="2023-12-08T00:00:00"/>
    <d v="1965-04-06T00:00:00"/>
    <x v="5"/>
    <x v="1"/>
  </r>
  <r>
    <s v="Felicidad"/>
    <s v="Rovira"/>
    <s v="Molina"/>
    <x v="4"/>
    <n v="112561.60000000001"/>
    <d v="2017-11-21T00:00:00"/>
    <d v="1996-01-05T00:00:00"/>
    <x v="3"/>
    <x v="0"/>
  </r>
  <r>
    <s v="Jorge"/>
    <s v="Salas"/>
    <s v="Vázquez"/>
    <x v="4"/>
    <n v="35510.46"/>
    <d v="2018-11-04T00:00:00"/>
    <d v="1962-08-25T00:00:00"/>
    <x v="6"/>
    <x v="1"/>
  </r>
  <r>
    <s v="Rosenda"/>
    <s v="Alcalá"/>
    <s v="Bueno"/>
    <x v="1"/>
    <n v="99314.8"/>
    <d v="2021-03-13T00:00:00"/>
    <d v="2003-11-18T00:00:00"/>
    <x v="7"/>
    <x v="0"/>
  </r>
  <r>
    <s v="Matías"/>
    <s v="Abella"/>
    <s v="Uriarte"/>
    <x v="0"/>
    <n v="89789.67"/>
    <d v="2020-01-30T00:00:00"/>
    <d v="1975-01-04T00:00:00"/>
    <x v="8"/>
    <x v="1"/>
  </r>
  <r>
    <s v="Pánfilo"/>
    <s v="Morell"/>
    <s v="Barros"/>
    <x v="0"/>
    <n v="81372.45"/>
    <d v="2017-08-30T00:00:00"/>
    <d v="1997-01-11T00:00:00"/>
    <x v="9"/>
    <x v="1"/>
  </r>
  <r>
    <s v="Consuela"/>
    <s v="Gómez"/>
    <s v="Cisneros"/>
    <x v="5"/>
    <n v="32181.24"/>
    <d v="2023-08-26T00:00:00"/>
    <d v="1988-11-23T00:00:00"/>
    <x v="10"/>
    <x v="0"/>
  </r>
  <r>
    <s v="Apolonia"/>
    <s v="Bernat"/>
    <s v="Montero"/>
    <x v="2"/>
    <n v="36249.58"/>
    <d v="2023-01-20T00:00:00"/>
    <d v="1991-09-16T00:00:00"/>
    <x v="11"/>
    <x v="0"/>
  </r>
  <r>
    <s v="Asunción"/>
    <s v="Mata"/>
    <s v="Manuel"/>
    <x v="4"/>
    <n v="49408.98"/>
    <d v="2016-07-14T00:00:00"/>
    <d v="1995-08-31T00:00:00"/>
    <x v="12"/>
    <x v="0"/>
  </r>
  <r>
    <s v="Flavio"/>
    <s v="Frutos"/>
    <s v="Maestre"/>
    <x v="4"/>
    <n v="82031.25"/>
    <d v="2021-12-25T00:00:00"/>
    <d v="1964-08-24T00:00:00"/>
    <x v="13"/>
    <x v="1"/>
  </r>
  <r>
    <s v="María"/>
    <s v="Plaza"/>
    <s v="Molins"/>
    <x v="6"/>
    <n v="90944.77"/>
    <d v="2024-03-15T00:00:00"/>
    <d v="1974-11-20T00:00:00"/>
    <x v="14"/>
    <x v="0"/>
  </r>
  <r>
    <s v="Espiridión"/>
    <s v="Espejo"/>
    <s v="Fajardo"/>
    <x v="0"/>
    <n v="86726.82"/>
    <d v="2017-08-03T00:00:00"/>
    <d v="1960-08-27T00:00:00"/>
    <x v="15"/>
    <x v="1"/>
  </r>
  <r>
    <s v="María José"/>
    <s v="Juan"/>
    <s v="Tamayo"/>
    <x v="1"/>
    <n v="71375.539999999994"/>
    <d v="2015-08-03T00:00:00"/>
    <d v="1964-07-10T00:00:00"/>
    <x v="13"/>
    <x v="0"/>
  </r>
  <r>
    <s v="Nidia"/>
    <s v="Castillo"/>
    <s v="Conde"/>
    <x v="6"/>
    <n v="63731.79"/>
    <d v="2015-01-26T00:00:00"/>
    <d v="1963-11-15T00:00:00"/>
    <x v="4"/>
    <x v="0"/>
  </r>
  <r>
    <s v="Viviana"/>
    <s v="Posada"/>
    <s v="Zamorano"/>
    <x v="5"/>
    <n v="84773"/>
    <d v="2019-02-06T00:00:00"/>
    <d v="1993-12-02T00:00:00"/>
    <x v="16"/>
    <x v="0"/>
  </r>
  <r>
    <s v="Ruperta"/>
    <s v="Gutiérrez"/>
    <s v="Garrido"/>
    <x v="0"/>
    <n v="38381.72"/>
    <d v="2021-07-19T00:00:00"/>
    <d v="1997-11-10T00:00:00"/>
    <x v="9"/>
    <x v="0"/>
  </r>
  <r>
    <s v="Emigdio"/>
    <s v="Sanjuan"/>
    <s v="Ugarte"/>
    <x v="0"/>
    <n v="99369.3"/>
    <d v="2020-06-28T00:00:00"/>
    <d v="1964-01-07T00:00:00"/>
    <x v="13"/>
    <x v="1"/>
  </r>
  <r>
    <s v="Eufemia"/>
    <s v="Carlos"/>
    <s v="Torrecilla"/>
    <x v="0"/>
    <n v="107661.93"/>
    <d v="2024-05-25T00:00:00"/>
    <d v="2001-04-17T00:00:00"/>
    <x v="17"/>
    <x v="0"/>
  </r>
  <r>
    <s v="Eva María"/>
    <s v="Falcón"/>
    <s v="Herrero"/>
    <x v="5"/>
    <n v="62688.57"/>
    <d v="2014-09-08T00:00:00"/>
    <d v="1976-11-08T00:00:00"/>
    <x v="0"/>
    <x v="0"/>
  </r>
  <r>
    <s v="Azahar"/>
    <s v="Giménez"/>
    <s v="Peral"/>
    <x v="5"/>
    <n v="50485.67"/>
    <d v="2017-04-24T00:00:00"/>
    <d v="1981-01-15T00:00:00"/>
    <x v="18"/>
    <x v="0"/>
  </r>
  <r>
    <s v="Inmaculada"/>
    <s v="Barrios"/>
    <s v="Cabrero"/>
    <x v="4"/>
    <n v="116901.06"/>
    <d v="2016-11-25T00:00:00"/>
    <d v="1995-11-20T00:00:00"/>
    <x v="12"/>
    <x v="0"/>
  </r>
  <r>
    <s v="Constanza"/>
    <s v="Arrieta"/>
    <s v="Benavent"/>
    <x v="1"/>
    <n v="37877.160000000003"/>
    <d v="2014-11-12T00:00:00"/>
    <d v="1966-11-18T00:00:00"/>
    <x v="19"/>
    <x v="0"/>
  </r>
  <r>
    <s v="Maximino"/>
    <s v="Fabregat"/>
    <s v="Carretero"/>
    <x v="2"/>
    <n v="77741.67"/>
    <d v="2021-01-24T00:00:00"/>
    <d v="1964-08-22T00:00:00"/>
    <x v="13"/>
    <x v="1"/>
  </r>
  <r>
    <s v="Gil"/>
    <s v="Carmona"/>
    <s v="Arce"/>
    <x v="6"/>
    <n v="49640.61"/>
    <d v="2014-10-12T00:00:00"/>
    <d v="1971-08-27T00:00:00"/>
    <x v="20"/>
    <x v="1"/>
  </r>
  <r>
    <s v="Catalina"/>
    <s v="Casals"/>
    <s v="Tello"/>
    <x v="2"/>
    <n v="86155.53"/>
    <d v="2017-12-29T00:00:00"/>
    <d v="1962-07-27T00:00:00"/>
    <x v="6"/>
    <x v="0"/>
  </r>
  <r>
    <s v="Nidia"/>
    <s v="Alsina"/>
    <s v="Roig"/>
    <x v="2"/>
    <n v="42872.15"/>
    <d v="2016-02-20T00:00:00"/>
    <d v="1976-02-06T00:00:00"/>
    <x v="0"/>
    <x v="0"/>
  </r>
  <r>
    <s v="Andrés"/>
    <s v="Giner"/>
    <s v="Bello"/>
    <x v="0"/>
    <n v="41337.129999999997"/>
    <d v="2019-07-14T00:00:00"/>
    <d v="1982-04-01T00:00:00"/>
    <x v="21"/>
    <x v="1"/>
  </r>
  <r>
    <s v="Isa"/>
    <s v="Escribano"/>
    <s v="Barriga"/>
    <x v="2"/>
    <n v="81720.179999999993"/>
    <d v="2022-12-24T00:00:00"/>
    <d v="1990-03-14T00:00:00"/>
    <x v="1"/>
    <x v="0"/>
  </r>
  <r>
    <s v="Almudena"/>
    <s v="Cabrero"/>
    <s v="Posada"/>
    <x v="4"/>
    <n v="39870.46"/>
    <d v="2017-10-20T00:00:00"/>
    <d v="1976-02-11T00:00:00"/>
    <x v="0"/>
    <x v="0"/>
  </r>
  <r>
    <s v="Felisa"/>
    <s v="Sosa"/>
    <s v="Dominguez"/>
    <x v="1"/>
    <n v="32614.37"/>
    <d v="2017-11-14T00:00:00"/>
    <d v="1962-05-12T00:00:00"/>
    <x v="6"/>
    <x v="0"/>
  </r>
  <r>
    <s v="Rocío"/>
    <s v="Cuadrado"/>
    <s v="Cáceres"/>
    <x v="0"/>
    <n v="96449.06"/>
    <d v="2020-03-27T00:00:00"/>
    <d v="1994-06-11T00:00:00"/>
    <x v="22"/>
    <x v="0"/>
  </r>
  <r>
    <s v="Dionisia"/>
    <s v="Carpio"/>
    <s v="Salamanca"/>
    <x v="5"/>
    <n v="115128.9"/>
    <d v="2017-05-21T00:00:00"/>
    <d v="1959-04-24T00:00:00"/>
    <x v="23"/>
    <x v="0"/>
  </r>
  <r>
    <s v="Jonatan"/>
    <s v="Redondo"/>
    <s v="Verdugo"/>
    <x v="3"/>
    <n v="52162.47"/>
    <d v="2019-09-17T00:00:00"/>
    <d v="2002-07-28T00:00:00"/>
    <x v="24"/>
    <x v="1"/>
  </r>
  <r>
    <s v="Gaspar"/>
    <s v="Pont"/>
    <s v="Iglesia"/>
    <x v="1"/>
    <n v="43199.41"/>
    <d v="2017-01-08T00:00:00"/>
    <d v="1996-07-23T00:00:00"/>
    <x v="3"/>
    <x v="1"/>
  </r>
  <r>
    <s v="Nuria"/>
    <s v="Alberola"/>
    <s v="Seco"/>
    <x v="2"/>
    <n v="90476.72"/>
    <d v="2015-10-04T00:00:00"/>
    <d v="1981-04-09T00:00:00"/>
    <x v="18"/>
    <x v="0"/>
  </r>
  <r>
    <s v="Rafael"/>
    <s v="Arroyo"/>
    <s v="Lucas"/>
    <x v="3"/>
    <n v="75868.84"/>
    <d v="2016-09-14T00:00:00"/>
    <d v="1974-10-02T00:00:00"/>
    <x v="14"/>
    <x v="1"/>
  </r>
  <r>
    <s v="Rafaela"/>
    <s v="Tirado"/>
    <s v="Ortuño"/>
    <x v="3"/>
    <n v="31169.9"/>
    <d v="2019-04-23T00:00:00"/>
    <d v="2004-03-27T00:00:00"/>
    <x v="25"/>
    <x v="0"/>
  </r>
  <r>
    <s v="Felisa"/>
    <s v="Cazorla"/>
    <s v="Menéndez"/>
    <x v="6"/>
    <n v="93827.3"/>
    <d v="2021-01-05T00:00:00"/>
    <d v="1986-08-12T00:00:00"/>
    <x v="26"/>
    <x v="0"/>
  </r>
  <r>
    <s v="Severino"/>
    <s v="Berrocal"/>
    <s v="Abellán"/>
    <x v="3"/>
    <n v="88571.16"/>
    <d v="2017-09-06T00:00:00"/>
    <d v="1995-12-13T00:00:00"/>
    <x v="12"/>
    <x v="1"/>
  </r>
  <r>
    <s v="Florencio"/>
    <s v="Cuesta"/>
    <s v="Heras"/>
    <x v="6"/>
    <n v="74580.92"/>
    <d v="2018-03-17T00:00:00"/>
    <d v="2001-10-14T00:00:00"/>
    <x v="17"/>
    <x v="1"/>
  </r>
  <r>
    <s v="Jacobo"/>
    <s v="Pinedo"/>
    <s v="Ribas"/>
    <x v="4"/>
    <n v="91435.7"/>
    <d v="2014-12-13T00:00:00"/>
    <d v="1985-10-14T00:00:00"/>
    <x v="27"/>
    <x v="1"/>
  </r>
  <r>
    <s v="Tristán"/>
    <s v="Ripoll"/>
    <s v="Artigas"/>
    <x v="3"/>
    <n v="104031.16"/>
    <d v="2017-03-25T00:00:00"/>
    <d v="1988-09-19T00:00:00"/>
    <x v="10"/>
    <x v="1"/>
  </r>
  <r>
    <s v="Amílcar"/>
    <s v="Jove"/>
    <s v="Criado"/>
    <x v="0"/>
    <n v="64557.91"/>
    <d v="2022-01-02T00:00:00"/>
    <d v="1994-04-24T00:00:00"/>
    <x v="22"/>
    <x v="1"/>
  </r>
  <r>
    <s v="Venceslás"/>
    <s v="Torrens"/>
    <s v="Abad"/>
    <x v="1"/>
    <n v="52429.59"/>
    <d v="2015-01-27T00:00:00"/>
    <d v="1992-01-25T00:00:00"/>
    <x v="28"/>
    <x v="1"/>
  </r>
  <r>
    <s v="Eufemia"/>
    <s v="Miguel"/>
    <s v="Solera"/>
    <x v="1"/>
    <n v="34248.31"/>
    <d v="2015-04-05T00:00:00"/>
    <d v="1986-08-30T00:00:00"/>
    <x v="2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5783E-5C43-4DC3-B159-277C4E716BC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23:C48" firstHeaderRow="1" firstDataRow="1" firstDataCol="1"/>
  <pivotFields count="9">
    <pivotField numFmtId="1" showAll="0"/>
    <pivotField numFmtId="14" showAll="0"/>
    <pivotField numFmtId="1" showAll="0"/>
    <pivotField numFmtId="1" showAll="0"/>
    <pivotField showAll="0"/>
    <pivotField axis="axisRow" showAll="0" sortType="ascending">
      <items count="25">
        <item x="2"/>
        <item x="16"/>
        <item x="6"/>
        <item x="7"/>
        <item x="23"/>
        <item x="15"/>
        <item x="18"/>
        <item x="10"/>
        <item x="13"/>
        <item x="14"/>
        <item x="5"/>
        <item x="4"/>
        <item x="9"/>
        <item x="11"/>
        <item x="17"/>
        <item x="0"/>
        <item x="21"/>
        <item x="3"/>
        <item x="20"/>
        <item x="22"/>
        <item x="1"/>
        <item x="19"/>
        <item x="8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6" showAll="0"/>
    <pivotField dataField="1" numFmtId="165" showAll="0"/>
  </pivotFields>
  <rowFields count="1">
    <field x="5"/>
  </rowFields>
  <rowItems count="25">
    <i>
      <x v="22"/>
    </i>
    <i>
      <x v="21"/>
    </i>
    <i>
      <x/>
    </i>
    <i>
      <x v="4"/>
    </i>
    <i>
      <x v="7"/>
    </i>
    <i>
      <x v="2"/>
    </i>
    <i>
      <x v="11"/>
    </i>
    <i>
      <x v="23"/>
    </i>
    <i>
      <x v="1"/>
    </i>
    <i>
      <x v="12"/>
    </i>
    <i>
      <x v="8"/>
    </i>
    <i>
      <x v="19"/>
    </i>
    <i>
      <x v="16"/>
    </i>
    <i>
      <x v="9"/>
    </i>
    <i>
      <x v="14"/>
    </i>
    <i>
      <x v="6"/>
    </i>
    <i>
      <x v="20"/>
    </i>
    <i>
      <x v="18"/>
    </i>
    <i>
      <x v="17"/>
    </i>
    <i>
      <x v="5"/>
    </i>
    <i>
      <x v="13"/>
    </i>
    <i>
      <x v="3"/>
    </i>
    <i>
      <x v="15"/>
    </i>
    <i>
      <x v="10"/>
    </i>
    <i t="grand">
      <x/>
    </i>
  </rowItems>
  <colItems count="1">
    <i/>
  </colItems>
  <dataFields count="1">
    <dataField name="Suma de Venta" fld="8" baseField="0" baseItem="0" numFmtId="165"/>
  </dataFields>
  <formats count="2">
    <format dxfId="56">
      <pivotArea collapsedLevelsAreSubtotals="1" fieldPosition="0">
        <references count="1">
          <reference field="5" count="0"/>
        </references>
      </pivotArea>
    </format>
    <format dxfId="55">
      <pivotArea dataOnly="0" labelOnly="1" fieldPosition="0">
        <references count="1">
          <reference field="5" count="0"/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2F852-B562-4646-B622-B63F2C087B8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5:C11" firstHeaderRow="1" firstDataRow="1" firstDataCol="1"/>
  <pivotFields count="9">
    <pivotField numFmtId="1" showAll="0"/>
    <pivotField numFmtId="14" showAll="0"/>
    <pivotField numFmtId="1" showAll="0">
      <items count="3">
        <item x="1"/>
        <item x="0"/>
        <item t="default"/>
      </items>
    </pivotField>
    <pivotField numFmtId="1" showAll="0"/>
    <pivotField axis="axisRow" showAll="0" sortType="ascending">
      <items count="6">
        <item x="3"/>
        <item x="0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66" showAll="0"/>
    <pivotField dataField="1" numFmtId="165" showAll="0"/>
  </pivotFields>
  <rowFields count="1">
    <field x="4"/>
  </rowFields>
  <rowItems count="6">
    <i>
      <x v="3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name="Suma de Venta" fld="8" baseField="0" baseItem="0" numFmtId="165"/>
  </dataFields>
  <formats count="1">
    <format dxfId="57">
      <pivotArea dataOnly="0" fieldPosition="0">
        <references count="1">
          <reference field="4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B754B-50B4-4C08-854F-9FC4C535393E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Genero">
  <location ref="B34:C36" firstHeaderRow="1" firstDataRow="1" firstDataCol="1"/>
  <pivotFields count="9">
    <pivotField showAll="0"/>
    <pivotField showAll="0"/>
    <pivotField showAll="0"/>
    <pivotField showAll="0">
      <items count="8">
        <item x="3"/>
        <item h="1" x="1"/>
        <item h="1" x="0"/>
        <item h="1" x="2"/>
        <item h="1" x="5"/>
        <item h="1" x="6"/>
        <item h="1" x="4"/>
        <item t="default"/>
      </items>
    </pivotField>
    <pivotField showAll="0"/>
    <pivotField numFmtId="164" showAll="0"/>
    <pivotField numFmtId="164" showAll="0"/>
    <pivotField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dataField="1" showAll="0">
      <items count="3">
        <item x="0"/>
        <item h="1" x="1"/>
        <item t="default"/>
      </items>
    </pivotField>
  </pivotFields>
  <rowFields count="1">
    <field x="8"/>
  </rowFields>
  <rowItems count="2">
    <i>
      <x/>
    </i>
    <i t="grand">
      <x/>
    </i>
  </rowItems>
  <colItems count="1">
    <i/>
  </colItems>
  <dataFields count="1">
    <dataField name="Recuento" fld="8" subtotal="count" showDataAs="percentOfTotal" baseField="0" baseItem="0" numFmtId="10"/>
  </dataFields>
  <formats count="2">
    <format dxfId="43">
      <pivotArea field="8" type="button" dataOnly="0" labelOnly="1" outline="0" axis="axisRow" fieldPosition="0"/>
    </format>
    <format dxfId="42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B1D6C-C551-426D-A03D-5145DB90C3AB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Edad">
  <location ref="B21:C24" firstHeaderRow="1" firstDataRow="1" firstDataCol="1"/>
  <pivotFields count="9">
    <pivotField dataField="1" showAll="0"/>
    <pivotField showAll="0"/>
    <pivotField showAll="0"/>
    <pivotField showAll="0">
      <items count="8">
        <item x="3"/>
        <item h="1" x="1"/>
        <item h="1" x="0"/>
        <item h="1" x="2"/>
        <item h="1" x="5"/>
        <item h="1" x="6"/>
        <item h="1" x="4"/>
        <item t="default"/>
      </items>
    </pivotField>
    <pivotField showAll="0"/>
    <pivotField numFmtId="164" showAll="0"/>
    <pivotField numFmtId="164" showAll="0"/>
    <pivotField axis="axisRow" numFmtId="1" showAll="0" sortType="a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h="1" x="1"/>
        <item t="default"/>
      </items>
    </pivotField>
  </pivotFields>
  <rowFields count="1">
    <field x="7"/>
  </rowFields>
  <rowItems count="3">
    <i>
      <x v="1"/>
    </i>
    <i>
      <x v="5"/>
    </i>
    <i t="grand">
      <x/>
    </i>
  </rowItems>
  <colItems count="1">
    <i/>
  </colItems>
  <dataFields count="1">
    <dataField name="Cantidad Empleados" fld="0" subtotal="count" baseField="7" baseItem="1"/>
  </dataFields>
  <formats count="2">
    <format dxfId="45">
      <pivotArea field="7" type="button" dataOnly="0" labelOnly="1" outline="0" axis="axisRow" fieldPosition="0"/>
    </format>
    <format dxfId="44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92C6D-70AB-4E8E-BB2A-F5E46AD12719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Puesto">
  <location ref="B6:D8" firstHeaderRow="0" firstDataRow="1" firstDataCol="1"/>
  <pivotFields count="9">
    <pivotField dataField="1" showAll="0"/>
    <pivotField showAll="0"/>
    <pivotField showAll="0"/>
    <pivotField axis="axisRow" showAll="0" sortType="descending">
      <items count="8">
        <item x="3"/>
        <item h="1" x="1"/>
        <item h="1" x="0"/>
        <item h="1" x="2"/>
        <item h="1" x="5"/>
        <item h="1" x="6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4" showAll="0"/>
    <pivotField numFmtId="164" showAll="0"/>
    <pivotField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3">
        <item x="0"/>
        <item h="1" x="1"/>
        <item t="default"/>
      </items>
    </pivotField>
  </pivotFields>
  <rowFields count="1">
    <field x="3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 Personal" fld="0" subtotal="count" baseField="3" baseItem="0"/>
    <dataField name="Salario Anual" fld="4" baseField="3" baseItem="0" numFmtId="167"/>
  </dataFields>
  <formats count="3">
    <format dxfId="48">
      <pivotArea field="3" type="button" dataOnly="0" labelOnly="1" outline="0" axis="axisRow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A95121FE-CC34-41B8-90A2-F1CA2AAF0734}" sourceName="AÑO">
  <pivotTables>
    <pivotTable tabId="5" name="TablaDinámica1"/>
  </pivotTables>
  <data>
    <tabular pivotCacheId="1223620808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uesto" xr10:uid="{985C7A44-395D-4F2D-B939-471588AC270C}" sourceName="Puesto">
  <pivotTables>
    <pivotTable tabId="7" name="TablaDinámica3"/>
    <pivotTable tabId="7" name="TablaDinámica4"/>
    <pivotTable tabId="7" name="TablaDinámica5"/>
  </pivotTables>
  <data>
    <tabular pivotCacheId="1937416377">
      <items count="7">
        <i x="3" s="1"/>
        <i x="1"/>
        <i x="0"/>
        <i x="2"/>
        <i x="5"/>
        <i x="6"/>
        <i x="4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énero" xr10:uid="{56184469-1778-4EF6-A174-7A462F6FA127}" sourceName="Género">
  <pivotTables>
    <pivotTable tabId="7" name="TablaDinámica3"/>
    <pivotTable tabId="7" name="TablaDinámica4"/>
    <pivotTable tabId="7" name="TablaDinámica5"/>
  </pivotTables>
  <data>
    <tabular pivotCacheId="1937416377">
      <items count="2"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3AFC7367-8229-4672-91CD-B65264865272}" cache="SegmentaciónDeDatos_AÑO" caption="AÑO" columnCount="2" style="SlicerStyleDark2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uesto" xr10:uid="{65FEA520-E294-48A1-80C4-A2006D9F3BF8}" cache="SegmentaciónDeDatos_Puesto" caption="Puesto" columnCount="7" style="SlicerStyleLight2" rowHeight="247650"/>
  <slicer name="Género" xr10:uid="{B85D4083-734E-4886-82D0-E1E80F654404}" cache="SegmentaciónDeDatos_Género" caption="Género" columnCount="2" style="SlicerStyleLight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8051-9E72-4BB2-9AB0-F6E23C44A7CC}" name="ventas" displayName="ventas" ref="B18:J68" totalsRowShown="0">
  <autoFilter ref="B18:J68" xr:uid="{FC378051-9E72-4BB2-9AB0-F6E23C44A7CC}"/>
  <tableColumns count="9">
    <tableColumn id="1" xr3:uid="{D476CF5C-0E1B-40EE-A62B-72E29404A39A}" name="Sale ID" dataDxfId="66"/>
    <tableColumn id="2" xr3:uid="{CAEA63EE-5517-4029-80DE-DE7ABE2E5FE3}" name="Fecha_Venta" dataDxfId="65"/>
    <tableColumn id="9" xr3:uid="{2C9B66F8-7131-4DF0-9EB5-8DA6CE795516}" name="AÑO" dataDxfId="64">
      <calculatedColumnFormula>YEAR(ventas[[#This Row],[Fecha_Venta]])</calculatedColumnFormula>
    </tableColumn>
    <tableColumn id="10" xr3:uid="{5CF4337F-83E1-4D83-A9C4-E333AA16FA95}" name="MES" dataDxfId="63">
      <calculatedColumnFormula>MONTH(ventas[[#This Row],[Fecha_Venta]])</calculatedColumnFormula>
    </tableColumn>
    <tableColumn id="3" xr3:uid="{72DA8C50-CDA6-43E5-9431-CA09B2A1FCBE}" name="Categoria" dataDxfId="62"/>
    <tableColumn id="4" xr3:uid="{F2936085-E31D-4D2E-AEFB-560F58DED709}" name="Nombre Producto" dataDxfId="61"/>
    <tableColumn id="5" xr3:uid="{52293038-8FA6-493E-80D2-45B3340AF0BE}" name="Unidades Vendidas" dataDxfId="60"/>
    <tableColumn id="7" xr3:uid="{6EAB6895-F3DA-4781-8FF6-2EA5365F5DE0}" name="Precio" dataDxfId="59" dataCellStyle="Millares">
      <calculatedColumnFormula>_xlfn.XLOOKUP(ventas[[#This Row],[Nombre Producto]],precios[Nombre Producto],precios[Price (USD)],"-",0)</calculatedColumnFormula>
    </tableColumn>
    <tableColumn id="8" xr3:uid="{CD38CA07-791D-439F-AC3E-94E715454305}" name="Venta" dataDxfId="58">
      <calculatedColumnFormula>PRODUCT(ventas[[#This Row],[Unidades Vendidas]:[Precio]])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C2FC4-3461-42D6-9B37-9B47CF52C2E1}" name="precios" displayName="precios" ref="A1:C26" totalsRowShown="0">
  <autoFilter ref="A1:C26" xr:uid="{2C6C2FC4-3461-42D6-9B37-9B47CF52C2E1}"/>
  <tableColumns count="3">
    <tableColumn id="1" xr3:uid="{9DD630FE-790B-483F-9FC4-595DD6626BAF}" name="Categoria"/>
    <tableColumn id="2" xr3:uid="{EEC268EF-80F4-4AAB-901E-0D5E1BBB3B2A}" name="Nombre Producto"/>
    <tableColumn id="3" xr3:uid="{E2C9660F-D3FB-4C72-AF89-FD529AF11406}" name="Price (USD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1BDC09-0A31-468E-854C-B0887DE35573}" name="RH" displayName="RH" ref="A23:I73" totalsRowShown="0" headerRowDxfId="54" headerRowBorderDxfId="53" tableBorderDxfId="52">
  <autoFilter ref="A23:I73" xr:uid="{8E1BDC09-0A31-468E-854C-B0887DE35573}"/>
  <tableColumns count="9">
    <tableColumn id="1" xr3:uid="{CA5BADCE-87A3-4C6C-8C9E-32804204CFD6}" name="Nombre"/>
    <tableColumn id="2" xr3:uid="{0B2119D7-8AAE-4C0B-A71C-248F925F3628}" name="Apellido Paterno"/>
    <tableColumn id="3" xr3:uid="{5A6F001D-C24B-403D-8DFA-ED4932F47AF0}" name="Apellido Materno"/>
    <tableColumn id="4" xr3:uid="{4C5A6D7B-ADA5-4DAD-8FCE-5614D22DCB1A}" name="Puesto"/>
    <tableColumn id="5" xr3:uid="{F917D2AA-F2F7-4449-8B16-DDBE5DBD687A}" name="Salario Anual (USD)"/>
    <tableColumn id="6" xr3:uid="{5150356B-0BC9-4651-9491-E2CA4FBB946A}" name="Fecha Contratación" dataDxfId="51"/>
    <tableColumn id="7" xr3:uid="{479B983A-A0DC-4CB3-83F9-1DA14406634A}" name="Fecha Nacimiento" dataDxfId="50"/>
    <tableColumn id="9" xr3:uid="{40E590F7-C3A8-4023-B335-4C8D470BAB64}" name="EdadTrabajador" dataDxfId="49">
      <calculatedColumnFormula>INT(YEARFRAC(RH[[#This Row],[Fecha Nacimiento]],TODAY(),1))</calculatedColumnFormula>
    </tableColumn>
    <tableColumn id="8" xr3:uid="{B2B75107-054A-4454-B3A1-24B9FCDE6668}" name="Géne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07/relationships/slicer" Target="../slicers/slicer2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68"/>
  <sheetViews>
    <sheetView workbookViewId="0">
      <selection activeCell="G15" sqref="G15"/>
    </sheetView>
  </sheetViews>
  <sheetFormatPr baseColWidth="10" defaultRowHeight="14.4" x14ac:dyDescent="0.3"/>
  <cols>
    <col min="2" max="2" width="11.5546875" style="5"/>
    <col min="3" max="3" width="14.77734375" style="2" customWidth="1"/>
    <col min="4" max="5" width="14.77734375" style="5" customWidth="1"/>
    <col min="6" max="6" width="12.44140625" style="6" bestFit="1" customWidth="1"/>
    <col min="7" max="7" width="21" style="6" bestFit="1" customWidth="1"/>
    <col min="8" max="8" width="18.88671875" style="5" customWidth="1"/>
    <col min="9" max="9" width="11.5546875" style="4"/>
    <col min="10" max="10" width="16.77734375" style="3" customWidth="1"/>
  </cols>
  <sheetData>
    <row r="1" spans="1:15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18" spans="2:10" x14ac:dyDescent="0.3">
      <c r="B18" s="5" t="s">
        <v>160</v>
      </c>
      <c r="C18" s="2" t="s">
        <v>197</v>
      </c>
      <c r="D18" s="5" t="s">
        <v>201</v>
      </c>
      <c r="E18" s="5" t="s">
        <v>202</v>
      </c>
      <c r="F18" s="6" t="s">
        <v>162</v>
      </c>
      <c r="G18" s="6" t="s">
        <v>163</v>
      </c>
      <c r="H18" s="5" t="s">
        <v>164</v>
      </c>
      <c r="I18" s="4" t="s">
        <v>196</v>
      </c>
      <c r="J18" s="3" t="s">
        <v>161</v>
      </c>
    </row>
    <row r="19" spans="2:10" x14ac:dyDescent="0.3">
      <c r="B19" s="5">
        <v>1</v>
      </c>
      <c r="C19" s="2">
        <v>45310</v>
      </c>
      <c r="D19" s="5">
        <f>YEAR(ventas[[#This Row],[Fecha_Venta]])</f>
        <v>2024</v>
      </c>
      <c r="E19" s="5">
        <f>MONTH(ventas[[#This Row],[Fecha_Venta]])</f>
        <v>1</v>
      </c>
      <c r="F19" s="6" t="s">
        <v>165</v>
      </c>
      <c r="G19" s="6" t="s">
        <v>166</v>
      </c>
      <c r="H19" s="5">
        <v>15</v>
      </c>
      <c r="I19" s="4">
        <f>_xlfn.XLOOKUP(ventas[[#This Row],[Nombre Producto]],precios[Nombre Producto],precios[Price (USD)],"-",0)</f>
        <v>1199</v>
      </c>
      <c r="J19" s="3">
        <f>PRODUCT(ventas[[#This Row],[Unidades Vendidas]:[Precio]])</f>
        <v>17985</v>
      </c>
    </row>
    <row r="20" spans="2:10" x14ac:dyDescent="0.3">
      <c r="B20" s="5">
        <v>2</v>
      </c>
      <c r="C20" s="2">
        <v>45176</v>
      </c>
      <c r="D20" s="5">
        <f>YEAR(ventas[[#This Row],[Fecha_Venta]])</f>
        <v>2023</v>
      </c>
      <c r="E20" s="5">
        <f>MONTH(ventas[[#This Row],[Fecha_Venta]])</f>
        <v>9</v>
      </c>
      <c r="F20" s="6" t="s">
        <v>167</v>
      </c>
      <c r="G20" s="6" t="s">
        <v>168</v>
      </c>
      <c r="H20" s="5">
        <v>22</v>
      </c>
      <c r="I20" s="4">
        <f>_xlfn.XLOOKUP(ventas[[#This Row],[Nombre Producto]],precios[Nombre Producto],precios[Price (USD)],"-",0)</f>
        <v>649</v>
      </c>
      <c r="J20" s="3">
        <f>PRODUCT(ventas[[#This Row],[Unidades Vendidas]:[Precio]])</f>
        <v>14278</v>
      </c>
    </row>
    <row r="21" spans="2:10" x14ac:dyDescent="0.3">
      <c r="B21" s="5">
        <v>3</v>
      </c>
      <c r="C21" s="2">
        <v>45158</v>
      </c>
      <c r="D21" s="5">
        <f>YEAR(ventas[[#This Row],[Fecha_Venta]])</f>
        <v>2023</v>
      </c>
      <c r="E21" s="5">
        <f>MONTH(ventas[[#This Row],[Fecha_Venta]])</f>
        <v>8</v>
      </c>
      <c r="F21" s="6" t="s">
        <v>167</v>
      </c>
      <c r="G21" s="6" t="s">
        <v>169</v>
      </c>
      <c r="H21" s="5">
        <v>15</v>
      </c>
      <c r="I21" s="4">
        <f>_xlfn.XLOOKUP(ventas[[#This Row],[Nombre Producto]],precios[Nombre Producto],precios[Price (USD)],"-",0)</f>
        <v>149</v>
      </c>
      <c r="J21" s="3">
        <f>PRODUCT(ventas[[#This Row],[Unidades Vendidas]:[Precio]])</f>
        <v>2235</v>
      </c>
    </row>
    <row r="22" spans="2:10" x14ac:dyDescent="0.3">
      <c r="B22" s="5">
        <v>4</v>
      </c>
      <c r="C22" s="2">
        <v>45292</v>
      </c>
      <c r="D22" s="5">
        <f>YEAR(ventas[[#This Row],[Fecha_Venta]])</f>
        <v>2024</v>
      </c>
      <c r="E22" s="5">
        <f>MONTH(ventas[[#This Row],[Fecha_Venta]])</f>
        <v>1</v>
      </c>
      <c r="F22" s="6" t="s">
        <v>167</v>
      </c>
      <c r="G22" s="6" t="s">
        <v>170</v>
      </c>
      <c r="H22" s="5">
        <v>20</v>
      </c>
      <c r="I22" s="4">
        <f>_xlfn.XLOOKUP(ventas[[#This Row],[Nombre Producto]],precios[Nombre Producto],precios[Price (USD)],"-",0)</f>
        <v>899</v>
      </c>
      <c r="J22" s="3">
        <f>PRODUCT(ventas[[#This Row],[Unidades Vendidas]:[Precio]])</f>
        <v>17980</v>
      </c>
    </row>
    <row r="23" spans="2:10" x14ac:dyDescent="0.3">
      <c r="B23" s="5">
        <v>5</v>
      </c>
      <c r="C23" s="2">
        <v>45174</v>
      </c>
      <c r="D23" s="5">
        <f>YEAR(ventas[[#This Row],[Fecha_Venta]])</f>
        <v>2023</v>
      </c>
      <c r="E23" s="5">
        <f>MONTH(ventas[[#This Row],[Fecha_Venta]])</f>
        <v>9</v>
      </c>
      <c r="F23" s="6" t="s">
        <v>171</v>
      </c>
      <c r="G23" s="6" t="s">
        <v>172</v>
      </c>
      <c r="H23" s="5">
        <v>12</v>
      </c>
      <c r="I23" s="4">
        <f>_xlfn.XLOOKUP(ventas[[#This Row],[Nombre Producto]],precios[Nombre Producto],precios[Price (USD)],"-",0)</f>
        <v>199</v>
      </c>
      <c r="J23" s="3">
        <f>PRODUCT(ventas[[#This Row],[Unidades Vendidas]:[Precio]])</f>
        <v>2388</v>
      </c>
    </row>
    <row r="24" spans="2:10" x14ac:dyDescent="0.3">
      <c r="B24" s="5">
        <v>6</v>
      </c>
      <c r="C24" s="2">
        <v>45165</v>
      </c>
      <c r="D24" s="5">
        <f>YEAR(ventas[[#This Row],[Fecha_Venta]])</f>
        <v>2023</v>
      </c>
      <c r="E24" s="5">
        <f>MONTH(ventas[[#This Row],[Fecha_Venta]])</f>
        <v>8</v>
      </c>
      <c r="F24" s="6" t="s">
        <v>167</v>
      </c>
      <c r="G24" s="6" t="s">
        <v>168</v>
      </c>
      <c r="H24" s="5">
        <v>5</v>
      </c>
      <c r="I24" s="4">
        <f>_xlfn.XLOOKUP(ventas[[#This Row],[Nombre Producto]],precios[Nombre Producto],precios[Price (USD)],"-",0)</f>
        <v>649</v>
      </c>
      <c r="J24" s="3">
        <f>PRODUCT(ventas[[#This Row],[Unidades Vendidas]:[Precio]])</f>
        <v>3245</v>
      </c>
    </row>
    <row r="25" spans="2:10" x14ac:dyDescent="0.3">
      <c r="B25" s="5">
        <v>7</v>
      </c>
      <c r="C25" s="2">
        <v>45284</v>
      </c>
      <c r="D25" s="5">
        <f>YEAR(ventas[[#This Row],[Fecha_Venta]])</f>
        <v>2023</v>
      </c>
      <c r="E25" s="5">
        <f>MONTH(ventas[[#This Row],[Fecha_Venta]])</f>
        <v>12</v>
      </c>
      <c r="F25" s="6" t="s">
        <v>165</v>
      </c>
      <c r="G25" s="6" t="s">
        <v>173</v>
      </c>
      <c r="H25" s="5">
        <v>4</v>
      </c>
      <c r="I25" s="4">
        <f>_xlfn.XLOOKUP(ventas[[#This Row],[Nombre Producto]],precios[Nombre Producto],precios[Price (USD)],"-",0)</f>
        <v>1099</v>
      </c>
      <c r="J25" s="3">
        <f>PRODUCT(ventas[[#This Row],[Unidades Vendidas]:[Precio]])</f>
        <v>4396</v>
      </c>
    </row>
    <row r="26" spans="2:10" x14ac:dyDescent="0.3">
      <c r="B26" s="5">
        <v>8</v>
      </c>
      <c r="C26" s="2">
        <v>45316</v>
      </c>
      <c r="D26" s="5">
        <f>YEAR(ventas[[#This Row],[Fecha_Venta]])</f>
        <v>2024</v>
      </c>
      <c r="E26" s="5">
        <f>MONTH(ventas[[#This Row],[Fecha_Venta]])</f>
        <v>1</v>
      </c>
      <c r="F26" s="6" t="s">
        <v>171</v>
      </c>
      <c r="G26" s="6" t="s">
        <v>174</v>
      </c>
      <c r="H26" s="5">
        <v>5</v>
      </c>
      <c r="I26" s="4">
        <f>_xlfn.XLOOKUP(ventas[[#This Row],[Nombre Producto]],precios[Nombre Producto],precios[Price (USD)],"-",0)</f>
        <v>399</v>
      </c>
      <c r="J26" s="3">
        <f>PRODUCT(ventas[[#This Row],[Unidades Vendidas]:[Precio]])</f>
        <v>1995</v>
      </c>
    </row>
    <row r="27" spans="2:10" x14ac:dyDescent="0.3">
      <c r="B27" s="5">
        <v>9</v>
      </c>
      <c r="C27" s="2">
        <v>45328</v>
      </c>
      <c r="D27" s="5">
        <f>YEAR(ventas[[#This Row],[Fecha_Venta]])</f>
        <v>2024</v>
      </c>
      <c r="E27" s="5">
        <f>MONTH(ventas[[#This Row],[Fecha_Venta]])</f>
        <v>2</v>
      </c>
      <c r="F27" s="6" t="s">
        <v>165</v>
      </c>
      <c r="G27" s="6" t="s">
        <v>175</v>
      </c>
      <c r="H27" s="5">
        <v>17</v>
      </c>
      <c r="I27" s="4">
        <f>_xlfn.XLOOKUP(ventas[[#This Row],[Nombre Producto]],precios[Nombre Producto],precios[Price (USD)],"-",0)</f>
        <v>899</v>
      </c>
      <c r="J27" s="3">
        <f>PRODUCT(ventas[[#This Row],[Unidades Vendidas]:[Precio]])</f>
        <v>15283</v>
      </c>
    </row>
    <row r="28" spans="2:10" x14ac:dyDescent="0.3">
      <c r="B28" s="5">
        <v>10</v>
      </c>
      <c r="C28" s="2">
        <v>45152</v>
      </c>
      <c r="D28" s="5">
        <f>YEAR(ventas[[#This Row],[Fecha_Venta]])</f>
        <v>2023</v>
      </c>
      <c r="E28" s="5">
        <f>MONTH(ventas[[#This Row],[Fecha_Venta]])</f>
        <v>8</v>
      </c>
      <c r="F28" s="6" t="s">
        <v>176</v>
      </c>
      <c r="G28" s="6" t="s">
        <v>177</v>
      </c>
      <c r="H28" s="5">
        <v>9</v>
      </c>
      <c r="I28" s="4">
        <f>_xlfn.XLOOKUP(ventas[[#This Row],[Nombre Producto]],precios[Nombre Producto],precios[Price (USD)],"-",0)</f>
        <v>199</v>
      </c>
      <c r="J28" s="3">
        <f>PRODUCT(ventas[[#This Row],[Unidades Vendidas]:[Precio]])</f>
        <v>1791</v>
      </c>
    </row>
    <row r="29" spans="2:10" x14ac:dyDescent="0.3">
      <c r="B29" s="5">
        <v>11</v>
      </c>
      <c r="C29" s="2">
        <v>45424</v>
      </c>
      <c r="D29" s="5">
        <f>YEAR(ventas[[#This Row],[Fecha_Venta]])</f>
        <v>2024</v>
      </c>
      <c r="E29" s="5">
        <f>MONTH(ventas[[#This Row],[Fecha_Venta]])</f>
        <v>5</v>
      </c>
      <c r="F29" s="6" t="s">
        <v>167</v>
      </c>
      <c r="G29" s="6" t="s">
        <v>178</v>
      </c>
      <c r="H29" s="5">
        <v>8</v>
      </c>
      <c r="I29" s="4">
        <f>_xlfn.XLOOKUP(ventas[[#This Row],[Nombre Producto]],precios[Nombre Producto],precios[Price (USD)],"-",0)</f>
        <v>999</v>
      </c>
      <c r="J29" s="3">
        <f>PRODUCT(ventas[[#This Row],[Unidades Vendidas]:[Precio]])</f>
        <v>7992</v>
      </c>
    </row>
    <row r="30" spans="2:10" x14ac:dyDescent="0.3">
      <c r="B30" s="5">
        <v>12</v>
      </c>
      <c r="C30" s="2">
        <v>45398</v>
      </c>
      <c r="D30" s="5">
        <f>YEAR(ventas[[#This Row],[Fecha_Venta]])</f>
        <v>2024</v>
      </c>
      <c r="E30" s="5">
        <f>MONTH(ventas[[#This Row],[Fecha_Venta]])</f>
        <v>4</v>
      </c>
      <c r="F30" s="6" t="s">
        <v>171</v>
      </c>
      <c r="G30" s="6" t="s">
        <v>179</v>
      </c>
      <c r="H30" s="5">
        <v>10</v>
      </c>
      <c r="I30" s="4">
        <f>_xlfn.XLOOKUP(ventas[[#This Row],[Nombre Producto]],precios[Nombre Producto],precios[Price (USD)],"-",0)</f>
        <v>299</v>
      </c>
      <c r="J30" s="3">
        <f>PRODUCT(ventas[[#This Row],[Unidades Vendidas]:[Precio]])</f>
        <v>2990</v>
      </c>
    </row>
    <row r="31" spans="2:10" x14ac:dyDescent="0.3">
      <c r="B31" s="5">
        <v>13</v>
      </c>
      <c r="C31" s="2">
        <v>45185</v>
      </c>
      <c r="D31" s="5">
        <f>YEAR(ventas[[#This Row],[Fecha_Venta]])</f>
        <v>2023</v>
      </c>
      <c r="E31" s="5">
        <f>MONTH(ventas[[#This Row],[Fecha_Venta]])</f>
        <v>9</v>
      </c>
      <c r="F31" s="6" t="s">
        <v>180</v>
      </c>
      <c r="G31" s="6" t="s">
        <v>181</v>
      </c>
      <c r="H31" s="5">
        <v>5</v>
      </c>
      <c r="I31" s="4">
        <f>_xlfn.XLOOKUP(ventas[[#This Row],[Nombre Producto]],precios[Nombre Producto],precios[Price (USD)],"-",0)</f>
        <v>799</v>
      </c>
      <c r="J31" s="3">
        <f>PRODUCT(ventas[[#This Row],[Unidades Vendidas]:[Precio]])</f>
        <v>3995</v>
      </c>
    </row>
    <row r="32" spans="2:10" x14ac:dyDescent="0.3">
      <c r="B32" s="5">
        <v>14</v>
      </c>
      <c r="C32" s="2">
        <v>45405</v>
      </c>
      <c r="D32" s="5">
        <f>YEAR(ventas[[#This Row],[Fecha_Venta]])</f>
        <v>2024</v>
      </c>
      <c r="E32" s="5">
        <f>MONTH(ventas[[#This Row],[Fecha_Venta]])</f>
        <v>4</v>
      </c>
      <c r="F32" s="6" t="s">
        <v>176</v>
      </c>
      <c r="G32" s="6" t="s">
        <v>182</v>
      </c>
      <c r="H32" s="5">
        <v>20</v>
      </c>
      <c r="I32" s="4">
        <f>_xlfn.XLOOKUP(ventas[[#This Row],[Nombre Producto]],precios[Nombre Producto],precios[Price (USD)],"-",0)</f>
        <v>349</v>
      </c>
      <c r="J32" s="3">
        <f>PRODUCT(ventas[[#This Row],[Unidades Vendidas]:[Precio]])</f>
        <v>6980</v>
      </c>
    </row>
    <row r="33" spans="2:10" x14ac:dyDescent="0.3">
      <c r="B33" s="5">
        <v>15</v>
      </c>
      <c r="C33" s="2">
        <v>45179</v>
      </c>
      <c r="D33" s="5">
        <f>YEAR(ventas[[#This Row],[Fecha_Venta]])</f>
        <v>2023</v>
      </c>
      <c r="E33" s="5">
        <f>MONTH(ventas[[#This Row],[Fecha_Venta]])</f>
        <v>9</v>
      </c>
      <c r="F33" s="6" t="s">
        <v>171</v>
      </c>
      <c r="G33" s="6" t="s">
        <v>183</v>
      </c>
      <c r="H33" s="5">
        <v>8</v>
      </c>
      <c r="I33" s="4">
        <f>_xlfn.XLOOKUP(ventas[[#This Row],[Nombre Producto]],precios[Nombre Producto],precios[Price (USD)],"-",0)</f>
        <v>349</v>
      </c>
      <c r="J33" s="3">
        <f>PRODUCT(ventas[[#This Row],[Unidades Vendidas]:[Precio]])</f>
        <v>2792</v>
      </c>
    </row>
    <row r="34" spans="2:10" x14ac:dyDescent="0.3">
      <c r="B34" s="5">
        <v>16</v>
      </c>
      <c r="C34" s="2">
        <v>45223</v>
      </c>
      <c r="D34" s="5">
        <f>YEAR(ventas[[#This Row],[Fecha_Venta]])</f>
        <v>2023</v>
      </c>
      <c r="E34" s="5">
        <f>MONTH(ventas[[#This Row],[Fecha_Venta]])</f>
        <v>10</v>
      </c>
      <c r="F34" s="6" t="s">
        <v>180</v>
      </c>
      <c r="G34" s="6" t="s">
        <v>181</v>
      </c>
      <c r="H34" s="5">
        <v>10</v>
      </c>
      <c r="I34" s="4">
        <f>_xlfn.XLOOKUP(ventas[[#This Row],[Nombre Producto]],precios[Nombre Producto],precios[Price (USD)],"-",0)</f>
        <v>799</v>
      </c>
      <c r="J34" s="3">
        <f>PRODUCT(ventas[[#This Row],[Unidades Vendidas]:[Precio]])</f>
        <v>7990</v>
      </c>
    </row>
    <row r="35" spans="2:10" x14ac:dyDescent="0.3">
      <c r="B35" s="5">
        <v>17</v>
      </c>
      <c r="C35" s="2">
        <v>45110</v>
      </c>
      <c r="D35" s="5">
        <f>YEAR(ventas[[#This Row],[Fecha_Venta]])</f>
        <v>2023</v>
      </c>
      <c r="E35" s="5">
        <f>MONTH(ventas[[#This Row],[Fecha_Venta]])</f>
        <v>7</v>
      </c>
      <c r="F35" s="6" t="s">
        <v>171</v>
      </c>
      <c r="G35" s="6" t="s">
        <v>183</v>
      </c>
      <c r="H35" s="5">
        <v>20</v>
      </c>
      <c r="I35" s="4">
        <f>_xlfn.XLOOKUP(ventas[[#This Row],[Nombre Producto]],precios[Nombre Producto],precios[Price (USD)],"-",0)</f>
        <v>349</v>
      </c>
      <c r="J35" s="3">
        <f>PRODUCT(ventas[[#This Row],[Unidades Vendidas]:[Precio]])</f>
        <v>6980</v>
      </c>
    </row>
    <row r="36" spans="2:10" x14ac:dyDescent="0.3">
      <c r="B36" s="5">
        <v>18</v>
      </c>
      <c r="C36" s="2">
        <v>45205</v>
      </c>
      <c r="D36" s="5">
        <f>YEAR(ventas[[#This Row],[Fecha_Venta]])</f>
        <v>2023</v>
      </c>
      <c r="E36" s="5">
        <f>MONTH(ventas[[#This Row],[Fecha_Venta]])</f>
        <v>10</v>
      </c>
      <c r="F36" s="6" t="s">
        <v>180</v>
      </c>
      <c r="G36" s="6" t="s">
        <v>184</v>
      </c>
      <c r="H36" s="5">
        <v>9</v>
      </c>
      <c r="I36" s="4">
        <f>_xlfn.XLOOKUP(ventas[[#This Row],[Nombre Producto]],precios[Nombre Producto],precios[Price (USD)],"-",0)</f>
        <v>599</v>
      </c>
      <c r="J36" s="3">
        <f>PRODUCT(ventas[[#This Row],[Unidades Vendidas]:[Precio]])</f>
        <v>5391</v>
      </c>
    </row>
    <row r="37" spans="2:10" x14ac:dyDescent="0.3">
      <c r="B37" s="5">
        <v>19</v>
      </c>
      <c r="C37" s="2">
        <v>45411</v>
      </c>
      <c r="D37" s="5">
        <f>YEAR(ventas[[#This Row],[Fecha_Venta]])</f>
        <v>2024</v>
      </c>
      <c r="E37" s="5">
        <f>MONTH(ventas[[#This Row],[Fecha_Venta]])</f>
        <v>4</v>
      </c>
      <c r="F37" s="6" t="s">
        <v>176</v>
      </c>
      <c r="G37" s="6" t="s">
        <v>185</v>
      </c>
      <c r="H37" s="5">
        <v>23</v>
      </c>
      <c r="I37" s="4">
        <f>_xlfn.XLOOKUP(ventas[[#This Row],[Nombre Producto]],precios[Nombre Producto],precios[Price (USD)],"-",0)</f>
        <v>299</v>
      </c>
      <c r="J37" s="3">
        <f>PRODUCT(ventas[[#This Row],[Unidades Vendidas]:[Precio]])</f>
        <v>6877</v>
      </c>
    </row>
    <row r="38" spans="2:10" x14ac:dyDescent="0.3">
      <c r="B38" s="5">
        <v>20</v>
      </c>
      <c r="C38" s="2">
        <v>45322</v>
      </c>
      <c r="D38" s="5">
        <f>YEAR(ventas[[#This Row],[Fecha_Venta]])</f>
        <v>2024</v>
      </c>
      <c r="E38" s="5">
        <f>MONTH(ventas[[#This Row],[Fecha_Venta]])</f>
        <v>1</v>
      </c>
      <c r="F38" s="6" t="s">
        <v>176</v>
      </c>
      <c r="G38" s="6" t="s">
        <v>186</v>
      </c>
      <c r="H38" s="5">
        <v>7</v>
      </c>
      <c r="I38" s="4">
        <f>_xlfn.XLOOKUP(ventas[[#This Row],[Nombre Producto]],precios[Nombre Producto],precios[Price (USD)],"-",0)</f>
        <v>249</v>
      </c>
      <c r="J38" s="3">
        <f>PRODUCT(ventas[[#This Row],[Unidades Vendidas]:[Precio]])</f>
        <v>1743</v>
      </c>
    </row>
    <row r="39" spans="2:10" x14ac:dyDescent="0.3">
      <c r="B39" s="5">
        <v>21</v>
      </c>
      <c r="C39" s="2">
        <v>45112</v>
      </c>
      <c r="D39" s="5">
        <f>YEAR(ventas[[#This Row],[Fecha_Venta]])</f>
        <v>2023</v>
      </c>
      <c r="E39" s="5">
        <f>MONTH(ventas[[#This Row],[Fecha_Venta]])</f>
        <v>7</v>
      </c>
      <c r="F39" s="6" t="s">
        <v>165</v>
      </c>
      <c r="G39" s="6" t="s">
        <v>175</v>
      </c>
      <c r="H39" s="5">
        <v>5</v>
      </c>
      <c r="I39" s="4">
        <f>_xlfn.XLOOKUP(ventas[[#This Row],[Nombre Producto]],precios[Nombre Producto],precios[Price (USD)],"-",0)</f>
        <v>899</v>
      </c>
      <c r="J39" s="3">
        <f>PRODUCT(ventas[[#This Row],[Unidades Vendidas]:[Precio]])</f>
        <v>4495</v>
      </c>
    </row>
    <row r="40" spans="2:10" x14ac:dyDescent="0.3">
      <c r="B40" s="5">
        <v>22</v>
      </c>
      <c r="C40" s="2">
        <v>45350</v>
      </c>
      <c r="D40" s="5">
        <f>YEAR(ventas[[#This Row],[Fecha_Venta]])</f>
        <v>2024</v>
      </c>
      <c r="E40" s="5">
        <f>MONTH(ventas[[#This Row],[Fecha_Venta]])</f>
        <v>2</v>
      </c>
      <c r="F40" s="6" t="s">
        <v>167</v>
      </c>
      <c r="G40" s="6" t="s">
        <v>187</v>
      </c>
      <c r="H40" s="5">
        <v>19</v>
      </c>
      <c r="I40" s="4">
        <f>_xlfn.XLOOKUP(ventas[[#This Row],[Nombre Producto]],precios[Nombre Producto],precios[Price (USD)],"-",0)</f>
        <v>329</v>
      </c>
      <c r="J40" s="3">
        <f>PRODUCT(ventas[[#This Row],[Unidades Vendidas]:[Precio]])</f>
        <v>6251</v>
      </c>
    </row>
    <row r="41" spans="2:10" x14ac:dyDescent="0.3">
      <c r="B41" s="5">
        <v>23</v>
      </c>
      <c r="C41" s="2">
        <v>45435</v>
      </c>
      <c r="D41" s="5">
        <f>YEAR(ventas[[#This Row],[Fecha_Venta]])</f>
        <v>2024</v>
      </c>
      <c r="E41" s="5">
        <f>MONTH(ventas[[#This Row],[Fecha_Venta]])</f>
        <v>5</v>
      </c>
      <c r="F41" s="6" t="s">
        <v>171</v>
      </c>
      <c r="G41" s="6" t="s">
        <v>174</v>
      </c>
      <c r="H41" s="5">
        <v>5</v>
      </c>
      <c r="I41" s="4">
        <f>_xlfn.XLOOKUP(ventas[[#This Row],[Nombre Producto]],precios[Nombre Producto],precios[Price (USD)],"-",0)</f>
        <v>399</v>
      </c>
      <c r="J41" s="3">
        <f>PRODUCT(ventas[[#This Row],[Unidades Vendidas]:[Precio]])</f>
        <v>1995</v>
      </c>
    </row>
    <row r="42" spans="2:10" x14ac:dyDescent="0.3">
      <c r="B42" s="5">
        <v>24</v>
      </c>
      <c r="C42" s="2">
        <v>45215</v>
      </c>
      <c r="D42" s="5">
        <f>YEAR(ventas[[#This Row],[Fecha_Venta]])</f>
        <v>2023</v>
      </c>
      <c r="E42" s="5">
        <f>MONTH(ventas[[#This Row],[Fecha_Venta]])</f>
        <v>10</v>
      </c>
      <c r="F42" s="6" t="s">
        <v>165</v>
      </c>
      <c r="G42" s="6" t="s">
        <v>175</v>
      </c>
      <c r="H42" s="5">
        <v>16</v>
      </c>
      <c r="I42" s="4">
        <f>_xlfn.XLOOKUP(ventas[[#This Row],[Nombre Producto]],precios[Nombre Producto],precios[Price (USD)],"-",0)</f>
        <v>899</v>
      </c>
      <c r="J42" s="3">
        <f>PRODUCT(ventas[[#This Row],[Unidades Vendidas]:[Precio]])</f>
        <v>14384</v>
      </c>
    </row>
    <row r="43" spans="2:10" x14ac:dyDescent="0.3">
      <c r="B43" s="5">
        <v>25</v>
      </c>
      <c r="C43" s="2">
        <v>45262</v>
      </c>
      <c r="D43" s="5">
        <f>YEAR(ventas[[#This Row],[Fecha_Venta]])</f>
        <v>2023</v>
      </c>
      <c r="E43" s="5">
        <f>MONTH(ventas[[#This Row],[Fecha_Venta]])</f>
        <v>12</v>
      </c>
      <c r="F43" s="6" t="s">
        <v>167</v>
      </c>
      <c r="G43" s="6" t="s">
        <v>187</v>
      </c>
      <c r="H43" s="5">
        <v>5</v>
      </c>
      <c r="I43" s="4">
        <f>_xlfn.XLOOKUP(ventas[[#This Row],[Nombre Producto]],precios[Nombre Producto],precios[Price (USD)],"-",0)</f>
        <v>329</v>
      </c>
      <c r="J43" s="3">
        <f>PRODUCT(ventas[[#This Row],[Unidades Vendidas]:[Precio]])</f>
        <v>1645</v>
      </c>
    </row>
    <row r="44" spans="2:10" x14ac:dyDescent="0.3">
      <c r="B44" s="5">
        <v>26</v>
      </c>
      <c r="C44" s="2">
        <v>45278</v>
      </c>
      <c r="D44" s="5">
        <f>YEAR(ventas[[#This Row],[Fecha_Venta]])</f>
        <v>2023</v>
      </c>
      <c r="E44" s="5">
        <f>MONTH(ventas[[#This Row],[Fecha_Venta]])</f>
        <v>12</v>
      </c>
      <c r="F44" s="6" t="s">
        <v>165</v>
      </c>
      <c r="G44" s="6" t="s">
        <v>166</v>
      </c>
      <c r="H44" s="5">
        <v>22</v>
      </c>
      <c r="I44" s="4">
        <f>_xlfn.XLOOKUP(ventas[[#This Row],[Nombre Producto]],precios[Nombre Producto],precios[Price (USD)],"-",0)</f>
        <v>1199</v>
      </c>
      <c r="J44" s="3">
        <f>PRODUCT(ventas[[#This Row],[Unidades Vendidas]:[Precio]])</f>
        <v>26378</v>
      </c>
    </row>
    <row r="45" spans="2:10" x14ac:dyDescent="0.3">
      <c r="B45" s="5">
        <v>27</v>
      </c>
      <c r="C45" s="2">
        <v>45158</v>
      </c>
      <c r="D45" s="5">
        <f>YEAR(ventas[[#This Row],[Fecha_Venta]])</f>
        <v>2023</v>
      </c>
      <c r="E45" s="5">
        <f>MONTH(ventas[[#This Row],[Fecha_Venta]])</f>
        <v>8</v>
      </c>
      <c r="F45" s="6" t="s">
        <v>171</v>
      </c>
      <c r="G45" s="6" t="s">
        <v>172</v>
      </c>
      <c r="H45" s="5">
        <v>11</v>
      </c>
      <c r="I45" s="4">
        <f>_xlfn.XLOOKUP(ventas[[#This Row],[Nombre Producto]],precios[Nombre Producto],precios[Price (USD)],"-",0)</f>
        <v>199</v>
      </c>
      <c r="J45" s="3">
        <f>PRODUCT(ventas[[#This Row],[Unidades Vendidas]:[Precio]])</f>
        <v>2189</v>
      </c>
    </row>
    <row r="46" spans="2:10" x14ac:dyDescent="0.3">
      <c r="B46" s="5">
        <v>28</v>
      </c>
      <c r="C46" s="2">
        <v>45136</v>
      </c>
      <c r="D46" s="5">
        <f>YEAR(ventas[[#This Row],[Fecha_Venta]])</f>
        <v>2023</v>
      </c>
      <c r="E46" s="5">
        <f>MONTH(ventas[[#This Row],[Fecha_Venta]])</f>
        <v>7</v>
      </c>
      <c r="F46" s="6" t="s">
        <v>165</v>
      </c>
      <c r="G46" s="6" t="s">
        <v>188</v>
      </c>
      <c r="H46" s="5">
        <v>10</v>
      </c>
      <c r="I46" s="4">
        <f>_xlfn.XLOOKUP(ventas[[#This Row],[Nombre Producto]],precios[Nombre Producto],precios[Price (USD)],"-",0)</f>
        <v>999</v>
      </c>
      <c r="J46" s="3">
        <f>PRODUCT(ventas[[#This Row],[Unidades Vendidas]:[Precio]])</f>
        <v>9990</v>
      </c>
    </row>
    <row r="47" spans="2:10" x14ac:dyDescent="0.3">
      <c r="B47" s="5">
        <v>29</v>
      </c>
      <c r="C47" s="2">
        <v>45445</v>
      </c>
      <c r="D47" s="5">
        <f>YEAR(ventas[[#This Row],[Fecha_Venta]])</f>
        <v>2024</v>
      </c>
      <c r="E47" s="5">
        <f>MONTH(ventas[[#This Row],[Fecha_Venta]])</f>
        <v>6</v>
      </c>
      <c r="F47" s="6" t="s">
        <v>165</v>
      </c>
      <c r="G47" s="6" t="s">
        <v>188</v>
      </c>
      <c r="H47" s="5">
        <v>6</v>
      </c>
      <c r="I47" s="4">
        <f>_xlfn.XLOOKUP(ventas[[#This Row],[Nombre Producto]],precios[Nombre Producto],precios[Price (USD)],"-",0)</f>
        <v>999</v>
      </c>
      <c r="J47" s="3">
        <f>PRODUCT(ventas[[#This Row],[Unidades Vendidas]:[Precio]])</f>
        <v>5994</v>
      </c>
    </row>
    <row r="48" spans="2:10" x14ac:dyDescent="0.3">
      <c r="B48" s="5">
        <v>30</v>
      </c>
      <c r="C48" s="2">
        <v>45127</v>
      </c>
      <c r="D48" s="5">
        <f>YEAR(ventas[[#This Row],[Fecha_Venta]])</f>
        <v>2023</v>
      </c>
      <c r="E48" s="5">
        <f>MONTH(ventas[[#This Row],[Fecha_Venta]])</f>
        <v>7</v>
      </c>
      <c r="F48" s="6" t="s">
        <v>165</v>
      </c>
      <c r="G48" s="6" t="s">
        <v>173</v>
      </c>
      <c r="H48" s="5">
        <v>23</v>
      </c>
      <c r="I48" s="4">
        <f>_xlfn.XLOOKUP(ventas[[#This Row],[Nombre Producto]],precios[Nombre Producto],precios[Price (USD)],"-",0)</f>
        <v>1099</v>
      </c>
      <c r="J48" s="3">
        <f>PRODUCT(ventas[[#This Row],[Unidades Vendidas]:[Precio]])</f>
        <v>25277</v>
      </c>
    </row>
    <row r="49" spans="2:10" x14ac:dyDescent="0.3">
      <c r="B49" s="5">
        <v>31</v>
      </c>
      <c r="C49" s="2">
        <v>45299</v>
      </c>
      <c r="D49" s="5">
        <f>YEAR(ventas[[#This Row],[Fecha_Venta]])</f>
        <v>2024</v>
      </c>
      <c r="E49" s="5">
        <f>MONTH(ventas[[#This Row],[Fecha_Venta]])</f>
        <v>1</v>
      </c>
      <c r="F49" s="6" t="s">
        <v>180</v>
      </c>
      <c r="G49" s="6" t="s">
        <v>181</v>
      </c>
      <c r="H49" s="5">
        <v>6</v>
      </c>
      <c r="I49" s="4">
        <f>_xlfn.XLOOKUP(ventas[[#This Row],[Nombre Producto]],precios[Nombre Producto],precios[Price (USD)],"-",0)</f>
        <v>799</v>
      </c>
      <c r="J49" s="3">
        <f>PRODUCT(ventas[[#This Row],[Unidades Vendidas]:[Precio]])</f>
        <v>4794</v>
      </c>
    </row>
    <row r="50" spans="2:10" x14ac:dyDescent="0.3">
      <c r="B50" s="5">
        <v>32</v>
      </c>
      <c r="C50" s="2">
        <v>45133</v>
      </c>
      <c r="D50" s="5">
        <f>YEAR(ventas[[#This Row],[Fecha_Venta]])</f>
        <v>2023</v>
      </c>
      <c r="E50" s="5">
        <f>MONTH(ventas[[#This Row],[Fecha_Venta]])</f>
        <v>7</v>
      </c>
      <c r="F50" s="6" t="s">
        <v>176</v>
      </c>
      <c r="G50" s="6" t="s">
        <v>185</v>
      </c>
      <c r="H50" s="5">
        <v>8</v>
      </c>
      <c r="I50" s="4">
        <f>_xlfn.XLOOKUP(ventas[[#This Row],[Nombre Producto]],precios[Nombre Producto],precios[Price (USD)],"-",0)</f>
        <v>299</v>
      </c>
      <c r="J50" s="3">
        <f>PRODUCT(ventas[[#This Row],[Unidades Vendidas]:[Precio]])</f>
        <v>2392</v>
      </c>
    </row>
    <row r="51" spans="2:10" x14ac:dyDescent="0.3">
      <c r="B51" s="5">
        <v>33</v>
      </c>
      <c r="C51" s="2">
        <v>45096</v>
      </c>
      <c r="D51" s="5">
        <f>YEAR(ventas[[#This Row],[Fecha_Venta]])</f>
        <v>2023</v>
      </c>
      <c r="E51" s="5">
        <f>MONTH(ventas[[#This Row],[Fecha_Venta]])</f>
        <v>6</v>
      </c>
      <c r="F51" s="6" t="s">
        <v>180</v>
      </c>
      <c r="G51" s="6" t="s">
        <v>184</v>
      </c>
      <c r="H51" s="5">
        <v>16</v>
      </c>
      <c r="I51" s="4">
        <f>_xlfn.XLOOKUP(ventas[[#This Row],[Nombre Producto]],precios[Nombre Producto],precios[Price (USD)],"-",0)</f>
        <v>599</v>
      </c>
      <c r="J51" s="3">
        <f>PRODUCT(ventas[[#This Row],[Unidades Vendidas]:[Precio]])</f>
        <v>9584</v>
      </c>
    </row>
    <row r="52" spans="2:10" x14ac:dyDescent="0.3">
      <c r="B52" s="5">
        <v>34</v>
      </c>
      <c r="C52" s="2">
        <v>45377</v>
      </c>
      <c r="D52" s="5">
        <f>YEAR(ventas[[#This Row],[Fecha_Venta]])</f>
        <v>2024</v>
      </c>
      <c r="E52" s="5">
        <f>MONTH(ventas[[#This Row],[Fecha_Venta]])</f>
        <v>3</v>
      </c>
      <c r="F52" s="6" t="s">
        <v>176</v>
      </c>
      <c r="G52" s="6" t="s">
        <v>185</v>
      </c>
      <c r="H52" s="5">
        <v>12</v>
      </c>
      <c r="I52" s="4">
        <f>_xlfn.XLOOKUP(ventas[[#This Row],[Nombre Producto]],precios[Nombre Producto],precios[Price (USD)],"-",0)</f>
        <v>299</v>
      </c>
      <c r="J52" s="3">
        <f>PRODUCT(ventas[[#This Row],[Unidades Vendidas]:[Precio]])</f>
        <v>3588</v>
      </c>
    </row>
    <row r="53" spans="2:10" x14ac:dyDescent="0.3">
      <c r="B53" s="5">
        <v>35</v>
      </c>
      <c r="C53" s="2">
        <v>45164</v>
      </c>
      <c r="D53" s="5">
        <f>YEAR(ventas[[#This Row],[Fecha_Venta]])</f>
        <v>2023</v>
      </c>
      <c r="E53" s="5">
        <f>MONTH(ventas[[#This Row],[Fecha_Venta]])</f>
        <v>8</v>
      </c>
      <c r="F53" s="6" t="s">
        <v>171</v>
      </c>
      <c r="G53" s="6" t="s">
        <v>189</v>
      </c>
      <c r="H53" s="5">
        <v>8</v>
      </c>
      <c r="I53" s="4">
        <f>_xlfn.XLOOKUP(ventas[[#This Row],[Nombre Producto]],precios[Nombre Producto],precios[Price (USD)],"-",0)</f>
        <v>249</v>
      </c>
      <c r="J53" s="3">
        <f>PRODUCT(ventas[[#This Row],[Unidades Vendidas]:[Precio]])</f>
        <v>1992</v>
      </c>
    </row>
    <row r="54" spans="2:10" x14ac:dyDescent="0.3">
      <c r="B54" s="5">
        <v>36</v>
      </c>
      <c r="C54" s="2">
        <v>45108</v>
      </c>
      <c r="D54" s="5">
        <f>YEAR(ventas[[#This Row],[Fecha_Venta]])</f>
        <v>2023</v>
      </c>
      <c r="E54" s="5">
        <f>MONTH(ventas[[#This Row],[Fecha_Venta]])</f>
        <v>7</v>
      </c>
      <c r="F54" s="6" t="s">
        <v>180</v>
      </c>
      <c r="G54" s="6" t="s">
        <v>190</v>
      </c>
      <c r="H54" s="5">
        <v>8</v>
      </c>
      <c r="I54" s="4">
        <f>_xlfn.XLOOKUP(ventas[[#This Row],[Nombre Producto]],precios[Nombre Producto],precios[Price (USD)],"-",0)</f>
        <v>729</v>
      </c>
      <c r="J54" s="3">
        <f>PRODUCT(ventas[[#This Row],[Unidades Vendidas]:[Precio]])</f>
        <v>5832</v>
      </c>
    </row>
    <row r="55" spans="2:10" x14ac:dyDescent="0.3">
      <c r="B55" s="5">
        <v>37</v>
      </c>
      <c r="C55" s="2">
        <v>45261</v>
      </c>
      <c r="D55" s="5">
        <f>YEAR(ventas[[#This Row],[Fecha_Venta]])</f>
        <v>2023</v>
      </c>
      <c r="E55" s="5">
        <f>MONTH(ventas[[#This Row],[Fecha_Venta]])</f>
        <v>12</v>
      </c>
      <c r="F55" s="6" t="s">
        <v>180</v>
      </c>
      <c r="G55" s="6" t="s">
        <v>190</v>
      </c>
      <c r="H55" s="5">
        <v>19</v>
      </c>
      <c r="I55" s="4">
        <f>_xlfn.XLOOKUP(ventas[[#This Row],[Nombre Producto]],precios[Nombre Producto],precios[Price (USD)],"-",0)</f>
        <v>729</v>
      </c>
      <c r="J55" s="3">
        <f>PRODUCT(ventas[[#This Row],[Unidades Vendidas]:[Precio]])</f>
        <v>13851</v>
      </c>
    </row>
    <row r="56" spans="2:10" x14ac:dyDescent="0.3">
      <c r="B56" s="5">
        <v>38</v>
      </c>
      <c r="C56" s="2">
        <v>45153</v>
      </c>
      <c r="D56" s="5">
        <f>YEAR(ventas[[#This Row],[Fecha_Venta]])</f>
        <v>2023</v>
      </c>
      <c r="E56" s="5">
        <f>MONTH(ventas[[#This Row],[Fecha_Venta]])</f>
        <v>8</v>
      </c>
      <c r="F56" s="6" t="s">
        <v>180</v>
      </c>
      <c r="G56" s="6" t="s">
        <v>181</v>
      </c>
      <c r="H56" s="5">
        <v>18</v>
      </c>
      <c r="I56" s="4">
        <f>_xlfn.XLOOKUP(ventas[[#This Row],[Nombre Producto]],precios[Nombre Producto],precios[Price (USD)],"-",0)</f>
        <v>799</v>
      </c>
      <c r="J56" s="3">
        <f>PRODUCT(ventas[[#This Row],[Unidades Vendidas]:[Precio]])</f>
        <v>14382</v>
      </c>
    </row>
    <row r="57" spans="2:10" x14ac:dyDescent="0.3">
      <c r="B57" s="5">
        <v>39</v>
      </c>
      <c r="C57" s="2">
        <v>45235</v>
      </c>
      <c r="D57" s="5">
        <f>YEAR(ventas[[#This Row],[Fecha_Venta]])</f>
        <v>2023</v>
      </c>
      <c r="E57" s="5">
        <f>MONTH(ventas[[#This Row],[Fecha_Venta]])</f>
        <v>11</v>
      </c>
      <c r="F57" s="6" t="s">
        <v>167</v>
      </c>
      <c r="G57" s="6" t="s">
        <v>187</v>
      </c>
      <c r="H57" s="5">
        <v>22</v>
      </c>
      <c r="I57" s="4">
        <f>_xlfn.XLOOKUP(ventas[[#This Row],[Nombre Producto]],precios[Nombre Producto],precios[Price (USD)],"-",0)</f>
        <v>329</v>
      </c>
      <c r="J57" s="3">
        <f>PRODUCT(ventas[[#This Row],[Unidades Vendidas]:[Precio]])</f>
        <v>7238</v>
      </c>
    </row>
    <row r="58" spans="2:10" x14ac:dyDescent="0.3">
      <c r="B58" s="5">
        <v>40</v>
      </c>
      <c r="C58" s="2">
        <v>45100</v>
      </c>
      <c r="D58" s="5">
        <f>YEAR(ventas[[#This Row],[Fecha_Venta]])</f>
        <v>2023</v>
      </c>
      <c r="E58" s="5">
        <f>MONTH(ventas[[#This Row],[Fecha_Venta]])</f>
        <v>6</v>
      </c>
      <c r="F58" s="6" t="s">
        <v>176</v>
      </c>
      <c r="G58" s="6" t="s">
        <v>185</v>
      </c>
      <c r="H58" s="5">
        <v>16</v>
      </c>
      <c r="I58" s="4">
        <f>_xlfn.XLOOKUP(ventas[[#This Row],[Nombre Producto]],precios[Nombre Producto],precios[Price (USD)],"-",0)</f>
        <v>299</v>
      </c>
      <c r="J58" s="3">
        <f>PRODUCT(ventas[[#This Row],[Unidades Vendidas]:[Precio]])</f>
        <v>4784</v>
      </c>
    </row>
    <row r="59" spans="2:10" x14ac:dyDescent="0.3">
      <c r="B59" s="5">
        <v>41</v>
      </c>
      <c r="C59" s="2">
        <v>45432</v>
      </c>
      <c r="D59" s="5">
        <f>YEAR(ventas[[#This Row],[Fecha_Venta]])</f>
        <v>2024</v>
      </c>
      <c r="E59" s="5">
        <f>MONTH(ventas[[#This Row],[Fecha_Venta]])</f>
        <v>5</v>
      </c>
      <c r="F59" s="6" t="s">
        <v>176</v>
      </c>
      <c r="G59" s="6" t="s">
        <v>185</v>
      </c>
      <c r="H59" s="5">
        <v>22</v>
      </c>
      <c r="I59" s="4">
        <f>_xlfn.XLOOKUP(ventas[[#This Row],[Nombre Producto]],precios[Nombre Producto],precios[Price (USD)],"-",0)</f>
        <v>299</v>
      </c>
      <c r="J59" s="3">
        <f>PRODUCT(ventas[[#This Row],[Unidades Vendidas]:[Precio]])</f>
        <v>6578</v>
      </c>
    </row>
    <row r="60" spans="2:10" x14ac:dyDescent="0.3">
      <c r="B60" s="5">
        <v>42</v>
      </c>
      <c r="C60" s="2">
        <v>45362</v>
      </c>
      <c r="D60" s="5">
        <f>YEAR(ventas[[#This Row],[Fecha_Venta]])</f>
        <v>2024</v>
      </c>
      <c r="E60" s="5">
        <f>MONTH(ventas[[#This Row],[Fecha_Venta]])</f>
        <v>3</v>
      </c>
      <c r="F60" s="6" t="s">
        <v>165</v>
      </c>
      <c r="G60" s="6" t="s">
        <v>191</v>
      </c>
      <c r="H60" s="5">
        <v>9</v>
      </c>
      <c r="I60" s="4">
        <f>_xlfn.XLOOKUP(ventas[[#This Row],[Nombre Producto]],precios[Nombre Producto],precios[Price (USD)],"-",0)</f>
        <v>1299</v>
      </c>
      <c r="J60" s="3">
        <f>PRODUCT(ventas[[#This Row],[Unidades Vendidas]:[Precio]])</f>
        <v>11691</v>
      </c>
    </row>
    <row r="61" spans="2:10" x14ac:dyDescent="0.3">
      <c r="B61" s="5">
        <v>43</v>
      </c>
      <c r="C61" s="2">
        <v>45434</v>
      </c>
      <c r="D61" s="5">
        <f>YEAR(ventas[[#This Row],[Fecha_Venta]])</f>
        <v>2024</v>
      </c>
      <c r="E61" s="5">
        <f>MONTH(ventas[[#This Row],[Fecha_Venta]])</f>
        <v>5</v>
      </c>
      <c r="F61" s="6" t="s">
        <v>176</v>
      </c>
      <c r="G61" s="6" t="s">
        <v>185</v>
      </c>
      <c r="H61" s="5">
        <v>5</v>
      </c>
      <c r="I61" s="4">
        <f>_xlfn.XLOOKUP(ventas[[#This Row],[Nombre Producto]],precios[Nombre Producto],precios[Price (USD)],"-",0)</f>
        <v>299</v>
      </c>
      <c r="J61" s="3">
        <f>PRODUCT(ventas[[#This Row],[Unidades Vendidas]:[Precio]])</f>
        <v>1495</v>
      </c>
    </row>
    <row r="62" spans="2:10" x14ac:dyDescent="0.3">
      <c r="B62" s="5">
        <v>44</v>
      </c>
      <c r="C62" s="2">
        <v>45190</v>
      </c>
      <c r="D62" s="5">
        <f>YEAR(ventas[[#This Row],[Fecha_Venta]])</f>
        <v>2023</v>
      </c>
      <c r="E62" s="5">
        <f>MONTH(ventas[[#This Row],[Fecha_Venta]])</f>
        <v>9</v>
      </c>
      <c r="F62" s="6" t="s">
        <v>176</v>
      </c>
      <c r="G62" s="6" t="s">
        <v>185</v>
      </c>
      <c r="H62" s="5">
        <v>12</v>
      </c>
      <c r="I62" s="4">
        <f>_xlfn.XLOOKUP(ventas[[#This Row],[Nombre Producto]],precios[Nombre Producto],precios[Price (USD)],"-",0)</f>
        <v>299</v>
      </c>
      <c r="J62" s="3">
        <f>PRODUCT(ventas[[#This Row],[Unidades Vendidas]:[Precio]])</f>
        <v>3588</v>
      </c>
    </row>
    <row r="63" spans="2:10" x14ac:dyDescent="0.3">
      <c r="B63" s="5">
        <v>45</v>
      </c>
      <c r="C63" s="2">
        <v>45140</v>
      </c>
      <c r="D63" s="5">
        <f>YEAR(ventas[[#This Row],[Fecha_Venta]])</f>
        <v>2023</v>
      </c>
      <c r="E63" s="5">
        <f>MONTH(ventas[[#This Row],[Fecha_Venta]])</f>
        <v>8</v>
      </c>
      <c r="F63" s="6" t="s">
        <v>165</v>
      </c>
      <c r="G63" s="6" t="s">
        <v>173</v>
      </c>
      <c r="H63" s="5">
        <v>23</v>
      </c>
      <c r="I63" s="4">
        <f>_xlfn.XLOOKUP(ventas[[#This Row],[Nombre Producto]],precios[Nombre Producto],precios[Price (USD)],"-",0)</f>
        <v>1099</v>
      </c>
      <c r="J63" s="3">
        <f>PRODUCT(ventas[[#This Row],[Unidades Vendidas]:[Precio]])</f>
        <v>25277</v>
      </c>
    </row>
    <row r="64" spans="2:10" x14ac:dyDescent="0.3">
      <c r="B64" s="5">
        <v>46</v>
      </c>
      <c r="C64" s="2">
        <v>45342</v>
      </c>
      <c r="D64" s="5">
        <f>YEAR(ventas[[#This Row],[Fecha_Venta]])</f>
        <v>2024</v>
      </c>
      <c r="E64" s="5">
        <f>MONTH(ventas[[#This Row],[Fecha_Venta]])</f>
        <v>2</v>
      </c>
      <c r="F64" s="6" t="s">
        <v>167</v>
      </c>
      <c r="G64" s="6" t="s">
        <v>170</v>
      </c>
      <c r="H64" s="5">
        <v>5</v>
      </c>
      <c r="I64" s="4">
        <f>_xlfn.XLOOKUP(ventas[[#This Row],[Nombre Producto]],precios[Nombre Producto],precios[Price (USD)],"-",0)</f>
        <v>899</v>
      </c>
      <c r="J64" s="3">
        <f>PRODUCT(ventas[[#This Row],[Unidades Vendidas]:[Precio]])</f>
        <v>4495</v>
      </c>
    </row>
    <row r="65" spans="2:10" x14ac:dyDescent="0.3">
      <c r="B65" s="5">
        <v>47</v>
      </c>
      <c r="C65" s="2">
        <v>45241</v>
      </c>
      <c r="D65" s="5">
        <f>YEAR(ventas[[#This Row],[Fecha_Venta]])</f>
        <v>2023</v>
      </c>
      <c r="E65" s="5">
        <f>MONTH(ventas[[#This Row],[Fecha_Venta]])</f>
        <v>11</v>
      </c>
      <c r="F65" s="6" t="s">
        <v>165</v>
      </c>
      <c r="G65" s="6" t="s">
        <v>188</v>
      </c>
      <c r="H65" s="5">
        <v>1</v>
      </c>
      <c r="I65" s="4">
        <f>_xlfn.XLOOKUP(ventas[[#This Row],[Nombre Producto]],precios[Nombre Producto],precios[Price (USD)],"-",0)</f>
        <v>999</v>
      </c>
      <c r="J65" s="3">
        <f>PRODUCT(ventas[[#This Row],[Unidades Vendidas]:[Precio]])</f>
        <v>999</v>
      </c>
    </row>
    <row r="66" spans="2:10" x14ac:dyDescent="0.3">
      <c r="B66" s="5">
        <v>48</v>
      </c>
      <c r="C66" s="2">
        <v>45176</v>
      </c>
      <c r="D66" s="5">
        <f>YEAR(ventas[[#This Row],[Fecha_Venta]])</f>
        <v>2023</v>
      </c>
      <c r="E66" s="5">
        <f>MONTH(ventas[[#This Row],[Fecha_Venta]])</f>
        <v>9</v>
      </c>
      <c r="F66" s="6" t="s">
        <v>180</v>
      </c>
      <c r="G66" s="6" t="s">
        <v>192</v>
      </c>
      <c r="H66" s="5">
        <v>14</v>
      </c>
      <c r="I66" s="4">
        <f>_xlfn.XLOOKUP(ventas[[#This Row],[Nombre Producto]],precios[Nombre Producto],precios[Price (USD)],"-",0)</f>
        <v>799</v>
      </c>
      <c r="J66" s="3">
        <f>PRODUCT(ventas[[#This Row],[Unidades Vendidas]:[Precio]])</f>
        <v>11186</v>
      </c>
    </row>
    <row r="67" spans="2:10" x14ac:dyDescent="0.3">
      <c r="B67" s="5">
        <v>49</v>
      </c>
      <c r="C67" s="2">
        <v>45191</v>
      </c>
      <c r="D67" s="5">
        <f>YEAR(ventas[[#This Row],[Fecha_Venta]])</f>
        <v>2023</v>
      </c>
      <c r="E67" s="5">
        <f>MONTH(ventas[[#This Row],[Fecha_Venta]])</f>
        <v>9</v>
      </c>
      <c r="F67" s="6" t="s">
        <v>176</v>
      </c>
      <c r="G67" s="6" t="s">
        <v>193</v>
      </c>
      <c r="H67" s="5">
        <v>12</v>
      </c>
      <c r="I67" s="4">
        <f>_xlfn.XLOOKUP(ventas[[#This Row],[Nombre Producto]],precios[Nombre Producto],precios[Price (USD)],"-",0)</f>
        <v>199</v>
      </c>
      <c r="J67" s="3">
        <f>PRODUCT(ventas[[#This Row],[Unidades Vendidas]:[Precio]])</f>
        <v>2388</v>
      </c>
    </row>
    <row r="68" spans="2:10" x14ac:dyDescent="0.3">
      <c r="B68" s="5">
        <v>50</v>
      </c>
      <c r="C68" s="2">
        <v>45312</v>
      </c>
      <c r="D68" s="5">
        <f>YEAR(ventas[[#This Row],[Fecha_Venta]])</f>
        <v>2024</v>
      </c>
      <c r="E68" s="5">
        <f>MONTH(ventas[[#This Row],[Fecha_Venta]])</f>
        <v>1</v>
      </c>
      <c r="F68" s="6" t="s">
        <v>176</v>
      </c>
      <c r="G68" s="6" t="s">
        <v>186</v>
      </c>
      <c r="H68" s="5">
        <v>25</v>
      </c>
      <c r="I68" s="4">
        <f>_xlfn.XLOOKUP(ventas[[#This Row],[Nombre Producto]],precios[Nombre Producto],precios[Price (USD)],"-",0)</f>
        <v>249</v>
      </c>
      <c r="J68" s="3">
        <f>PRODUCT(ventas[[#This Row],[Unidades Vendidas]:[Precio]])</f>
        <v>6225</v>
      </c>
    </row>
  </sheetData>
  <mergeCells count="1">
    <mergeCell ref="A1:O4"/>
  </mergeCells>
  <phoneticPr fontId="5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26"/>
  <sheetViews>
    <sheetView workbookViewId="0">
      <selection activeCell="H23" sqref="H23"/>
    </sheetView>
  </sheetViews>
  <sheetFormatPr baseColWidth="10" defaultRowHeight="14.4" x14ac:dyDescent="0.3"/>
  <cols>
    <col min="2" max="2" width="21" bestFit="1" customWidth="1"/>
    <col min="3" max="3" width="12.44140625" customWidth="1"/>
  </cols>
  <sheetData>
    <row r="1" spans="1:3" x14ac:dyDescent="0.3">
      <c r="A1" t="s">
        <v>162</v>
      </c>
      <c r="B1" t="s">
        <v>163</v>
      </c>
      <c r="C1" t="s">
        <v>194</v>
      </c>
    </row>
    <row r="2" spans="1:3" x14ac:dyDescent="0.3">
      <c r="A2" t="s">
        <v>165</v>
      </c>
      <c r="B2" t="s">
        <v>188</v>
      </c>
      <c r="C2">
        <v>999</v>
      </c>
    </row>
    <row r="3" spans="1:3" x14ac:dyDescent="0.3">
      <c r="A3" t="s">
        <v>165</v>
      </c>
      <c r="B3" t="s">
        <v>191</v>
      </c>
      <c r="C3">
        <v>1299</v>
      </c>
    </row>
    <row r="4" spans="1:3" x14ac:dyDescent="0.3">
      <c r="A4" t="s">
        <v>165</v>
      </c>
      <c r="B4" t="s">
        <v>173</v>
      </c>
      <c r="C4">
        <v>1099</v>
      </c>
    </row>
    <row r="5" spans="1:3" x14ac:dyDescent="0.3">
      <c r="A5" t="s">
        <v>165</v>
      </c>
      <c r="B5" t="s">
        <v>166</v>
      </c>
      <c r="C5">
        <v>1199</v>
      </c>
    </row>
    <row r="6" spans="1:3" x14ac:dyDescent="0.3">
      <c r="A6" t="s">
        <v>165</v>
      </c>
      <c r="B6" t="s">
        <v>175</v>
      </c>
      <c r="C6">
        <v>899</v>
      </c>
    </row>
    <row r="7" spans="1:3" x14ac:dyDescent="0.3">
      <c r="A7" t="s">
        <v>180</v>
      </c>
      <c r="B7" t="s">
        <v>181</v>
      </c>
      <c r="C7">
        <v>799</v>
      </c>
    </row>
    <row r="8" spans="1:3" x14ac:dyDescent="0.3">
      <c r="A8" t="s">
        <v>180</v>
      </c>
      <c r="B8" t="s">
        <v>192</v>
      </c>
      <c r="C8">
        <v>799</v>
      </c>
    </row>
    <row r="9" spans="1:3" x14ac:dyDescent="0.3">
      <c r="A9" t="s">
        <v>180</v>
      </c>
      <c r="B9" t="s">
        <v>184</v>
      </c>
      <c r="C9">
        <v>599</v>
      </c>
    </row>
    <row r="10" spans="1:3" x14ac:dyDescent="0.3">
      <c r="A10" t="s">
        <v>180</v>
      </c>
      <c r="B10" t="s">
        <v>190</v>
      </c>
      <c r="C10">
        <v>729</v>
      </c>
    </row>
    <row r="11" spans="1:3" x14ac:dyDescent="0.3">
      <c r="A11" t="s">
        <v>180</v>
      </c>
      <c r="B11" t="s">
        <v>195</v>
      </c>
      <c r="C11">
        <v>699</v>
      </c>
    </row>
    <row r="12" spans="1:3" x14ac:dyDescent="0.3">
      <c r="A12" t="s">
        <v>167</v>
      </c>
      <c r="B12" t="s">
        <v>178</v>
      </c>
      <c r="C12">
        <v>999</v>
      </c>
    </row>
    <row r="13" spans="1:3" x14ac:dyDescent="0.3">
      <c r="A13" t="s">
        <v>167</v>
      </c>
      <c r="B13" t="s">
        <v>168</v>
      </c>
      <c r="C13">
        <v>649</v>
      </c>
    </row>
    <row r="14" spans="1:3" x14ac:dyDescent="0.3">
      <c r="A14" t="s">
        <v>167</v>
      </c>
      <c r="B14" t="s">
        <v>170</v>
      </c>
      <c r="C14">
        <v>899</v>
      </c>
    </row>
    <row r="15" spans="1:3" x14ac:dyDescent="0.3">
      <c r="A15" t="s">
        <v>167</v>
      </c>
      <c r="B15" t="s">
        <v>187</v>
      </c>
      <c r="C15">
        <v>329</v>
      </c>
    </row>
    <row r="16" spans="1:3" x14ac:dyDescent="0.3">
      <c r="A16" t="s">
        <v>167</v>
      </c>
      <c r="B16" t="s">
        <v>169</v>
      </c>
      <c r="C16">
        <v>149</v>
      </c>
    </row>
    <row r="17" spans="1:3" x14ac:dyDescent="0.3">
      <c r="A17" t="s">
        <v>176</v>
      </c>
      <c r="B17" t="s">
        <v>182</v>
      </c>
      <c r="C17">
        <v>349</v>
      </c>
    </row>
    <row r="18" spans="1:3" x14ac:dyDescent="0.3">
      <c r="A18" t="s">
        <v>176</v>
      </c>
      <c r="B18" t="s">
        <v>185</v>
      </c>
      <c r="C18">
        <v>299</v>
      </c>
    </row>
    <row r="19" spans="1:3" x14ac:dyDescent="0.3">
      <c r="A19" t="s">
        <v>176</v>
      </c>
      <c r="B19" t="s">
        <v>186</v>
      </c>
      <c r="C19">
        <v>249</v>
      </c>
    </row>
    <row r="20" spans="1:3" x14ac:dyDescent="0.3">
      <c r="A20" t="s">
        <v>176</v>
      </c>
      <c r="B20" t="s">
        <v>177</v>
      </c>
      <c r="C20">
        <v>199</v>
      </c>
    </row>
    <row r="21" spans="1:3" x14ac:dyDescent="0.3">
      <c r="A21" t="s">
        <v>176</v>
      </c>
      <c r="B21" t="s">
        <v>193</v>
      </c>
      <c r="C21">
        <v>199</v>
      </c>
    </row>
    <row r="22" spans="1:3" x14ac:dyDescent="0.3">
      <c r="A22" t="s">
        <v>171</v>
      </c>
      <c r="B22" t="s">
        <v>174</v>
      </c>
      <c r="C22">
        <v>399</v>
      </c>
    </row>
    <row r="23" spans="1:3" x14ac:dyDescent="0.3">
      <c r="A23" t="s">
        <v>171</v>
      </c>
      <c r="B23" t="s">
        <v>189</v>
      </c>
      <c r="C23">
        <v>249</v>
      </c>
    </row>
    <row r="24" spans="1:3" x14ac:dyDescent="0.3">
      <c r="A24" t="s">
        <v>171</v>
      </c>
      <c r="B24" t="s">
        <v>179</v>
      </c>
      <c r="C24">
        <v>299</v>
      </c>
    </row>
    <row r="25" spans="1:3" x14ac:dyDescent="0.3">
      <c r="A25" t="s">
        <v>171</v>
      </c>
      <c r="B25" t="s">
        <v>183</v>
      </c>
      <c r="C25">
        <v>349</v>
      </c>
    </row>
    <row r="26" spans="1:3" x14ac:dyDescent="0.3">
      <c r="A26" t="s">
        <v>171</v>
      </c>
      <c r="B26" t="s">
        <v>172</v>
      </c>
      <c r="C26">
        <v>199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8606-94DC-4C76-8B96-294F7EB0426E}">
  <sheetPr>
    <tabColor rgb="FFFF0000"/>
  </sheetPr>
  <dimension ref="B5:C48"/>
  <sheetViews>
    <sheetView showGridLines="0" workbookViewId="0">
      <selection activeCell="N16" sqref="N16"/>
    </sheetView>
  </sheetViews>
  <sheetFormatPr baseColWidth="10" defaultRowHeight="14.4" x14ac:dyDescent="0.3"/>
  <cols>
    <col min="2" max="2" width="21.88671875" customWidth="1"/>
    <col min="3" max="3" width="13.5546875" bestFit="1" customWidth="1"/>
    <col min="4" max="5" width="17.88671875" bestFit="1" customWidth="1"/>
  </cols>
  <sheetData>
    <row r="5" spans="2:3" x14ac:dyDescent="0.3">
      <c r="B5" s="7" t="s">
        <v>198</v>
      </c>
      <c r="C5" t="s">
        <v>200</v>
      </c>
    </row>
    <row r="6" spans="2:3" x14ac:dyDescent="0.3">
      <c r="B6" s="10" t="s">
        <v>171</v>
      </c>
      <c r="C6" s="11">
        <v>23321</v>
      </c>
    </row>
    <row r="7" spans="2:3" x14ac:dyDescent="0.3">
      <c r="B7" s="10" t="s">
        <v>176</v>
      </c>
      <c r="C7" s="11">
        <v>48429</v>
      </c>
    </row>
    <row r="8" spans="2:3" x14ac:dyDescent="0.3">
      <c r="B8" s="10" t="s">
        <v>167</v>
      </c>
      <c r="C8" s="11">
        <v>65359</v>
      </c>
    </row>
    <row r="9" spans="2:3" x14ac:dyDescent="0.3">
      <c r="B9" s="10" t="s">
        <v>180</v>
      </c>
      <c r="C9" s="11">
        <v>77005</v>
      </c>
    </row>
    <row r="10" spans="2:3" x14ac:dyDescent="0.3">
      <c r="B10" s="10" t="s">
        <v>165</v>
      </c>
      <c r="C10" s="11">
        <v>162149</v>
      </c>
    </row>
    <row r="11" spans="2:3" x14ac:dyDescent="0.3">
      <c r="B11" s="8" t="s">
        <v>199</v>
      </c>
      <c r="C11" s="3">
        <v>376263</v>
      </c>
    </row>
    <row r="23" spans="2:3" x14ac:dyDescent="0.3">
      <c r="B23" s="7" t="s">
        <v>198</v>
      </c>
      <c r="C23" t="s">
        <v>200</v>
      </c>
    </row>
    <row r="24" spans="2:3" x14ac:dyDescent="0.3">
      <c r="B24" s="10" t="s">
        <v>177</v>
      </c>
      <c r="C24" s="11">
        <v>1791</v>
      </c>
    </row>
    <row r="25" spans="2:3" x14ac:dyDescent="0.3">
      <c r="B25" s="10" t="s">
        <v>189</v>
      </c>
      <c r="C25" s="11">
        <v>1992</v>
      </c>
    </row>
    <row r="26" spans="2:3" x14ac:dyDescent="0.3">
      <c r="B26" s="10" t="s">
        <v>169</v>
      </c>
      <c r="C26" s="11">
        <v>2235</v>
      </c>
    </row>
    <row r="27" spans="2:3" x14ac:dyDescent="0.3">
      <c r="B27" s="10" t="s">
        <v>193</v>
      </c>
      <c r="C27" s="11">
        <v>2388</v>
      </c>
    </row>
    <row r="28" spans="2:3" x14ac:dyDescent="0.3">
      <c r="B28" s="10" t="s">
        <v>179</v>
      </c>
      <c r="C28" s="11">
        <v>2990</v>
      </c>
    </row>
    <row r="29" spans="2:3" x14ac:dyDescent="0.3">
      <c r="B29" s="10" t="s">
        <v>174</v>
      </c>
      <c r="C29" s="11">
        <v>3990</v>
      </c>
    </row>
    <row r="30" spans="2:3" x14ac:dyDescent="0.3">
      <c r="B30" s="10" t="s">
        <v>172</v>
      </c>
      <c r="C30" s="11">
        <v>4577</v>
      </c>
    </row>
    <row r="31" spans="2:3" x14ac:dyDescent="0.3">
      <c r="B31" s="10" t="s">
        <v>182</v>
      </c>
      <c r="C31" s="11">
        <v>6980</v>
      </c>
    </row>
    <row r="32" spans="2:3" x14ac:dyDescent="0.3">
      <c r="B32" s="10" t="s">
        <v>186</v>
      </c>
      <c r="C32" s="11">
        <v>7968</v>
      </c>
    </row>
    <row r="33" spans="2:3" x14ac:dyDescent="0.3">
      <c r="B33" s="10" t="s">
        <v>178</v>
      </c>
      <c r="C33" s="11">
        <v>7992</v>
      </c>
    </row>
    <row r="34" spans="2:3" x14ac:dyDescent="0.3">
      <c r="B34" s="10" t="s">
        <v>183</v>
      </c>
      <c r="C34" s="11">
        <v>9772</v>
      </c>
    </row>
    <row r="35" spans="2:3" x14ac:dyDescent="0.3">
      <c r="B35" s="10" t="s">
        <v>192</v>
      </c>
      <c r="C35" s="11">
        <v>11186</v>
      </c>
    </row>
    <row r="36" spans="2:3" x14ac:dyDescent="0.3">
      <c r="B36" s="10" t="s">
        <v>191</v>
      </c>
      <c r="C36" s="11">
        <v>11691</v>
      </c>
    </row>
    <row r="37" spans="2:3" x14ac:dyDescent="0.3">
      <c r="B37" s="10" t="s">
        <v>184</v>
      </c>
      <c r="C37" s="11">
        <v>14975</v>
      </c>
    </row>
    <row r="38" spans="2:3" x14ac:dyDescent="0.3">
      <c r="B38" s="10" t="s">
        <v>187</v>
      </c>
      <c r="C38" s="11">
        <v>15134</v>
      </c>
    </row>
    <row r="39" spans="2:3" x14ac:dyDescent="0.3">
      <c r="B39" s="10" t="s">
        <v>188</v>
      </c>
      <c r="C39" s="11">
        <v>16983</v>
      </c>
    </row>
    <row r="40" spans="2:3" x14ac:dyDescent="0.3">
      <c r="B40" s="10" t="s">
        <v>168</v>
      </c>
      <c r="C40" s="11">
        <v>17523</v>
      </c>
    </row>
    <row r="41" spans="2:3" x14ac:dyDescent="0.3">
      <c r="B41" s="10" t="s">
        <v>190</v>
      </c>
      <c r="C41" s="11">
        <v>19683</v>
      </c>
    </row>
    <row r="42" spans="2:3" x14ac:dyDescent="0.3">
      <c r="B42" s="10" t="s">
        <v>170</v>
      </c>
      <c r="C42" s="11">
        <v>22475</v>
      </c>
    </row>
    <row r="43" spans="2:3" x14ac:dyDescent="0.3">
      <c r="B43" s="10" t="s">
        <v>185</v>
      </c>
      <c r="C43" s="11">
        <v>29302</v>
      </c>
    </row>
    <row r="44" spans="2:3" x14ac:dyDescent="0.3">
      <c r="B44" s="10" t="s">
        <v>181</v>
      </c>
      <c r="C44" s="11">
        <v>31161</v>
      </c>
    </row>
    <row r="45" spans="2:3" x14ac:dyDescent="0.3">
      <c r="B45" s="10" t="s">
        <v>175</v>
      </c>
      <c r="C45" s="11">
        <v>34162</v>
      </c>
    </row>
    <row r="46" spans="2:3" x14ac:dyDescent="0.3">
      <c r="B46" s="10" t="s">
        <v>166</v>
      </c>
      <c r="C46" s="11">
        <v>44363</v>
      </c>
    </row>
    <row r="47" spans="2:3" x14ac:dyDescent="0.3">
      <c r="B47" s="10" t="s">
        <v>173</v>
      </c>
      <c r="C47" s="11">
        <v>54950</v>
      </c>
    </row>
    <row r="48" spans="2:3" x14ac:dyDescent="0.3">
      <c r="B48" s="8" t="s">
        <v>199</v>
      </c>
      <c r="C48" s="3">
        <v>376263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1:I73"/>
  <sheetViews>
    <sheetView topLeftCell="A22" workbookViewId="0">
      <selection activeCell="A23" sqref="A23:I23"/>
    </sheetView>
  </sheetViews>
  <sheetFormatPr baseColWidth="10" defaultRowHeight="14.4" x14ac:dyDescent="0.3"/>
  <cols>
    <col min="1" max="1" width="12.21875" bestFit="1" customWidth="1"/>
    <col min="2" max="2" width="19.21875" bestFit="1" customWidth="1"/>
    <col min="3" max="3" width="19.5546875" bestFit="1" customWidth="1"/>
    <col min="4" max="4" width="13.109375" bestFit="1" customWidth="1"/>
    <col min="5" max="6" width="21.6640625" bestFit="1" customWidth="1"/>
    <col min="7" max="7" width="20.6640625" bestFit="1" customWidth="1"/>
    <col min="8" max="8" width="18.21875" style="5" customWidth="1"/>
    <col min="9" max="9" width="11.44140625" bestFit="1" customWidth="1"/>
  </cols>
  <sheetData>
    <row r="21" spans="1:9" x14ac:dyDescent="0.3">
      <c r="B21" s="21" t="s">
        <v>159</v>
      </c>
      <c r="C21" s="21"/>
      <c r="D21" s="21"/>
      <c r="E21" s="21"/>
      <c r="F21" s="21"/>
      <c r="G21" s="21"/>
      <c r="H21" s="13"/>
    </row>
    <row r="23" spans="1:9" x14ac:dyDescent="0.3">
      <c r="A23" s="12" t="s">
        <v>1</v>
      </c>
      <c r="B23" s="12" t="s">
        <v>2</v>
      </c>
      <c r="C23" s="12" t="s">
        <v>3</v>
      </c>
      <c r="D23" s="12" t="s">
        <v>4</v>
      </c>
      <c r="E23" s="12" t="s">
        <v>5</v>
      </c>
      <c r="F23" s="12" t="s">
        <v>6</v>
      </c>
      <c r="G23" s="12" t="s">
        <v>7</v>
      </c>
      <c r="H23" s="14" t="s">
        <v>203</v>
      </c>
      <c r="I23" s="12" t="s">
        <v>8</v>
      </c>
    </row>
    <row r="24" spans="1:9" x14ac:dyDescent="0.3">
      <c r="A24" t="s">
        <v>9</v>
      </c>
      <c r="B24" t="s">
        <v>10</v>
      </c>
      <c r="C24" t="s">
        <v>11</v>
      </c>
      <c r="D24" t="s">
        <v>12</v>
      </c>
      <c r="E24">
        <v>88943.65</v>
      </c>
      <c r="F24" s="1">
        <v>42041</v>
      </c>
      <c r="G24" s="1">
        <v>27771</v>
      </c>
      <c r="H24" s="5">
        <f ca="1">INT(YEARFRAC(RH[[#This Row],[Fecha Nacimiento]],TODAY(),1))</f>
        <v>50</v>
      </c>
      <c r="I24" t="s">
        <v>13</v>
      </c>
    </row>
    <row r="25" spans="1:9" x14ac:dyDescent="0.3">
      <c r="A25" t="s">
        <v>14</v>
      </c>
      <c r="B25" t="s">
        <v>15</v>
      </c>
      <c r="C25" t="s">
        <v>16</v>
      </c>
      <c r="D25" t="s">
        <v>17</v>
      </c>
      <c r="E25">
        <v>57958.15</v>
      </c>
      <c r="F25" s="1">
        <v>43674</v>
      </c>
      <c r="G25" s="1">
        <v>33181</v>
      </c>
      <c r="H25" s="5">
        <f ca="1">INT(YEARFRAC(RH[[#This Row],[Fecha Nacimiento]],TODAY(),1))</f>
        <v>35</v>
      </c>
      <c r="I25" t="s">
        <v>13</v>
      </c>
    </row>
    <row r="26" spans="1:9" x14ac:dyDescent="0.3">
      <c r="A26" t="s">
        <v>18</v>
      </c>
      <c r="B26" t="s">
        <v>19</v>
      </c>
      <c r="C26" t="s">
        <v>20</v>
      </c>
      <c r="D26" t="s">
        <v>21</v>
      </c>
      <c r="E26">
        <v>87646.39</v>
      </c>
      <c r="F26" s="1">
        <v>42655</v>
      </c>
      <c r="G26" s="1">
        <v>28341</v>
      </c>
      <c r="H26" s="5">
        <f ca="1">INT(YEARFRAC(RH[[#This Row],[Fecha Nacimiento]],TODAY(),1))</f>
        <v>48</v>
      </c>
      <c r="I26" t="s">
        <v>22</v>
      </c>
    </row>
    <row r="27" spans="1:9" x14ac:dyDescent="0.3">
      <c r="A27" t="s">
        <v>23</v>
      </c>
      <c r="B27" t="s">
        <v>24</v>
      </c>
      <c r="C27" t="s">
        <v>25</v>
      </c>
      <c r="D27" t="s">
        <v>17</v>
      </c>
      <c r="E27">
        <v>85754.4</v>
      </c>
      <c r="F27" s="1">
        <v>45099</v>
      </c>
      <c r="G27" s="1">
        <v>35211</v>
      </c>
      <c r="H27" s="5">
        <f ca="1">INT(YEARFRAC(RH[[#This Row],[Fecha Nacimiento]],TODAY(),1))</f>
        <v>29</v>
      </c>
      <c r="I27" t="s">
        <v>22</v>
      </c>
    </row>
    <row r="28" spans="1:9" x14ac:dyDescent="0.3">
      <c r="A28" t="s">
        <v>26</v>
      </c>
      <c r="B28" t="s">
        <v>27</v>
      </c>
      <c r="C28" t="s">
        <v>28</v>
      </c>
      <c r="D28" t="s">
        <v>29</v>
      </c>
      <c r="E28">
        <v>36978.1</v>
      </c>
      <c r="F28" s="1">
        <v>42403</v>
      </c>
      <c r="G28" s="1">
        <v>23168</v>
      </c>
      <c r="H28" s="5">
        <f ca="1">INT(YEARFRAC(RH[[#This Row],[Fecha Nacimiento]],TODAY(),1))</f>
        <v>62</v>
      </c>
      <c r="I28" t="s">
        <v>13</v>
      </c>
    </row>
    <row r="29" spans="1:9" x14ac:dyDescent="0.3">
      <c r="A29" t="s">
        <v>30</v>
      </c>
      <c r="B29" t="s">
        <v>31</v>
      </c>
      <c r="C29" t="s">
        <v>32</v>
      </c>
      <c r="D29" t="s">
        <v>12</v>
      </c>
      <c r="E29">
        <v>57720.42</v>
      </c>
      <c r="F29" s="1">
        <v>45268</v>
      </c>
      <c r="G29" s="1">
        <v>23838</v>
      </c>
      <c r="H29" s="5">
        <f ca="1">INT(YEARFRAC(RH[[#This Row],[Fecha Nacimiento]],TODAY(),1))</f>
        <v>60</v>
      </c>
      <c r="I29" t="s">
        <v>22</v>
      </c>
    </row>
    <row r="30" spans="1:9" x14ac:dyDescent="0.3">
      <c r="A30" t="s">
        <v>33</v>
      </c>
      <c r="B30" t="s">
        <v>34</v>
      </c>
      <c r="C30" t="s">
        <v>35</v>
      </c>
      <c r="D30" t="s">
        <v>36</v>
      </c>
      <c r="E30">
        <v>112561.60000000001</v>
      </c>
      <c r="F30" s="1">
        <v>43060</v>
      </c>
      <c r="G30" s="1">
        <v>35069</v>
      </c>
      <c r="H30" s="5">
        <f ca="1">INT(YEARFRAC(RH[[#This Row],[Fecha Nacimiento]],TODAY(),1))</f>
        <v>30</v>
      </c>
      <c r="I30" t="s">
        <v>13</v>
      </c>
    </row>
    <row r="31" spans="1:9" x14ac:dyDescent="0.3">
      <c r="A31" t="s">
        <v>37</v>
      </c>
      <c r="B31" t="s">
        <v>38</v>
      </c>
      <c r="C31" t="s">
        <v>39</v>
      </c>
      <c r="D31" t="s">
        <v>36</v>
      </c>
      <c r="E31">
        <v>35510.46</v>
      </c>
      <c r="F31" s="1">
        <v>43408</v>
      </c>
      <c r="G31" s="1">
        <v>22883</v>
      </c>
      <c r="H31" s="5">
        <f ca="1">INT(YEARFRAC(RH[[#This Row],[Fecha Nacimiento]],TODAY(),1))</f>
        <v>63</v>
      </c>
      <c r="I31" t="s">
        <v>22</v>
      </c>
    </row>
    <row r="32" spans="1:9" x14ac:dyDescent="0.3">
      <c r="A32" t="s">
        <v>40</v>
      </c>
      <c r="B32" t="s">
        <v>41</v>
      </c>
      <c r="C32" t="s">
        <v>42</v>
      </c>
      <c r="D32" t="s">
        <v>17</v>
      </c>
      <c r="E32">
        <v>99314.8</v>
      </c>
      <c r="F32" s="1">
        <v>44268</v>
      </c>
      <c r="G32" s="1">
        <v>37943</v>
      </c>
      <c r="H32" s="5">
        <f ca="1">INT(YEARFRAC(RH[[#This Row],[Fecha Nacimiento]],TODAY(),1))</f>
        <v>22</v>
      </c>
      <c r="I32" t="s">
        <v>13</v>
      </c>
    </row>
    <row r="33" spans="1:9" x14ac:dyDescent="0.3">
      <c r="A33" t="s">
        <v>43</v>
      </c>
      <c r="B33" t="s">
        <v>44</v>
      </c>
      <c r="C33" t="s">
        <v>45</v>
      </c>
      <c r="D33" t="s">
        <v>12</v>
      </c>
      <c r="E33">
        <v>89789.67</v>
      </c>
      <c r="F33" s="1">
        <v>43860</v>
      </c>
      <c r="G33" s="1">
        <v>27398</v>
      </c>
      <c r="H33" s="5">
        <f ca="1">INT(YEARFRAC(RH[[#This Row],[Fecha Nacimiento]],TODAY(),1))</f>
        <v>51</v>
      </c>
      <c r="I33" t="s">
        <v>22</v>
      </c>
    </row>
    <row r="34" spans="1:9" x14ac:dyDescent="0.3">
      <c r="A34" t="s">
        <v>46</v>
      </c>
      <c r="B34" t="s">
        <v>47</v>
      </c>
      <c r="C34" t="s">
        <v>48</v>
      </c>
      <c r="D34" t="s">
        <v>12</v>
      </c>
      <c r="E34">
        <v>81372.45</v>
      </c>
      <c r="F34" s="1">
        <v>42977</v>
      </c>
      <c r="G34" s="1">
        <v>35441</v>
      </c>
      <c r="H34" s="5">
        <f ca="1">INT(YEARFRAC(RH[[#This Row],[Fecha Nacimiento]],TODAY(),1))</f>
        <v>29</v>
      </c>
      <c r="I34" t="s">
        <v>22</v>
      </c>
    </row>
    <row r="35" spans="1:9" x14ac:dyDescent="0.3">
      <c r="A35" t="s">
        <v>49</v>
      </c>
      <c r="B35" t="s">
        <v>50</v>
      </c>
      <c r="C35" t="s">
        <v>51</v>
      </c>
      <c r="D35" t="s">
        <v>52</v>
      </c>
      <c r="E35">
        <v>32181.24</v>
      </c>
      <c r="F35" s="1">
        <v>45164</v>
      </c>
      <c r="G35" s="1">
        <v>32470</v>
      </c>
      <c r="H35" s="5">
        <f ca="1">INT(YEARFRAC(RH[[#This Row],[Fecha Nacimiento]],TODAY(),1))</f>
        <v>37</v>
      </c>
      <c r="I35" t="s">
        <v>13</v>
      </c>
    </row>
    <row r="36" spans="1:9" x14ac:dyDescent="0.3">
      <c r="A36" t="s">
        <v>53</v>
      </c>
      <c r="B36" t="s">
        <v>54</v>
      </c>
      <c r="C36" t="s">
        <v>55</v>
      </c>
      <c r="D36" t="s">
        <v>21</v>
      </c>
      <c r="E36">
        <v>36249.58</v>
      </c>
      <c r="F36" s="1">
        <v>44946</v>
      </c>
      <c r="G36" s="1">
        <v>33497</v>
      </c>
      <c r="H36" s="5">
        <f ca="1">INT(YEARFRAC(RH[[#This Row],[Fecha Nacimiento]],TODAY(),1))</f>
        <v>34</v>
      </c>
      <c r="I36" t="s">
        <v>13</v>
      </c>
    </row>
    <row r="37" spans="1:9" x14ac:dyDescent="0.3">
      <c r="A37" t="s">
        <v>56</v>
      </c>
      <c r="B37" t="s">
        <v>57</v>
      </c>
      <c r="C37" t="s">
        <v>58</v>
      </c>
      <c r="D37" t="s">
        <v>36</v>
      </c>
      <c r="E37">
        <v>49408.98</v>
      </c>
      <c r="F37" s="1">
        <v>42565</v>
      </c>
      <c r="G37" s="1">
        <v>34942</v>
      </c>
      <c r="H37" s="5">
        <f ca="1">INT(YEARFRAC(RH[[#This Row],[Fecha Nacimiento]],TODAY(),1))</f>
        <v>30</v>
      </c>
      <c r="I37" t="s">
        <v>13</v>
      </c>
    </row>
    <row r="38" spans="1:9" x14ac:dyDescent="0.3">
      <c r="A38" t="s">
        <v>59</v>
      </c>
      <c r="B38" t="s">
        <v>60</v>
      </c>
      <c r="C38" t="s">
        <v>61</v>
      </c>
      <c r="D38" t="s">
        <v>36</v>
      </c>
      <c r="E38">
        <v>82031.25</v>
      </c>
      <c r="F38" s="1">
        <v>44555</v>
      </c>
      <c r="G38" s="1">
        <v>23613</v>
      </c>
      <c r="H38" s="5">
        <f ca="1">INT(YEARFRAC(RH[[#This Row],[Fecha Nacimiento]],TODAY(),1))</f>
        <v>61</v>
      </c>
      <c r="I38" t="s">
        <v>22</v>
      </c>
    </row>
    <row r="39" spans="1:9" x14ac:dyDescent="0.3">
      <c r="A39" t="s">
        <v>62</v>
      </c>
      <c r="B39" t="s">
        <v>10</v>
      </c>
      <c r="C39" t="s">
        <v>63</v>
      </c>
      <c r="D39" t="s">
        <v>64</v>
      </c>
      <c r="E39">
        <v>90944.77</v>
      </c>
      <c r="F39" s="1">
        <v>45366</v>
      </c>
      <c r="G39" s="1">
        <v>27353</v>
      </c>
      <c r="H39" s="5">
        <f ca="1">INT(YEARFRAC(RH[[#This Row],[Fecha Nacimiento]],TODAY(),1))</f>
        <v>51</v>
      </c>
      <c r="I39" t="s">
        <v>13</v>
      </c>
    </row>
    <row r="40" spans="1:9" x14ac:dyDescent="0.3">
      <c r="A40" t="s">
        <v>65</v>
      </c>
      <c r="B40" t="s">
        <v>66</v>
      </c>
      <c r="C40" t="s">
        <v>67</v>
      </c>
      <c r="D40" t="s">
        <v>12</v>
      </c>
      <c r="E40">
        <v>86726.82</v>
      </c>
      <c r="F40" s="1">
        <v>42950</v>
      </c>
      <c r="G40" s="1">
        <v>22155</v>
      </c>
      <c r="H40" s="5">
        <f ca="1">INT(YEARFRAC(RH[[#This Row],[Fecha Nacimiento]],TODAY(),1))</f>
        <v>65</v>
      </c>
      <c r="I40" t="s">
        <v>22</v>
      </c>
    </row>
    <row r="41" spans="1:9" x14ac:dyDescent="0.3">
      <c r="A41" t="s">
        <v>68</v>
      </c>
      <c r="B41" t="s">
        <v>69</v>
      </c>
      <c r="C41" t="s">
        <v>70</v>
      </c>
      <c r="D41" t="s">
        <v>17</v>
      </c>
      <c r="E41">
        <v>71375.539999999994</v>
      </c>
      <c r="F41" s="1">
        <v>42219</v>
      </c>
      <c r="G41" s="1">
        <v>23568</v>
      </c>
      <c r="H41" s="5">
        <f ca="1">INT(YEARFRAC(RH[[#This Row],[Fecha Nacimiento]],TODAY(),1))</f>
        <v>61</v>
      </c>
      <c r="I41" t="s">
        <v>13</v>
      </c>
    </row>
    <row r="42" spans="1:9" x14ac:dyDescent="0.3">
      <c r="A42" t="s">
        <v>71</v>
      </c>
      <c r="B42" t="s">
        <v>72</v>
      </c>
      <c r="C42" t="s">
        <v>73</v>
      </c>
      <c r="D42" t="s">
        <v>64</v>
      </c>
      <c r="E42">
        <v>63731.79</v>
      </c>
      <c r="F42" s="1">
        <v>42030</v>
      </c>
      <c r="G42" s="1">
        <v>23330</v>
      </c>
      <c r="H42" s="5">
        <f ca="1">INT(YEARFRAC(RH[[#This Row],[Fecha Nacimiento]],TODAY(),1))</f>
        <v>62</v>
      </c>
      <c r="I42" t="s">
        <v>13</v>
      </c>
    </row>
    <row r="43" spans="1:9" x14ac:dyDescent="0.3">
      <c r="A43" t="s">
        <v>74</v>
      </c>
      <c r="B43" t="s">
        <v>75</v>
      </c>
      <c r="C43" t="s">
        <v>76</v>
      </c>
      <c r="D43" t="s">
        <v>52</v>
      </c>
      <c r="E43">
        <v>84773</v>
      </c>
      <c r="F43" s="1">
        <v>43502</v>
      </c>
      <c r="G43" s="1">
        <v>34305</v>
      </c>
      <c r="H43" s="5">
        <f ca="1">INT(YEARFRAC(RH[[#This Row],[Fecha Nacimiento]],TODAY(),1))</f>
        <v>32</v>
      </c>
      <c r="I43" t="s">
        <v>13</v>
      </c>
    </row>
    <row r="44" spans="1:9" x14ac:dyDescent="0.3">
      <c r="A44" t="s">
        <v>77</v>
      </c>
      <c r="B44" t="s">
        <v>78</v>
      </c>
      <c r="C44" t="s">
        <v>79</v>
      </c>
      <c r="D44" t="s">
        <v>12</v>
      </c>
      <c r="E44">
        <v>38381.72</v>
      </c>
      <c r="F44" s="1">
        <v>44396</v>
      </c>
      <c r="G44" s="1">
        <v>35744</v>
      </c>
      <c r="H44" s="5">
        <f ca="1">INT(YEARFRAC(RH[[#This Row],[Fecha Nacimiento]],TODAY(),1))</f>
        <v>28</v>
      </c>
      <c r="I44" t="s">
        <v>13</v>
      </c>
    </row>
    <row r="45" spans="1:9" x14ac:dyDescent="0.3">
      <c r="A45" t="s">
        <v>80</v>
      </c>
      <c r="B45" t="s">
        <v>81</v>
      </c>
      <c r="C45" t="s">
        <v>82</v>
      </c>
      <c r="D45" t="s">
        <v>12</v>
      </c>
      <c r="E45">
        <v>99369.3</v>
      </c>
      <c r="F45" s="1">
        <v>44010</v>
      </c>
      <c r="G45" s="1">
        <v>23383</v>
      </c>
      <c r="H45" s="5">
        <f ca="1">INT(YEARFRAC(RH[[#This Row],[Fecha Nacimiento]],TODAY(),1))</f>
        <v>62</v>
      </c>
      <c r="I45" t="s">
        <v>22</v>
      </c>
    </row>
    <row r="46" spans="1:9" x14ac:dyDescent="0.3">
      <c r="A46" t="s">
        <v>83</v>
      </c>
      <c r="B46" t="s">
        <v>84</v>
      </c>
      <c r="C46" t="s">
        <v>85</v>
      </c>
      <c r="D46" t="s">
        <v>12</v>
      </c>
      <c r="E46">
        <v>107661.93</v>
      </c>
      <c r="F46" s="1">
        <v>45437</v>
      </c>
      <c r="G46" s="1">
        <v>36998</v>
      </c>
      <c r="H46" s="5">
        <f ca="1">INT(YEARFRAC(RH[[#This Row],[Fecha Nacimiento]],TODAY(),1))</f>
        <v>24</v>
      </c>
      <c r="I46" t="s">
        <v>13</v>
      </c>
    </row>
    <row r="47" spans="1:9" x14ac:dyDescent="0.3">
      <c r="A47" t="s">
        <v>86</v>
      </c>
      <c r="B47" t="s">
        <v>87</v>
      </c>
      <c r="C47" t="s">
        <v>88</v>
      </c>
      <c r="D47" t="s">
        <v>52</v>
      </c>
      <c r="E47">
        <v>62688.57</v>
      </c>
      <c r="F47" s="1">
        <v>41890</v>
      </c>
      <c r="G47" s="1">
        <v>28072</v>
      </c>
      <c r="H47" s="5">
        <f ca="1">INT(YEARFRAC(RH[[#This Row],[Fecha Nacimiento]],TODAY(),1))</f>
        <v>49</v>
      </c>
      <c r="I47" t="s">
        <v>13</v>
      </c>
    </row>
    <row r="48" spans="1:9" x14ac:dyDescent="0.3">
      <c r="A48" t="s">
        <v>89</v>
      </c>
      <c r="B48" t="s">
        <v>90</v>
      </c>
      <c r="C48" t="s">
        <v>91</v>
      </c>
      <c r="D48" t="s">
        <v>52</v>
      </c>
      <c r="E48">
        <v>50485.67</v>
      </c>
      <c r="F48" s="1">
        <v>42849</v>
      </c>
      <c r="G48" s="1">
        <v>29601</v>
      </c>
      <c r="H48" s="5">
        <f ca="1">INT(YEARFRAC(RH[[#This Row],[Fecha Nacimiento]],TODAY(),1))</f>
        <v>45</v>
      </c>
      <c r="I48" t="s">
        <v>13</v>
      </c>
    </row>
    <row r="49" spans="1:9" x14ac:dyDescent="0.3">
      <c r="A49" t="s">
        <v>92</v>
      </c>
      <c r="B49" t="s">
        <v>93</v>
      </c>
      <c r="C49" t="s">
        <v>94</v>
      </c>
      <c r="D49" t="s">
        <v>36</v>
      </c>
      <c r="E49">
        <v>116901.06</v>
      </c>
      <c r="F49" s="1">
        <v>42699</v>
      </c>
      <c r="G49" s="1">
        <v>35023</v>
      </c>
      <c r="H49" s="5">
        <f ca="1">INT(YEARFRAC(RH[[#This Row],[Fecha Nacimiento]],TODAY(),1))</f>
        <v>30</v>
      </c>
      <c r="I49" t="s">
        <v>13</v>
      </c>
    </row>
    <row r="50" spans="1:9" x14ac:dyDescent="0.3">
      <c r="A50" t="s">
        <v>95</v>
      </c>
      <c r="B50" t="s">
        <v>96</v>
      </c>
      <c r="C50" t="s">
        <v>97</v>
      </c>
      <c r="D50" t="s">
        <v>17</v>
      </c>
      <c r="E50">
        <v>37877.160000000003</v>
      </c>
      <c r="F50" s="1">
        <v>41955</v>
      </c>
      <c r="G50" s="1">
        <v>24429</v>
      </c>
      <c r="H50" s="5">
        <f ca="1">INT(YEARFRAC(RH[[#This Row],[Fecha Nacimiento]],TODAY(),1))</f>
        <v>59</v>
      </c>
      <c r="I50" t="s">
        <v>13</v>
      </c>
    </row>
    <row r="51" spans="1:9" x14ac:dyDescent="0.3">
      <c r="A51" t="s">
        <v>98</v>
      </c>
      <c r="B51" t="s">
        <v>99</v>
      </c>
      <c r="C51" t="s">
        <v>100</v>
      </c>
      <c r="D51" t="s">
        <v>21</v>
      </c>
      <c r="E51">
        <v>77741.67</v>
      </c>
      <c r="F51" s="1">
        <v>44220</v>
      </c>
      <c r="G51" s="1">
        <v>23611</v>
      </c>
      <c r="H51" s="5">
        <f ca="1">INT(YEARFRAC(RH[[#This Row],[Fecha Nacimiento]],TODAY(),1))</f>
        <v>61</v>
      </c>
      <c r="I51" t="s">
        <v>22</v>
      </c>
    </row>
    <row r="52" spans="1:9" x14ac:dyDescent="0.3">
      <c r="A52" t="s">
        <v>19</v>
      </c>
      <c r="B52" t="s">
        <v>101</v>
      </c>
      <c r="C52" t="s">
        <v>102</v>
      </c>
      <c r="D52" t="s">
        <v>64</v>
      </c>
      <c r="E52">
        <v>49640.61</v>
      </c>
      <c r="F52" s="1">
        <v>41924</v>
      </c>
      <c r="G52" s="1">
        <v>26172</v>
      </c>
      <c r="H52" s="5">
        <f ca="1">INT(YEARFRAC(RH[[#This Row],[Fecha Nacimiento]],TODAY(),1))</f>
        <v>54</v>
      </c>
      <c r="I52" t="s">
        <v>22</v>
      </c>
    </row>
    <row r="53" spans="1:9" x14ac:dyDescent="0.3">
      <c r="A53" t="s">
        <v>103</v>
      </c>
      <c r="B53" t="s">
        <v>104</v>
      </c>
      <c r="C53" t="s">
        <v>105</v>
      </c>
      <c r="D53" t="s">
        <v>21</v>
      </c>
      <c r="E53">
        <v>86155.53</v>
      </c>
      <c r="F53" s="1">
        <v>43098</v>
      </c>
      <c r="G53" s="1">
        <v>22854</v>
      </c>
      <c r="H53" s="5">
        <f ca="1">INT(YEARFRAC(RH[[#This Row],[Fecha Nacimiento]],TODAY(),1))</f>
        <v>63</v>
      </c>
      <c r="I53" t="s">
        <v>13</v>
      </c>
    </row>
    <row r="54" spans="1:9" x14ac:dyDescent="0.3">
      <c r="A54" t="s">
        <v>71</v>
      </c>
      <c r="B54" t="s">
        <v>106</v>
      </c>
      <c r="C54" t="s">
        <v>107</v>
      </c>
      <c r="D54" t="s">
        <v>21</v>
      </c>
      <c r="E54">
        <v>42872.15</v>
      </c>
      <c r="F54" s="1">
        <v>42420</v>
      </c>
      <c r="G54" s="1">
        <v>27796</v>
      </c>
      <c r="H54" s="5">
        <f ca="1">INT(YEARFRAC(RH[[#This Row],[Fecha Nacimiento]],TODAY(),1))</f>
        <v>49</v>
      </c>
      <c r="I54" t="s">
        <v>13</v>
      </c>
    </row>
    <row r="55" spans="1:9" x14ac:dyDescent="0.3">
      <c r="A55" t="s">
        <v>108</v>
      </c>
      <c r="B55" t="s">
        <v>109</v>
      </c>
      <c r="C55" t="s">
        <v>110</v>
      </c>
      <c r="D55" t="s">
        <v>12</v>
      </c>
      <c r="E55">
        <v>41337.129999999997</v>
      </c>
      <c r="F55" s="1">
        <v>43660</v>
      </c>
      <c r="G55" s="1">
        <v>30042</v>
      </c>
      <c r="H55" s="5">
        <f ca="1">INT(YEARFRAC(RH[[#This Row],[Fecha Nacimiento]],TODAY(),1))</f>
        <v>43</v>
      </c>
      <c r="I55" t="s">
        <v>22</v>
      </c>
    </row>
    <row r="56" spans="1:9" x14ac:dyDescent="0.3">
      <c r="A56" t="s">
        <v>111</v>
      </c>
      <c r="B56" t="s">
        <v>112</v>
      </c>
      <c r="C56" t="s">
        <v>113</v>
      </c>
      <c r="D56" t="s">
        <v>21</v>
      </c>
      <c r="E56">
        <v>81720.179999999993</v>
      </c>
      <c r="F56" s="1">
        <v>44919</v>
      </c>
      <c r="G56" s="1">
        <v>32946</v>
      </c>
      <c r="H56" s="5">
        <f ca="1">INT(YEARFRAC(RH[[#This Row],[Fecha Nacimiento]],TODAY(),1))</f>
        <v>35</v>
      </c>
      <c r="I56" t="s">
        <v>13</v>
      </c>
    </row>
    <row r="57" spans="1:9" x14ac:dyDescent="0.3">
      <c r="A57" t="s">
        <v>114</v>
      </c>
      <c r="B57" t="s">
        <v>94</v>
      </c>
      <c r="C57" t="s">
        <v>75</v>
      </c>
      <c r="D57" t="s">
        <v>36</v>
      </c>
      <c r="E57">
        <v>39870.46</v>
      </c>
      <c r="F57" s="1">
        <v>43028</v>
      </c>
      <c r="G57" s="1">
        <v>27801</v>
      </c>
      <c r="H57" s="5">
        <f ca="1">INT(YEARFRAC(RH[[#This Row],[Fecha Nacimiento]],TODAY(),1))</f>
        <v>49</v>
      </c>
      <c r="I57" t="s">
        <v>13</v>
      </c>
    </row>
    <row r="58" spans="1:9" x14ac:dyDescent="0.3">
      <c r="A58" t="s">
        <v>115</v>
      </c>
      <c r="B58" t="s">
        <v>116</v>
      </c>
      <c r="C58" t="s">
        <v>117</v>
      </c>
      <c r="D58" t="s">
        <v>17</v>
      </c>
      <c r="E58">
        <v>32614.37</v>
      </c>
      <c r="F58" s="1">
        <v>43053</v>
      </c>
      <c r="G58" s="1">
        <v>22778</v>
      </c>
      <c r="H58" s="5">
        <f ca="1">INT(YEARFRAC(RH[[#This Row],[Fecha Nacimiento]],TODAY(),1))</f>
        <v>63</v>
      </c>
      <c r="I58" t="s">
        <v>13</v>
      </c>
    </row>
    <row r="59" spans="1:9" x14ac:dyDescent="0.3">
      <c r="A59" t="s">
        <v>118</v>
      </c>
      <c r="B59" t="s">
        <v>119</v>
      </c>
      <c r="C59" t="s">
        <v>120</v>
      </c>
      <c r="D59" t="s">
        <v>12</v>
      </c>
      <c r="E59">
        <v>96449.06</v>
      </c>
      <c r="F59" s="1">
        <v>43917</v>
      </c>
      <c r="G59" s="1">
        <v>34496</v>
      </c>
      <c r="H59" s="5">
        <f ca="1">INT(YEARFRAC(RH[[#This Row],[Fecha Nacimiento]],TODAY(),1))</f>
        <v>31</v>
      </c>
      <c r="I59" t="s">
        <v>13</v>
      </c>
    </row>
    <row r="60" spans="1:9" x14ac:dyDescent="0.3">
      <c r="A60" t="s">
        <v>121</v>
      </c>
      <c r="B60" t="s">
        <v>122</v>
      </c>
      <c r="C60" t="s">
        <v>123</v>
      </c>
      <c r="D60" t="s">
        <v>52</v>
      </c>
      <c r="E60">
        <v>115128.9</v>
      </c>
      <c r="F60" s="1">
        <v>42876</v>
      </c>
      <c r="G60" s="1">
        <v>21664</v>
      </c>
      <c r="H60" s="5">
        <f ca="1">INT(YEARFRAC(RH[[#This Row],[Fecha Nacimiento]],TODAY(),1))</f>
        <v>66</v>
      </c>
      <c r="I60" t="s">
        <v>13</v>
      </c>
    </row>
    <row r="61" spans="1:9" x14ac:dyDescent="0.3">
      <c r="A61" t="s">
        <v>124</v>
      </c>
      <c r="B61" t="s">
        <v>125</v>
      </c>
      <c r="C61" t="s">
        <v>126</v>
      </c>
      <c r="D61" t="s">
        <v>29</v>
      </c>
      <c r="E61">
        <v>52162.47</v>
      </c>
      <c r="F61" s="1">
        <v>43725</v>
      </c>
      <c r="G61" s="1">
        <v>37465</v>
      </c>
      <c r="H61" s="5">
        <f ca="1">INT(YEARFRAC(RH[[#This Row],[Fecha Nacimiento]],TODAY(),1))</f>
        <v>23</v>
      </c>
      <c r="I61" t="s">
        <v>22</v>
      </c>
    </row>
    <row r="62" spans="1:9" x14ac:dyDescent="0.3">
      <c r="A62" t="s">
        <v>127</v>
      </c>
      <c r="B62" t="s">
        <v>128</v>
      </c>
      <c r="C62" t="s">
        <v>25</v>
      </c>
      <c r="D62" t="s">
        <v>17</v>
      </c>
      <c r="E62">
        <v>43199.41</v>
      </c>
      <c r="F62" s="1">
        <v>42743</v>
      </c>
      <c r="G62" s="1">
        <v>35269</v>
      </c>
      <c r="H62" s="5">
        <f ca="1">INT(YEARFRAC(RH[[#This Row],[Fecha Nacimiento]],TODAY(),1))</f>
        <v>29</v>
      </c>
      <c r="I62" t="s">
        <v>22</v>
      </c>
    </row>
    <row r="63" spans="1:9" x14ac:dyDescent="0.3">
      <c r="A63" t="s">
        <v>129</v>
      </c>
      <c r="B63" t="s">
        <v>130</v>
      </c>
      <c r="C63" t="s">
        <v>131</v>
      </c>
      <c r="D63" t="s">
        <v>21</v>
      </c>
      <c r="E63">
        <v>90476.72</v>
      </c>
      <c r="F63" s="1">
        <v>42281</v>
      </c>
      <c r="G63" s="1">
        <v>29685</v>
      </c>
      <c r="H63" s="5">
        <f ca="1">INT(YEARFRAC(RH[[#This Row],[Fecha Nacimiento]],TODAY(),1))</f>
        <v>44</v>
      </c>
      <c r="I63" t="s">
        <v>13</v>
      </c>
    </row>
    <row r="64" spans="1:9" x14ac:dyDescent="0.3">
      <c r="A64" t="s">
        <v>132</v>
      </c>
      <c r="B64" t="s">
        <v>133</v>
      </c>
      <c r="C64" t="s">
        <v>134</v>
      </c>
      <c r="D64" t="s">
        <v>29</v>
      </c>
      <c r="E64">
        <v>75868.84</v>
      </c>
      <c r="F64" s="1">
        <v>42627</v>
      </c>
      <c r="G64" s="1">
        <v>27304</v>
      </c>
      <c r="H64" s="5">
        <f ca="1">INT(YEARFRAC(RH[[#This Row],[Fecha Nacimiento]],TODAY(),1))</f>
        <v>51</v>
      </c>
      <c r="I64" t="s">
        <v>22</v>
      </c>
    </row>
    <row r="65" spans="1:9" x14ac:dyDescent="0.3">
      <c r="A65" t="s">
        <v>135</v>
      </c>
      <c r="B65" t="s">
        <v>136</v>
      </c>
      <c r="C65" t="s">
        <v>137</v>
      </c>
      <c r="D65" t="s">
        <v>29</v>
      </c>
      <c r="E65">
        <v>31169.9</v>
      </c>
      <c r="F65" s="1">
        <v>43578</v>
      </c>
      <c r="G65" s="1">
        <v>38073</v>
      </c>
      <c r="H65" s="5">
        <f ca="1">INT(YEARFRAC(RH[[#This Row],[Fecha Nacimiento]],TODAY(),1))</f>
        <v>21</v>
      </c>
      <c r="I65" t="s">
        <v>13</v>
      </c>
    </row>
    <row r="66" spans="1:9" x14ac:dyDescent="0.3">
      <c r="A66" t="s">
        <v>115</v>
      </c>
      <c r="B66" t="s">
        <v>138</v>
      </c>
      <c r="C66" t="s">
        <v>28</v>
      </c>
      <c r="D66" t="s">
        <v>64</v>
      </c>
      <c r="E66">
        <v>93827.3</v>
      </c>
      <c r="F66" s="1">
        <v>44201</v>
      </c>
      <c r="G66" s="1">
        <v>31636</v>
      </c>
      <c r="H66" s="5">
        <f ca="1">INT(YEARFRAC(RH[[#This Row],[Fecha Nacimiento]],TODAY(),1))</f>
        <v>39</v>
      </c>
      <c r="I66" t="s">
        <v>13</v>
      </c>
    </row>
    <row r="67" spans="1:9" x14ac:dyDescent="0.3">
      <c r="A67" t="s">
        <v>139</v>
      </c>
      <c r="B67" t="s">
        <v>140</v>
      </c>
      <c r="C67" t="s">
        <v>141</v>
      </c>
      <c r="D67" t="s">
        <v>29</v>
      </c>
      <c r="E67">
        <v>88571.16</v>
      </c>
      <c r="F67" s="1">
        <v>42984</v>
      </c>
      <c r="G67" s="1">
        <v>35046</v>
      </c>
      <c r="H67" s="5">
        <f ca="1">INT(YEARFRAC(RH[[#This Row],[Fecha Nacimiento]],TODAY(),1))</f>
        <v>30</v>
      </c>
      <c r="I67" t="s">
        <v>22</v>
      </c>
    </row>
    <row r="68" spans="1:9" x14ac:dyDescent="0.3">
      <c r="A68" t="s">
        <v>142</v>
      </c>
      <c r="B68" t="s">
        <v>143</v>
      </c>
      <c r="C68" t="s">
        <v>144</v>
      </c>
      <c r="D68" t="s">
        <v>64</v>
      </c>
      <c r="E68">
        <v>74580.92</v>
      </c>
      <c r="F68" s="1">
        <v>43176</v>
      </c>
      <c r="G68" s="1">
        <v>37178</v>
      </c>
      <c r="H68" s="5">
        <f ca="1">INT(YEARFRAC(RH[[#This Row],[Fecha Nacimiento]],TODAY(),1))</f>
        <v>24</v>
      </c>
      <c r="I68" t="s">
        <v>22</v>
      </c>
    </row>
    <row r="69" spans="1:9" x14ac:dyDescent="0.3">
      <c r="A69" t="s">
        <v>145</v>
      </c>
      <c r="B69" t="s">
        <v>146</v>
      </c>
      <c r="C69" t="s">
        <v>147</v>
      </c>
      <c r="D69" t="s">
        <v>36</v>
      </c>
      <c r="E69">
        <v>91435.7</v>
      </c>
      <c r="F69" s="1">
        <v>41986</v>
      </c>
      <c r="G69" s="1">
        <v>31334</v>
      </c>
      <c r="H69" s="5">
        <f ca="1">INT(YEARFRAC(RH[[#This Row],[Fecha Nacimiento]],TODAY(),1))</f>
        <v>40</v>
      </c>
      <c r="I69" t="s">
        <v>22</v>
      </c>
    </row>
    <row r="70" spans="1:9" x14ac:dyDescent="0.3">
      <c r="A70" t="s">
        <v>148</v>
      </c>
      <c r="B70" t="s">
        <v>149</v>
      </c>
      <c r="C70" t="s">
        <v>150</v>
      </c>
      <c r="D70" t="s">
        <v>29</v>
      </c>
      <c r="E70">
        <v>104031.16</v>
      </c>
      <c r="F70" s="1">
        <v>42819</v>
      </c>
      <c r="G70" s="1">
        <v>32405</v>
      </c>
      <c r="H70" s="5">
        <f ca="1">INT(YEARFRAC(RH[[#This Row],[Fecha Nacimiento]],TODAY(),1))</f>
        <v>37</v>
      </c>
      <c r="I70" t="s">
        <v>22</v>
      </c>
    </row>
    <row r="71" spans="1:9" x14ac:dyDescent="0.3">
      <c r="A71" t="s">
        <v>151</v>
      </c>
      <c r="B71" t="s">
        <v>152</v>
      </c>
      <c r="C71" t="s">
        <v>153</v>
      </c>
      <c r="D71" t="s">
        <v>12</v>
      </c>
      <c r="E71">
        <v>64557.91</v>
      </c>
      <c r="F71" s="1">
        <v>44563</v>
      </c>
      <c r="G71" s="1">
        <v>34448</v>
      </c>
      <c r="H71" s="5">
        <f ca="1">INT(YEARFRAC(RH[[#This Row],[Fecha Nacimiento]],TODAY(),1))</f>
        <v>31</v>
      </c>
      <c r="I71" t="s">
        <v>22</v>
      </c>
    </row>
    <row r="72" spans="1:9" x14ac:dyDescent="0.3">
      <c r="A72" t="s">
        <v>154</v>
      </c>
      <c r="B72" t="s">
        <v>155</v>
      </c>
      <c r="C72" t="s">
        <v>156</v>
      </c>
      <c r="D72" t="s">
        <v>17</v>
      </c>
      <c r="E72">
        <v>52429.59</v>
      </c>
      <c r="F72" s="1">
        <v>42031</v>
      </c>
      <c r="G72" s="1">
        <v>33628</v>
      </c>
      <c r="H72" s="5">
        <f ca="1">INT(YEARFRAC(RH[[#This Row],[Fecha Nacimiento]],TODAY(),1))</f>
        <v>33</v>
      </c>
      <c r="I72" t="s">
        <v>22</v>
      </c>
    </row>
    <row r="73" spans="1:9" x14ac:dyDescent="0.3">
      <c r="A73" t="s">
        <v>83</v>
      </c>
      <c r="B73" t="s">
        <v>157</v>
      </c>
      <c r="C73" t="s">
        <v>158</v>
      </c>
      <c r="D73" t="s">
        <v>17</v>
      </c>
      <c r="E73">
        <v>34248.31</v>
      </c>
      <c r="F73" s="1">
        <v>42099</v>
      </c>
      <c r="G73" s="1">
        <v>31654</v>
      </c>
      <c r="H73" s="5">
        <f ca="1">INT(YEARFRAC(RH[[#This Row],[Fecha Nacimiento]],TODAY(),1))</f>
        <v>39</v>
      </c>
      <c r="I73" t="s">
        <v>13</v>
      </c>
    </row>
  </sheetData>
  <mergeCells count="1">
    <mergeCell ref="B21:G2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D1DB-001F-43B0-AAB9-53CB7CB9DADE}">
  <sheetPr>
    <tabColor rgb="FFFFFF00"/>
  </sheetPr>
  <dimension ref="A6:D41"/>
  <sheetViews>
    <sheetView showGridLines="0" tabSelected="1" workbookViewId="0">
      <selection activeCell="A93" sqref="A93"/>
    </sheetView>
  </sheetViews>
  <sheetFormatPr baseColWidth="10" defaultRowHeight="14.4" x14ac:dyDescent="0.3"/>
  <cols>
    <col min="2" max="2" width="11.5546875" bestFit="1" customWidth="1"/>
    <col min="3" max="3" width="8.77734375" bestFit="1" customWidth="1"/>
    <col min="4" max="4" width="14.33203125" bestFit="1" customWidth="1"/>
  </cols>
  <sheetData>
    <row r="6" spans="2:4" x14ac:dyDescent="0.3">
      <c r="B6" s="17" t="s">
        <v>4</v>
      </c>
      <c r="C6" s="9" t="s">
        <v>208</v>
      </c>
      <c r="D6" s="9" t="s">
        <v>209</v>
      </c>
    </row>
    <row r="7" spans="2:4" x14ac:dyDescent="0.3">
      <c r="B7" s="8" t="s">
        <v>29</v>
      </c>
      <c r="C7" s="22">
        <v>2</v>
      </c>
      <c r="D7" s="18">
        <v>68148</v>
      </c>
    </row>
    <row r="8" spans="2:4" x14ac:dyDescent="0.3">
      <c r="B8" s="8" t="s">
        <v>199</v>
      </c>
      <c r="C8" s="22">
        <v>2</v>
      </c>
      <c r="D8" s="18">
        <v>68148</v>
      </c>
    </row>
    <row r="21" spans="2:3" x14ac:dyDescent="0.3">
      <c r="B21" s="17" t="s">
        <v>206</v>
      </c>
      <c r="C21" s="9" t="s">
        <v>210</v>
      </c>
    </row>
    <row r="22" spans="2:3" x14ac:dyDescent="0.3">
      <c r="B22" s="15" t="s">
        <v>204</v>
      </c>
      <c r="C22" s="22">
        <v>1</v>
      </c>
    </row>
    <row r="23" spans="2:3" x14ac:dyDescent="0.3">
      <c r="B23" s="15" t="s">
        <v>205</v>
      </c>
      <c r="C23" s="22">
        <v>1</v>
      </c>
    </row>
    <row r="24" spans="2:3" x14ac:dyDescent="0.3">
      <c r="B24" s="15" t="s">
        <v>199</v>
      </c>
      <c r="C24" s="22">
        <v>2</v>
      </c>
    </row>
    <row r="34" spans="1:3" x14ac:dyDescent="0.3">
      <c r="B34" s="17" t="s">
        <v>207</v>
      </c>
      <c r="C34" s="9" t="s">
        <v>211</v>
      </c>
    </row>
    <row r="35" spans="1:3" x14ac:dyDescent="0.3">
      <c r="B35" s="8" t="s">
        <v>13</v>
      </c>
      <c r="C35" s="16">
        <v>1</v>
      </c>
    </row>
    <row r="36" spans="1:3" x14ac:dyDescent="0.3">
      <c r="B36" s="8" t="s">
        <v>199</v>
      </c>
      <c r="C36" s="16">
        <v>1</v>
      </c>
    </row>
    <row r="40" spans="1:3" x14ac:dyDescent="0.3">
      <c r="A40" s="19" t="e">
        <f>GETPIVOTDATA("Género",$B$34,"Género","Masculino")</f>
        <v>#REF!</v>
      </c>
    </row>
    <row r="41" spans="1:3" x14ac:dyDescent="0.3">
      <c r="A41" s="19">
        <f>GETPIVOTDATA("Género",$B$34,"Género","Femenino")</f>
        <v>1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</vt:lpstr>
      <vt:lpstr>Precios</vt:lpstr>
      <vt:lpstr>INFORME_EJER1</vt:lpstr>
      <vt:lpstr>RH</vt:lpstr>
      <vt:lpstr>INFOME_EJER2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Ramirez</dc:creator>
  <cp:lastModifiedBy>Nik Denilson Ramirez Bautista</cp:lastModifiedBy>
  <dcterms:created xsi:type="dcterms:W3CDTF">2024-05-31T16:18:18Z</dcterms:created>
  <dcterms:modified xsi:type="dcterms:W3CDTF">2026-01-23T01:33:09Z</dcterms:modified>
</cp:coreProperties>
</file>