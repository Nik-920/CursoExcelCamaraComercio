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84214E7D-8F9E-4361-A5ED-3E4620D2CEAE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<sst xmlns="http://schemas.openxmlformats.org/spreadsheetml/2006/main" count="482" uniqueCount="215">
  <si>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</si>
  <si>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</si>
  <si>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</si>
  <si>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</si>
  <si>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</si>
  <si>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</si>
  <si>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</si>
  <si>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</si>
  <si>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</si>
  <si>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</si>
  <si>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</si>
  <si>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</si>
  <si>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</si>
  <si>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</si>
  <si>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</si>
  <si>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</si>
  <si>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</si>
  <si>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</si>
  <si>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</si>
  <si>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</si>
  <si>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</si>
  <si>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</si>
  <si>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</si>
  <si>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</si>
  <si>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</si>
  <si>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</si>
  <si>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</si>
  <si>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</si>
  <si>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</si>
  <si>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</si>
  <si>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</si>
  <si>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</si>
  <si>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</si>
  <si>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</si>
  <si>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</si>
  <si>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</si>
  <si>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</si>
  <si>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</si>
  <si>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</si>
  <si>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</si>
  <si>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</si>
  <si>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</si>
  <si>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</si>
  <si>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</si>
  <si>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</si>
  <si>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</si>
  <si>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</si>
  <si>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</si>
  <si>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</si>
  <si>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</si>
  <si>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</si>
  <si>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</si>
  <si>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</si>
  <si>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</si>
  <si>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</si>
  <si>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</si>
  <si>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</si>
  <si>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</si>
  <si>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</si>
  <si>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</si>
  <si>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</si>
  <si>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</si>
  <si>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</si>
  <si>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</si>
  <si>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</si>
  <si>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</si>
  <si>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</si>
  <si>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</si>
  <si>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</si>
  <si>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</si>
  <si>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</si>
  <si>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</si>
  <si>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</si>
  <si>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</si>
  <si>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</si>
  <si>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</si>
  <si>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</si>
  <si>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</si>
  <si>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</si>
  <si>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</si>
  <si>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</si>
  <si>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</si>
  <si>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</si>
  <si>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</si>
  <si>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</si>
  <si>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</si>
  <si>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</si>
  <si>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</si>
  <si>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</si>
  <si>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</si>
  <si>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</si>
  <si>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</si>
  <si>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</si>
  <si>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</si>
  <si>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</si>
  <si>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</si>
  <si>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</si>
  <si>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</si>
  <si>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</si>
  <si>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</si>
  <si>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</si>
  <si>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</si>
  <si>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</si>
  <si>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</si>
  <si>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</si>
  <si>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</si>
  <si>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</si>
  <si>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</si>
  <si>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</si>
  <si>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</si>
  <si>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</si>
  <si>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</si>
  <si>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</si>
  <si>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</si>
  <si>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</si>
  <si>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</si>
  <si>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</si>
  <si>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</si>
  <si>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</si>
  <si>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</si>
  <si>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</si>
  <si>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</si>
  <si>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</si>
  <si>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</si>
  <si>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</si>
  <si>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</si>
  <si>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</si>
  <si>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</si>
  <si>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</si>
  <si>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</si>
  <si>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</si>
  <si>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</si>
  <si>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</si>
  <si>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</si>
  <si>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</si>
  <si>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</si>
  <si>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</si>
  <si>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</si>
  <si>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</si>
  <si>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</si>
  <si>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</si>
  <si>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</si>
  <si>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</si>
  <si>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</si>
  <si>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</si>
  <si>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</si>
  <si>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</si>
  <si>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</si>
  <si>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</si>
  <si>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</si>
  <si>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</si>
  <si>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</si>
  <si>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</si>
  <si>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</si>
  <si>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</si>
  <si>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</si>
  <si>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</si>
  <si>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</si>
  <si>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</si>
  <si>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</si>
  <si>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</si>
  <si>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</si>
  <si>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</si>
  <si>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</si>
  <si>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</si>
  <si>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</si>
  <si>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</si>
  <si>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</si>
  <si>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</si>
  <si>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</si>
  <si>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</si>
  <si>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</si>
  <si>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</si>
  <si>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</si>
  <si>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</si>
  <si>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</si>
  <si>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</si>
  <si>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</si>
  <si>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</si>
  <si>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</si>
  <si>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</si>
  <si>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</si>
  <si>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</si>
  <si>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</si>
  <si>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</si>
  <si>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</si>
  <si>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</si>
  <si>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</si>
  <si>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</si>
  <si>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</si>
  <si>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</si>
  <si>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</si>
  <si>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</si>
  <si>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</si>
  <si>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</si>
  <si>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</si>
  <si>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</si>
  <si>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</si>
  <si>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</si>
  <si>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</si>
  <si>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</si>
  <si>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</si>
  <si>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</si>
  <si>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</si>
  <si>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</si>
  <si>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30-39</t>
  </si>
  <si>
    <t>40-49</t>
  </si>
  <si>
    <t>50-59</t>
  </si>
  <si>
    <t>60-69</t>
  </si>
  <si>
    <t>Edad</t>
  </si>
  <si>
    <t>Genero</t>
  </si>
  <si>
    <t>Cantidad Personal</t>
  </si>
  <si>
    <t>Salario Anual</t>
  </si>
  <si>
    <t>Cantidad Empleados</t>
  </si>
  <si>
    <t>Recuento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</si>
</sst>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81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Smartwatches</c:v>
                </c:pt>
                <c:pt idx="1">
                  <c:v>Headphones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23321</c:v>
                </c:pt>
                <c:pt idx="1">
                  <c:v>48429</c:v>
                </c:pt>
                <c:pt idx="2">
                  <c:v>65359</c:v>
                </c:pt>
                <c:pt idx="3">
                  <c:v>77005</c:v>
                </c:pt>
                <c:pt idx="4">
                  <c:v>162149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dLbl>
              <c:idx val="3"/>
              <c:layout>
                <c:manualLayout>
                  <c:x val="0.43378995433789952"/>
                  <c:y val="0"/>
                </c:manualLayout>
              </c:layout>
              <c:spPr>
                <a:noFill/>
                <a:ln>
                  <a:noFill/>
                </a:ln>
                <a:effectLst>
                  <a:outerShdw sx="3000" sy="3000" algn="ctr" rotWithShape="0">
                    <a:srgbClr val="000000"/>
                  </a:outerShdw>
                </a:effectLst>
              </c:spPr>
              <c:txPr>
                <a:bodyPr rot="0" spcFirstLastPara="1" vertOverflow="ellipsis" vert="horz" wrap="none" lIns="28800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  <c:ext xmlns:c16="http://schemas.microsoft.com/office/drawing/2014/chart" uri="{C3380CC4-5D6E-409C-BE32-E72D297353CC}">
                  <c16:uniqueId val="{00000003-F0FC-4CBE-AF60-241890D49B7D}"/>
                </c:ext>
              </c:extLst>
            </c:dLbl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INFOME_EJER2!$B$7:$B$14</c:f>
              <c:strCache>
                <c:ptCount val="7"/>
                <c:pt idx="0">
                  <c:v>IT</c:v>
                </c:pt>
                <c:pt idx="1">
                  <c:v>Finanzas</c:v>
                </c:pt>
                <c:pt idx="2">
                  <c:v>Ventas</c:v>
                </c:pt>
                <c:pt idx="3">
                  <c:v>Mercadotecnia</c:v>
                </c:pt>
                <c:pt idx="4">
                  <c:v>Administrativo</c:v>
                </c:pt>
                <c:pt idx="5">
                  <c:v>Operación</c:v>
                </c:pt>
                <c:pt idx="6">
                  <c:v>RH</c:v>
                </c:pt>
              </c:strCache>
            </c:strRef>
          </c:cat>
          <c:val>
            <c:numRef>
              <c:f>INFOME_EJER2!$C$7:$C$14</c:f>
              <c:numCache>
                <c:formatCode>General</c:formatCode>
                <c:ptCount val="7"/>
                <c:pt idx="0">
                  <c:v>11</c:v>
                </c:pt>
                <c:pt idx="1">
                  <c:v>9</c:v>
                </c:pt>
                <c:pt idx="2">
                  <c:v>7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INFOME_EJER2!$B$7:$B$14</c:f>
              <c:strCache>
                <c:ptCount val="7"/>
                <c:pt idx="0">
                  <c:v>IT</c:v>
                </c:pt>
                <c:pt idx="1">
                  <c:v>Finanzas</c:v>
                </c:pt>
                <c:pt idx="2">
                  <c:v>Ventas</c:v>
                </c:pt>
                <c:pt idx="3">
                  <c:v>Mercadotecnia</c:v>
                </c:pt>
                <c:pt idx="4">
                  <c:v>Administrativo</c:v>
                </c:pt>
                <c:pt idx="5">
                  <c:v>Operación</c:v>
                </c:pt>
                <c:pt idx="6">
                  <c:v>RH</c:v>
                </c:pt>
              </c:strCache>
            </c:strRef>
          </c:cat>
          <c:val>
            <c:numRef>
              <c:f>INFOME_EJER2!$D$7:$D$14</c:f>
              <c:numCache>
                <c:formatCode>_-[$USD]\ * #,##0.00_-;\-[$USD]\ * #,##0.00_-;_-[$USD]\ * "-"??_-;_-@_-</c:formatCode>
                <c:ptCount val="7"/>
                <c:pt idx="0">
                  <c:v>852310.05999999994</c:v>
                </c:pt>
                <c:pt idx="1">
                  <c:v>514771.72999999992</c:v>
                </c:pt>
                <c:pt idx="2">
                  <c:v>527719.51</c:v>
                </c:pt>
                <c:pt idx="3">
                  <c:v>502862.22000000009</c:v>
                </c:pt>
                <c:pt idx="4">
                  <c:v>388781.63</c:v>
                </c:pt>
                <c:pt idx="5">
                  <c:v>345257.38</c:v>
                </c:pt>
                <c:pt idx="6">
                  <c:v>372725.38999999996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INFOME_EJER2!$B$22:$B$27</c:f>
              <c:strCache>
                <c:ptCount val="5"/>
                <c:pt idx="0">
                  <c:v>50-59</c:v>
                </c:pt>
                <c:pt idx="1">
                  <c:v>40-49</c:v>
                </c:pt>
                <c:pt idx="2">
                  <c:v>20-29</c:v>
                </c:pt>
                <c:pt idx="3">
                  <c:v>60-69</c:v>
                </c:pt>
                <c:pt idx="4">
                  <c:v>30-39</c:v>
                </c:pt>
              </c:strCache>
            </c:strRef>
          </c:cat>
          <c:val>
            <c:numRef>
              <c:f>INFOME_EJER2!$C$22:$C$27</c:f>
              <c:numCache>
                <c:formatCode>General</c:formatCode>
                <c:ptCount val="5"/>
                <c:pt idx="0">
                  <c:v>5</c:v>
                </c:pt>
                <c:pt idx="1">
                  <c:v>9</c:v>
                </c:pt>
                <c:pt idx="2">
                  <c:v>10</c:v>
                </c:pt>
                <c:pt idx="3">
                  <c:v>12</c:v>
                </c:pt>
                <c:pt idx="4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Masculino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0.57999999999999996</c:v>
                </c:pt>
                <c:pt idx="1">
                  <c:v>0.42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0.57999999999999996</c:v>
                </c:pt>
                <c:pt idx="1">
                  <c:v>0.42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1242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58.00%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91440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42.00%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70">
      <pivotArea collapsedLevelsAreSubtotals="1" fieldPosition="0">
        <references count="1">
          <reference field="5" count="0"/>
        </references>
      </pivotArea>
    </format>
    <format dxfId="69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 v="3"/>
    </i>
    <i>
      <x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71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7" firstHeaderRow="1" firstDataRow="1" firstDataCol="1"/>
  <pivotFields count="9">
    <pivotField showAll="0"/>
    <pivotField showAll="0"/>
    <pivotField showAll="0"/>
    <pivotField showAll="0">
      <items count="8">
        <item x="3"/>
        <item x="1"/>
        <item x="0"/>
        <item x="2"/>
        <item x="5"/>
        <item x="6"/>
        <item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x="1"/>
        <item t="default"/>
      </items>
    </pivotField>
  </pivotFields>
  <rowFields count="1">
    <field x="8"/>
  </rowFields>
  <rowItems count="3">
    <i>
      <x/>
    </i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57">
      <pivotArea field="8" type="button" dataOnly="0" labelOnly="1" outline="0" axis="axisRow" fieldPosition="0"/>
    </format>
    <format dxfId="56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7" firstHeaderRow="1" firstDataRow="1" firstDataCol="1"/>
  <pivotFields count="9">
    <pivotField dataField="1" showAll="0"/>
    <pivotField showAll="0"/>
    <pivotField showAll="0"/>
    <pivotField showAll="0">
      <items count="8">
        <item x="3"/>
        <item x="1"/>
        <item x="0"/>
        <item x="2"/>
        <item x="5"/>
        <item x="6"/>
        <item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x="1"/>
        <item t="default"/>
      </items>
    </pivotField>
  </pivotFields>
  <rowFields count="1">
    <field x="7"/>
  </rowFields>
  <rowItems count="6">
    <i>
      <x v="4"/>
    </i>
    <i>
      <x v="3"/>
    </i>
    <i>
      <x v="1"/>
    </i>
    <i>
      <x v="5"/>
    </i>
    <i>
      <x v="2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59">
      <pivotArea field="7" type="button" dataOnly="0" labelOnly="1" outline="0" axis="axisRow" fieldPosition="0"/>
    </format>
    <format dxfId="58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14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x="3"/>
        <item x="1"/>
        <item x="0"/>
        <item x="2"/>
        <item x="5"/>
        <item x="6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x="1"/>
        <item t="default"/>
      </items>
    </pivotField>
  </pivotFields>
  <rowFields count="1">
    <field x="3"/>
  </rowFields>
  <rowItems count="8">
    <i>
      <x v="2"/>
    </i>
    <i>
      <x v="1"/>
    </i>
    <i>
      <x v="6"/>
    </i>
    <i>
      <x v="3"/>
    </i>
    <i>
      <x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62">
      <pivotArea field="3" type="button" dataOnly="0" labelOnly="1" outline="0" axis="axisRow" fieldPosition="0"/>
    </format>
    <format dxfId="6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0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 s="1"/>
        <i x="1" s="1"/>
        <i x="0" s="1"/>
        <i x="2" s="1"/>
        <i x="5" s="1"/>
        <i x="6" s="1"/>
        <i x="4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80"/>
    <tableColumn id="2" xr3:uid="{CAEA63EE-5517-4029-80DE-DE7ABE2E5FE3}" name="Fecha_Venta" dataDxfId="79"/>
    <tableColumn id="9" xr3:uid="{2C9B66F8-7131-4DF0-9EB5-8DA6CE795516}" name="AÑO" dataDxfId="78">
      <calculatedColumnFormula>YEAR(ventas[[#This Row],[Fecha_Venta]])</calculatedColumnFormula>
    </tableColumn>
    <tableColumn id="10" xr3:uid="{5CF4337F-83E1-4D83-A9C4-E333AA16FA95}" name="MES" dataDxfId="77">
      <calculatedColumnFormula>MONTH(ventas[[#This Row],[Fecha_Venta]])</calculatedColumnFormula>
    </tableColumn>
    <tableColumn id="3" xr3:uid="{72DA8C50-CDA6-43E5-9431-CA09B2A1FCBE}" name="Categoria" dataDxfId="76"/>
    <tableColumn id="4" xr3:uid="{F2936085-E31D-4D2E-AEFB-560F58DED709}" name="Nombre Producto" dataDxfId="75"/>
    <tableColumn id="5" xr3:uid="{52293038-8FA6-493E-80D2-45B3340AF0BE}" name="Unidades Vendidas" dataDxfId="74"/>
    <tableColumn id="7" xr3:uid="{6EAB6895-F3DA-4781-8FF6-2EA5365F5DE0}" name="Precio" dataDxfId="73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72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68" headerRowBorderDxfId="67" tableBorderDxfId="66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65"/>
    <tableColumn id="7" xr3:uid="{479B983A-A0DC-4CB3-83F9-1DA14406634A}" name="Fecha Nacimiento" dataDxfId="64"/>
    <tableColumn id="9" xr3:uid="{40E590F7-C3A8-4023-B335-4C8D470BAB64}" name="EdadTrabajador" dataDxfId="63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workbookViewId="0">
      <selection activeCell="N16" sqref="N16"/>
    </sheetView>
  </sheetViews>
  <sheetFormatPr baseColWidth="10" defaultRowHeight="14.4" x14ac:dyDescent="0.3"/>
  <cols>
    <col min="2" max="2" width="21.88671875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171</v>
      </c>
      <c r="C6" s="11">
        <v>23321</v>
      </c>
    </row>
    <row r="7" spans="2:3" x14ac:dyDescent="0.3">
      <c r="B7" s="10" t="s">
        <v>176</v>
      </c>
      <c r="C7" s="11">
        <v>48429</v>
      </c>
    </row>
    <row r="8" spans="2:3" x14ac:dyDescent="0.3">
      <c r="B8" s="10" t="s">
        <v>167</v>
      </c>
      <c r="C8" s="11">
        <v>65359</v>
      </c>
    </row>
    <row r="9" spans="2:3" x14ac:dyDescent="0.3">
      <c r="B9" s="10" t="s">
        <v>180</v>
      </c>
      <c r="C9" s="11">
        <v>77005</v>
      </c>
    </row>
    <row r="10" spans="2:3" x14ac:dyDescent="0.3">
      <c r="B10" s="10" t="s">
        <v>165</v>
      </c>
      <c r="C10" s="11">
        <v>162149</v>
      </c>
    </row>
    <row r="11" spans="2:3" x14ac:dyDescent="0.3">
      <c r="B11" s="8" t="s">
        <v>199</v>
      </c>
      <c r="C11" s="3">
        <v>376263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49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29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50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28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61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44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33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topLeftCell="A37" workbookViewId="0">
      <selection activeCell="O17" sqref="O17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7" bestFit="1" customWidth="1"/>
  </cols>
  <sheetData>
    <row r="6" spans="2:4" x14ac:dyDescent="0.3">
      <c r="B6" s="17" t="s">
        <v>4</v>
      </c>
      <c r="C6" s="9" t="s">
        <v>211</v>
      </c>
      <c r="D6" s="9" t="s">
        <v>212</v>
      </c>
    </row>
    <row r="7" spans="2:4" x14ac:dyDescent="0.3">
      <c r="B7" s="8" t="s">
        <v>12</v>
      </c>
      <c r="C7" s="22">
        <v>11</v>
      </c>
      <c r="D7" s="18">
        <v>852310.05999999994</v>
      </c>
    </row>
    <row r="8" spans="2:4" x14ac:dyDescent="0.3">
      <c r="B8" s="8" t="s">
        <v>17</v>
      </c>
      <c r="C8" s="22">
        <v>9</v>
      </c>
      <c r="D8" s="18">
        <v>514771.72999999992</v>
      </c>
    </row>
    <row r="9" spans="2:4" x14ac:dyDescent="0.3">
      <c r="B9" s="8" t="s">
        <v>36</v>
      </c>
      <c r="C9" s="22">
        <v>7</v>
      </c>
      <c r="D9" s="18">
        <v>527719.51</v>
      </c>
    </row>
    <row r="10" spans="2:4" x14ac:dyDescent="0.3">
      <c r="B10" s="8" t="s">
        <v>21</v>
      </c>
      <c r="C10" s="22">
        <v>7</v>
      </c>
      <c r="D10" s="18">
        <v>502862.22000000009</v>
      </c>
    </row>
    <row r="11" spans="2:4" x14ac:dyDescent="0.3">
      <c r="B11" s="8" t="s">
        <v>29</v>
      </c>
      <c r="C11" s="22">
        <v>6</v>
      </c>
      <c r="D11" s="18">
        <v>388781.63</v>
      </c>
    </row>
    <row r="12" spans="2:4" x14ac:dyDescent="0.3">
      <c r="B12" s="8" t="s">
        <v>52</v>
      </c>
      <c r="C12" s="22">
        <v>5</v>
      </c>
      <c r="D12" s="18">
        <v>345257.38</v>
      </c>
    </row>
    <row r="13" spans="2:4" x14ac:dyDescent="0.3">
      <c r="B13" s="8" t="s">
        <v>64</v>
      </c>
      <c r="C13" s="22">
        <v>5</v>
      </c>
      <c r="D13" s="18">
        <v>372725.38999999996</v>
      </c>
    </row>
    <row r="14" spans="2:4" x14ac:dyDescent="0.3">
      <c r="B14" s="8" t="s">
        <v>199</v>
      </c>
      <c r="C14" s="22">
        <v>50</v>
      </c>
      <c r="D14" s="18">
        <v>3504427.92</v>
      </c>
    </row>
    <row r="21" spans="2:3" x14ac:dyDescent="0.3">
      <c r="B21" s="17" t="s">
        <v>209</v>
      </c>
      <c r="C21" s="9" t="s">
        <v>213</v>
      </c>
    </row>
    <row r="22" spans="2:3" x14ac:dyDescent="0.3">
      <c r="B22" s="15" t="s">
        <v>207</v>
      </c>
      <c r="C22" s="22">
        <v>5</v>
      </c>
    </row>
    <row r="23" spans="2:3" x14ac:dyDescent="0.3">
      <c r="B23" s="15" t="s">
        <v>206</v>
      </c>
      <c r="C23" s="22">
        <v>9</v>
      </c>
    </row>
    <row r="24" spans="2:3" x14ac:dyDescent="0.3">
      <c r="B24" s="15" t="s">
        <v>204</v>
      </c>
      <c r="C24" s="22">
        <v>10</v>
      </c>
    </row>
    <row r="25" spans="2:3" x14ac:dyDescent="0.3">
      <c r="B25" s="15" t="s">
        <v>208</v>
      </c>
      <c r="C25" s="22">
        <v>12</v>
      </c>
    </row>
    <row r="26" spans="2:3" x14ac:dyDescent="0.3">
      <c r="B26" s="15" t="s">
        <v>205</v>
      </c>
      <c r="C26" s="22">
        <v>14</v>
      </c>
    </row>
    <row r="27" spans="2:3" x14ac:dyDescent="0.3">
      <c r="B27" s="15" t="s">
        <v>199</v>
      </c>
      <c r="C27" s="22">
        <v>50</v>
      </c>
    </row>
    <row r="34" spans="1:3" x14ac:dyDescent="0.3">
      <c r="B34" s="17" t="s">
        <v>210</v>
      </c>
      <c r="C34" s="9" t="s">
        <v>214</v>
      </c>
    </row>
    <row r="35" spans="1:3" x14ac:dyDescent="0.3">
      <c r="B35" s="8" t="s">
        <v>13</v>
      </c>
      <c r="C35" s="16">
        <v>0.57999999999999996</v>
      </c>
    </row>
    <row r="36" spans="1:3" x14ac:dyDescent="0.3">
      <c r="B36" s="8" t="s">
        <v>22</v>
      </c>
      <c r="C36" s="16">
        <v>0.42</v>
      </c>
    </row>
    <row r="37" spans="1:3" x14ac:dyDescent="0.3">
      <c r="B37" s="8" t="s">
        <v>199</v>
      </c>
      <c r="C37" s="16">
        <v>1</v>
      </c>
    </row>
    <row r="40" spans="1:3" x14ac:dyDescent="0.3">
      <c r="A40" s="19">
        <f>GETPIVOTDATA("Género",$B$34,"Género","Masculino")</f>
        <v>0.42</v>
      </c>
    </row>
    <row r="41" spans="1:3" x14ac:dyDescent="0.3">
      <c r="A41" s="19">
        <f>GETPIVOTDATA("Género",$B$34,"Género","Femenino")</f>
        <v>0.57999999999999996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2026-01-01T17:13:37Z</dcterms:modified>
</cp:coreProperties>
</file>