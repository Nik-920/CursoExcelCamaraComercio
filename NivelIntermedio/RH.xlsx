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b\Nik Denilson\Cursos\EXCEL\NivelIntermedio\"/>
    </mc:Choice>
  </mc:AlternateContent>
  <xr:revisionPtr revIDLastSave="0" documentId="13_ncr:1_{3F4045E1-C2E9-4E9E-91E3-8462860DEEFC}" xr6:coauthVersionLast="47" xr6:coauthVersionMax="47" xr10:uidLastSave="{00000000-0000-0000-0000-000000000000}"/>
  <bookViews>
    <workbookView xWindow="-108" yWindow="-108" windowWidth="23256" windowHeight="12456" activeTab="2" xr2:uid="{B63B839B-721A-4CE1-AA12-B36BAE279506}"/>
  </bookViews>
  <sheets>
    <sheet name="Indicadores Solicitados" sheetId="2" r:id="rId1"/>
    <sheet name="Datos" sheetId="1" r:id="rId2"/>
    <sheet name="1" sheetId="3" r:id="rId3"/>
  </sheets>
  <definedNames>
    <definedName name="DatosExternos_1" localSheetId="1" hidden="1">Datos!$A$1:$K$281</definedName>
    <definedName name="SegmentaciónDeDatos_Años__Fecha_de_Ingreso_laboral">#N/A</definedName>
    <definedName name="SegmentaciónDeDatos_Departamento_de_Trabajo">#N/A</definedName>
    <definedName name="SegmentaciónDeDatos_Tipo_Contratacion">#N/A</definedName>
  </definedNames>
  <calcPr calcId="191029"/>
  <pivotCaches>
    <pivotCache cacheId="18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M3" i="1"/>
  <c r="M2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430872-7DE6-4440-A37D-ECC9CD63E8DB}" keepAlive="1" name="Consulta - RH" description="Conexión a la consulta 'RH' en el libro." type="5" refreshedVersion="8" background="1" saveData="1">
    <dbPr connection="Provider=Microsoft.Mashup.OleDb.1;Data Source=$Workbook$;Location=RH;Extended Properties=&quot;&quot;" command="SELECT * FROM [RH]"/>
  </connection>
</connections>
</file>

<file path=xl/sharedStrings.xml><?xml version="1.0" encoding="utf-8"?>
<sst xmlns="http://schemas.openxmlformats.org/spreadsheetml/2006/main" count="2052" uniqueCount="635">
  <si>
    <t>ID_Empleado</t>
  </si>
  <si>
    <t>Nombre y Apellido</t>
  </si>
  <si>
    <t>Fecha de Ingreso laboral</t>
  </si>
  <si>
    <t>Fecha de salida Laboral</t>
  </si>
  <si>
    <t>Puesto</t>
  </si>
  <si>
    <t>Departamento de Trabajo</t>
  </si>
  <si>
    <t>Pais de Residencia</t>
  </si>
  <si>
    <t>Genero</t>
  </si>
  <si>
    <t>Salario USD</t>
  </si>
  <si>
    <t>Fecha Nacimiento</t>
  </si>
  <si>
    <t>Tipo Contratacion</t>
  </si>
  <si>
    <t>xI1916</t>
  </si>
  <si>
    <t>Carla Jaime</t>
  </si>
  <si>
    <t>Analista</t>
  </si>
  <si>
    <t>Recursos Humanos</t>
  </si>
  <si>
    <t>Guatemala</t>
  </si>
  <si>
    <t>Femenino</t>
  </si>
  <si>
    <t>Outsourcing</t>
  </si>
  <si>
    <t>SD4983</t>
  </si>
  <si>
    <t>Elisa Cristina Pizarro</t>
  </si>
  <si>
    <t>Especialista</t>
  </si>
  <si>
    <t>Marketing</t>
  </si>
  <si>
    <t>Uruguay</t>
  </si>
  <si>
    <t>xq5174</t>
  </si>
  <si>
    <t>Ernesto Jimínez</t>
  </si>
  <si>
    <t>IT</t>
  </si>
  <si>
    <t>Argentina</t>
  </si>
  <si>
    <t>Masculino</t>
  </si>
  <si>
    <t>Propia</t>
  </si>
  <si>
    <t>Vh3842</t>
  </si>
  <si>
    <t>Natividad Cornelio Alvarez</t>
  </si>
  <si>
    <t>Director</t>
  </si>
  <si>
    <t>Perú</t>
  </si>
  <si>
    <t>lg1401</t>
  </si>
  <si>
    <t>Ángela Uriel Vigil Salgado</t>
  </si>
  <si>
    <t>Colombia</t>
  </si>
  <si>
    <t>Referido</t>
  </si>
  <si>
    <t>qD0371</t>
  </si>
  <si>
    <t>Anel Nazario Segovia</t>
  </si>
  <si>
    <t>Operaciones</t>
  </si>
  <si>
    <t>vg0332</t>
  </si>
  <si>
    <t>Óscar Villaseñor</t>
  </si>
  <si>
    <t>Asistente</t>
  </si>
  <si>
    <t>cW6613</t>
  </si>
  <si>
    <t>Ángela Esparta Vallejo Carrera</t>
  </si>
  <si>
    <t>Coordinador</t>
  </si>
  <si>
    <t>pW4936</t>
  </si>
  <si>
    <t>Cecilia Rascón Díaz</t>
  </si>
  <si>
    <t>az9217</t>
  </si>
  <si>
    <t>Beatriz Tapia de la O</t>
  </si>
  <si>
    <t>rx4123</t>
  </si>
  <si>
    <t>Indira Lourdes Bernal</t>
  </si>
  <si>
    <t>RB7528</t>
  </si>
  <si>
    <t>Mariana Francisco Mora Aparicio</t>
  </si>
  <si>
    <t>Ventas</t>
  </si>
  <si>
    <t>IP9867</t>
  </si>
  <si>
    <t>Mtro. Javier Ferrer</t>
  </si>
  <si>
    <t>zi1122</t>
  </si>
  <si>
    <t>Mónica Muñoz</t>
  </si>
  <si>
    <t>Finanzas</t>
  </si>
  <si>
    <t>LG9144</t>
  </si>
  <si>
    <t>Emilio Briones</t>
  </si>
  <si>
    <t>Ln4950</t>
  </si>
  <si>
    <t>Paola Adela Escobedo</t>
  </si>
  <si>
    <t>tj5613</t>
  </si>
  <si>
    <t>Anabel Reynaldo Sáenz</t>
  </si>
  <si>
    <t>Wi3209</t>
  </si>
  <si>
    <t>Mtro. Luz Solorzano</t>
  </si>
  <si>
    <t>Xa5434</t>
  </si>
  <si>
    <t>Citlali Reyna Arevalo</t>
  </si>
  <si>
    <t>Ecuador</t>
  </si>
  <si>
    <t>Yu0768</t>
  </si>
  <si>
    <t>Dolores Juan Reséndez Vélez</t>
  </si>
  <si>
    <t>Gerente</t>
  </si>
  <si>
    <t>Chile</t>
  </si>
  <si>
    <t>tw8317</t>
  </si>
  <si>
    <t>María Tijerina</t>
  </si>
  <si>
    <t>oG7154</t>
  </si>
  <si>
    <t>Miguel Norma Ulibarri Solorzano</t>
  </si>
  <si>
    <t>yd6496</t>
  </si>
  <si>
    <t>Mtro. Barbara Mondragón</t>
  </si>
  <si>
    <t>Paraguay</t>
  </si>
  <si>
    <t>tC9365</t>
  </si>
  <si>
    <t>Carolina Sisneros</t>
  </si>
  <si>
    <t>wP8411</t>
  </si>
  <si>
    <t>Sr(a). Ilse Santiago</t>
  </si>
  <si>
    <t>FC6455</t>
  </si>
  <si>
    <t>Mauro Espartaco Collado</t>
  </si>
  <si>
    <t>México</t>
  </si>
  <si>
    <t>td8030</t>
  </si>
  <si>
    <t>Sara Sonia Guajardo</t>
  </si>
  <si>
    <t>CH9989</t>
  </si>
  <si>
    <t>Reynaldo Moya</t>
  </si>
  <si>
    <t>Fx3696</t>
  </si>
  <si>
    <t>Aurora Solorio Soto</t>
  </si>
  <si>
    <t>PQ7295</t>
  </si>
  <si>
    <t>Mtro. Isaac Gallegos</t>
  </si>
  <si>
    <t>vt0011</t>
  </si>
  <si>
    <t>Luz Héctor Otero Casillas</t>
  </si>
  <si>
    <t>mX2205</t>
  </si>
  <si>
    <t>René Arcelia Alonzo</t>
  </si>
  <si>
    <t>zd1985</t>
  </si>
  <si>
    <t>Beatriz Felix Cabrera</t>
  </si>
  <si>
    <t>Bolivia</t>
  </si>
  <si>
    <t>RL0157</t>
  </si>
  <si>
    <t>Ing. Rosalia Mateo</t>
  </si>
  <si>
    <t>PT2452</t>
  </si>
  <si>
    <t>Ing. Ramón Gallegos</t>
  </si>
  <si>
    <t>cY7667</t>
  </si>
  <si>
    <t>Jaime Mitzy Ceballos Báez</t>
  </si>
  <si>
    <t>bU9339</t>
  </si>
  <si>
    <t>Fabiola Olivares Fierro</t>
  </si>
  <si>
    <t>YB0769</t>
  </si>
  <si>
    <t>Hermelinda Esparza</t>
  </si>
  <si>
    <t>Us4412</t>
  </si>
  <si>
    <t>Mtro. Jaqueline Frías</t>
  </si>
  <si>
    <t>gj8384</t>
  </si>
  <si>
    <t>Ivonne Andrés Magaña Beltrán</t>
  </si>
  <si>
    <t>CP7916</t>
  </si>
  <si>
    <t>Ernesto de la Rosa</t>
  </si>
  <si>
    <t>fg7683</t>
  </si>
  <si>
    <t>Alonso Yuridia Jurado</t>
  </si>
  <si>
    <t>tK8361</t>
  </si>
  <si>
    <t>Jacobo Antonia Meléndez</t>
  </si>
  <si>
    <t>IN3883</t>
  </si>
  <si>
    <t>Iván Nevárez</t>
  </si>
  <si>
    <t>tf4760</t>
  </si>
  <si>
    <t>Cecilia José Carlos Gálvez Mondragón</t>
  </si>
  <si>
    <t>oE1012</t>
  </si>
  <si>
    <t>Francisca Irene Páez</t>
  </si>
  <si>
    <t>qA2297</t>
  </si>
  <si>
    <t>Nancy Gabriela Rosario Menéndez</t>
  </si>
  <si>
    <t>Iy1264</t>
  </si>
  <si>
    <t>Leonardo Eva Villanueva</t>
  </si>
  <si>
    <t>TF3887</t>
  </si>
  <si>
    <t>Modesto Amaya Alarcón</t>
  </si>
  <si>
    <t>UD0881</t>
  </si>
  <si>
    <t>Salma Luis Miguel Rodríguez</t>
  </si>
  <si>
    <t>Go9296</t>
  </si>
  <si>
    <t>Héctor Eric Carrión Rosas</t>
  </si>
  <si>
    <t>BK0699</t>
  </si>
  <si>
    <t>Homero Reynaldo Portillo Valdés</t>
  </si>
  <si>
    <t>CB9474</t>
  </si>
  <si>
    <t>José Urrutia Vergara</t>
  </si>
  <si>
    <t>oW4319</t>
  </si>
  <si>
    <t>Abelardo Jonás Lugo Jasso</t>
  </si>
  <si>
    <t>AH5104</t>
  </si>
  <si>
    <t>Cristian Arias Alemán</t>
  </si>
  <si>
    <t>rp7227</t>
  </si>
  <si>
    <t>Ariadna Gustavo Méndez Valles</t>
  </si>
  <si>
    <t>Al5405</t>
  </si>
  <si>
    <t>Gilberto Karla Barrios Muñiz</t>
  </si>
  <si>
    <t>kc7431</t>
  </si>
  <si>
    <t>Pedro Elena Ulloa</t>
  </si>
  <si>
    <t>iV3015</t>
  </si>
  <si>
    <t>Cornelio Venegas Ureña</t>
  </si>
  <si>
    <t>vf9721</t>
  </si>
  <si>
    <t>Ing. Jorge Luis Gallardo</t>
  </si>
  <si>
    <t>Si7030</t>
  </si>
  <si>
    <t>Elena Rodarte</t>
  </si>
  <si>
    <t>FE9986</t>
  </si>
  <si>
    <t>Teodoro Eugenia Candelaria</t>
  </si>
  <si>
    <t>ed3435</t>
  </si>
  <si>
    <t>Sandra Nicolás Guzmán Madrid</t>
  </si>
  <si>
    <t>Ha9698</t>
  </si>
  <si>
    <t>Ángel Ruiz</t>
  </si>
  <si>
    <t>DF9725</t>
  </si>
  <si>
    <t>Luz Alta  Gracia Lebrón</t>
  </si>
  <si>
    <t>fS7388</t>
  </si>
  <si>
    <t>Rubén Olvera</t>
  </si>
  <si>
    <t>RJ9002</t>
  </si>
  <si>
    <t>Nicolás Manzanares</t>
  </si>
  <si>
    <t>fF3040</t>
  </si>
  <si>
    <t>Elvira Zamudio</t>
  </si>
  <si>
    <t>Jd3014</t>
  </si>
  <si>
    <t>María Eugenia Maldonado Cabrera</t>
  </si>
  <si>
    <t>Vd8373</t>
  </si>
  <si>
    <t>Miguel Merino Naranjo</t>
  </si>
  <si>
    <t>ra8840</t>
  </si>
  <si>
    <t>Flavio Vega Jaimes</t>
  </si>
  <si>
    <t>WG7325</t>
  </si>
  <si>
    <t>Araceli Covarrubias</t>
  </si>
  <si>
    <t>IH1546</t>
  </si>
  <si>
    <t>Adán Emiliano Molina</t>
  </si>
  <si>
    <t>EX1441</t>
  </si>
  <si>
    <t>Bruno Hermelinda Contreras Estévez</t>
  </si>
  <si>
    <t>SF5944</t>
  </si>
  <si>
    <t>Trinidad Marisol Segovia</t>
  </si>
  <si>
    <t>EU9810</t>
  </si>
  <si>
    <t>Victoria Arellano Jaimes</t>
  </si>
  <si>
    <t>Uz0098</t>
  </si>
  <si>
    <t>Anel Cabrera</t>
  </si>
  <si>
    <t>zT6808</t>
  </si>
  <si>
    <t>Lorena Abelardo Nieves</t>
  </si>
  <si>
    <t>hB4402</t>
  </si>
  <si>
    <t>Óscar Miguel Ángel Espinosa Grijalva</t>
  </si>
  <si>
    <t>IB0195</t>
  </si>
  <si>
    <t>Jorge Luis Miguel Ángel Estrada</t>
  </si>
  <si>
    <t>nq0257</t>
  </si>
  <si>
    <t>Ing. José Manuél Meza</t>
  </si>
  <si>
    <t>CB2881</t>
  </si>
  <si>
    <t>Araceli Ávalos Mesa</t>
  </si>
  <si>
    <t>Rf9057</t>
  </si>
  <si>
    <t>Nayeli Loera</t>
  </si>
  <si>
    <t>PD6531</t>
  </si>
  <si>
    <t>María Teresa Lira</t>
  </si>
  <si>
    <t>Qn7556</t>
  </si>
  <si>
    <t>Sr(a). Yolanda Jáquez</t>
  </si>
  <si>
    <t>Vb8144</t>
  </si>
  <si>
    <t>Ilse Ocasio Arreola</t>
  </si>
  <si>
    <t>YM0551</t>
  </si>
  <si>
    <t>Rodrigo Omar Zayas Cisneros</t>
  </si>
  <si>
    <t>Kv3080</t>
  </si>
  <si>
    <t>Abel Mora</t>
  </si>
  <si>
    <t>CR3599</t>
  </si>
  <si>
    <t>Amanda Ana Santana Bueno</t>
  </si>
  <si>
    <t>op8962</t>
  </si>
  <si>
    <t>Noemí Samuel Salcido</t>
  </si>
  <si>
    <t>Yq9911</t>
  </si>
  <si>
    <t>Eloisa Yuridia Solorio</t>
  </si>
  <si>
    <t>sl8575</t>
  </si>
  <si>
    <t>José Carlos Marisol Bermúdez Valdivia</t>
  </si>
  <si>
    <t>JF1681</t>
  </si>
  <si>
    <t>Roberto Avilés Miranda</t>
  </si>
  <si>
    <t>bg3835</t>
  </si>
  <si>
    <t>Lorenzo Yolanda Córdova Rangel</t>
  </si>
  <si>
    <t>zG4567</t>
  </si>
  <si>
    <t>Sergio Débora Ulloa Esquivel</t>
  </si>
  <si>
    <t>sI0158</t>
  </si>
  <si>
    <t>Arcelia Arguello</t>
  </si>
  <si>
    <t>WW8742</t>
  </si>
  <si>
    <t>Agustín Germán Téllez</t>
  </si>
  <si>
    <t>Fy6271</t>
  </si>
  <si>
    <t>Gilberto Solano</t>
  </si>
  <si>
    <t>WY9273</t>
  </si>
  <si>
    <t>Clemente Coronado</t>
  </si>
  <si>
    <t>Ha7092</t>
  </si>
  <si>
    <t>Isabel Rosa Miranda Lerma</t>
  </si>
  <si>
    <t>aK0399</t>
  </si>
  <si>
    <t>Amador Barajas Heredia</t>
  </si>
  <si>
    <t>lA9961</t>
  </si>
  <si>
    <t>Verónica Dolores Gracia Lerma</t>
  </si>
  <si>
    <t>NP1290</t>
  </si>
  <si>
    <t>Marcos Jacobo Nieto</t>
  </si>
  <si>
    <t>KQ0863</t>
  </si>
  <si>
    <t>Olivia Yeni López</t>
  </si>
  <si>
    <t>ky7349</t>
  </si>
  <si>
    <t>Ing. Vanesa Pedroza</t>
  </si>
  <si>
    <t>mx3311</t>
  </si>
  <si>
    <t>Sr(a). Salma Armendáriz</t>
  </si>
  <si>
    <t>GV0127</t>
  </si>
  <si>
    <t>Yuridia Camacho</t>
  </si>
  <si>
    <t>pd5317</t>
  </si>
  <si>
    <t>Gerónimo Juárez Vergara</t>
  </si>
  <si>
    <t>Lr7447</t>
  </si>
  <si>
    <t>María José Juan Carlos Gamboa Flores</t>
  </si>
  <si>
    <t>He4115</t>
  </si>
  <si>
    <t>Óliver Solís</t>
  </si>
  <si>
    <t>Et7841</t>
  </si>
  <si>
    <t>Benjamín Rodríguez</t>
  </si>
  <si>
    <t>Bx0734</t>
  </si>
  <si>
    <t>Flavio Moreno</t>
  </si>
  <si>
    <t>nh6213</t>
  </si>
  <si>
    <t>Yuridia Alva</t>
  </si>
  <si>
    <t>kn0655</t>
  </si>
  <si>
    <t>Linda Vázquez</t>
  </si>
  <si>
    <t>Se0339</t>
  </si>
  <si>
    <t>Ernesto Solís</t>
  </si>
  <si>
    <t>Ee4568</t>
  </si>
  <si>
    <t>Ing. Julia Rodrígez</t>
  </si>
  <si>
    <t>Tk5020</t>
  </si>
  <si>
    <t>Diana Jurado</t>
  </si>
  <si>
    <t>iy0854</t>
  </si>
  <si>
    <t>Zoé Elisa Jurado</t>
  </si>
  <si>
    <t>oC0401</t>
  </si>
  <si>
    <t>Anabel Marisol Perea</t>
  </si>
  <si>
    <t>qM7408</t>
  </si>
  <si>
    <t>Silvia Estela Hinojosa Herrera</t>
  </si>
  <si>
    <t>Vd6156</t>
  </si>
  <si>
    <t>Francisco de la Crúz Segovia</t>
  </si>
  <si>
    <t>MT5823</t>
  </si>
  <si>
    <t>Leonor Concepción</t>
  </si>
  <si>
    <t>ef4984</t>
  </si>
  <si>
    <t>Marisol Linda Batista Soliz</t>
  </si>
  <si>
    <t>Tk5434</t>
  </si>
  <si>
    <t>Marco Antonio Meza Suárez</t>
  </si>
  <si>
    <t>Kl5778</t>
  </si>
  <si>
    <t>Sr(a). Amanda Cardona</t>
  </si>
  <si>
    <t>nL3878</t>
  </si>
  <si>
    <t>Gabriel Mariana Ocampo</t>
  </si>
  <si>
    <t>GO3300</t>
  </si>
  <si>
    <t>Modesto Aguilera Carvajal</t>
  </si>
  <si>
    <t>DC0949</t>
  </si>
  <si>
    <t>Abelardo de la Garza de la Torre</t>
  </si>
  <si>
    <t>kF2722</t>
  </si>
  <si>
    <t>Elvia Rael</t>
  </si>
  <si>
    <t>XD3153</t>
  </si>
  <si>
    <t>Esmeralda Rodrígez</t>
  </si>
  <si>
    <t>xW7772</t>
  </si>
  <si>
    <t>Florencia Yeni Ceja Trujillo</t>
  </si>
  <si>
    <t>TO4630</t>
  </si>
  <si>
    <t>Catalina Alfredo Páez Cervántez</t>
  </si>
  <si>
    <t>OD2504</t>
  </si>
  <si>
    <t>Aldonza Garay Ríos</t>
  </si>
  <si>
    <t>SN4003</t>
  </si>
  <si>
    <t>Eugenio Tovar</t>
  </si>
  <si>
    <t>Yu7910</t>
  </si>
  <si>
    <t>Pedro Humberto Reséndez Olivárez</t>
  </si>
  <si>
    <t>pn2130</t>
  </si>
  <si>
    <t>Zeferino Hurtado</t>
  </si>
  <si>
    <t>bz6916</t>
  </si>
  <si>
    <t>Sr(a). Benjamín Corona</t>
  </si>
  <si>
    <t>Qk4480</t>
  </si>
  <si>
    <t>Mónica José Eduardo Curiel</t>
  </si>
  <si>
    <t>hy0945</t>
  </si>
  <si>
    <t>Concepción Pantoja</t>
  </si>
  <si>
    <t>gh7810</t>
  </si>
  <si>
    <t>Evelio Meléndez Mascareñas</t>
  </si>
  <si>
    <t>rV5612</t>
  </si>
  <si>
    <t>Eugenia Urrutia</t>
  </si>
  <si>
    <t>dc5702</t>
  </si>
  <si>
    <t>Eloisa Burgos</t>
  </si>
  <si>
    <t>YQ0655</t>
  </si>
  <si>
    <t>Mario Acuña Cotto</t>
  </si>
  <si>
    <t>IP5483</t>
  </si>
  <si>
    <t>Elias Roberto Velasco Gaona</t>
  </si>
  <si>
    <t>HM7052</t>
  </si>
  <si>
    <t>Andrés Zúñiga</t>
  </si>
  <si>
    <t>cY6033</t>
  </si>
  <si>
    <t>Helena Gaytán Esquivel</t>
  </si>
  <si>
    <t>BN4570</t>
  </si>
  <si>
    <t>María Esmeralda Casárez</t>
  </si>
  <si>
    <t>FY7661</t>
  </si>
  <si>
    <t>Laura Jaime Samaniego</t>
  </si>
  <si>
    <t>nP6505</t>
  </si>
  <si>
    <t>Caridad Alcala</t>
  </si>
  <si>
    <t>Wk0485</t>
  </si>
  <si>
    <t>Andrea Salma Alfaro</t>
  </si>
  <si>
    <t>wb7357</t>
  </si>
  <si>
    <t>Aurora Lozada</t>
  </si>
  <si>
    <t>Ev7594</t>
  </si>
  <si>
    <t>Pilar Ofelia Briones Regalado</t>
  </si>
  <si>
    <t>zL0568</t>
  </si>
  <si>
    <t>Alejandra Eric Morales</t>
  </si>
  <si>
    <t>Bv9370</t>
  </si>
  <si>
    <t>Mariana Benavídez</t>
  </si>
  <si>
    <t>iT6761</t>
  </si>
  <si>
    <t>Rebeca Archuleta</t>
  </si>
  <si>
    <t>tU2109</t>
  </si>
  <si>
    <t>Zacarías Violeta Acevedo</t>
  </si>
  <si>
    <t>AV3328</t>
  </si>
  <si>
    <t>Manuel Miguel Sánchez</t>
  </si>
  <si>
    <t>CV6732</t>
  </si>
  <si>
    <t>Augusto Alejandra Collazo</t>
  </si>
  <si>
    <t>dM1182</t>
  </si>
  <si>
    <t>Ilse Carlos Escalante Mares</t>
  </si>
  <si>
    <t>VT0661</t>
  </si>
  <si>
    <t>Guadalupe Portillo</t>
  </si>
  <si>
    <t>qb9323</t>
  </si>
  <si>
    <t>Victoria Aldonza Garibay Báez</t>
  </si>
  <si>
    <t>Yn6788</t>
  </si>
  <si>
    <t>Carlos Jaimes</t>
  </si>
  <si>
    <t>du9081</t>
  </si>
  <si>
    <t>Caridad Piña</t>
  </si>
  <si>
    <t>Is4463</t>
  </si>
  <si>
    <t>Germán Gamboa</t>
  </si>
  <si>
    <t>Kp2957</t>
  </si>
  <si>
    <t>Liliana Iván Aguilera Santana</t>
  </si>
  <si>
    <t>VW0075</t>
  </si>
  <si>
    <t>Bianca Sanches</t>
  </si>
  <si>
    <t>zt4812</t>
  </si>
  <si>
    <t>Manuel Rufino Vera Lara</t>
  </si>
  <si>
    <t>kJ1763</t>
  </si>
  <si>
    <t>Timoteo Elvira Verdugo</t>
  </si>
  <si>
    <t>Ux5694</t>
  </si>
  <si>
    <t>Salma Hilda Huerta Quintanilla</t>
  </si>
  <si>
    <t>IT4974</t>
  </si>
  <si>
    <t>Carolina Verdugo Collazo</t>
  </si>
  <si>
    <t>Ee2164</t>
  </si>
  <si>
    <t>Norma Espinosa</t>
  </si>
  <si>
    <t>Dk8124</t>
  </si>
  <si>
    <t>Marisol Rubio Ledesma</t>
  </si>
  <si>
    <t>ky0106</t>
  </si>
  <si>
    <t>Paola Enríquez</t>
  </si>
  <si>
    <t>Ko5177</t>
  </si>
  <si>
    <t>Ariadna Fuentes Mora</t>
  </si>
  <si>
    <t>Ye0474</t>
  </si>
  <si>
    <t>Santiago Serna</t>
  </si>
  <si>
    <t>zt1104</t>
  </si>
  <si>
    <t>José Luis Francisco Javier Candelaria Barraza</t>
  </si>
  <si>
    <t>ih2550</t>
  </si>
  <si>
    <t>Amanda Hernádez Rivas</t>
  </si>
  <si>
    <t>qX9524</t>
  </si>
  <si>
    <t>Bernabé Contreras</t>
  </si>
  <si>
    <t>qM9502</t>
  </si>
  <si>
    <t>Diego Flavio Saavedra</t>
  </si>
  <si>
    <t>Iq7576</t>
  </si>
  <si>
    <t>Úrsula Padilla</t>
  </si>
  <si>
    <t>NT0925</t>
  </si>
  <si>
    <t>Sofía Hermelinda de la O Romo</t>
  </si>
  <si>
    <t>DV8277</t>
  </si>
  <si>
    <t>Mtro. Gerardo Rosales</t>
  </si>
  <si>
    <t>br1780</t>
  </si>
  <si>
    <t>Ángela Ayala</t>
  </si>
  <si>
    <t>Zw1434</t>
  </si>
  <si>
    <t>Agustín Correa Medrano</t>
  </si>
  <si>
    <t>cR9079</t>
  </si>
  <si>
    <t>Andrés Ávila</t>
  </si>
  <si>
    <t>WM9632</t>
  </si>
  <si>
    <t>Antonia Vázquez</t>
  </si>
  <si>
    <t>SU6413</t>
  </si>
  <si>
    <t>Martha Alvaro Rocha</t>
  </si>
  <si>
    <t>Vc9288</t>
  </si>
  <si>
    <t>Ing. Miguel Ángel Pabón</t>
  </si>
  <si>
    <t>TD9236</t>
  </si>
  <si>
    <t>Carolina Angulo</t>
  </si>
  <si>
    <t>Gh0445</t>
  </si>
  <si>
    <t>Violeta Alonso</t>
  </si>
  <si>
    <t>CB8404</t>
  </si>
  <si>
    <t>Diana Jos Sanabria</t>
  </si>
  <si>
    <t>Uj6432</t>
  </si>
  <si>
    <t>Yeni de la Rosa Valenzuela</t>
  </si>
  <si>
    <t>DN4071</t>
  </si>
  <si>
    <t>Ariadna Muñoz Olivas</t>
  </si>
  <si>
    <t>vH1900</t>
  </si>
  <si>
    <t>Alberto Granados</t>
  </si>
  <si>
    <t>ew2907</t>
  </si>
  <si>
    <t>Adalberto María José Orellana</t>
  </si>
  <si>
    <t>KZ7105</t>
  </si>
  <si>
    <t>Carlota Brito Vega</t>
  </si>
  <si>
    <t>tw3661</t>
  </si>
  <si>
    <t>Sr(a). Serafín Miranda</t>
  </si>
  <si>
    <t>gM6124</t>
  </si>
  <si>
    <t>David Lorena Tirado</t>
  </si>
  <si>
    <t>gI7620</t>
  </si>
  <si>
    <t>Virginia Raúl Pineda Yáñez</t>
  </si>
  <si>
    <t>yS7864</t>
  </si>
  <si>
    <t>Israel Parra</t>
  </si>
  <si>
    <t>Qc5183</t>
  </si>
  <si>
    <t>Genaro Arce</t>
  </si>
  <si>
    <t>rn1187</t>
  </si>
  <si>
    <t>César Ignacio Zapata</t>
  </si>
  <si>
    <t>du1760</t>
  </si>
  <si>
    <t>Sr(a). Omar Martínez</t>
  </si>
  <si>
    <t>XK6300</t>
  </si>
  <si>
    <t>Mtro. Hermelinda Garibay</t>
  </si>
  <si>
    <t>gW4973</t>
  </si>
  <si>
    <t>Dalia Aguirre</t>
  </si>
  <si>
    <t>Ir6785</t>
  </si>
  <si>
    <t>Fidel Loya</t>
  </si>
  <si>
    <t>WO4224</t>
  </si>
  <si>
    <t>Iván Pelayo</t>
  </si>
  <si>
    <t>oM8776</t>
  </si>
  <si>
    <t>Indira Quintero</t>
  </si>
  <si>
    <t>lL9365</t>
  </si>
  <si>
    <t>Abigail Alonso Meraz</t>
  </si>
  <si>
    <t>LZ6170</t>
  </si>
  <si>
    <t>Martín Porras Godoy</t>
  </si>
  <si>
    <t>DC5672</t>
  </si>
  <si>
    <t>Sr(a). Eva Matías</t>
  </si>
  <si>
    <t>ci8560</t>
  </si>
  <si>
    <t>Bernabé Bravo Chávez</t>
  </si>
  <si>
    <t>Ln3651</t>
  </si>
  <si>
    <t>Jesús Velasco Durán</t>
  </si>
  <si>
    <t>hi9451</t>
  </si>
  <si>
    <t>Ana Luisa Benavídez</t>
  </si>
  <si>
    <t>JC7601</t>
  </si>
  <si>
    <t>Violeta Samuel Longoria</t>
  </si>
  <si>
    <t>vI3072</t>
  </si>
  <si>
    <t>Amelia Matías</t>
  </si>
  <si>
    <t>eA9929</t>
  </si>
  <si>
    <t>Cristina Aida Acosta Luna</t>
  </si>
  <si>
    <t>wg1957</t>
  </si>
  <si>
    <t>Ing. Mariana Fuentes</t>
  </si>
  <si>
    <t>Er0895</t>
  </si>
  <si>
    <t>Isabela Galarza Concepción</t>
  </si>
  <si>
    <t>hM5630</t>
  </si>
  <si>
    <t>Luisa Bianca Pedraza Mateo</t>
  </si>
  <si>
    <t>oW8689</t>
  </si>
  <si>
    <t>María Cristina María Sisneros Calderón</t>
  </si>
  <si>
    <t>se8030</t>
  </si>
  <si>
    <t>Horacio Tafoya Valadez</t>
  </si>
  <si>
    <t>Em9429</t>
  </si>
  <si>
    <t>Ing. Eugenia Tello</t>
  </si>
  <si>
    <t>mP3815</t>
  </si>
  <si>
    <t>Cristobal María Cristina Cortés Núñez</t>
  </si>
  <si>
    <t>gU2086</t>
  </si>
  <si>
    <t>Flavio Juana Esquivel Ocampo</t>
  </si>
  <si>
    <t>jE9724</t>
  </si>
  <si>
    <t>Sandra Acuña Martínez</t>
  </si>
  <si>
    <t>TL1983</t>
  </si>
  <si>
    <t>Luis Miguel Ontiveros</t>
  </si>
  <si>
    <t>aj5007</t>
  </si>
  <si>
    <t>Zacarías Valle Olivera</t>
  </si>
  <si>
    <t>Fy8039</t>
  </si>
  <si>
    <t>Cristian Gabriela Palacios Mayorga</t>
  </si>
  <si>
    <t>iz0030</t>
  </si>
  <si>
    <t>Victoria Cordero Valentín</t>
  </si>
  <si>
    <t>Qu7370</t>
  </si>
  <si>
    <t>Luisa Jerónimo Limón</t>
  </si>
  <si>
    <t>yG2321</t>
  </si>
  <si>
    <t>Marco Antonio Nelly Razo Tello</t>
  </si>
  <si>
    <t>na9369</t>
  </si>
  <si>
    <t>Wendolin Zavala</t>
  </si>
  <si>
    <t>aq1120</t>
  </si>
  <si>
    <t>Salma Altamirano</t>
  </si>
  <si>
    <t>uc8045</t>
  </si>
  <si>
    <t>Micaela Cadena</t>
  </si>
  <si>
    <t>Ny5690</t>
  </si>
  <si>
    <t>Fidel Orta Saldaña</t>
  </si>
  <si>
    <t>Mi5908</t>
  </si>
  <si>
    <t>José Carlos Felipe Sáenz</t>
  </si>
  <si>
    <t>dF6630</t>
  </si>
  <si>
    <t>Amalia Rodrígez</t>
  </si>
  <si>
    <t>fF7406</t>
  </si>
  <si>
    <t>Verónica Juan Mateo Salinas</t>
  </si>
  <si>
    <t>JN8206</t>
  </si>
  <si>
    <t>Vicente Guerra</t>
  </si>
  <si>
    <t>el8259</t>
  </si>
  <si>
    <t>Inés Isabela Verduzco</t>
  </si>
  <si>
    <t>yw8323</t>
  </si>
  <si>
    <t>Pedro Orellana Jáquez</t>
  </si>
  <si>
    <t>lU3192</t>
  </si>
  <si>
    <t>Horacio Jerónimo Sotelo Colón</t>
  </si>
  <si>
    <t>Ae3093</t>
  </si>
  <si>
    <t>Elena María Elena Castañeda</t>
  </si>
  <si>
    <t>wb8097</t>
  </si>
  <si>
    <t>Gabriel Fernando Corral Serrano</t>
  </si>
  <si>
    <t>az0114</t>
  </si>
  <si>
    <t>Emilio Luis Merino</t>
  </si>
  <si>
    <t>mP8192</t>
  </si>
  <si>
    <t>Sara Lovato</t>
  </si>
  <si>
    <t>MD7053</t>
  </si>
  <si>
    <t>Jaime Pilar Barragán Montez</t>
  </si>
  <si>
    <t>Lm9674</t>
  </si>
  <si>
    <t>Eva Luis Miguel Urrutia</t>
  </si>
  <si>
    <t>TN8564</t>
  </si>
  <si>
    <t>Dulce Jorge Irizarry</t>
  </si>
  <si>
    <t>gC1383</t>
  </si>
  <si>
    <t>Elena Cabrera</t>
  </si>
  <si>
    <t>WT8733</t>
  </si>
  <si>
    <t>Ing. Marcela Valdivia</t>
  </si>
  <si>
    <t>an9737</t>
  </si>
  <si>
    <t>Sr(a). Bernabé Holguín</t>
  </si>
  <si>
    <t>cl7525</t>
  </si>
  <si>
    <t>Sr(a). Guillermo Marín</t>
  </si>
  <si>
    <t>KA1029</t>
  </si>
  <si>
    <t>Alma Nevárez Ureña</t>
  </si>
  <si>
    <t>hE7268</t>
  </si>
  <si>
    <t>Abril Raya</t>
  </si>
  <si>
    <t>Xh9069</t>
  </si>
  <si>
    <t>Pilar Ávalos</t>
  </si>
  <si>
    <t>Kx3820</t>
  </si>
  <si>
    <t>Teresa Téllez</t>
  </si>
  <si>
    <t>jx6753</t>
  </si>
  <si>
    <t>Porfirio Minerva Arroyo Mota</t>
  </si>
  <si>
    <t>oZ4302</t>
  </si>
  <si>
    <t>Esparta Elena Batista</t>
  </si>
  <si>
    <t>Nx1152</t>
  </si>
  <si>
    <t>Evelio Adalberto Saiz Casares</t>
  </si>
  <si>
    <t>xS1356</t>
  </si>
  <si>
    <t>Ing. María Cristina de León</t>
  </si>
  <si>
    <t>At3882</t>
  </si>
  <si>
    <t>Ignacio Rodríguez Caldera</t>
  </si>
  <si>
    <t>Pi0144</t>
  </si>
  <si>
    <t>Ing. René Chávez</t>
  </si>
  <si>
    <t>hT2230</t>
  </si>
  <si>
    <t>Zoé Berríos Portillo</t>
  </si>
  <si>
    <t>ZJ5901</t>
  </si>
  <si>
    <t>Bianca Leonor Centeno</t>
  </si>
  <si>
    <t>Do7011</t>
  </si>
  <si>
    <t>Carla Esmeralda Cabán Perales</t>
  </si>
  <si>
    <t>bq0018</t>
  </si>
  <si>
    <t>Iván Modesto Mota Jiménez</t>
  </si>
  <si>
    <t>MC1627</t>
  </si>
  <si>
    <t>Eva Uriel Saldaña</t>
  </si>
  <si>
    <t>rI3399</t>
  </si>
  <si>
    <t>Diego Soledad Hurtado Magaña</t>
  </si>
  <si>
    <t>fg7362</t>
  </si>
  <si>
    <t>Ariadna Soliz Burgos</t>
  </si>
  <si>
    <t>bj4951</t>
  </si>
  <si>
    <t>Ángel Ortiz</t>
  </si>
  <si>
    <t>WB1233</t>
  </si>
  <si>
    <t>Angélica Emilio Lozada Mota</t>
  </si>
  <si>
    <t>sO4087</t>
  </si>
  <si>
    <t>Guillermo Cordero</t>
  </si>
  <si>
    <t>py2707</t>
  </si>
  <si>
    <t>Omar Mares Carranza</t>
  </si>
  <si>
    <t>Qi8621</t>
  </si>
  <si>
    <t>Ramón Ofelia Domínguez Cervántez</t>
  </si>
  <si>
    <t>xK6255</t>
  </si>
  <si>
    <t>Juan Asunción Villagómez Carrero</t>
  </si>
  <si>
    <t>wa5610</t>
  </si>
  <si>
    <t>Hilda Cotto</t>
  </si>
  <si>
    <t>PY7250</t>
  </si>
  <si>
    <t>Gerardo Gabriela Blanco Montero</t>
  </si>
  <si>
    <t>Wv2201</t>
  </si>
  <si>
    <t>José María Moya Loya</t>
  </si>
  <si>
    <t>1. Cantidad de trabajadores por Genero, %, Sueldo</t>
  </si>
  <si>
    <t>2. Determinar de Cantidad de trabajadores Activos</t>
  </si>
  <si>
    <t>3. Sueldos Puestos</t>
  </si>
  <si>
    <t>4. Sueldos por Paises</t>
  </si>
  <si>
    <t>5. Bajas  y Contrataciones por Mes en 2024</t>
  </si>
  <si>
    <t>6. Rango de Edades</t>
  </si>
  <si>
    <t>6. Antigüedad Laboral</t>
  </si>
  <si>
    <t>Indicadores para el DashBoard</t>
  </si>
  <si>
    <t>Estatus Trabajador</t>
  </si>
  <si>
    <t>Edad</t>
  </si>
  <si>
    <t>Antigüedad</t>
  </si>
  <si>
    <t>Etiquetas de fila</t>
  </si>
  <si>
    <t>Total general</t>
  </si>
  <si>
    <t>% Salario</t>
  </si>
  <si>
    <t>Salario</t>
  </si>
  <si>
    <t>Cantidad</t>
  </si>
  <si>
    <t>Activo</t>
  </si>
  <si>
    <t>Inactivo</t>
  </si>
  <si>
    <t>Cuenta de Estatus Trabajador</t>
  </si>
  <si>
    <t>2024</t>
  </si>
  <si>
    <t>Años (Fecha de Ingreso laboral)</t>
  </si>
  <si>
    <t>Etiquetas de columna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</si>
  <si>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</si>
  <si>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</si>
  <si>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</si>
  <si>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</si>
  <si>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</si>
  <si>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</si>
  <si>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</si>
  <si>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</si>
  <si>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</si>
  <si>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19-28</t>
  </si>
  <si>
    <t>29-38</t>
  </si>
  <si>
    <t>39-48</t>
  </si>
  <si>
    <t>49-58</t>
  </si>
  <si>
    <t>59-68</t>
  </si>
  <si>
    <t>Cuenta de Antigüedad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</si>
</sst>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20"/>
      <color theme="9" tint="-0.499984740745262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0" fontId="0" fillId="0" borderId="0" xfId="0" applyNumberFormat="1"/>
    <xf numFmtId="0" fontId="0" fillId="0" borderId="0" xfId="0" applyAlignment="1">
      <alignment horizontal="center"/>
    </xf>
    <xf numFmtId="1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</cellXfs>
  <cellStyles count="1">
    <cellStyle name="Normal" xfId="0" builtinId="0"/>
  </cellStyles>
  <dxfs count="59"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0" formatCode="General"/>
    </dxf>
    <dxf>
      <numFmt numFmtId="0" formatCode="General"/>
    </dxf>
    <dxf>
      <alignment horizontal="right"/>
    </dxf>
    <dxf>
      <numFmt numFmtId="0" formatCode="General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0" formatCode="General"/>
    </dxf>
    <dxf>
      <numFmt numFmtId="0" formatCode="General"/>
    </dxf>
    <dxf>
      <alignment horizontal="right"/>
    </dxf>
    <dxf>
      <numFmt numFmtId="0" formatCode="General"/>
    </dxf>
    <dxf>
      <numFmt numFmtId="34" formatCode="_-&quot;S/&quot;\ * #,##0.00_-;\-&quot;S/&quot;\ * #,##0.00_-;_-&quot;S/&quot;\ * &quot;-&quot;??_-;_-@_-"/>
    </dxf>
    <dxf>
      <numFmt numFmtId="0" formatCode="General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0" formatCode="General"/>
    </dxf>
    <dxf>
      <alignment horizontal="right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0" formatCode="General"/>
    </dxf>
    <dxf>
      <alignment horizontal="right"/>
    </dxf>
    <dxf>
      <numFmt numFmtId="0" formatCode="General"/>
    </dxf>
    <dxf>
      <numFmt numFmtId="0" formatCode="General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0" formatCode="General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34" formatCode="_-&quot;S/&quot;\ * #,##0.00_-;\-&quot;S/&quot;\ * #,##0.00_-;_-&quot;S/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5" Type="http://schemas.microsoft.com/office/2007/relationships/slicerCache" Target="slicerCaches/slicerCache1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[RH.xlsx]1!CantidadActivos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 sz="1100"/>
              <a:t>CANT</a:t>
            </a:r>
            <a:r>
              <a:rPr lang="en-US" sz="1100" baseline="0"/>
              <a:t>. TRABAJADORES STATUS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ivotFmts>
      <c:pivotFmt>
        <c:idx val="0"/>
        <c:spPr>
          <a:gradFill>
            <a:gsLst>
              <a:gs pos="0">
                <a:schemeClr val="accent3"/>
              </a:gs>
              <a:gs pos="100000">
                <a:schemeClr val="accent3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  <c:spPr>
            <a:gradFill>
              <a:gsLst>
                <a:gs pos="0">
                  <a:schemeClr val="accent3"/>
                </a:gs>
                <a:gs pos="100000">
                  <a:schemeClr val="accent3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'1'!$B$16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3"/>
                </a:gs>
                <a:gs pos="100000">
                  <a:schemeClr val="accent3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'1'!$A$17:$A$19</c:f>
              <c:strCache>
                <c:ptCount val="2"/>
                <c:pt idx="0">
                  <c:v>Activo</c:v>
                </c:pt>
                <c:pt idx="1">
                  <c:v>Inactivo</c:v>
                </c:pt>
              </c:strCache>
            </c:strRef>
          </c:cat>
          <c:val>
            <c:numRef>
              <c:f>'1'!$B$17:$B$19</c:f>
              <c:numCache>
                <c:formatCode>General</c:formatCode>
                <c:ptCount val="2"/>
                <c:pt idx="0">
                  <c:v>133</c:v>
                </c:pt>
                <c:pt idx="1">
                  <c:v>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D3-496C-8239-E1D53CDAAC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2015361040"/>
        <c:axId val="2015359120"/>
      </c:barChart>
      <c:catAx>
        <c:axId val="201536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s-PE"/>
          </a:p>
        </c:txPr>
        <c:crossAx val="2015359120"/>
        <c:crosses val="autoZero"/>
        <c:auto val="1"/>
        <c:lblAlgn val="ctr"/>
        <c:lblOffset val="100"/>
        <c:noMultiLvlLbl val="0"/>
      </c:catAx>
      <c:valAx>
        <c:axId val="20153591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15361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30704</xdr:colOff>
      <xdr:row>60</xdr:row>
      <xdr:rowOff>66561</xdr:rowOff>
    </xdr:from>
    <xdr:to>
      <xdr:col>11</xdr:col>
      <xdr:colOff>117663</xdr:colOff>
      <xdr:row>65</xdr:row>
      <xdr:rowOff>78441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ños (Fecha de Ingreso laboral)">
              <a:extLst>
                <a:ext uri="{FF2B5EF4-FFF2-40B4-BE49-F238E27FC236}">
                  <a16:creationId xmlns:a16="http://schemas.microsoft.com/office/drawing/2014/main" id="{8C30AF82-EFC3-5285-421E-D6B0A0EAF76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s (Fecha de Ingreso laboral)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704" y="11160385"/>
              <a:ext cx="5958841" cy="9363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504041</xdr:colOff>
      <xdr:row>0</xdr:row>
      <xdr:rowOff>171228</xdr:rowOff>
    </xdr:from>
    <xdr:to>
      <xdr:col>17</xdr:col>
      <xdr:colOff>1568824</xdr:colOff>
      <xdr:row>7</xdr:row>
      <xdr:rowOff>134472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Departamento de Trabajo">
              <a:extLst>
                <a:ext uri="{FF2B5EF4-FFF2-40B4-BE49-F238E27FC236}">
                  <a16:creationId xmlns:a16="http://schemas.microsoft.com/office/drawing/2014/main" id="{87AB36BB-EE8D-0942-7CE4-7CAE69D16ED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partamento de Trabaj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89938" y="171228"/>
              <a:ext cx="3765401" cy="125752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479835</xdr:colOff>
      <xdr:row>10</xdr:row>
      <xdr:rowOff>6946</xdr:rowOff>
    </xdr:from>
    <xdr:to>
      <xdr:col>17</xdr:col>
      <xdr:colOff>946896</xdr:colOff>
      <xdr:row>13</xdr:row>
      <xdr:rowOff>134470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Tipo Contratacion">
              <a:extLst>
                <a:ext uri="{FF2B5EF4-FFF2-40B4-BE49-F238E27FC236}">
                  <a16:creationId xmlns:a16="http://schemas.microsoft.com/office/drawing/2014/main" id="{4DE3A405-A3F7-5AD7-52D2-3BE9FD19C5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Contratac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65732" y="1855917"/>
              <a:ext cx="3167679" cy="6822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4</xdr:col>
      <xdr:colOff>19611</xdr:colOff>
      <xdr:row>10</xdr:row>
      <xdr:rowOff>118779</xdr:rowOff>
    </xdr:from>
    <xdr:to>
      <xdr:col>13</xdr:col>
      <xdr:colOff>168088</xdr:colOff>
      <xdr:row>21</xdr:row>
      <xdr:rowOff>162485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0FE154B-933B-0384-3F85-0BF37B66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18.31986087963" createdVersion="8" refreshedVersion="8" minRefreshableVersion="3" recordCount="280" xr:uid="{4F8804FC-2477-4A2A-B8C8-20EDAC5580E7}">
  <cacheSource type="worksheet">
    <worksheetSource name="RH"/>
  </cacheSource>
  <cacheFields count="18">
    <cacheField name="ID_Empleado" numFmtId="0">
      <sharedItems/>
    </cacheField>
    <cacheField name="Nombre y Apellido" numFmtId="0">
      <sharedItems/>
    </cacheField>
    <cacheField name="Fecha de Ingreso laboral" numFmtId="14">
      <sharedItems containsSemiMixedTypes="0" containsNonDate="0" containsDate="1" containsString="0" minDate="2018-10-02T00:00:00" maxDate="2024-09-12T00:00:00" count="264">
        <d v="2020-12-16T00:00:00"/>
        <d v="2020-08-30T00:00:00"/>
        <d v="2021-12-06T00:00:00"/>
        <d v="2020-12-01T00:00:00"/>
        <d v="2019-04-27T00:00:00"/>
        <d v="2021-07-17T00:00:00"/>
        <d v="2023-09-10T00:00:00"/>
        <d v="2024-04-08T00:00:00"/>
        <d v="2023-12-22T00:00:00"/>
        <d v="2020-09-23T00:00:00"/>
        <d v="2023-05-29T00:00:00"/>
        <d v="2023-09-30T00:00:00"/>
        <d v="2021-11-28T00:00:00"/>
        <d v="2022-08-12T00:00:00"/>
        <d v="2024-05-13T00:00:00"/>
        <d v="2022-08-16T00:00:00"/>
        <d v="2022-07-11T00:00:00"/>
        <d v="2023-06-15T00:00:00"/>
        <d v="2019-11-01T00:00:00"/>
        <d v="2023-10-04T00:00:00"/>
        <d v="2024-06-14T00:00:00"/>
        <d v="2024-03-25T00:00:00"/>
        <d v="2019-08-20T00:00:00"/>
        <d v="2019-01-17T00:00:00"/>
        <d v="2019-05-02T00:00:00"/>
        <d v="2022-03-20T00:00:00"/>
        <d v="2022-03-10T00:00:00"/>
        <d v="2021-10-28T00:00:00"/>
        <d v="2023-01-29T00:00:00"/>
        <d v="2022-07-28T00:00:00"/>
        <d v="2019-12-03T00:00:00"/>
        <d v="2021-10-14T00:00:00"/>
        <d v="2020-06-28T00:00:00"/>
        <d v="2024-09-09T00:00:00"/>
        <d v="2019-03-09T00:00:00"/>
        <d v="2024-04-30T00:00:00"/>
        <d v="2020-09-24T00:00:00"/>
        <d v="2020-01-18T00:00:00"/>
        <d v="2022-05-02T00:00:00"/>
        <d v="2021-02-09T00:00:00"/>
        <d v="2021-10-20T00:00:00"/>
        <d v="2023-03-23T00:00:00"/>
        <d v="2023-07-11T00:00:00"/>
        <d v="2023-10-26T00:00:00"/>
        <d v="2019-03-12T00:00:00"/>
        <d v="2021-04-13T00:00:00"/>
        <d v="2019-08-24T00:00:00"/>
        <d v="2021-05-31T00:00:00"/>
        <d v="2024-01-12T00:00:00"/>
        <d v="2019-01-11T00:00:00"/>
        <d v="2022-01-01T00:00:00"/>
        <d v="2024-02-21T00:00:00"/>
        <d v="2020-03-11T00:00:00"/>
        <d v="2022-01-10T00:00:00"/>
        <d v="2020-10-01T00:00:00"/>
        <d v="2021-04-18T00:00:00"/>
        <d v="2021-01-14T00:00:00"/>
        <d v="2019-11-26T00:00:00"/>
        <d v="2023-06-17T00:00:00"/>
        <d v="2019-02-20T00:00:00"/>
        <d v="2022-05-05T00:00:00"/>
        <d v="2020-12-28T00:00:00"/>
        <d v="2018-11-25T00:00:00"/>
        <d v="2023-02-03T00:00:00"/>
        <d v="2020-10-18T00:00:00"/>
        <d v="2019-08-07T00:00:00"/>
        <d v="2019-10-17T00:00:00"/>
        <d v="2020-03-08T00:00:00"/>
        <d v="2020-06-07T00:00:00"/>
        <d v="2024-03-06T00:00:00"/>
        <d v="2024-05-04T00:00:00"/>
        <d v="2022-11-17T00:00:00"/>
        <d v="2021-02-22T00:00:00"/>
        <d v="2022-04-20T00:00:00"/>
        <d v="2020-11-07T00:00:00"/>
        <d v="2018-10-02T00:00:00"/>
        <d v="2024-04-28T00:00:00"/>
        <d v="2021-05-28T00:00:00"/>
        <d v="2020-04-15T00:00:00"/>
        <d v="2018-10-28T00:00:00"/>
        <d v="2020-09-22T00:00:00"/>
        <d v="2022-05-19T00:00:00"/>
        <d v="2020-02-29T00:00:00"/>
        <d v="2021-06-01T00:00:00"/>
        <d v="2022-03-04T00:00:00"/>
        <d v="2023-11-05T00:00:00"/>
        <d v="2023-07-12T00:00:00"/>
        <d v="2019-02-24T00:00:00"/>
        <d v="2018-11-17T00:00:00"/>
        <d v="2024-05-24T00:00:00"/>
        <d v="2022-12-13T00:00:00"/>
        <d v="2023-02-19T00:00:00"/>
        <d v="2021-07-28T00:00:00"/>
        <d v="2024-08-18T00:00:00"/>
        <d v="2021-01-23T00:00:00"/>
        <d v="2024-05-21T00:00:00"/>
        <d v="2024-03-03T00:00:00"/>
        <d v="2020-12-12T00:00:00"/>
        <d v="2022-04-26T00:00:00"/>
        <d v="2020-11-10T00:00:00"/>
        <d v="2022-11-08T00:00:00"/>
        <d v="2019-08-12T00:00:00"/>
        <d v="2022-09-20T00:00:00"/>
        <d v="2023-03-27T00:00:00"/>
        <d v="2019-03-05T00:00:00"/>
        <d v="2019-08-19T00:00:00"/>
        <d v="2022-09-25T00:00:00"/>
        <d v="2020-08-06T00:00:00"/>
        <d v="2020-01-19T00:00:00"/>
        <d v="2023-11-22T00:00:00"/>
        <d v="2019-12-29T00:00:00"/>
        <d v="2020-11-17T00:00:00"/>
        <d v="2019-05-08T00:00:00"/>
        <d v="2019-03-24T00:00:00"/>
        <d v="2020-02-28T00:00:00"/>
        <d v="2019-12-25T00:00:00"/>
        <d v="2019-06-03T00:00:00"/>
        <d v="2020-12-30T00:00:00"/>
        <d v="2021-11-01T00:00:00"/>
        <d v="2023-05-24T00:00:00"/>
        <d v="2021-10-31T00:00:00"/>
        <d v="2022-12-28T00:00:00"/>
        <d v="2018-11-24T00:00:00"/>
        <d v="2020-11-28T00:00:00"/>
        <d v="2022-11-22T00:00:00"/>
        <d v="2023-03-14T00:00:00"/>
        <d v="2023-10-31T00:00:00"/>
        <d v="2021-04-08T00:00:00"/>
        <d v="2020-05-14T00:00:00"/>
        <d v="2022-05-11T00:00:00"/>
        <d v="2019-05-30T00:00:00"/>
        <d v="2020-11-21T00:00:00"/>
        <d v="2019-10-22T00:00:00"/>
        <d v="2024-05-30T00:00:00"/>
        <d v="2018-10-07T00:00:00"/>
        <d v="2020-08-10T00:00:00"/>
        <d v="2020-02-25T00:00:00"/>
        <d v="2019-06-07T00:00:00"/>
        <d v="2020-08-13T00:00:00"/>
        <d v="2019-09-25T00:00:00"/>
        <d v="2019-05-23T00:00:00"/>
        <d v="2020-11-02T00:00:00"/>
        <d v="2024-01-17T00:00:00"/>
        <d v="2024-01-05T00:00:00"/>
        <d v="2019-09-16T00:00:00"/>
        <d v="2020-10-24T00:00:00"/>
        <d v="2024-02-23T00:00:00"/>
        <d v="2023-02-16T00:00:00"/>
        <d v="2019-01-13T00:00:00"/>
        <d v="2024-03-18T00:00:00"/>
        <d v="2019-12-27T00:00:00"/>
        <d v="2023-03-18T00:00:00"/>
        <d v="2020-10-30T00:00:00"/>
        <d v="2019-04-02T00:00:00"/>
        <d v="2021-08-10T00:00:00"/>
        <d v="2021-09-12T00:00:00"/>
        <d v="2020-06-11T00:00:00"/>
        <d v="2022-06-15T00:00:00"/>
        <d v="2019-05-05T00:00:00"/>
        <d v="2024-08-21T00:00:00"/>
        <d v="2019-07-06T00:00:00"/>
        <d v="2022-07-24T00:00:00"/>
        <d v="2024-07-31T00:00:00"/>
        <d v="2022-12-14T00:00:00"/>
        <d v="2023-08-28T00:00:00"/>
        <d v="2022-01-31T00:00:00"/>
        <d v="2024-08-13T00:00:00"/>
        <d v="2019-05-29T00:00:00"/>
        <d v="2024-05-31T00:00:00"/>
        <d v="2024-07-01T00:00:00"/>
        <d v="2021-01-25T00:00:00"/>
        <d v="2022-07-13T00:00:00"/>
        <d v="2024-07-18T00:00:00"/>
        <d v="2020-05-09T00:00:00"/>
        <d v="2022-08-28T00:00:00"/>
        <d v="2024-04-11T00:00:00"/>
        <d v="2019-06-17T00:00:00"/>
        <d v="2021-11-29T00:00:00"/>
        <d v="2024-03-23T00:00:00"/>
        <d v="2021-10-26T00:00:00"/>
        <d v="2023-10-13T00:00:00"/>
        <d v="2021-10-11T00:00:00"/>
        <d v="2022-10-17T00:00:00"/>
        <d v="2018-12-04T00:00:00"/>
        <d v="2019-11-15T00:00:00"/>
        <d v="2022-02-26T00:00:00"/>
        <d v="2020-09-27T00:00:00"/>
        <d v="2019-10-28T00:00:00"/>
        <d v="2023-11-15T00:00:00"/>
        <d v="2024-02-04T00:00:00"/>
        <d v="2023-11-24T00:00:00"/>
        <d v="2021-11-07T00:00:00"/>
        <d v="2020-02-23T00:00:00"/>
        <d v="2021-02-20T00:00:00"/>
        <d v="2019-01-18T00:00:00"/>
        <d v="2022-02-10T00:00:00"/>
        <d v="2024-01-14T00:00:00"/>
        <d v="2023-12-03T00:00:00"/>
        <d v="2018-11-16T00:00:00"/>
        <d v="2018-11-04T00:00:00"/>
        <d v="2023-11-27T00:00:00"/>
        <d v="2022-12-09T00:00:00"/>
        <d v="2018-10-14T00:00:00"/>
        <d v="2020-01-20T00:00:00"/>
        <d v="2024-09-11T00:00:00"/>
        <d v="2023-08-06T00:00:00"/>
        <d v="2020-08-28T00:00:00"/>
        <d v="2018-10-23T00:00:00"/>
        <d v="2022-06-28T00:00:00"/>
        <d v="2024-05-27T00:00:00"/>
        <d v="2018-10-21T00:00:00"/>
        <d v="2022-10-13T00:00:00"/>
        <d v="2023-07-04T00:00:00"/>
        <d v="2021-06-05T00:00:00"/>
        <d v="2023-06-08T00:00:00"/>
        <d v="2021-07-29T00:00:00"/>
        <d v="2019-12-10T00:00:00"/>
        <d v="2024-07-26T00:00:00"/>
        <d v="2022-02-07T00:00:00"/>
        <d v="2023-12-07T00:00:00"/>
        <d v="2019-02-22T00:00:00"/>
        <d v="2019-01-15T00:00:00"/>
        <d v="2023-04-01T00:00:00"/>
        <d v="2019-10-02T00:00:00"/>
        <d v="2023-04-11T00:00:00"/>
        <d v="2023-10-30T00:00:00"/>
        <d v="2019-04-13T00:00:00"/>
        <d v="2019-08-13T00:00:00"/>
        <d v="2022-05-01T00:00:00"/>
        <d v="2021-01-15T00:00:00"/>
        <d v="2022-11-09T00:00:00"/>
        <d v="2020-05-12T00:00:00"/>
        <d v="2020-07-30T00:00:00"/>
        <d v="2020-06-25T00:00:00"/>
        <d v="2018-11-29T00:00:00"/>
        <d v="2019-02-14T00:00:00"/>
        <d v="2023-07-22T00:00:00"/>
        <d v="2023-07-27T00:00:00"/>
        <d v="2021-06-16T00:00:00"/>
        <d v="2019-03-20T00:00:00"/>
        <d v="2019-09-02T00:00:00"/>
        <d v="2024-06-17T00:00:00"/>
        <d v="2022-01-23T00:00:00"/>
        <d v="2020-08-12T00:00:00"/>
        <d v="2020-07-24T00:00:00"/>
        <d v="2021-12-12T00:00:00"/>
        <d v="2022-10-10T00:00:00"/>
        <d v="2023-10-23T00:00:00"/>
        <d v="2020-12-14T00:00:00"/>
        <d v="2021-12-02T00:00:00"/>
        <d v="2018-11-20T00:00:00"/>
        <d v="2024-04-14T00:00:00"/>
        <d v="2018-12-17T00:00:00"/>
        <d v="2023-09-04T00:00:00"/>
        <d v="2021-10-02T00:00:00"/>
        <d v="2023-08-11T00:00:00"/>
        <d v="2021-05-03T00:00:00"/>
        <d v="2022-10-05T00:00:00"/>
        <d v="2021-03-01T00:00:00"/>
        <d v="2020-03-20T00:00:00"/>
        <d v="2021-02-21T00:00:00"/>
        <d v="2020-05-17T00:00:00"/>
        <d v="2024-02-05T00:00:00"/>
        <d v="2024-07-27T00:00:00"/>
      </sharedItems>
      <fieldGroup par="16"/>
    </cacheField>
    <cacheField name="Fecha de salida Laboral" numFmtId="14">
      <sharedItems containsNonDate="0" containsDate="1" containsString="0" containsBlank="1" minDate="2024-01-01T00:00:00" maxDate="2024-12-24T00:00:00"/>
    </cacheField>
    <cacheField name="Puesto" numFmtId="0">
      <sharedItems count="6">
        <s v="Analista"/>
        <s v="Especialista"/>
        <s v="Director"/>
        <s v="Asistente"/>
        <s v="Coordinador"/>
        <s v="Gerente"/>
      </sharedItems>
    </cacheField>
    <cacheField name="Departamento de Trabajo" numFmtId="0">
      <sharedItems count="6">
        <s v="Recursos Humanos"/>
        <s v="Marketing"/>
        <s v="IT"/>
        <s v="Operaciones"/>
        <s v="Ventas"/>
        <s v="Finanzas"/>
      </sharedItems>
    </cacheField>
    <cacheField name="Pais de Residencia" numFmtId="0">
      <sharedItems count="10">
        <s v="Guatemala"/>
        <s v="Uruguay"/>
        <s v="Argentina"/>
        <s v="Perú"/>
        <s v="Colombia"/>
        <s v="Ecuador"/>
        <s v="Chile"/>
        <s v="Paraguay"/>
        <s v="México"/>
        <s v="Bolivia"/>
      </sharedItems>
    </cacheField>
    <cacheField name="Genero" numFmtId="0">
      <sharedItems count="2">
        <s v="Femenino"/>
        <s v="Masculino"/>
      </sharedItems>
    </cacheField>
    <cacheField name="Salario USD" numFmtId="0">
      <sharedItems containsSemiMixedTypes="0" containsString="0" containsNumber="1" minValue="30123.13" maxValue="148383.57"/>
    </cacheField>
    <cacheField name="Fecha Nacimiento" numFmtId="14">
      <sharedItems containsSemiMixedTypes="0" containsNonDate="0" containsDate="1" containsString="0" minDate="1958-10-06T00:00:00" maxDate="2006-06-09T00:00:00"/>
    </cacheField>
    <cacheField name="Tipo Contratacion" numFmtId="0">
      <sharedItems count="3">
        <s v="Outsourcing"/>
        <s v="Propia"/>
        <s v="Referido"/>
      </sharedItems>
    </cacheField>
    <cacheField name="Estatus Trabajador" numFmtId="0">
      <sharedItems count="2">
        <s v="Activo"/>
        <s v="Inactivo"/>
      </sharedItems>
    </cacheField>
    <cacheField name="Edad" numFmtId="0">
      <sharedItems containsSemiMixedTypes="0" containsString="0" containsNumber="1" containsInteger="1" minValue="19" maxValue="67" count="48">
        <n v="43"/>
        <n v="37"/>
        <n v="52"/>
        <n v="23"/>
        <n v="36"/>
        <n v="26"/>
        <n v="28"/>
        <n v="44"/>
        <n v="58"/>
        <n v="32"/>
        <n v="21"/>
        <n v="66"/>
        <n v="64"/>
        <n v="48"/>
        <n v="55"/>
        <n v="47"/>
        <n v="33"/>
        <n v="65"/>
        <n v="19"/>
        <n v="54"/>
        <n v="51"/>
        <n v="30"/>
        <n v="22"/>
        <n v="53"/>
        <n v="57"/>
        <n v="62"/>
        <n v="20"/>
        <n v="25"/>
        <n v="59"/>
        <n v="46"/>
        <n v="63"/>
        <n v="24"/>
        <n v="45"/>
        <n v="67"/>
        <n v="61"/>
        <n v="34"/>
        <n v="41"/>
        <n v="42"/>
        <n v="27"/>
        <n v="56"/>
        <n v="50"/>
        <n v="38"/>
        <n v="35"/>
        <n v="40"/>
        <n v="29"/>
        <n v="49"/>
        <n v="39"/>
        <n v="60"/>
      </sharedItems>
      <fieldGroup base="12">
        <rangePr startNum="19" endNum="67" groupInterval="10"/>
        <groupItems count="7">
          <s v="&lt;19"/>
          <s v="19-28"/>
          <s v="29-38"/>
          <s v="39-48"/>
          <s v="49-58"/>
          <s v="59-68"/>
          <s v="&gt;69"/>
        </groupItems>
      </fieldGroup>
    </cacheField>
    <cacheField name="Antigüedad" numFmtId="0">
      <sharedItems containsSemiMixedTypes="0" containsString="0" containsNumber="1" containsInteger="1" minValue="1" maxValue="7" count="7">
        <n v="5"/>
        <n v="1"/>
        <n v="6"/>
        <n v="2"/>
        <n v="3"/>
        <n v="4"/>
        <n v="7"/>
      </sharedItems>
    </cacheField>
    <cacheField name="Meses (Fecha de Ingreso laboral)" numFmtId="0" databaseField="0">
      <fieldGroup base="2">
        <rangePr groupBy="months" startDate="2018-10-02T00:00:00" endDate="2024-09-12T00:00:00"/>
        <groupItems count="14">
          <s v="&lt;2/10/2018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2/09/2024"/>
        </groupItems>
      </fieldGroup>
    </cacheField>
    <cacheField name="Trimestres (Fecha de Ingreso laboral)" numFmtId="0" databaseField="0">
      <fieldGroup base="2">
        <rangePr groupBy="quarters" startDate="2018-10-02T00:00:00" endDate="2024-09-12T00:00:00"/>
        <groupItems count="6">
          <s v="&lt;2/10/2018"/>
          <s v="Trim.1"/>
          <s v="Trim.2"/>
          <s v="Trim.3"/>
          <s v="Trim.4"/>
          <s v="&gt;12/09/2024"/>
        </groupItems>
      </fieldGroup>
    </cacheField>
    <cacheField name="Años (Fecha de Ingreso laboral)" numFmtId="0" databaseField="0">
      <fieldGroup base="2">
        <rangePr groupBy="years" startDate="2018-10-02T00:00:00" endDate="2024-09-12T00:00:00"/>
        <groupItems count="9">
          <s v="&lt;2/10/2018"/>
          <s v="2018"/>
          <s v="2019"/>
          <s v="2020"/>
          <s v="2021"/>
          <s v="2022"/>
          <s v="2023"/>
          <s v="2024"/>
          <s v="&gt;12/09/2024"/>
        </groupItems>
      </fieldGroup>
    </cacheField>
    <cacheField name="AÑO" numFmtId="0" formula="YEAR('Fecha de Ingreso laboral' )" databaseField="0"/>
  </cacheFields>
  <extLst>
    <ext xmlns:x14="http://schemas.microsoft.com/office/spreadsheetml/2009/9/main" uri="{725AE2AE-9491-48be-B2B4-4EB974FC3084}">
      <x14:pivotCacheDefinition pivotCacheId="145581229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0">
  <r>
    <s v="xI1916"/>
    <s v="Carla Jaime"/>
    <x v="0"/>
    <m/>
    <x v="0"/>
    <x v="0"/>
    <x v="0"/>
    <x v="0"/>
    <n v="37981.94"/>
    <d v="1982-12-28T00:00:00"/>
    <x v="0"/>
    <x v="0"/>
    <x v="0"/>
    <x v="0"/>
  </r>
  <r>
    <s v="SD4983"/>
    <s v="Elisa Cristina Pizarro"/>
    <x v="1"/>
    <m/>
    <x v="1"/>
    <x v="1"/>
    <x v="1"/>
    <x v="0"/>
    <n v="63239.11"/>
    <d v="1988-10-12T00:00:00"/>
    <x v="0"/>
    <x v="0"/>
    <x v="1"/>
    <x v="0"/>
  </r>
  <r>
    <s v="xq5174"/>
    <s v="Ernesto Jimínez"/>
    <x v="2"/>
    <d v="2024-12-13T00:00:00"/>
    <x v="0"/>
    <x v="2"/>
    <x v="2"/>
    <x v="1"/>
    <n v="37765.620000000003"/>
    <d v="1973-05-30T00:00:00"/>
    <x v="1"/>
    <x v="1"/>
    <x v="2"/>
    <x v="1"/>
  </r>
  <r>
    <s v="Vh3842"/>
    <s v="Natividad Cornelio Alvarez"/>
    <x v="3"/>
    <m/>
    <x v="2"/>
    <x v="0"/>
    <x v="3"/>
    <x v="1"/>
    <n v="53663.79"/>
    <d v="2002-05-22T00:00:00"/>
    <x v="0"/>
    <x v="0"/>
    <x v="3"/>
    <x v="0"/>
  </r>
  <r>
    <s v="lg1401"/>
    <s v="Ángela Uriel Vigil Salgado"/>
    <x v="4"/>
    <m/>
    <x v="0"/>
    <x v="0"/>
    <x v="4"/>
    <x v="0"/>
    <n v="126887.77"/>
    <d v="1989-07-03T00:00:00"/>
    <x v="2"/>
    <x v="0"/>
    <x v="4"/>
    <x v="2"/>
  </r>
  <r>
    <s v="qD0371"/>
    <s v="Anel Nazario Segovia"/>
    <x v="5"/>
    <d v="2024-06-27T00:00:00"/>
    <x v="2"/>
    <x v="3"/>
    <x v="0"/>
    <x v="1"/>
    <n v="102203.98"/>
    <d v="1989-01-05T00:00:00"/>
    <x v="1"/>
    <x v="1"/>
    <x v="1"/>
    <x v="1"/>
  </r>
  <r>
    <s v="vg0332"/>
    <s v="Óscar Villaseñor"/>
    <x v="6"/>
    <d v="2024-09-18T00:00:00"/>
    <x v="3"/>
    <x v="1"/>
    <x v="3"/>
    <x v="1"/>
    <n v="122315.35"/>
    <d v="1999-12-04T00:00:00"/>
    <x v="2"/>
    <x v="1"/>
    <x v="5"/>
    <x v="1"/>
  </r>
  <r>
    <s v="cW6613"/>
    <s v="Ángela Esparta Vallejo Carrera"/>
    <x v="7"/>
    <m/>
    <x v="4"/>
    <x v="1"/>
    <x v="4"/>
    <x v="0"/>
    <n v="137297.71"/>
    <d v="1973-06-15T00:00:00"/>
    <x v="0"/>
    <x v="0"/>
    <x v="2"/>
    <x v="1"/>
  </r>
  <r>
    <s v="pW4936"/>
    <s v="Cecilia Rascón Díaz"/>
    <x v="8"/>
    <d v="2024-01-14T00:00:00"/>
    <x v="3"/>
    <x v="2"/>
    <x v="0"/>
    <x v="0"/>
    <n v="55983.32"/>
    <d v="1997-09-19T00:00:00"/>
    <x v="2"/>
    <x v="1"/>
    <x v="6"/>
    <x v="1"/>
  </r>
  <r>
    <s v="az9217"/>
    <s v="Beatriz Tapia de la O"/>
    <x v="9"/>
    <d v="2024-03-11T00:00:00"/>
    <x v="2"/>
    <x v="3"/>
    <x v="4"/>
    <x v="1"/>
    <n v="138508.01"/>
    <d v="1981-07-02T00:00:00"/>
    <x v="0"/>
    <x v="1"/>
    <x v="7"/>
    <x v="1"/>
  </r>
  <r>
    <s v="rx4123"/>
    <s v="Indira Lourdes Bernal"/>
    <x v="10"/>
    <d v="2024-09-15T00:00:00"/>
    <x v="0"/>
    <x v="3"/>
    <x v="0"/>
    <x v="0"/>
    <n v="45791.93"/>
    <d v="1967-06-17T00:00:00"/>
    <x v="1"/>
    <x v="1"/>
    <x v="8"/>
    <x v="1"/>
  </r>
  <r>
    <s v="RB7528"/>
    <s v="Mariana Francisco Mora Aparicio"/>
    <x v="11"/>
    <m/>
    <x v="3"/>
    <x v="4"/>
    <x v="1"/>
    <x v="0"/>
    <n v="135684.54"/>
    <d v="1967-03-09T00:00:00"/>
    <x v="1"/>
    <x v="0"/>
    <x v="8"/>
    <x v="3"/>
  </r>
  <r>
    <s v="IP9867"/>
    <s v="Mtro. Javier Ferrer"/>
    <x v="12"/>
    <d v="2024-06-19T00:00:00"/>
    <x v="3"/>
    <x v="4"/>
    <x v="3"/>
    <x v="1"/>
    <n v="40342.080000000002"/>
    <d v="1993-04-02T00:00:00"/>
    <x v="0"/>
    <x v="1"/>
    <x v="9"/>
    <x v="1"/>
  </r>
  <r>
    <s v="zi1122"/>
    <s v="Mónica Muñoz"/>
    <x v="13"/>
    <m/>
    <x v="2"/>
    <x v="5"/>
    <x v="0"/>
    <x v="1"/>
    <n v="134409.76"/>
    <d v="2004-04-14T00:00:00"/>
    <x v="2"/>
    <x v="0"/>
    <x v="10"/>
    <x v="4"/>
  </r>
  <r>
    <s v="LG9144"/>
    <s v="Emilio Briones"/>
    <x v="14"/>
    <d v="2024-03-23T00:00:00"/>
    <x v="3"/>
    <x v="5"/>
    <x v="4"/>
    <x v="1"/>
    <n v="47323.56"/>
    <d v="2004-11-29T00:00:00"/>
    <x v="1"/>
    <x v="1"/>
    <x v="10"/>
    <x v="1"/>
  </r>
  <r>
    <s v="Ln4950"/>
    <s v="Paola Adela Escobedo"/>
    <x v="15"/>
    <m/>
    <x v="4"/>
    <x v="2"/>
    <x v="2"/>
    <x v="0"/>
    <n v="63826.03"/>
    <d v="1981-12-14T00:00:00"/>
    <x v="2"/>
    <x v="0"/>
    <x v="7"/>
    <x v="4"/>
  </r>
  <r>
    <s v="tj5613"/>
    <s v="Anabel Reynaldo Sáenz"/>
    <x v="16"/>
    <m/>
    <x v="1"/>
    <x v="4"/>
    <x v="2"/>
    <x v="1"/>
    <n v="105529.73"/>
    <d v="1973-07-23T00:00:00"/>
    <x v="2"/>
    <x v="0"/>
    <x v="2"/>
    <x v="4"/>
  </r>
  <r>
    <s v="Wi3209"/>
    <s v="Mtro. Luz Solorzano"/>
    <x v="17"/>
    <d v="2024-11-07T00:00:00"/>
    <x v="0"/>
    <x v="2"/>
    <x v="0"/>
    <x v="1"/>
    <n v="69488.789999999994"/>
    <d v="1997-03-08T00:00:00"/>
    <x v="1"/>
    <x v="1"/>
    <x v="6"/>
    <x v="1"/>
  </r>
  <r>
    <s v="Xa5434"/>
    <s v="Citlali Reyna Arevalo"/>
    <x v="18"/>
    <d v="2024-04-27T00:00:00"/>
    <x v="2"/>
    <x v="2"/>
    <x v="5"/>
    <x v="1"/>
    <n v="133467.19"/>
    <d v="1959-03-12T00:00:00"/>
    <x v="1"/>
    <x v="1"/>
    <x v="11"/>
    <x v="1"/>
  </r>
  <r>
    <s v="Yu0768"/>
    <s v="Dolores Juan Reséndez Vélez"/>
    <x v="19"/>
    <d v="2024-12-23T00:00:00"/>
    <x v="5"/>
    <x v="0"/>
    <x v="6"/>
    <x v="1"/>
    <n v="128759.59"/>
    <d v="1961-01-17T00:00:00"/>
    <x v="2"/>
    <x v="1"/>
    <x v="12"/>
    <x v="1"/>
  </r>
  <r>
    <s v="tw8317"/>
    <s v="María Tijerina"/>
    <x v="20"/>
    <m/>
    <x v="2"/>
    <x v="3"/>
    <x v="4"/>
    <x v="0"/>
    <n v="102562.4"/>
    <d v="1982-06-28T00:00:00"/>
    <x v="1"/>
    <x v="0"/>
    <x v="0"/>
    <x v="1"/>
  </r>
  <r>
    <s v="oG7154"/>
    <s v="Miguel Norma Ulibarri Solorzano"/>
    <x v="21"/>
    <d v="2024-01-10T00:00:00"/>
    <x v="1"/>
    <x v="5"/>
    <x v="5"/>
    <x v="1"/>
    <n v="54019.46"/>
    <d v="1977-09-13T00:00:00"/>
    <x v="0"/>
    <x v="1"/>
    <x v="13"/>
    <x v="1"/>
  </r>
  <r>
    <s v="yd6496"/>
    <s v="Mtro. Barbara Mondragón"/>
    <x v="22"/>
    <d v="2024-03-13T00:00:00"/>
    <x v="3"/>
    <x v="2"/>
    <x v="7"/>
    <x v="1"/>
    <n v="45729.4"/>
    <d v="1990-01-05T00:00:00"/>
    <x v="0"/>
    <x v="1"/>
    <x v="4"/>
    <x v="1"/>
  </r>
  <r>
    <s v="tC9365"/>
    <s v="Carolina Sisneros"/>
    <x v="23"/>
    <d v="2024-11-24T00:00:00"/>
    <x v="5"/>
    <x v="4"/>
    <x v="3"/>
    <x v="0"/>
    <n v="137726.98000000001"/>
    <d v="1970-06-09T00:00:00"/>
    <x v="0"/>
    <x v="1"/>
    <x v="14"/>
    <x v="1"/>
  </r>
  <r>
    <s v="wP8411"/>
    <s v="Sr(a). Ilse Santiago"/>
    <x v="24"/>
    <d v="2024-07-13T00:00:00"/>
    <x v="1"/>
    <x v="4"/>
    <x v="3"/>
    <x v="1"/>
    <n v="44439.86"/>
    <d v="1988-11-13T00:00:00"/>
    <x v="0"/>
    <x v="1"/>
    <x v="1"/>
    <x v="1"/>
  </r>
  <r>
    <s v="FC6455"/>
    <s v="Mauro Espartaco Collado"/>
    <x v="25"/>
    <d v="2024-01-09T00:00:00"/>
    <x v="1"/>
    <x v="1"/>
    <x v="8"/>
    <x v="1"/>
    <n v="111748.76"/>
    <d v="1999-12-07T00:00:00"/>
    <x v="2"/>
    <x v="1"/>
    <x v="5"/>
    <x v="1"/>
  </r>
  <r>
    <s v="td8030"/>
    <s v="Sara Sonia Guajardo"/>
    <x v="26"/>
    <d v="2024-12-19T00:00:00"/>
    <x v="4"/>
    <x v="3"/>
    <x v="8"/>
    <x v="0"/>
    <n v="117452.58"/>
    <d v="1978-11-10T00:00:00"/>
    <x v="1"/>
    <x v="1"/>
    <x v="15"/>
    <x v="1"/>
  </r>
  <r>
    <s v="CH9989"/>
    <s v="Reynaldo Moya"/>
    <x v="27"/>
    <m/>
    <x v="4"/>
    <x v="3"/>
    <x v="5"/>
    <x v="1"/>
    <n v="102439.58"/>
    <d v="1992-12-03T00:00:00"/>
    <x v="2"/>
    <x v="0"/>
    <x v="16"/>
    <x v="5"/>
  </r>
  <r>
    <s v="Fx3696"/>
    <s v="Aurora Solorio Soto"/>
    <x v="28"/>
    <d v="2024-06-27T00:00:00"/>
    <x v="3"/>
    <x v="3"/>
    <x v="2"/>
    <x v="0"/>
    <n v="111716.39"/>
    <d v="1997-06-17T00:00:00"/>
    <x v="2"/>
    <x v="1"/>
    <x v="6"/>
    <x v="1"/>
  </r>
  <r>
    <s v="PQ7295"/>
    <s v="Mtro. Isaac Gallegos"/>
    <x v="29"/>
    <d v="2024-08-05T00:00:00"/>
    <x v="0"/>
    <x v="4"/>
    <x v="3"/>
    <x v="1"/>
    <n v="144873.54"/>
    <d v="1960-03-10T00:00:00"/>
    <x v="0"/>
    <x v="1"/>
    <x v="17"/>
    <x v="1"/>
  </r>
  <r>
    <s v="vt0011"/>
    <s v="Luz Héctor Otero Casillas"/>
    <x v="30"/>
    <d v="2024-06-24T00:00:00"/>
    <x v="3"/>
    <x v="2"/>
    <x v="1"/>
    <x v="1"/>
    <n v="139740.06"/>
    <d v="1997-10-01T00:00:00"/>
    <x v="2"/>
    <x v="1"/>
    <x v="6"/>
    <x v="1"/>
  </r>
  <r>
    <s v="mX2205"/>
    <s v="René Arcelia Alonzo"/>
    <x v="31"/>
    <d v="2024-06-05T00:00:00"/>
    <x v="1"/>
    <x v="0"/>
    <x v="1"/>
    <x v="1"/>
    <n v="55751.21"/>
    <d v="2002-07-29T00:00:00"/>
    <x v="0"/>
    <x v="1"/>
    <x v="3"/>
    <x v="1"/>
  </r>
  <r>
    <s v="zd1985"/>
    <s v="Beatriz Felix Cabrera"/>
    <x v="32"/>
    <d v="2024-04-08T00:00:00"/>
    <x v="1"/>
    <x v="5"/>
    <x v="9"/>
    <x v="1"/>
    <n v="74611.55"/>
    <d v="2006-06-08T00:00:00"/>
    <x v="2"/>
    <x v="1"/>
    <x v="18"/>
    <x v="1"/>
  </r>
  <r>
    <s v="RL0157"/>
    <s v="Ing. Rosalia Mateo"/>
    <x v="33"/>
    <d v="2024-07-18T00:00:00"/>
    <x v="3"/>
    <x v="3"/>
    <x v="3"/>
    <x v="1"/>
    <n v="63972.3"/>
    <d v="1971-01-13T00:00:00"/>
    <x v="0"/>
    <x v="1"/>
    <x v="19"/>
    <x v="1"/>
  </r>
  <r>
    <s v="PT2452"/>
    <s v="Ing. Ramón Gallegos"/>
    <x v="34"/>
    <d v="2024-04-14T00:00:00"/>
    <x v="4"/>
    <x v="4"/>
    <x v="1"/>
    <x v="1"/>
    <n v="86043.83"/>
    <d v="1974-06-03T00:00:00"/>
    <x v="1"/>
    <x v="1"/>
    <x v="20"/>
    <x v="1"/>
  </r>
  <r>
    <s v="cY7667"/>
    <s v="Jaime Mitzy Ceballos Báez"/>
    <x v="35"/>
    <m/>
    <x v="0"/>
    <x v="4"/>
    <x v="9"/>
    <x v="1"/>
    <n v="144807.75"/>
    <d v="1970-07-30T00:00:00"/>
    <x v="1"/>
    <x v="0"/>
    <x v="14"/>
    <x v="1"/>
  </r>
  <r>
    <s v="bU9339"/>
    <s v="Fabiola Olivares Fierro"/>
    <x v="36"/>
    <d v="2024-10-26T00:00:00"/>
    <x v="0"/>
    <x v="3"/>
    <x v="1"/>
    <x v="0"/>
    <n v="111540.48"/>
    <d v="1995-10-09T00:00:00"/>
    <x v="0"/>
    <x v="1"/>
    <x v="21"/>
    <x v="1"/>
  </r>
  <r>
    <s v="YB0769"/>
    <s v="Hermelinda Esparza"/>
    <x v="37"/>
    <d v="2024-10-25T00:00:00"/>
    <x v="4"/>
    <x v="4"/>
    <x v="5"/>
    <x v="1"/>
    <n v="105279.36"/>
    <d v="1995-12-12T00:00:00"/>
    <x v="1"/>
    <x v="1"/>
    <x v="21"/>
    <x v="1"/>
  </r>
  <r>
    <s v="Us4412"/>
    <s v="Mtro. Jaqueline Frías"/>
    <x v="38"/>
    <d v="2024-09-21T00:00:00"/>
    <x v="1"/>
    <x v="2"/>
    <x v="7"/>
    <x v="1"/>
    <n v="130906.56"/>
    <d v="2003-05-18T00:00:00"/>
    <x v="2"/>
    <x v="1"/>
    <x v="22"/>
    <x v="1"/>
  </r>
  <r>
    <s v="gj8384"/>
    <s v="Ivonne Andrés Magaña Beltrán"/>
    <x v="39"/>
    <d v="2024-09-08T00:00:00"/>
    <x v="0"/>
    <x v="2"/>
    <x v="7"/>
    <x v="1"/>
    <n v="124470.89"/>
    <d v="2003-06-09T00:00:00"/>
    <x v="1"/>
    <x v="1"/>
    <x v="22"/>
    <x v="1"/>
  </r>
  <r>
    <s v="CP7916"/>
    <s v="Ernesto de la Rosa"/>
    <x v="40"/>
    <m/>
    <x v="4"/>
    <x v="1"/>
    <x v="0"/>
    <x v="1"/>
    <n v="39510.58"/>
    <d v="2003-02-19T00:00:00"/>
    <x v="0"/>
    <x v="0"/>
    <x v="22"/>
    <x v="5"/>
  </r>
  <r>
    <s v="fg7683"/>
    <s v="Alonso Yuridia Jurado"/>
    <x v="41"/>
    <m/>
    <x v="1"/>
    <x v="2"/>
    <x v="0"/>
    <x v="1"/>
    <n v="127167.59"/>
    <d v="1972-02-19T00:00:00"/>
    <x v="0"/>
    <x v="0"/>
    <x v="23"/>
    <x v="3"/>
  </r>
  <r>
    <s v="tK8361"/>
    <s v="Jacobo Antonia Meléndez"/>
    <x v="42"/>
    <d v="2024-02-06T00:00:00"/>
    <x v="2"/>
    <x v="2"/>
    <x v="0"/>
    <x v="1"/>
    <n v="73871.520000000004"/>
    <d v="1968-03-20T00:00:00"/>
    <x v="0"/>
    <x v="1"/>
    <x v="24"/>
    <x v="1"/>
  </r>
  <r>
    <s v="IN3883"/>
    <s v="Iván Nevárez"/>
    <x v="43"/>
    <d v="2024-11-23T00:00:00"/>
    <x v="2"/>
    <x v="3"/>
    <x v="0"/>
    <x v="1"/>
    <n v="32059.98"/>
    <d v="1997-03-31T00:00:00"/>
    <x v="1"/>
    <x v="1"/>
    <x v="6"/>
    <x v="1"/>
  </r>
  <r>
    <s v="tf4760"/>
    <s v="Cecilia José Carlos Gálvez Mondragón"/>
    <x v="44"/>
    <d v="2024-11-12T00:00:00"/>
    <x v="1"/>
    <x v="2"/>
    <x v="8"/>
    <x v="0"/>
    <n v="66034.350000000006"/>
    <d v="1988-09-23T00:00:00"/>
    <x v="1"/>
    <x v="1"/>
    <x v="1"/>
    <x v="1"/>
  </r>
  <r>
    <s v="oE1012"/>
    <s v="Francisca Irene Páez"/>
    <x v="45"/>
    <m/>
    <x v="0"/>
    <x v="5"/>
    <x v="0"/>
    <x v="0"/>
    <n v="110141.19"/>
    <d v="1963-06-19T00:00:00"/>
    <x v="1"/>
    <x v="0"/>
    <x v="25"/>
    <x v="5"/>
  </r>
  <r>
    <s v="qA2297"/>
    <s v="Nancy Gabriela Rosario Menéndez"/>
    <x v="46"/>
    <m/>
    <x v="1"/>
    <x v="4"/>
    <x v="0"/>
    <x v="1"/>
    <n v="42883.68"/>
    <d v="1963-01-30T00:00:00"/>
    <x v="0"/>
    <x v="0"/>
    <x v="25"/>
    <x v="2"/>
  </r>
  <r>
    <s v="Iy1264"/>
    <s v="Leonardo Eva Villanueva"/>
    <x v="47"/>
    <m/>
    <x v="2"/>
    <x v="2"/>
    <x v="9"/>
    <x v="1"/>
    <n v="51404.62"/>
    <d v="2005-07-13T00:00:00"/>
    <x v="2"/>
    <x v="0"/>
    <x v="26"/>
    <x v="5"/>
  </r>
  <r>
    <s v="TF3887"/>
    <s v="Modesto Amaya Alarcón"/>
    <x v="48"/>
    <d v="2024-06-13T00:00:00"/>
    <x v="0"/>
    <x v="1"/>
    <x v="0"/>
    <x v="1"/>
    <n v="43901.04"/>
    <d v="2000-06-08T00:00:00"/>
    <x v="1"/>
    <x v="1"/>
    <x v="27"/>
    <x v="1"/>
  </r>
  <r>
    <s v="UD0881"/>
    <s v="Salma Luis Miguel Rodríguez"/>
    <x v="49"/>
    <d v="2024-11-16T00:00:00"/>
    <x v="5"/>
    <x v="0"/>
    <x v="5"/>
    <x v="0"/>
    <n v="50177.87"/>
    <d v="2005-12-22T00:00:00"/>
    <x v="1"/>
    <x v="1"/>
    <x v="26"/>
    <x v="1"/>
  </r>
  <r>
    <s v="Go9296"/>
    <s v="Héctor Eric Carrión Rosas"/>
    <x v="50"/>
    <d v="2024-11-30T00:00:00"/>
    <x v="3"/>
    <x v="0"/>
    <x v="0"/>
    <x v="1"/>
    <n v="49901.99"/>
    <d v="1966-07-05T00:00:00"/>
    <x v="2"/>
    <x v="1"/>
    <x v="28"/>
    <x v="1"/>
  </r>
  <r>
    <s v="BK0699"/>
    <s v="Homero Reynaldo Portillo Valdés"/>
    <x v="51"/>
    <d v="2024-10-12T00:00:00"/>
    <x v="3"/>
    <x v="4"/>
    <x v="0"/>
    <x v="1"/>
    <n v="116686.66"/>
    <d v="1979-11-17T00:00:00"/>
    <x v="2"/>
    <x v="1"/>
    <x v="29"/>
    <x v="1"/>
  </r>
  <r>
    <s v="CB9474"/>
    <s v="José Urrutia Vergara"/>
    <x v="52"/>
    <m/>
    <x v="0"/>
    <x v="0"/>
    <x v="3"/>
    <x v="1"/>
    <n v="107564.03"/>
    <d v="1962-06-18T00:00:00"/>
    <x v="2"/>
    <x v="0"/>
    <x v="30"/>
    <x v="0"/>
  </r>
  <r>
    <s v="oW4319"/>
    <s v="Abelardo Jonás Lugo Jasso"/>
    <x v="53"/>
    <m/>
    <x v="5"/>
    <x v="1"/>
    <x v="3"/>
    <x v="1"/>
    <n v="101948.59"/>
    <d v="2001-03-26T00:00:00"/>
    <x v="1"/>
    <x v="0"/>
    <x v="31"/>
    <x v="4"/>
  </r>
  <r>
    <s v="AH5104"/>
    <s v="Cristian Arias Alemán"/>
    <x v="54"/>
    <d v="2024-10-23T00:00:00"/>
    <x v="5"/>
    <x v="3"/>
    <x v="7"/>
    <x v="1"/>
    <n v="115577.22"/>
    <d v="2005-02-07T00:00:00"/>
    <x v="2"/>
    <x v="1"/>
    <x v="26"/>
    <x v="1"/>
  </r>
  <r>
    <s v="rp7227"/>
    <s v="Ariadna Gustavo Méndez Valles"/>
    <x v="55"/>
    <d v="2024-02-17T00:00:00"/>
    <x v="4"/>
    <x v="4"/>
    <x v="0"/>
    <x v="0"/>
    <n v="58958.2"/>
    <d v="1989-08-17T00:00:00"/>
    <x v="0"/>
    <x v="1"/>
    <x v="4"/>
    <x v="1"/>
  </r>
  <r>
    <s v="Al5405"/>
    <s v="Gilberto Karla Barrios Muñiz"/>
    <x v="56"/>
    <m/>
    <x v="1"/>
    <x v="3"/>
    <x v="6"/>
    <x v="1"/>
    <n v="131248.63"/>
    <d v="1960-09-29T00:00:00"/>
    <x v="1"/>
    <x v="0"/>
    <x v="17"/>
    <x v="5"/>
  </r>
  <r>
    <s v="kc7431"/>
    <s v="Pedro Elena Ulloa"/>
    <x v="57"/>
    <m/>
    <x v="3"/>
    <x v="1"/>
    <x v="4"/>
    <x v="1"/>
    <n v="57214.04"/>
    <d v="2006-03-25T00:00:00"/>
    <x v="2"/>
    <x v="0"/>
    <x v="18"/>
    <x v="2"/>
  </r>
  <r>
    <s v="iV3015"/>
    <s v="Cornelio Venegas Ureña"/>
    <x v="58"/>
    <d v="2024-08-07T00:00:00"/>
    <x v="4"/>
    <x v="0"/>
    <x v="4"/>
    <x v="1"/>
    <n v="37065.33"/>
    <d v="1962-02-15T00:00:00"/>
    <x v="1"/>
    <x v="1"/>
    <x v="30"/>
    <x v="1"/>
  </r>
  <r>
    <s v="vf9721"/>
    <s v="Ing. Jorge Luis Gallardo"/>
    <x v="59"/>
    <m/>
    <x v="2"/>
    <x v="1"/>
    <x v="0"/>
    <x v="1"/>
    <n v="114002.42"/>
    <d v="1980-03-28T00:00:00"/>
    <x v="0"/>
    <x v="0"/>
    <x v="32"/>
    <x v="2"/>
  </r>
  <r>
    <s v="Si7030"/>
    <s v="Elena Rodarte"/>
    <x v="60"/>
    <m/>
    <x v="0"/>
    <x v="5"/>
    <x v="6"/>
    <x v="0"/>
    <n v="123575.28"/>
    <d v="2006-01-19T00:00:00"/>
    <x v="1"/>
    <x v="0"/>
    <x v="18"/>
    <x v="4"/>
  </r>
  <r>
    <s v="FE9986"/>
    <s v="Teodoro Eugenia Candelaria"/>
    <x v="61"/>
    <m/>
    <x v="0"/>
    <x v="4"/>
    <x v="0"/>
    <x v="1"/>
    <n v="82337.210000000006"/>
    <d v="1982-07-07T00:00:00"/>
    <x v="2"/>
    <x v="0"/>
    <x v="0"/>
    <x v="0"/>
  </r>
  <r>
    <s v="ed3435"/>
    <s v="Sandra Nicolás Guzmán Madrid"/>
    <x v="62"/>
    <m/>
    <x v="3"/>
    <x v="4"/>
    <x v="3"/>
    <x v="0"/>
    <n v="106793.46"/>
    <d v="1958-10-06T00:00:00"/>
    <x v="0"/>
    <x v="0"/>
    <x v="33"/>
    <x v="6"/>
  </r>
  <r>
    <s v="Ha9698"/>
    <s v="Ángel Ruiz"/>
    <x v="63"/>
    <d v="2024-03-23T00:00:00"/>
    <x v="0"/>
    <x v="3"/>
    <x v="9"/>
    <x v="1"/>
    <n v="141947.46"/>
    <d v="2004-01-26T00:00:00"/>
    <x v="0"/>
    <x v="1"/>
    <x v="10"/>
    <x v="1"/>
  </r>
  <r>
    <s v="DF9725"/>
    <s v="Luz Alta  Gracia Lebrón"/>
    <x v="64"/>
    <m/>
    <x v="2"/>
    <x v="0"/>
    <x v="7"/>
    <x v="1"/>
    <n v="112618.63"/>
    <d v="1964-06-12T00:00:00"/>
    <x v="2"/>
    <x v="0"/>
    <x v="34"/>
    <x v="0"/>
  </r>
  <r>
    <s v="fS7388"/>
    <s v="Rubén Olvera"/>
    <x v="65"/>
    <m/>
    <x v="4"/>
    <x v="1"/>
    <x v="2"/>
    <x v="1"/>
    <n v="67274.14"/>
    <d v="1995-03-17T00:00:00"/>
    <x v="1"/>
    <x v="0"/>
    <x v="21"/>
    <x v="2"/>
  </r>
  <r>
    <s v="RJ9002"/>
    <s v="Nicolás Manzanares"/>
    <x v="66"/>
    <m/>
    <x v="2"/>
    <x v="2"/>
    <x v="1"/>
    <x v="1"/>
    <n v="133899.76"/>
    <d v="1991-06-28T00:00:00"/>
    <x v="1"/>
    <x v="0"/>
    <x v="35"/>
    <x v="2"/>
  </r>
  <r>
    <s v="fF3040"/>
    <s v="Elvira Zamudio"/>
    <x v="67"/>
    <d v="2024-10-01T00:00:00"/>
    <x v="4"/>
    <x v="1"/>
    <x v="3"/>
    <x v="0"/>
    <n v="141277.67000000001"/>
    <d v="1999-09-15T00:00:00"/>
    <x v="1"/>
    <x v="1"/>
    <x v="5"/>
    <x v="1"/>
  </r>
  <r>
    <s v="Jd3014"/>
    <s v="María Eugenia Maldonado Cabrera"/>
    <x v="68"/>
    <d v="2024-10-13T00:00:00"/>
    <x v="2"/>
    <x v="1"/>
    <x v="1"/>
    <x v="0"/>
    <n v="56963.7"/>
    <d v="1989-05-12T00:00:00"/>
    <x v="0"/>
    <x v="1"/>
    <x v="4"/>
    <x v="1"/>
  </r>
  <r>
    <s v="Vd8373"/>
    <s v="Miguel Merino Naranjo"/>
    <x v="69"/>
    <d v="2024-05-04T00:00:00"/>
    <x v="4"/>
    <x v="1"/>
    <x v="6"/>
    <x v="1"/>
    <n v="76725.14"/>
    <d v="1971-12-05T00:00:00"/>
    <x v="2"/>
    <x v="1"/>
    <x v="19"/>
    <x v="1"/>
  </r>
  <r>
    <s v="ra8840"/>
    <s v="Flavio Vega Jaimes"/>
    <x v="70"/>
    <d v="2024-10-09T00:00:00"/>
    <x v="4"/>
    <x v="2"/>
    <x v="8"/>
    <x v="1"/>
    <n v="141627.12"/>
    <d v="1984-03-30T00:00:00"/>
    <x v="0"/>
    <x v="1"/>
    <x v="36"/>
    <x v="1"/>
  </r>
  <r>
    <s v="WG7325"/>
    <s v="Araceli Covarrubias"/>
    <x v="71"/>
    <m/>
    <x v="3"/>
    <x v="2"/>
    <x v="5"/>
    <x v="1"/>
    <n v="128599.84"/>
    <d v="1972-01-05T00:00:00"/>
    <x v="2"/>
    <x v="0"/>
    <x v="19"/>
    <x v="4"/>
  </r>
  <r>
    <s v="IH1546"/>
    <s v="Adán Emiliano Molina"/>
    <x v="72"/>
    <m/>
    <x v="3"/>
    <x v="0"/>
    <x v="3"/>
    <x v="1"/>
    <n v="98704.639999999999"/>
    <d v="1973-05-20T00:00:00"/>
    <x v="0"/>
    <x v="0"/>
    <x v="2"/>
    <x v="5"/>
  </r>
  <r>
    <s v="EX1441"/>
    <s v="Bruno Hermelinda Contreras Estévez"/>
    <x v="73"/>
    <d v="2024-03-05T00:00:00"/>
    <x v="5"/>
    <x v="4"/>
    <x v="0"/>
    <x v="1"/>
    <n v="72038.89"/>
    <d v="1997-12-05T00:00:00"/>
    <x v="0"/>
    <x v="1"/>
    <x v="6"/>
    <x v="1"/>
  </r>
  <r>
    <s v="SF5944"/>
    <s v="Trinidad Marisol Segovia"/>
    <x v="74"/>
    <d v="2024-11-06T00:00:00"/>
    <x v="0"/>
    <x v="4"/>
    <x v="4"/>
    <x v="1"/>
    <n v="46482.68"/>
    <d v="1978-04-15T00:00:00"/>
    <x v="2"/>
    <x v="1"/>
    <x v="15"/>
    <x v="1"/>
  </r>
  <r>
    <s v="EU9810"/>
    <s v="Victoria Arellano Jaimes"/>
    <x v="75"/>
    <m/>
    <x v="0"/>
    <x v="1"/>
    <x v="5"/>
    <x v="0"/>
    <n v="87311.41"/>
    <d v="1992-03-26T00:00:00"/>
    <x v="2"/>
    <x v="0"/>
    <x v="16"/>
    <x v="6"/>
  </r>
  <r>
    <s v="Uz0098"/>
    <s v="Anel Cabrera"/>
    <x v="76"/>
    <m/>
    <x v="3"/>
    <x v="2"/>
    <x v="3"/>
    <x v="1"/>
    <n v="42519.02"/>
    <d v="1958-11-27T00:00:00"/>
    <x v="0"/>
    <x v="0"/>
    <x v="33"/>
    <x v="1"/>
  </r>
  <r>
    <s v="zT6808"/>
    <s v="Lorena Abelardo Nieves"/>
    <x v="77"/>
    <m/>
    <x v="0"/>
    <x v="3"/>
    <x v="3"/>
    <x v="0"/>
    <n v="76042.3"/>
    <d v="1993-05-26T00:00:00"/>
    <x v="1"/>
    <x v="0"/>
    <x v="9"/>
    <x v="5"/>
  </r>
  <r>
    <s v="hB4402"/>
    <s v="Óscar Miguel Ángel Espinosa Grijalva"/>
    <x v="78"/>
    <d v="2024-06-14T00:00:00"/>
    <x v="5"/>
    <x v="2"/>
    <x v="2"/>
    <x v="1"/>
    <n v="84294.6"/>
    <d v="2002-07-15T00:00:00"/>
    <x v="0"/>
    <x v="1"/>
    <x v="3"/>
    <x v="1"/>
  </r>
  <r>
    <s v="IB0195"/>
    <s v="Jorge Luis Miguel Ángel Estrada"/>
    <x v="79"/>
    <d v="2024-01-26T00:00:00"/>
    <x v="5"/>
    <x v="3"/>
    <x v="4"/>
    <x v="1"/>
    <n v="51982.29"/>
    <d v="1967-11-24T00:00:00"/>
    <x v="1"/>
    <x v="1"/>
    <x v="8"/>
    <x v="1"/>
  </r>
  <r>
    <s v="nq0257"/>
    <s v="Ing. José Manuél Meza"/>
    <x v="80"/>
    <m/>
    <x v="4"/>
    <x v="1"/>
    <x v="8"/>
    <x v="1"/>
    <n v="123840.5"/>
    <d v="1995-11-08T00:00:00"/>
    <x v="2"/>
    <x v="0"/>
    <x v="21"/>
    <x v="0"/>
  </r>
  <r>
    <s v="CB2881"/>
    <s v="Araceli Ávalos Mesa"/>
    <x v="81"/>
    <d v="2024-02-04T00:00:00"/>
    <x v="2"/>
    <x v="2"/>
    <x v="8"/>
    <x v="1"/>
    <n v="71795.199999999997"/>
    <d v="1983-03-01T00:00:00"/>
    <x v="0"/>
    <x v="1"/>
    <x v="37"/>
    <x v="1"/>
  </r>
  <r>
    <s v="Rf9057"/>
    <s v="Nayeli Loera"/>
    <x v="82"/>
    <d v="2024-10-03T00:00:00"/>
    <x v="4"/>
    <x v="2"/>
    <x v="7"/>
    <x v="1"/>
    <n v="128581.93"/>
    <d v="1998-01-16T00:00:00"/>
    <x v="0"/>
    <x v="1"/>
    <x v="38"/>
    <x v="1"/>
  </r>
  <r>
    <s v="PD6531"/>
    <s v="María Teresa Lira"/>
    <x v="83"/>
    <m/>
    <x v="4"/>
    <x v="3"/>
    <x v="2"/>
    <x v="1"/>
    <n v="122390.36"/>
    <d v="1969-09-05T00:00:00"/>
    <x v="0"/>
    <x v="0"/>
    <x v="39"/>
    <x v="5"/>
  </r>
  <r>
    <s v="Qn7556"/>
    <s v="Sr(a). Yolanda Jáquez"/>
    <x v="84"/>
    <d v="2024-09-28T00:00:00"/>
    <x v="3"/>
    <x v="4"/>
    <x v="6"/>
    <x v="1"/>
    <n v="80263.899999999994"/>
    <d v="1977-03-14T00:00:00"/>
    <x v="0"/>
    <x v="1"/>
    <x v="13"/>
    <x v="1"/>
  </r>
  <r>
    <s v="Vb8144"/>
    <s v="Ilse Ocasio Arreola"/>
    <x v="85"/>
    <d v="2024-05-10T00:00:00"/>
    <x v="4"/>
    <x v="5"/>
    <x v="7"/>
    <x v="1"/>
    <n v="55587.07"/>
    <d v="1969-11-07T00:00:00"/>
    <x v="2"/>
    <x v="1"/>
    <x v="39"/>
    <x v="1"/>
  </r>
  <r>
    <s v="YM0551"/>
    <s v="Rodrigo Omar Zayas Cisneros"/>
    <x v="86"/>
    <d v="2024-06-17T00:00:00"/>
    <x v="4"/>
    <x v="1"/>
    <x v="9"/>
    <x v="1"/>
    <n v="49529.07"/>
    <d v="1967-06-12T00:00:00"/>
    <x v="2"/>
    <x v="1"/>
    <x v="8"/>
    <x v="1"/>
  </r>
  <r>
    <s v="Kv3080"/>
    <s v="Abel Mora"/>
    <x v="87"/>
    <m/>
    <x v="2"/>
    <x v="3"/>
    <x v="7"/>
    <x v="1"/>
    <n v="52161.2"/>
    <d v="1975-02-03T00:00:00"/>
    <x v="2"/>
    <x v="0"/>
    <x v="40"/>
    <x v="2"/>
  </r>
  <r>
    <s v="CR3599"/>
    <s v="Amanda Ana Santana Bueno"/>
    <x v="88"/>
    <d v="2024-07-13T00:00:00"/>
    <x v="1"/>
    <x v="3"/>
    <x v="3"/>
    <x v="0"/>
    <n v="139500.69"/>
    <d v="1983-11-20T00:00:00"/>
    <x v="2"/>
    <x v="1"/>
    <x v="37"/>
    <x v="1"/>
  </r>
  <r>
    <s v="op8962"/>
    <s v="Noemí Samuel Salcido"/>
    <x v="89"/>
    <d v="2024-02-12T00:00:00"/>
    <x v="1"/>
    <x v="0"/>
    <x v="0"/>
    <x v="1"/>
    <n v="114296.59"/>
    <d v="1987-04-23T00:00:00"/>
    <x v="0"/>
    <x v="1"/>
    <x v="41"/>
    <x v="1"/>
  </r>
  <r>
    <s v="Yq9911"/>
    <s v="Eloisa Yuridia Solorio"/>
    <x v="90"/>
    <d v="2024-09-19T00:00:00"/>
    <x v="4"/>
    <x v="2"/>
    <x v="0"/>
    <x v="0"/>
    <n v="34934.49"/>
    <d v="1974-11-18T00:00:00"/>
    <x v="2"/>
    <x v="1"/>
    <x v="20"/>
    <x v="1"/>
  </r>
  <r>
    <s v="sl8575"/>
    <s v="José Carlos Marisol Bermúdez Valdivia"/>
    <x v="91"/>
    <d v="2024-04-15T00:00:00"/>
    <x v="4"/>
    <x v="1"/>
    <x v="8"/>
    <x v="1"/>
    <n v="124006.01"/>
    <d v="2004-08-03T00:00:00"/>
    <x v="1"/>
    <x v="1"/>
    <x v="10"/>
    <x v="1"/>
  </r>
  <r>
    <s v="JF1681"/>
    <s v="Roberto Avilés Miranda"/>
    <x v="92"/>
    <d v="2024-03-22T00:00:00"/>
    <x v="0"/>
    <x v="2"/>
    <x v="9"/>
    <x v="1"/>
    <n v="70407.070000000007"/>
    <d v="1995-06-03T00:00:00"/>
    <x v="0"/>
    <x v="1"/>
    <x v="21"/>
    <x v="1"/>
  </r>
  <r>
    <s v="bg3835"/>
    <s v="Lorenzo Yolanda Córdova Rangel"/>
    <x v="93"/>
    <m/>
    <x v="2"/>
    <x v="2"/>
    <x v="6"/>
    <x v="1"/>
    <n v="88762.68"/>
    <d v="1988-08-27T00:00:00"/>
    <x v="1"/>
    <x v="0"/>
    <x v="1"/>
    <x v="1"/>
  </r>
  <r>
    <s v="zG4567"/>
    <s v="Sergio Débora Ulloa Esquivel"/>
    <x v="94"/>
    <m/>
    <x v="4"/>
    <x v="4"/>
    <x v="1"/>
    <x v="1"/>
    <n v="94346.03"/>
    <d v="1963-06-10T00:00:00"/>
    <x v="1"/>
    <x v="0"/>
    <x v="25"/>
    <x v="5"/>
  </r>
  <r>
    <s v="sI0158"/>
    <s v="Arcelia Arguello"/>
    <x v="95"/>
    <d v="2024-06-15T00:00:00"/>
    <x v="5"/>
    <x v="3"/>
    <x v="6"/>
    <x v="0"/>
    <n v="125860.54"/>
    <d v="1977-05-16T00:00:00"/>
    <x v="0"/>
    <x v="1"/>
    <x v="13"/>
    <x v="1"/>
  </r>
  <r>
    <s v="WW8742"/>
    <s v="Agustín Germán Téllez"/>
    <x v="96"/>
    <m/>
    <x v="5"/>
    <x v="3"/>
    <x v="9"/>
    <x v="1"/>
    <n v="132783.87"/>
    <d v="1992-12-09T00:00:00"/>
    <x v="2"/>
    <x v="0"/>
    <x v="16"/>
    <x v="1"/>
  </r>
  <r>
    <s v="Fy6271"/>
    <s v="Gilberto Solano"/>
    <x v="97"/>
    <m/>
    <x v="3"/>
    <x v="1"/>
    <x v="7"/>
    <x v="1"/>
    <n v="116220.88"/>
    <d v="1963-03-22T00:00:00"/>
    <x v="0"/>
    <x v="0"/>
    <x v="25"/>
    <x v="0"/>
  </r>
  <r>
    <s v="WY9273"/>
    <s v="Clemente Coronado"/>
    <x v="98"/>
    <d v="2024-02-07T00:00:00"/>
    <x v="4"/>
    <x v="4"/>
    <x v="5"/>
    <x v="1"/>
    <n v="137746.44"/>
    <d v="1971-07-13T00:00:00"/>
    <x v="0"/>
    <x v="1"/>
    <x v="19"/>
    <x v="1"/>
  </r>
  <r>
    <s v="Ha7092"/>
    <s v="Isabel Rosa Miranda Lerma"/>
    <x v="34"/>
    <d v="2024-12-10T00:00:00"/>
    <x v="2"/>
    <x v="4"/>
    <x v="3"/>
    <x v="1"/>
    <n v="118558.32"/>
    <d v="2001-12-21T00:00:00"/>
    <x v="2"/>
    <x v="1"/>
    <x v="31"/>
    <x v="1"/>
  </r>
  <r>
    <s v="aK0399"/>
    <s v="Amador Barajas Heredia"/>
    <x v="99"/>
    <m/>
    <x v="5"/>
    <x v="5"/>
    <x v="4"/>
    <x v="1"/>
    <n v="68222.759999999995"/>
    <d v="1960-07-27T00:00:00"/>
    <x v="0"/>
    <x v="0"/>
    <x v="17"/>
    <x v="0"/>
  </r>
  <r>
    <s v="lA9961"/>
    <s v="Verónica Dolores Gracia Lerma"/>
    <x v="100"/>
    <m/>
    <x v="0"/>
    <x v="5"/>
    <x v="8"/>
    <x v="0"/>
    <n v="106025.49"/>
    <d v="1973-11-26T00:00:00"/>
    <x v="2"/>
    <x v="0"/>
    <x v="2"/>
    <x v="4"/>
  </r>
  <r>
    <s v="NP1290"/>
    <s v="Marcos Jacobo Nieto"/>
    <x v="101"/>
    <m/>
    <x v="3"/>
    <x v="2"/>
    <x v="9"/>
    <x v="1"/>
    <n v="148383.57"/>
    <d v="1970-10-05T00:00:00"/>
    <x v="1"/>
    <x v="0"/>
    <x v="14"/>
    <x v="2"/>
  </r>
  <r>
    <s v="KQ0863"/>
    <s v="Olivia Yeni López"/>
    <x v="102"/>
    <m/>
    <x v="5"/>
    <x v="4"/>
    <x v="6"/>
    <x v="0"/>
    <n v="38456.18"/>
    <d v="1999-12-06T00:00:00"/>
    <x v="2"/>
    <x v="0"/>
    <x v="5"/>
    <x v="4"/>
  </r>
  <r>
    <s v="ky7349"/>
    <s v="Ing. Vanesa Pedroza"/>
    <x v="103"/>
    <m/>
    <x v="1"/>
    <x v="5"/>
    <x v="1"/>
    <x v="1"/>
    <n v="82041.539999999994"/>
    <d v="1970-02-07T00:00:00"/>
    <x v="1"/>
    <x v="0"/>
    <x v="14"/>
    <x v="3"/>
  </r>
  <r>
    <s v="mx3311"/>
    <s v="Sr(a). Salma Armendáriz"/>
    <x v="104"/>
    <d v="2024-07-10T00:00:00"/>
    <x v="4"/>
    <x v="3"/>
    <x v="6"/>
    <x v="1"/>
    <n v="103438.11"/>
    <d v="1962-12-23T00:00:00"/>
    <x v="1"/>
    <x v="1"/>
    <x v="30"/>
    <x v="1"/>
  </r>
  <r>
    <s v="GV0127"/>
    <s v="Yuridia Camacho"/>
    <x v="105"/>
    <d v="2024-04-29T00:00:00"/>
    <x v="5"/>
    <x v="1"/>
    <x v="3"/>
    <x v="1"/>
    <n v="40475.730000000003"/>
    <d v="1983-11-14T00:00:00"/>
    <x v="0"/>
    <x v="1"/>
    <x v="37"/>
    <x v="1"/>
  </r>
  <r>
    <s v="pd5317"/>
    <s v="Gerónimo Juárez Vergara"/>
    <x v="106"/>
    <d v="2024-03-23T00:00:00"/>
    <x v="3"/>
    <x v="0"/>
    <x v="4"/>
    <x v="1"/>
    <n v="129438.61"/>
    <d v="1980-10-28T00:00:00"/>
    <x v="2"/>
    <x v="1"/>
    <x v="32"/>
    <x v="1"/>
  </r>
  <r>
    <s v="Lr7447"/>
    <s v="María José Juan Carlos Gamboa Flores"/>
    <x v="107"/>
    <m/>
    <x v="4"/>
    <x v="5"/>
    <x v="8"/>
    <x v="0"/>
    <n v="51311.7"/>
    <d v="1980-04-07T00:00:00"/>
    <x v="0"/>
    <x v="0"/>
    <x v="32"/>
    <x v="0"/>
  </r>
  <r>
    <s v="He4115"/>
    <s v="Óliver Solís"/>
    <x v="108"/>
    <m/>
    <x v="5"/>
    <x v="1"/>
    <x v="8"/>
    <x v="1"/>
    <n v="97941.45"/>
    <d v="1990-03-25T00:00:00"/>
    <x v="1"/>
    <x v="0"/>
    <x v="42"/>
    <x v="0"/>
  </r>
  <r>
    <s v="Et7841"/>
    <s v="Benjamín Rodríguez"/>
    <x v="109"/>
    <m/>
    <x v="2"/>
    <x v="3"/>
    <x v="9"/>
    <x v="1"/>
    <n v="94045.46"/>
    <d v="1995-12-22T00:00:00"/>
    <x v="2"/>
    <x v="0"/>
    <x v="21"/>
    <x v="3"/>
  </r>
  <r>
    <s v="Bx0734"/>
    <s v="Flavio Moreno"/>
    <x v="110"/>
    <d v="2024-07-10T00:00:00"/>
    <x v="0"/>
    <x v="2"/>
    <x v="8"/>
    <x v="1"/>
    <n v="111804.55"/>
    <d v="1966-03-19T00:00:00"/>
    <x v="0"/>
    <x v="1"/>
    <x v="28"/>
    <x v="1"/>
  </r>
  <r>
    <s v="nh6213"/>
    <s v="Yuridia Alva"/>
    <x v="111"/>
    <m/>
    <x v="0"/>
    <x v="5"/>
    <x v="9"/>
    <x v="1"/>
    <n v="132115.92000000001"/>
    <d v="2005-02-28T00:00:00"/>
    <x v="1"/>
    <x v="0"/>
    <x v="26"/>
    <x v="0"/>
  </r>
  <r>
    <s v="kn0655"/>
    <s v="Linda Vázquez"/>
    <x v="73"/>
    <d v="2024-07-27T00:00:00"/>
    <x v="5"/>
    <x v="3"/>
    <x v="4"/>
    <x v="1"/>
    <n v="108620.93"/>
    <d v="1998-12-06T00:00:00"/>
    <x v="1"/>
    <x v="1"/>
    <x v="38"/>
    <x v="1"/>
  </r>
  <r>
    <s v="Se0339"/>
    <s v="Ernesto Solís"/>
    <x v="112"/>
    <d v="2024-08-09T00:00:00"/>
    <x v="1"/>
    <x v="0"/>
    <x v="7"/>
    <x v="1"/>
    <n v="58317.81"/>
    <d v="1960-05-11T00:00:00"/>
    <x v="0"/>
    <x v="1"/>
    <x v="17"/>
    <x v="1"/>
  </r>
  <r>
    <s v="Ee4568"/>
    <s v="Ing. Julia Rodrígez"/>
    <x v="113"/>
    <d v="2024-04-26T00:00:00"/>
    <x v="4"/>
    <x v="4"/>
    <x v="8"/>
    <x v="1"/>
    <n v="119186.79"/>
    <d v="1969-08-01T00:00:00"/>
    <x v="0"/>
    <x v="1"/>
    <x v="39"/>
    <x v="1"/>
  </r>
  <r>
    <s v="Tk5020"/>
    <s v="Diana Jurado"/>
    <x v="114"/>
    <d v="2024-01-19T00:00:00"/>
    <x v="3"/>
    <x v="4"/>
    <x v="0"/>
    <x v="0"/>
    <n v="32764.799999999999"/>
    <d v="1977-05-28T00:00:00"/>
    <x v="2"/>
    <x v="1"/>
    <x v="13"/>
    <x v="1"/>
  </r>
  <r>
    <s v="iy0854"/>
    <s v="Zoé Elisa Jurado"/>
    <x v="115"/>
    <d v="2024-04-02T00:00:00"/>
    <x v="1"/>
    <x v="5"/>
    <x v="9"/>
    <x v="1"/>
    <n v="30851.22"/>
    <d v="1997-09-05T00:00:00"/>
    <x v="2"/>
    <x v="1"/>
    <x v="6"/>
    <x v="1"/>
  </r>
  <r>
    <s v="oC0401"/>
    <s v="Anabel Marisol Perea"/>
    <x v="116"/>
    <d v="2024-04-02T00:00:00"/>
    <x v="5"/>
    <x v="4"/>
    <x v="3"/>
    <x v="1"/>
    <n v="36345.78"/>
    <d v="1980-11-07T00:00:00"/>
    <x v="1"/>
    <x v="1"/>
    <x v="32"/>
    <x v="1"/>
  </r>
  <r>
    <s v="qM7408"/>
    <s v="Silvia Estela Hinojosa Herrera"/>
    <x v="117"/>
    <m/>
    <x v="5"/>
    <x v="4"/>
    <x v="3"/>
    <x v="0"/>
    <n v="53394.3"/>
    <d v="1994-01-04T00:00:00"/>
    <x v="1"/>
    <x v="0"/>
    <x v="9"/>
    <x v="5"/>
  </r>
  <r>
    <s v="Vd6156"/>
    <s v="Francisco de la Crúz Segovia"/>
    <x v="118"/>
    <d v="2024-12-19T00:00:00"/>
    <x v="0"/>
    <x v="0"/>
    <x v="7"/>
    <x v="1"/>
    <n v="45767.77"/>
    <d v="1967-01-08T00:00:00"/>
    <x v="0"/>
    <x v="1"/>
    <x v="28"/>
    <x v="1"/>
  </r>
  <r>
    <s v="MT5823"/>
    <s v="Leonor Concepción"/>
    <x v="119"/>
    <d v="2024-03-26T00:00:00"/>
    <x v="4"/>
    <x v="1"/>
    <x v="0"/>
    <x v="1"/>
    <n v="49397.26"/>
    <d v="1971-01-13T00:00:00"/>
    <x v="2"/>
    <x v="1"/>
    <x v="19"/>
    <x v="1"/>
  </r>
  <r>
    <s v="ef4984"/>
    <s v="Marisol Linda Batista Soliz"/>
    <x v="120"/>
    <m/>
    <x v="3"/>
    <x v="1"/>
    <x v="1"/>
    <x v="1"/>
    <n v="122431.31"/>
    <d v="2002-09-16T00:00:00"/>
    <x v="2"/>
    <x v="0"/>
    <x v="3"/>
    <x v="5"/>
  </r>
  <r>
    <s v="Tk5434"/>
    <s v="Marco Antonio Meza Suárez"/>
    <x v="121"/>
    <d v="2024-01-01T00:00:00"/>
    <x v="2"/>
    <x v="1"/>
    <x v="7"/>
    <x v="1"/>
    <n v="81171.77"/>
    <d v="1966-07-01T00:00:00"/>
    <x v="0"/>
    <x v="1"/>
    <x v="28"/>
    <x v="1"/>
  </r>
  <r>
    <s v="Kl5778"/>
    <s v="Sr(a). Amanda Cardona"/>
    <x v="122"/>
    <m/>
    <x v="5"/>
    <x v="3"/>
    <x v="4"/>
    <x v="1"/>
    <n v="71526.89"/>
    <d v="1960-12-31T00:00:00"/>
    <x v="1"/>
    <x v="0"/>
    <x v="17"/>
    <x v="6"/>
  </r>
  <r>
    <s v="nL3878"/>
    <s v="Gabriel Mariana Ocampo"/>
    <x v="123"/>
    <d v="2024-12-21T00:00:00"/>
    <x v="4"/>
    <x v="2"/>
    <x v="2"/>
    <x v="1"/>
    <n v="102981.51"/>
    <d v="1987-03-09T00:00:00"/>
    <x v="0"/>
    <x v="1"/>
    <x v="41"/>
    <x v="1"/>
  </r>
  <r>
    <s v="GO3300"/>
    <s v="Modesto Aguilera Carvajal"/>
    <x v="124"/>
    <m/>
    <x v="0"/>
    <x v="2"/>
    <x v="9"/>
    <x v="1"/>
    <n v="132903.67999999999"/>
    <d v="1969-01-25T00:00:00"/>
    <x v="0"/>
    <x v="0"/>
    <x v="39"/>
    <x v="4"/>
  </r>
  <r>
    <s v="DC0949"/>
    <s v="Abelardo de la Garza de la Torre"/>
    <x v="125"/>
    <d v="2024-06-06T00:00:00"/>
    <x v="0"/>
    <x v="0"/>
    <x v="8"/>
    <x v="1"/>
    <n v="94565.51"/>
    <d v="1961-11-11T00:00:00"/>
    <x v="0"/>
    <x v="1"/>
    <x v="12"/>
    <x v="1"/>
  </r>
  <r>
    <s v="kF2722"/>
    <s v="Elvia Rael"/>
    <x v="126"/>
    <m/>
    <x v="4"/>
    <x v="0"/>
    <x v="8"/>
    <x v="0"/>
    <n v="115144.36"/>
    <d v="1987-06-06T00:00:00"/>
    <x v="0"/>
    <x v="0"/>
    <x v="41"/>
    <x v="3"/>
  </r>
  <r>
    <s v="XD3153"/>
    <s v="Esmeralda Rodrígez"/>
    <x v="127"/>
    <m/>
    <x v="0"/>
    <x v="2"/>
    <x v="8"/>
    <x v="0"/>
    <n v="86979.39"/>
    <d v="1987-05-09T00:00:00"/>
    <x v="1"/>
    <x v="0"/>
    <x v="41"/>
    <x v="5"/>
  </r>
  <r>
    <s v="xW7772"/>
    <s v="Florencia Yeni Ceja Trujillo"/>
    <x v="128"/>
    <m/>
    <x v="0"/>
    <x v="5"/>
    <x v="8"/>
    <x v="0"/>
    <n v="96777.26"/>
    <d v="1999-06-21T00:00:00"/>
    <x v="0"/>
    <x v="0"/>
    <x v="5"/>
    <x v="0"/>
  </r>
  <r>
    <s v="TO4630"/>
    <s v="Catalina Alfredo Páez Cervántez"/>
    <x v="129"/>
    <m/>
    <x v="1"/>
    <x v="4"/>
    <x v="3"/>
    <x v="0"/>
    <n v="108780.57"/>
    <d v="1993-08-30T00:00:00"/>
    <x v="2"/>
    <x v="0"/>
    <x v="9"/>
    <x v="4"/>
  </r>
  <r>
    <s v="OD2504"/>
    <s v="Aldonza Garay Ríos"/>
    <x v="130"/>
    <d v="2024-04-11T00:00:00"/>
    <x v="4"/>
    <x v="5"/>
    <x v="3"/>
    <x v="0"/>
    <n v="89830.16"/>
    <d v="1984-04-22T00:00:00"/>
    <x v="1"/>
    <x v="1"/>
    <x v="36"/>
    <x v="1"/>
  </r>
  <r>
    <s v="SN4003"/>
    <s v="Eugenio Tovar"/>
    <x v="131"/>
    <m/>
    <x v="5"/>
    <x v="1"/>
    <x v="6"/>
    <x v="1"/>
    <n v="130195.17"/>
    <d v="1969-07-14T00:00:00"/>
    <x v="1"/>
    <x v="0"/>
    <x v="39"/>
    <x v="0"/>
  </r>
  <r>
    <s v="Yu7910"/>
    <s v="Pedro Humberto Reséndez Olivárez"/>
    <x v="132"/>
    <d v="2024-09-26T00:00:00"/>
    <x v="4"/>
    <x v="3"/>
    <x v="9"/>
    <x v="1"/>
    <n v="104629.17"/>
    <d v="1977-07-22T00:00:00"/>
    <x v="0"/>
    <x v="1"/>
    <x v="13"/>
    <x v="1"/>
  </r>
  <r>
    <s v="pn2130"/>
    <s v="Zeferino Hurtado"/>
    <x v="133"/>
    <d v="2024-01-19T00:00:00"/>
    <x v="3"/>
    <x v="0"/>
    <x v="3"/>
    <x v="1"/>
    <n v="127644.62"/>
    <d v="1973-11-08T00:00:00"/>
    <x v="0"/>
    <x v="1"/>
    <x v="2"/>
    <x v="1"/>
  </r>
  <r>
    <s v="bz6916"/>
    <s v="Sr(a). Benjamín Corona"/>
    <x v="134"/>
    <d v="2024-04-28T00:00:00"/>
    <x v="4"/>
    <x v="3"/>
    <x v="5"/>
    <x v="1"/>
    <n v="65214.7"/>
    <d v="1990-08-26T00:00:00"/>
    <x v="2"/>
    <x v="1"/>
    <x v="42"/>
    <x v="1"/>
  </r>
  <r>
    <s v="Qk4480"/>
    <s v="Mónica José Eduardo Curiel"/>
    <x v="135"/>
    <m/>
    <x v="4"/>
    <x v="5"/>
    <x v="3"/>
    <x v="0"/>
    <n v="120797.03"/>
    <d v="2000-03-08T00:00:00"/>
    <x v="1"/>
    <x v="0"/>
    <x v="27"/>
    <x v="0"/>
  </r>
  <r>
    <s v="hy0945"/>
    <s v="Concepción Pantoja"/>
    <x v="136"/>
    <d v="2024-03-29T00:00:00"/>
    <x v="4"/>
    <x v="5"/>
    <x v="1"/>
    <x v="1"/>
    <n v="92003.67"/>
    <d v="1985-10-17T00:00:00"/>
    <x v="0"/>
    <x v="1"/>
    <x v="43"/>
    <x v="1"/>
  </r>
  <r>
    <s v="gh7810"/>
    <s v="Evelio Meléndez Mascareñas"/>
    <x v="137"/>
    <m/>
    <x v="5"/>
    <x v="4"/>
    <x v="4"/>
    <x v="1"/>
    <n v="49016.59"/>
    <d v="1992-04-13T00:00:00"/>
    <x v="0"/>
    <x v="0"/>
    <x v="16"/>
    <x v="2"/>
  </r>
  <r>
    <s v="rV5612"/>
    <s v="Eugenia Urrutia"/>
    <x v="138"/>
    <m/>
    <x v="0"/>
    <x v="3"/>
    <x v="9"/>
    <x v="0"/>
    <n v="106783.35"/>
    <d v="1969-10-16T00:00:00"/>
    <x v="1"/>
    <x v="0"/>
    <x v="39"/>
    <x v="0"/>
  </r>
  <r>
    <s v="dc5702"/>
    <s v="Eloisa Burgos"/>
    <x v="139"/>
    <m/>
    <x v="4"/>
    <x v="0"/>
    <x v="8"/>
    <x v="1"/>
    <n v="127934.67"/>
    <d v="1978-01-01T00:00:00"/>
    <x v="0"/>
    <x v="0"/>
    <x v="13"/>
    <x v="2"/>
  </r>
  <r>
    <s v="YQ0655"/>
    <s v="Mario Acuña Cotto"/>
    <x v="140"/>
    <m/>
    <x v="3"/>
    <x v="5"/>
    <x v="6"/>
    <x v="1"/>
    <n v="47713.27"/>
    <d v="1996-08-04T00:00:00"/>
    <x v="1"/>
    <x v="0"/>
    <x v="44"/>
    <x v="2"/>
  </r>
  <r>
    <s v="IP5483"/>
    <s v="Elias Roberto Velasco Gaona"/>
    <x v="141"/>
    <m/>
    <x v="0"/>
    <x v="3"/>
    <x v="8"/>
    <x v="1"/>
    <n v="139930.85"/>
    <d v="1980-04-15T00:00:00"/>
    <x v="0"/>
    <x v="0"/>
    <x v="32"/>
    <x v="0"/>
  </r>
  <r>
    <s v="HM7052"/>
    <s v="Andrés Zúñiga"/>
    <x v="142"/>
    <d v="2024-01-13T00:00:00"/>
    <x v="5"/>
    <x v="4"/>
    <x v="2"/>
    <x v="1"/>
    <n v="118385.92"/>
    <d v="1999-06-01T00:00:00"/>
    <x v="1"/>
    <x v="1"/>
    <x v="5"/>
    <x v="1"/>
  </r>
  <r>
    <s v="cY6033"/>
    <s v="Helena Gaytán Esquivel"/>
    <x v="143"/>
    <m/>
    <x v="3"/>
    <x v="3"/>
    <x v="7"/>
    <x v="0"/>
    <n v="128092.82"/>
    <d v="1993-06-07T00:00:00"/>
    <x v="2"/>
    <x v="0"/>
    <x v="9"/>
    <x v="1"/>
  </r>
  <r>
    <s v="BN4570"/>
    <s v="María Esmeralda Casárez"/>
    <x v="144"/>
    <d v="2024-11-17T00:00:00"/>
    <x v="3"/>
    <x v="3"/>
    <x v="9"/>
    <x v="0"/>
    <n v="70477.600000000006"/>
    <d v="1977-01-08T00:00:00"/>
    <x v="1"/>
    <x v="1"/>
    <x v="45"/>
    <x v="1"/>
  </r>
  <r>
    <s v="FY7661"/>
    <s v="Laura Jaime Samaniego"/>
    <x v="145"/>
    <d v="2024-10-20T00:00:00"/>
    <x v="1"/>
    <x v="1"/>
    <x v="6"/>
    <x v="0"/>
    <n v="34455.440000000002"/>
    <d v="1962-06-22T00:00:00"/>
    <x v="1"/>
    <x v="1"/>
    <x v="30"/>
    <x v="1"/>
  </r>
  <r>
    <s v="nP6505"/>
    <s v="Caridad Alcala"/>
    <x v="146"/>
    <d v="2024-02-19T00:00:00"/>
    <x v="0"/>
    <x v="4"/>
    <x v="7"/>
    <x v="1"/>
    <n v="108465.74"/>
    <d v="1982-03-26T00:00:00"/>
    <x v="1"/>
    <x v="1"/>
    <x v="0"/>
    <x v="1"/>
  </r>
  <r>
    <s v="Wk0485"/>
    <s v="Andrea Salma Alfaro"/>
    <x v="147"/>
    <m/>
    <x v="2"/>
    <x v="5"/>
    <x v="2"/>
    <x v="0"/>
    <n v="126008.95"/>
    <d v="1963-06-06T00:00:00"/>
    <x v="0"/>
    <x v="0"/>
    <x v="25"/>
    <x v="3"/>
  </r>
  <r>
    <s v="wb7357"/>
    <s v="Aurora Lozada"/>
    <x v="148"/>
    <d v="2024-07-24T00:00:00"/>
    <x v="3"/>
    <x v="2"/>
    <x v="6"/>
    <x v="0"/>
    <n v="49296.42"/>
    <d v="1985-01-06T00:00:00"/>
    <x v="0"/>
    <x v="1"/>
    <x v="36"/>
    <x v="1"/>
  </r>
  <r>
    <s v="Ev7594"/>
    <s v="Pilar Ofelia Briones Regalado"/>
    <x v="149"/>
    <d v="2024-05-20T00:00:00"/>
    <x v="1"/>
    <x v="0"/>
    <x v="4"/>
    <x v="1"/>
    <n v="61023.76"/>
    <d v="2006-02-08T00:00:00"/>
    <x v="0"/>
    <x v="1"/>
    <x v="18"/>
    <x v="1"/>
  </r>
  <r>
    <s v="zL0568"/>
    <s v="Alejandra Eric Morales"/>
    <x v="150"/>
    <d v="2024-09-15T00:00:00"/>
    <x v="5"/>
    <x v="5"/>
    <x v="0"/>
    <x v="0"/>
    <n v="129360.68"/>
    <d v="1982-11-01T00:00:00"/>
    <x v="2"/>
    <x v="1"/>
    <x v="0"/>
    <x v="1"/>
  </r>
  <r>
    <s v="Bv9370"/>
    <s v="Mariana Benavídez"/>
    <x v="92"/>
    <d v="2024-10-23T00:00:00"/>
    <x v="4"/>
    <x v="2"/>
    <x v="0"/>
    <x v="0"/>
    <n v="33706.559999999998"/>
    <d v="1998-10-19T00:00:00"/>
    <x v="1"/>
    <x v="1"/>
    <x v="38"/>
    <x v="1"/>
  </r>
  <r>
    <s v="iT6761"/>
    <s v="Rebeca Archuleta"/>
    <x v="151"/>
    <m/>
    <x v="1"/>
    <x v="1"/>
    <x v="5"/>
    <x v="0"/>
    <n v="142606.82"/>
    <d v="2001-08-22T00:00:00"/>
    <x v="2"/>
    <x v="0"/>
    <x v="31"/>
    <x v="3"/>
  </r>
  <r>
    <s v="tU2109"/>
    <s v="Zacarías Violeta Acevedo"/>
    <x v="152"/>
    <m/>
    <x v="4"/>
    <x v="1"/>
    <x v="4"/>
    <x v="1"/>
    <n v="133605.57"/>
    <d v="1975-04-30T00:00:00"/>
    <x v="1"/>
    <x v="0"/>
    <x v="40"/>
    <x v="0"/>
  </r>
  <r>
    <s v="AV3328"/>
    <s v="Manuel Miguel Sánchez"/>
    <x v="153"/>
    <m/>
    <x v="1"/>
    <x v="4"/>
    <x v="8"/>
    <x v="1"/>
    <n v="104261.88"/>
    <d v="1976-12-20T00:00:00"/>
    <x v="2"/>
    <x v="0"/>
    <x v="45"/>
    <x v="2"/>
  </r>
  <r>
    <s v="CV6732"/>
    <s v="Augusto Alejandra Collazo"/>
    <x v="154"/>
    <m/>
    <x v="4"/>
    <x v="5"/>
    <x v="7"/>
    <x v="1"/>
    <n v="38891.43"/>
    <d v="1966-04-27T00:00:00"/>
    <x v="2"/>
    <x v="0"/>
    <x v="28"/>
    <x v="5"/>
  </r>
  <r>
    <s v="dM1182"/>
    <s v="Ilse Carlos Escalante Mares"/>
    <x v="155"/>
    <d v="2024-10-20T00:00:00"/>
    <x v="2"/>
    <x v="3"/>
    <x v="1"/>
    <x v="1"/>
    <n v="70608.710000000006"/>
    <d v="1979-07-23T00:00:00"/>
    <x v="0"/>
    <x v="1"/>
    <x v="29"/>
    <x v="1"/>
  </r>
  <r>
    <s v="VT0661"/>
    <s v="Guadalupe Portillo"/>
    <x v="156"/>
    <d v="2024-02-23T00:00:00"/>
    <x v="4"/>
    <x v="3"/>
    <x v="6"/>
    <x v="1"/>
    <n v="117663.97"/>
    <d v="1962-09-19T00:00:00"/>
    <x v="1"/>
    <x v="1"/>
    <x v="30"/>
    <x v="1"/>
  </r>
  <r>
    <s v="qb9323"/>
    <s v="Victoria Aldonza Garibay Báez"/>
    <x v="157"/>
    <d v="2024-01-26T00:00:00"/>
    <x v="2"/>
    <x v="0"/>
    <x v="2"/>
    <x v="0"/>
    <n v="42792.89"/>
    <d v="1969-02-05T00:00:00"/>
    <x v="2"/>
    <x v="1"/>
    <x v="39"/>
    <x v="1"/>
  </r>
  <r>
    <s v="Yn6788"/>
    <s v="Carlos Jaimes"/>
    <x v="158"/>
    <m/>
    <x v="4"/>
    <x v="2"/>
    <x v="9"/>
    <x v="1"/>
    <n v="90300.56"/>
    <d v="1986-12-30T00:00:00"/>
    <x v="2"/>
    <x v="0"/>
    <x v="46"/>
    <x v="2"/>
  </r>
  <r>
    <s v="du9081"/>
    <s v="Caridad Piña"/>
    <x v="159"/>
    <m/>
    <x v="3"/>
    <x v="1"/>
    <x v="8"/>
    <x v="1"/>
    <n v="109827.68"/>
    <d v="2000-03-10T00:00:00"/>
    <x v="0"/>
    <x v="0"/>
    <x v="27"/>
    <x v="1"/>
  </r>
  <r>
    <s v="Is4463"/>
    <s v="Germán Gamboa"/>
    <x v="160"/>
    <m/>
    <x v="5"/>
    <x v="4"/>
    <x v="3"/>
    <x v="1"/>
    <n v="103088.85"/>
    <d v="1986-04-11T00:00:00"/>
    <x v="1"/>
    <x v="0"/>
    <x v="46"/>
    <x v="2"/>
  </r>
  <r>
    <s v="Kp2957"/>
    <s v="Liliana Iván Aguilera Santana"/>
    <x v="161"/>
    <m/>
    <x v="0"/>
    <x v="4"/>
    <x v="2"/>
    <x v="0"/>
    <n v="91744.72"/>
    <d v="1998-07-29T00:00:00"/>
    <x v="2"/>
    <x v="0"/>
    <x v="38"/>
    <x v="4"/>
  </r>
  <r>
    <s v="VW0075"/>
    <s v="Bianca Sanches"/>
    <x v="162"/>
    <d v="2024-03-23T00:00:00"/>
    <x v="2"/>
    <x v="4"/>
    <x v="8"/>
    <x v="0"/>
    <n v="145970.16"/>
    <d v="2001-03-17T00:00:00"/>
    <x v="0"/>
    <x v="1"/>
    <x v="31"/>
    <x v="1"/>
  </r>
  <r>
    <s v="zt4812"/>
    <s v="Manuel Rufino Vera Lara"/>
    <x v="163"/>
    <d v="2024-06-10T00:00:00"/>
    <x v="5"/>
    <x v="4"/>
    <x v="4"/>
    <x v="1"/>
    <n v="144374.5"/>
    <d v="1996-07-04T00:00:00"/>
    <x v="1"/>
    <x v="1"/>
    <x v="44"/>
    <x v="1"/>
  </r>
  <r>
    <s v="kJ1763"/>
    <s v="Timoteo Elvira Verdugo"/>
    <x v="164"/>
    <m/>
    <x v="4"/>
    <x v="0"/>
    <x v="7"/>
    <x v="1"/>
    <n v="49759.69"/>
    <d v="1959-03-25T00:00:00"/>
    <x v="0"/>
    <x v="0"/>
    <x v="11"/>
    <x v="3"/>
  </r>
  <r>
    <s v="Ux5694"/>
    <s v="Salma Hilda Huerta Quintanilla"/>
    <x v="165"/>
    <m/>
    <x v="0"/>
    <x v="1"/>
    <x v="0"/>
    <x v="0"/>
    <n v="140468.16"/>
    <d v="1998-09-01T00:00:00"/>
    <x v="2"/>
    <x v="0"/>
    <x v="38"/>
    <x v="4"/>
  </r>
  <r>
    <s v="IT4974"/>
    <s v="Carolina Verdugo Collazo"/>
    <x v="166"/>
    <m/>
    <x v="5"/>
    <x v="5"/>
    <x v="9"/>
    <x v="0"/>
    <n v="65761.929999999993"/>
    <d v="1979-08-23T00:00:00"/>
    <x v="0"/>
    <x v="0"/>
    <x v="29"/>
    <x v="1"/>
  </r>
  <r>
    <s v="Ee2164"/>
    <s v="Norma Espinosa"/>
    <x v="167"/>
    <m/>
    <x v="3"/>
    <x v="0"/>
    <x v="2"/>
    <x v="0"/>
    <n v="56044.03"/>
    <d v="1989-10-09T00:00:00"/>
    <x v="2"/>
    <x v="0"/>
    <x v="4"/>
    <x v="2"/>
  </r>
  <r>
    <s v="Dk8124"/>
    <s v="Marisol Rubio Ledesma"/>
    <x v="168"/>
    <d v="2024-12-13T00:00:00"/>
    <x v="2"/>
    <x v="0"/>
    <x v="8"/>
    <x v="1"/>
    <n v="57804.37"/>
    <d v="1970-07-08T00:00:00"/>
    <x v="2"/>
    <x v="1"/>
    <x v="14"/>
    <x v="1"/>
  </r>
  <r>
    <s v="ky0106"/>
    <s v="Paola Enríquez"/>
    <x v="169"/>
    <m/>
    <x v="5"/>
    <x v="2"/>
    <x v="3"/>
    <x v="0"/>
    <n v="140123.92000000001"/>
    <d v="1974-04-03T00:00:00"/>
    <x v="1"/>
    <x v="0"/>
    <x v="20"/>
    <x v="1"/>
  </r>
  <r>
    <s v="Ko5177"/>
    <s v="Ariadna Fuentes Mora"/>
    <x v="170"/>
    <m/>
    <x v="0"/>
    <x v="4"/>
    <x v="2"/>
    <x v="0"/>
    <n v="93191.33"/>
    <d v="1969-10-06T00:00:00"/>
    <x v="2"/>
    <x v="0"/>
    <x v="39"/>
    <x v="5"/>
  </r>
  <r>
    <s v="Ye0474"/>
    <s v="Santiago Serna"/>
    <x v="171"/>
    <m/>
    <x v="2"/>
    <x v="3"/>
    <x v="3"/>
    <x v="1"/>
    <n v="129908.75"/>
    <d v="1993-05-27T00:00:00"/>
    <x v="2"/>
    <x v="0"/>
    <x v="9"/>
    <x v="4"/>
  </r>
  <r>
    <s v="zt1104"/>
    <s v="José Luis Francisco Javier Candelaria Barraza"/>
    <x v="172"/>
    <d v="2024-05-05T00:00:00"/>
    <x v="3"/>
    <x v="0"/>
    <x v="0"/>
    <x v="1"/>
    <n v="73851.41"/>
    <d v="1978-03-03T00:00:00"/>
    <x v="1"/>
    <x v="1"/>
    <x v="15"/>
    <x v="1"/>
  </r>
  <r>
    <s v="ih2550"/>
    <s v="Amanda Hernádez Rivas"/>
    <x v="173"/>
    <m/>
    <x v="1"/>
    <x v="3"/>
    <x v="0"/>
    <x v="0"/>
    <n v="127096.33"/>
    <d v="1999-01-02T00:00:00"/>
    <x v="1"/>
    <x v="0"/>
    <x v="38"/>
    <x v="0"/>
  </r>
  <r>
    <s v="qX9524"/>
    <s v="Bernabé Contreras"/>
    <x v="174"/>
    <d v="2024-01-25T00:00:00"/>
    <x v="0"/>
    <x v="0"/>
    <x v="6"/>
    <x v="1"/>
    <n v="144116.82"/>
    <d v="1997-04-01T00:00:00"/>
    <x v="2"/>
    <x v="1"/>
    <x v="6"/>
    <x v="1"/>
  </r>
  <r>
    <s v="qM9502"/>
    <s v="Diego Flavio Saavedra"/>
    <x v="175"/>
    <d v="2024-06-13T00:00:00"/>
    <x v="4"/>
    <x v="5"/>
    <x v="6"/>
    <x v="1"/>
    <n v="58104.57"/>
    <d v="1993-11-12T00:00:00"/>
    <x v="2"/>
    <x v="1"/>
    <x v="9"/>
    <x v="1"/>
  </r>
  <r>
    <s v="Iq7576"/>
    <s v="Úrsula Padilla"/>
    <x v="176"/>
    <d v="2024-11-24T00:00:00"/>
    <x v="0"/>
    <x v="3"/>
    <x v="1"/>
    <x v="0"/>
    <n v="63224.76"/>
    <d v="1973-02-16T00:00:00"/>
    <x v="1"/>
    <x v="1"/>
    <x v="2"/>
    <x v="1"/>
  </r>
  <r>
    <s v="NT0925"/>
    <s v="Sofía Hermelinda de la O Romo"/>
    <x v="177"/>
    <m/>
    <x v="0"/>
    <x v="5"/>
    <x v="9"/>
    <x v="0"/>
    <n v="128366.73"/>
    <d v="2004-10-01T00:00:00"/>
    <x v="0"/>
    <x v="0"/>
    <x v="10"/>
    <x v="5"/>
  </r>
  <r>
    <s v="DV8277"/>
    <s v="Mtro. Gerardo Rosales"/>
    <x v="178"/>
    <m/>
    <x v="3"/>
    <x v="3"/>
    <x v="0"/>
    <x v="1"/>
    <n v="125742.27"/>
    <d v="1987-10-08T00:00:00"/>
    <x v="0"/>
    <x v="0"/>
    <x v="41"/>
    <x v="1"/>
  </r>
  <r>
    <s v="br1780"/>
    <s v="Ángela Ayala"/>
    <x v="179"/>
    <d v="2024-10-04T00:00:00"/>
    <x v="5"/>
    <x v="4"/>
    <x v="5"/>
    <x v="0"/>
    <n v="54576.31"/>
    <d v="1978-07-07T00:00:00"/>
    <x v="2"/>
    <x v="1"/>
    <x v="15"/>
    <x v="1"/>
  </r>
  <r>
    <s v="Zw1434"/>
    <s v="Agustín Correa Medrano"/>
    <x v="154"/>
    <d v="2024-07-13T00:00:00"/>
    <x v="2"/>
    <x v="0"/>
    <x v="9"/>
    <x v="1"/>
    <n v="138108.97"/>
    <d v="1996-11-09T00:00:00"/>
    <x v="1"/>
    <x v="1"/>
    <x v="44"/>
    <x v="1"/>
  </r>
  <r>
    <s v="cR9079"/>
    <s v="Andrés Ávila"/>
    <x v="180"/>
    <d v="2024-08-16T00:00:00"/>
    <x v="4"/>
    <x v="1"/>
    <x v="4"/>
    <x v="1"/>
    <n v="64491.839999999997"/>
    <d v="1961-03-09T00:00:00"/>
    <x v="2"/>
    <x v="1"/>
    <x v="12"/>
    <x v="1"/>
  </r>
  <r>
    <s v="WM9632"/>
    <s v="Antonia Vázquez"/>
    <x v="181"/>
    <m/>
    <x v="2"/>
    <x v="0"/>
    <x v="1"/>
    <x v="0"/>
    <n v="140776.44"/>
    <d v="1962-08-12T00:00:00"/>
    <x v="0"/>
    <x v="0"/>
    <x v="30"/>
    <x v="5"/>
  </r>
  <r>
    <s v="SU6413"/>
    <s v="Martha Alvaro Rocha"/>
    <x v="182"/>
    <m/>
    <x v="5"/>
    <x v="2"/>
    <x v="2"/>
    <x v="0"/>
    <n v="49025.56"/>
    <d v="1988-10-17T00:00:00"/>
    <x v="1"/>
    <x v="0"/>
    <x v="1"/>
    <x v="4"/>
  </r>
  <r>
    <s v="Vc9288"/>
    <s v="Ing. Miguel Ángel Pabón"/>
    <x v="183"/>
    <d v="2024-08-22T00:00:00"/>
    <x v="2"/>
    <x v="0"/>
    <x v="4"/>
    <x v="1"/>
    <n v="108609.83"/>
    <d v="2001-12-23T00:00:00"/>
    <x v="1"/>
    <x v="1"/>
    <x v="31"/>
    <x v="1"/>
  </r>
  <r>
    <s v="TD9236"/>
    <s v="Carolina Angulo"/>
    <x v="184"/>
    <m/>
    <x v="5"/>
    <x v="3"/>
    <x v="2"/>
    <x v="0"/>
    <n v="142441.07999999999"/>
    <d v="1962-06-01T00:00:00"/>
    <x v="2"/>
    <x v="0"/>
    <x v="30"/>
    <x v="2"/>
  </r>
  <r>
    <s v="Gh0445"/>
    <s v="Violeta Alonso"/>
    <x v="185"/>
    <m/>
    <x v="0"/>
    <x v="4"/>
    <x v="1"/>
    <x v="0"/>
    <n v="119465.63"/>
    <d v="1964-08-24T00:00:00"/>
    <x v="1"/>
    <x v="0"/>
    <x v="34"/>
    <x v="4"/>
  </r>
  <r>
    <s v="CB8404"/>
    <s v="Diana Jos Sanabria"/>
    <x v="186"/>
    <m/>
    <x v="2"/>
    <x v="2"/>
    <x v="2"/>
    <x v="0"/>
    <n v="39267.39"/>
    <d v="1983-10-04T00:00:00"/>
    <x v="1"/>
    <x v="0"/>
    <x v="37"/>
    <x v="0"/>
  </r>
  <r>
    <s v="Uj6432"/>
    <s v="Yeni de la Rosa Valenzuela"/>
    <x v="187"/>
    <d v="2024-11-18T00:00:00"/>
    <x v="0"/>
    <x v="1"/>
    <x v="5"/>
    <x v="1"/>
    <n v="61349.599999999999"/>
    <d v="1973-08-29T00:00:00"/>
    <x v="0"/>
    <x v="1"/>
    <x v="2"/>
    <x v="1"/>
  </r>
  <r>
    <s v="DN4071"/>
    <s v="Ariadna Muñoz Olivas"/>
    <x v="188"/>
    <d v="2024-08-13T00:00:00"/>
    <x v="1"/>
    <x v="0"/>
    <x v="0"/>
    <x v="0"/>
    <n v="123042.84"/>
    <d v="1961-05-30T00:00:00"/>
    <x v="0"/>
    <x v="1"/>
    <x v="12"/>
    <x v="1"/>
  </r>
  <r>
    <s v="vH1900"/>
    <s v="Alberto Granados"/>
    <x v="130"/>
    <m/>
    <x v="4"/>
    <x v="0"/>
    <x v="6"/>
    <x v="1"/>
    <n v="35600.39"/>
    <d v="1989-02-23T00:00:00"/>
    <x v="0"/>
    <x v="0"/>
    <x v="4"/>
    <x v="2"/>
  </r>
  <r>
    <s v="ew2907"/>
    <s v="Adalberto María José Orellana"/>
    <x v="189"/>
    <d v="2024-09-15T00:00:00"/>
    <x v="2"/>
    <x v="5"/>
    <x v="8"/>
    <x v="1"/>
    <n v="59552.13"/>
    <d v="2000-10-02T00:00:00"/>
    <x v="1"/>
    <x v="1"/>
    <x v="27"/>
    <x v="1"/>
  </r>
  <r>
    <s v="KZ7105"/>
    <s v="Carlota Brito Vega"/>
    <x v="190"/>
    <m/>
    <x v="5"/>
    <x v="5"/>
    <x v="3"/>
    <x v="0"/>
    <n v="121633.04"/>
    <d v="1982-08-30T00:00:00"/>
    <x v="1"/>
    <x v="0"/>
    <x v="0"/>
    <x v="3"/>
  </r>
  <r>
    <s v="tw3661"/>
    <s v="Sr(a). Serafín Miranda"/>
    <x v="191"/>
    <d v="2024-05-28T00:00:00"/>
    <x v="2"/>
    <x v="3"/>
    <x v="6"/>
    <x v="1"/>
    <n v="146578.78"/>
    <d v="1962-05-23T00:00:00"/>
    <x v="1"/>
    <x v="1"/>
    <x v="30"/>
    <x v="1"/>
  </r>
  <r>
    <s v="gM6124"/>
    <s v="David Lorena Tirado"/>
    <x v="192"/>
    <d v="2024-11-28T00:00:00"/>
    <x v="4"/>
    <x v="0"/>
    <x v="7"/>
    <x v="1"/>
    <n v="83597.72"/>
    <d v="1961-10-04T00:00:00"/>
    <x v="1"/>
    <x v="1"/>
    <x v="12"/>
    <x v="1"/>
  </r>
  <r>
    <s v="gI7620"/>
    <s v="Virginia Raúl Pineda Yáñez"/>
    <x v="193"/>
    <d v="2024-04-04T00:00:00"/>
    <x v="5"/>
    <x v="0"/>
    <x v="8"/>
    <x v="0"/>
    <n v="62118.95"/>
    <d v="1966-10-02T00:00:00"/>
    <x v="0"/>
    <x v="1"/>
    <x v="28"/>
    <x v="1"/>
  </r>
  <r>
    <s v="yS7864"/>
    <s v="Israel Parra"/>
    <x v="194"/>
    <d v="2024-06-02T00:00:00"/>
    <x v="3"/>
    <x v="0"/>
    <x v="2"/>
    <x v="1"/>
    <n v="51343.15"/>
    <d v="2000-03-06T00:00:00"/>
    <x v="0"/>
    <x v="1"/>
    <x v="27"/>
    <x v="1"/>
  </r>
  <r>
    <s v="Qc5183"/>
    <s v="Genaro Arce"/>
    <x v="117"/>
    <d v="2024-05-06T00:00:00"/>
    <x v="3"/>
    <x v="0"/>
    <x v="3"/>
    <x v="1"/>
    <n v="126182.29"/>
    <d v="2000-08-02T00:00:00"/>
    <x v="2"/>
    <x v="1"/>
    <x v="27"/>
    <x v="1"/>
  </r>
  <r>
    <s v="rn1187"/>
    <s v="César Ignacio Zapata"/>
    <x v="195"/>
    <d v="2024-06-25T00:00:00"/>
    <x v="0"/>
    <x v="0"/>
    <x v="2"/>
    <x v="1"/>
    <n v="137712.67000000001"/>
    <d v="1967-03-09T00:00:00"/>
    <x v="1"/>
    <x v="1"/>
    <x v="8"/>
    <x v="1"/>
  </r>
  <r>
    <s v="du1760"/>
    <s v="Sr(a). Omar Martínez"/>
    <x v="196"/>
    <d v="2024-04-12T00:00:00"/>
    <x v="5"/>
    <x v="4"/>
    <x v="8"/>
    <x v="1"/>
    <n v="130161.44"/>
    <d v="1958-10-16T00:00:00"/>
    <x v="1"/>
    <x v="1"/>
    <x v="33"/>
    <x v="1"/>
  </r>
  <r>
    <s v="XK6300"/>
    <s v="Mtro. Hermelinda Garibay"/>
    <x v="197"/>
    <m/>
    <x v="5"/>
    <x v="0"/>
    <x v="2"/>
    <x v="1"/>
    <n v="98360.74"/>
    <d v="1977-11-20T00:00:00"/>
    <x v="0"/>
    <x v="0"/>
    <x v="13"/>
    <x v="3"/>
  </r>
  <r>
    <s v="gW4973"/>
    <s v="Dalia Aguirre"/>
    <x v="198"/>
    <d v="2024-08-22T00:00:00"/>
    <x v="2"/>
    <x v="0"/>
    <x v="2"/>
    <x v="0"/>
    <n v="122754.7"/>
    <d v="1983-02-17T00:00:00"/>
    <x v="0"/>
    <x v="1"/>
    <x v="37"/>
    <x v="1"/>
  </r>
  <r>
    <s v="Ir6785"/>
    <s v="Fidel Loya"/>
    <x v="199"/>
    <d v="2024-03-23T00:00:00"/>
    <x v="2"/>
    <x v="3"/>
    <x v="1"/>
    <x v="1"/>
    <n v="31985.79"/>
    <d v="1990-02-21T00:00:00"/>
    <x v="0"/>
    <x v="1"/>
    <x v="42"/>
    <x v="1"/>
  </r>
  <r>
    <s v="WO4224"/>
    <s v="Iván Pelayo"/>
    <x v="200"/>
    <d v="2024-04-19T00:00:00"/>
    <x v="2"/>
    <x v="5"/>
    <x v="9"/>
    <x v="1"/>
    <n v="124492.97"/>
    <d v="1973-02-19T00:00:00"/>
    <x v="2"/>
    <x v="1"/>
    <x v="2"/>
    <x v="1"/>
  </r>
  <r>
    <s v="oM8776"/>
    <s v="Indira Quintero"/>
    <x v="201"/>
    <m/>
    <x v="5"/>
    <x v="4"/>
    <x v="2"/>
    <x v="0"/>
    <n v="104900.75"/>
    <d v="1998-09-20T00:00:00"/>
    <x v="0"/>
    <x v="0"/>
    <x v="38"/>
    <x v="4"/>
  </r>
  <r>
    <s v="lL9365"/>
    <s v="Abigail Alonso Meraz"/>
    <x v="202"/>
    <d v="2024-03-17T00:00:00"/>
    <x v="1"/>
    <x v="1"/>
    <x v="7"/>
    <x v="1"/>
    <n v="140803.13"/>
    <d v="1977-07-27T00:00:00"/>
    <x v="0"/>
    <x v="1"/>
    <x v="13"/>
    <x v="1"/>
  </r>
  <r>
    <s v="LZ6170"/>
    <s v="Martín Porras Godoy"/>
    <x v="203"/>
    <d v="2024-07-28T00:00:00"/>
    <x v="4"/>
    <x v="0"/>
    <x v="9"/>
    <x v="1"/>
    <n v="84657.7"/>
    <d v="1996-10-21T00:00:00"/>
    <x v="2"/>
    <x v="1"/>
    <x v="44"/>
    <x v="1"/>
  </r>
  <r>
    <s v="DC5672"/>
    <s v="Sr(a). Eva Matías"/>
    <x v="204"/>
    <m/>
    <x v="2"/>
    <x v="3"/>
    <x v="5"/>
    <x v="1"/>
    <n v="67501.59"/>
    <d v="1992-11-30T00:00:00"/>
    <x v="0"/>
    <x v="0"/>
    <x v="16"/>
    <x v="1"/>
  </r>
  <r>
    <s v="ci8560"/>
    <s v="Bernabé Bravo Chávez"/>
    <x v="205"/>
    <d v="2024-04-26T00:00:00"/>
    <x v="4"/>
    <x v="2"/>
    <x v="8"/>
    <x v="1"/>
    <n v="139185.03"/>
    <d v="1965-12-09T00:00:00"/>
    <x v="2"/>
    <x v="1"/>
    <x v="47"/>
    <x v="1"/>
  </r>
  <r>
    <s v="Ln3651"/>
    <s v="Jesús Velasco Durán"/>
    <x v="206"/>
    <d v="2024-03-04T00:00:00"/>
    <x v="0"/>
    <x v="2"/>
    <x v="4"/>
    <x v="1"/>
    <n v="138107.1"/>
    <d v="2004-09-23T00:00:00"/>
    <x v="0"/>
    <x v="1"/>
    <x v="10"/>
    <x v="1"/>
  </r>
  <r>
    <s v="hi9451"/>
    <s v="Ana Luisa Benavídez"/>
    <x v="207"/>
    <d v="2024-02-08T00:00:00"/>
    <x v="5"/>
    <x v="2"/>
    <x v="0"/>
    <x v="0"/>
    <n v="61914.01"/>
    <d v="1964-03-30T00:00:00"/>
    <x v="2"/>
    <x v="1"/>
    <x v="34"/>
    <x v="1"/>
  </r>
  <r>
    <s v="JC7601"/>
    <s v="Violeta Samuel Longoria"/>
    <x v="208"/>
    <d v="2024-11-03T00:00:00"/>
    <x v="4"/>
    <x v="0"/>
    <x v="5"/>
    <x v="0"/>
    <n v="56487.69"/>
    <d v="1970-03-04T00:00:00"/>
    <x v="0"/>
    <x v="1"/>
    <x v="14"/>
    <x v="1"/>
  </r>
  <r>
    <s v="vI3072"/>
    <s v="Amelia Matías"/>
    <x v="209"/>
    <m/>
    <x v="5"/>
    <x v="2"/>
    <x v="1"/>
    <x v="0"/>
    <n v="131248.99"/>
    <d v="1983-05-08T00:00:00"/>
    <x v="0"/>
    <x v="0"/>
    <x v="37"/>
    <x v="1"/>
  </r>
  <r>
    <s v="eA9929"/>
    <s v="Cristina Aida Acosta Luna"/>
    <x v="49"/>
    <d v="2024-06-11T00:00:00"/>
    <x v="4"/>
    <x v="0"/>
    <x v="0"/>
    <x v="0"/>
    <n v="66597.52"/>
    <d v="1968-08-21T00:00:00"/>
    <x v="1"/>
    <x v="1"/>
    <x v="24"/>
    <x v="1"/>
  </r>
  <r>
    <s v="wg1957"/>
    <s v="Ing. Mariana Fuentes"/>
    <x v="210"/>
    <d v="2024-09-19T00:00:00"/>
    <x v="4"/>
    <x v="2"/>
    <x v="4"/>
    <x v="1"/>
    <n v="80250.89"/>
    <d v="1959-04-09T00:00:00"/>
    <x v="1"/>
    <x v="1"/>
    <x v="11"/>
    <x v="1"/>
  </r>
  <r>
    <s v="Er0895"/>
    <s v="Isabela Galarza Concepción"/>
    <x v="211"/>
    <d v="2024-06-27T00:00:00"/>
    <x v="3"/>
    <x v="1"/>
    <x v="5"/>
    <x v="0"/>
    <n v="116349.6"/>
    <d v="1963-08-24T00:00:00"/>
    <x v="0"/>
    <x v="1"/>
    <x v="25"/>
    <x v="1"/>
  </r>
  <r>
    <s v="hM5630"/>
    <s v="Luisa Bianca Pedraza Mateo"/>
    <x v="212"/>
    <d v="2024-07-26T00:00:00"/>
    <x v="0"/>
    <x v="1"/>
    <x v="7"/>
    <x v="0"/>
    <n v="119017.76"/>
    <d v="2004-01-26T00:00:00"/>
    <x v="2"/>
    <x v="1"/>
    <x v="10"/>
    <x v="1"/>
  </r>
  <r>
    <s v="oW8689"/>
    <s v="María Cristina María Sisneros Calderón"/>
    <x v="213"/>
    <m/>
    <x v="0"/>
    <x v="3"/>
    <x v="7"/>
    <x v="0"/>
    <n v="73507.45"/>
    <d v="1978-07-14T00:00:00"/>
    <x v="0"/>
    <x v="0"/>
    <x v="15"/>
    <x v="5"/>
  </r>
  <r>
    <s v="se8030"/>
    <s v="Horacio Tafoya Valadez"/>
    <x v="214"/>
    <d v="2024-04-23T00:00:00"/>
    <x v="3"/>
    <x v="0"/>
    <x v="9"/>
    <x v="1"/>
    <n v="70956.710000000006"/>
    <d v="1988-01-26T00:00:00"/>
    <x v="0"/>
    <x v="1"/>
    <x v="1"/>
    <x v="1"/>
  </r>
  <r>
    <s v="Em9429"/>
    <s v="Ing. Eugenia Tello"/>
    <x v="215"/>
    <d v="2024-01-16T00:00:00"/>
    <x v="1"/>
    <x v="2"/>
    <x v="4"/>
    <x v="1"/>
    <n v="139086.5"/>
    <d v="2005-02-28T00:00:00"/>
    <x v="2"/>
    <x v="1"/>
    <x v="26"/>
    <x v="1"/>
  </r>
  <r>
    <s v="mP3815"/>
    <s v="Cristobal María Cristina Cortés Núñez"/>
    <x v="216"/>
    <m/>
    <x v="1"/>
    <x v="0"/>
    <x v="2"/>
    <x v="1"/>
    <n v="66827.34"/>
    <d v="1972-04-12T00:00:00"/>
    <x v="2"/>
    <x v="0"/>
    <x v="23"/>
    <x v="2"/>
  </r>
  <r>
    <s v="gU2086"/>
    <s v="Flavio Juana Esquivel Ocampo"/>
    <x v="217"/>
    <d v="2024-06-20T00:00:00"/>
    <x v="4"/>
    <x v="3"/>
    <x v="6"/>
    <x v="1"/>
    <n v="100237.21"/>
    <d v="1974-07-04T00:00:00"/>
    <x v="0"/>
    <x v="1"/>
    <x v="20"/>
    <x v="1"/>
  </r>
  <r>
    <s v="jE9724"/>
    <s v="Sandra Acuña Martínez"/>
    <x v="218"/>
    <m/>
    <x v="4"/>
    <x v="5"/>
    <x v="9"/>
    <x v="0"/>
    <n v="132989.28"/>
    <d v="1961-06-13T00:00:00"/>
    <x v="2"/>
    <x v="0"/>
    <x v="12"/>
    <x v="4"/>
  </r>
  <r>
    <s v="TL1983"/>
    <s v="Luis Miguel Ontiveros"/>
    <x v="219"/>
    <m/>
    <x v="0"/>
    <x v="0"/>
    <x v="1"/>
    <x v="1"/>
    <n v="118432.68"/>
    <d v="1995-06-16T00:00:00"/>
    <x v="2"/>
    <x v="0"/>
    <x v="21"/>
    <x v="3"/>
  </r>
  <r>
    <s v="aj5007"/>
    <s v="Zacarías Valle Olivera"/>
    <x v="220"/>
    <m/>
    <x v="3"/>
    <x v="2"/>
    <x v="3"/>
    <x v="1"/>
    <n v="90838.26"/>
    <d v="2004-12-12T00:00:00"/>
    <x v="1"/>
    <x v="0"/>
    <x v="10"/>
    <x v="2"/>
  </r>
  <r>
    <s v="Fy8039"/>
    <s v="Cristian Gabriela Palacios Mayorga"/>
    <x v="221"/>
    <m/>
    <x v="1"/>
    <x v="5"/>
    <x v="2"/>
    <x v="1"/>
    <n v="91697.27"/>
    <d v="1992-10-31T00:00:00"/>
    <x v="1"/>
    <x v="0"/>
    <x v="16"/>
    <x v="2"/>
  </r>
  <r>
    <s v="iz0030"/>
    <s v="Victoria Cordero Valentín"/>
    <x v="222"/>
    <d v="2024-08-24T00:00:00"/>
    <x v="1"/>
    <x v="0"/>
    <x v="2"/>
    <x v="0"/>
    <n v="62559.03"/>
    <d v="1973-06-11T00:00:00"/>
    <x v="0"/>
    <x v="1"/>
    <x v="2"/>
    <x v="1"/>
  </r>
  <r>
    <s v="Qu7370"/>
    <s v="Luisa Jerónimo Limón"/>
    <x v="223"/>
    <d v="2024-07-23T00:00:00"/>
    <x v="3"/>
    <x v="1"/>
    <x v="1"/>
    <x v="0"/>
    <n v="51256.52"/>
    <d v="1960-05-24T00:00:00"/>
    <x v="1"/>
    <x v="1"/>
    <x v="17"/>
    <x v="1"/>
  </r>
  <r>
    <s v="yG2321"/>
    <s v="Marco Antonio Nelly Razo Tello"/>
    <x v="224"/>
    <m/>
    <x v="5"/>
    <x v="3"/>
    <x v="0"/>
    <x v="1"/>
    <n v="130682.5"/>
    <d v="1992-11-13T00:00:00"/>
    <x v="0"/>
    <x v="0"/>
    <x v="16"/>
    <x v="3"/>
  </r>
  <r>
    <s v="na9369"/>
    <s v="Wendolin Zavala"/>
    <x v="225"/>
    <m/>
    <x v="3"/>
    <x v="3"/>
    <x v="5"/>
    <x v="1"/>
    <n v="139811.99"/>
    <d v="1998-09-19T00:00:00"/>
    <x v="1"/>
    <x v="0"/>
    <x v="38"/>
    <x v="3"/>
  </r>
  <r>
    <s v="aq1120"/>
    <s v="Salma Altamirano"/>
    <x v="226"/>
    <m/>
    <x v="3"/>
    <x v="2"/>
    <x v="6"/>
    <x v="0"/>
    <n v="91114.27"/>
    <d v="2002-06-03T00:00:00"/>
    <x v="1"/>
    <x v="0"/>
    <x v="3"/>
    <x v="2"/>
  </r>
  <r>
    <s v="uc8045"/>
    <s v="Micaela Cadena"/>
    <x v="227"/>
    <m/>
    <x v="2"/>
    <x v="2"/>
    <x v="1"/>
    <x v="0"/>
    <n v="133418.56"/>
    <d v="2003-06-22T00:00:00"/>
    <x v="1"/>
    <x v="0"/>
    <x v="22"/>
    <x v="2"/>
  </r>
  <r>
    <s v="Ny5690"/>
    <s v="Fidel Orta Saldaña"/>
    <x v="228"/>
    <m/>
    <x v="4"/>
    <x v="5"/>
    <x v="9"/>
    <x v="1"/>
    <n v="32543.37"/>
    <d v="1989-07-29T00:00:00"/>
    <x v="0"/>
    <x v="0"/>
    <x v="4"/>
    <x v="4"/>
  </r>
  <r>
    <s v="Mi5908"/>
    <s v="José Carlos Felipe Sáenz"/>
    <x v="229"/>
    <m/>
    <x v="2"/>
    <x v="1"/>
    <x v="6"/>
    <x v="1"/>
    <n v="136470.91"/>
    <d v="1998-03-09T00:00:00"/>
    <x v="0"/>
    <x v="0"/>
    <x v="38"/>
    <x v="5"/>
  </r>
  <r>
    <s v="dF6630"/>
    <s v="Amalia Rodrígez"/>
    <x v="230"/>
    <d v="2024-11-09T00:00:00"/>
    <x v="5"/>
    <x v="3"/>
    <x v="3"/>
    <x v="1"/>
    <n v="119879.59"/>
    <d v="1983-07-09T00:00:00"/>
    <x v="0"/>
    <x v="1"/>
    <x v="37"/>
    <x v="1"/>
  </r>
  <r>
    <s v="fF7406"/>
    <s v="Verónica Juan Mateo Salinas"/>
    <x v="231"/>
    <d v="2024-04-30T00:00:00"/>
    <x v="1"/>
    <x v="4"/>
    <x v="7"/>
    <x v="0"/>
    <n v="136113.16"/>
    <d v="2005-11-07T00:00:00"/>
    <x v="1"/>
    <x v="1"/>
    <x v="26"/>
    <x v="1"/>
  </r>
  <r>
    <s v="JN8206"/>
    <s v="Vicente Guerra"/>
    <x v="232"/>
    <m/>
    <x v="5"/>
    <x v="0"/>
    <x v="0"/>
    <x v="1"/>
    <n v="30746.6"/>
    <d v="1974-06-19T00:00:00"/>
    <x v="2"/>
    <x v="0"/>
    <x v="20"/>
    <x v="0"/>
  </r>
  <r>
    <s v="el8259"/>
    <s v="Inés Isabela Verduzco"/>
    <x v="233"/>
    <m/>
    <x v="2"/>
    <x v="5"/>
    <x v="0"/>
    <x v="1"/>
    <n v="76354.720000000001"/>
    <d v="1969-03-12T00:00:00"/>
    <x v="2"/>
    <x v="0"/>
    <x v="39"/>
    <x v="0"/>
  </r>
  <r>
    <s v="yw8323"/>
    <s v="Pedro Orellana Jáquez"/>
    <x v="129"/>
    <m/>
    <x v="3"/>
    <x v="4"/>
    <x v="2"/>
    <x v="1"/>
    <n v="30279.17"/>
    <d v="1993-08-28T00:00:00"/>
    <x v="2"/>
    <x v="0"/>
    <x v="9"/>
    <x v="4"/>
  </r>
  <r>
    <s v="lU3192"/>
    <s v="Horacio Jerónimo Sotelo Colón"/>
    <x v="234"/>
    <m/>
    <x v="4"/>
    <x v="2"/>
    <x v="1"/>
    <x v="1"/>
    <n v="112092.44"/>
    <d v="1978-07-18T00:00:00"/>
    <x v="2"/>
    <x v="0"/>
    <x v="15"/>
    <x v="6"/>
  </r>
  <r>
    <s v="Ae3093"/>
    <s v="Elena María Elena Castañeda"/>
    <x v="235"/>
    <m/>
    <x v="5"/>
    <x v="0"/>
    <x v="0"/>
    <x v="0"/>
    <n v="64245.97"/>
    <d v="1998-04-20T00:00:00"/>
    <x v="2"/>
    <x v="0"/>
    <x v="38"/>
    <x v="2"/>
  </r>
  <r>
    <s v="wb8097"/>
    <s v="Gabriel Fernando Corral Serrano"/>
    <x v="236"/>
    <m/>
    <x v="3"/>
    <x v="2"/>
    <x v="9"/>
    <x v="1"/>
    <n v="62968.32"/>
    <d v="1968-06-11T00:00:00"/>
    <x v="1"/>
    <x v="0"/>
    <x v="24"/>
    <x v="3"/>
  </r>
  <r>
    <s v="az0114"/>
    <s v="Emilio Luis Merino"/>
    <x v="237"/>
    <d v="2024-10-14T00:00:00"/>
    <x v="1"/>
    <x v="2"/>
    <x v="2"/>
    <x v="1"/>
    <n v="148245.20000000001"/>
    <d v="1999-08-24T00:00:00"/>
    <x v="2"/>
    <x v="1"/>
    <x v="5"/>
    <x v="1"/>
  </r>
  <r>
    <s v="mP8192"/>
    <s v="Sara Lovato"/>
    <x v="238"/>
    <m/>
    <x v="5"/>
    <x v="0"/>
    <x v="1"/>
    <x v="0"/>
    <n v="134290.93"/>
    <d v="1996-06-15T00:00:00"/>
    <x v="0"/>
    <x v="0"/>
    <x v="44"/>
    <x v="5"/>
  </r>
  <r>
    <s v="MD7053"/>
    <s v="Jaime Pilar Barragán Montez"/>
    <x v="239"/>
    <d v="2024-06-25T00:00:00"/>
    <x v="3"/>
    <x v="3"/>
    <x v="6"/>
    <x v="1"/>
    <n v="50195.87"/>
    <d v="1980-04-11T00:00:00"/>
    <x v="2"/>
    <x v="1"/>
    <x v="32"/>
    <x v="1"/>
  </r>
  <r>
    <s v="Lm9674"/>
    <s v="Eva Luis Miguel Urrutia"/>
    <x v="240"/>
    <m/>
    <x v="5"/>
    <x v="4"/>
    <x v="7"/>
    <x v="0"/>
    <n v="50021.23"/>
    <d v="1981-12-16T00:00:00"/>
    <x v="1"/>
    <x v="0"/>
    <x v="7"/>
    <x v="2"/>
  </r>
  <r>
    <s v="TN8564"/>
    <s v="Dulce Jorge Irizarry"/>
    <x v="241"/>
    <m/>
    <x v="2"/>
    <x v="4"/>
    <x v="0"/>
    <x v="1"/>
    <n v="81137.960000000006"/>
    <d v="1986-06-08T00:00:00"/>
    <x v="2"/>
    <x v="0"/>
    <x v="46"/>
    <x v="1"/>
  </r>
  <r>
    <s v="gC1383"/>
    <s v="Elena Cabrera"/>
    <x v="242"/>
    <d v="2024-05-07T00:00:00"/>
    <x v="0"/>
    <x v="3"/>
    <x v="2"/>
    <x v="0"/>
    <n v="130115.39"/>
    <d v="1962-10-23T00:00:00"/>
    <x v="1"/>
    <x v="1"/>
    <x v="30"/>
    <x v="1"/>
  </r>
  <r>
    <s v="WT8733"/>
    <s v="Ing. Marcela Valdivia"/>
    <x v="243"/>
    <d v="2024-03-07T00:00:00"/>
    <x v="3"/>
    <x v="4"/>
    <x v="6"/>
    <x v="1"/>
    <n v="67989.03"/>
    <d v="1962-08-13T00:00:00"/>
    <x v="2"/>
    <x v="1"/>
    <x v="30"/>
    <x v="1"/>
  </r>
  <r>
    <s v="an9737"/>
    <s v="Sr(a). Bernabé Holguín"/>
    <x v="244"/>
    <m/>
    <x v="4"/>
    <x v="3"/>
    <x v="2"/>
    <x v="1"/>
    <n v="82933.62"/>
    <d v="2005-05-28T00:00:00"/>
    <x v="1"/>
    <x v="0"/>
    <x v="26"/>
    <x v="0"/>
  </r>
  <r>
    <s v="cl7525"/>
    <s v="Sr(a). Guillermo Marín"/>
    <x v="154"/>
    <m/>
    <x v="0"/>
    <x v="0"/>
    <x v="0"/>
    <x v="1"/>
    <n v="70471.42"/>
    <d v="1995-10-04T00:00:00"/>
    <x v="1"/>
    <x v="0"/>
    <x v="21"/>
    <x v="5"/>
  </r>
  <r>
    <s v="KA1029"/>
    <s v="Alma Nevárez Ureña"/>
    <x v="245"/>
    <m/>
    <x v="4"/>
    <x v="2"/>
    <x v="9"/>
    <x v="0"/>
    <n v="57049.21"/>
    <d v="1976-12-28T00:00:00"/>
    <x v="2"/>
    <x v="0"/>
    <x v="45"/>
    <x v="5"/>
  </r>
  <r>
    <s v="hE7268"/>
    <s v="Abril Raya"/>
    <x v="26"/>
    <d v="2024-01-11T00:00:00"/>
    <x v="0"/>
    <x v="1"/>
    <x v="0"/>
    <x v="1"/>
    <n v="85963.69"/>
    <d v="1980-10-19T00:00:00"/>
    <x v="2"/>
    <x v="1"/>
    <x v="32"/>
    <x v="1"/>
  </r>
  <r>
    <s v="Xh9069"/>
    <s v="Pilar Ávalos"/>
    <x v="246"/>
    <m/>
    <x v="3"/>
    <x v="2"/>
    <x v="9"/>
    <x v="1"/>
    <n v="91630.29"/>
    <d v="1968-06-27T00:00:00"/>
    <x v="2"/>
    <x v="0"/>
    <x v="24"/>
    <x v="4"/>
  </r>
  <r>
    <s v="Kx3820"/>
    <s v="Teresa Téllez"/>
    <x v="247"/>
    <d v="2024-07-04T00:00:00"/>
    <x v="5"/>
    <x v="2"/>
    <x v="2"/>
    <x v="0"/>
    <n v="60034.21"/>
    <d v="1996-10-11T00:00:00"/>
    <x v="0"/>
    <x v="1"/>
    <x v="44"/>
    <x v="1"/>
  </r>
  <r>
    <s v="jx6753"/>
    <s v="Porfirio Minerva Arroyo Mota"/>
    <x v="248"/>
    <d v="2024-11-22T00:00:00"/>
    <x v="5"/>
    <x v="2"/>
    <x v="8"/>
    <x v="1"/>
    <n v="52032.01"/>
    <d v="1977-03-29T00:00:00"/>
    <x v="0"/>
    <x v="1"/>
    <x v="13"/>
    <x v="1"/>
  </r>
  <r>
    <s v="oZ4302"/>
    <s v="Esparta Elena Batista"/>
    <x v="88"/>
    <d v="2024-11-24T00:00:00"/>
    <x v="0"/>
    <x v="1"/>
    <x v="4"/>
    <x v="0"/>
    <n v="97287.05"/>
    <d v="1959-05-27T00:00:00"/>
    <x v="2"/>
    <x v="1"/>
    <x v="11"/>
    <x v="1"/>
  </r>
  <r>
    <s v="Nx1152"/>
    <s v="Evelio Adalberto Saiz Casares"/>
    <x v="249"/>
    <m/>
    <x v="1"/>
    <x v="0"/>
    <x v="1"/>
    <x v="1"/>
    <n v="118925.53"/>
    <d v="1969-11-07T00:00:00"/>
    <x v="1"/>
    <x v="0"/>
    <x v="39"/>
    <x v="5"/>
  </r>
  <r>
    <s v="xS1356"/>
    <s v="Ing. María Cristina de León"/>
    <x v="250"/>
    <d v="2024-06-09T00:00:00"/>
    <x v="0"/>
    <x v="2"/>
    <x v="2"/>
    <x v="1"/>
    <n v="32677.93"/>
    <d v="1971-08-28T00:00:00"/>
    <x v="1"/>
    <x v="1"/>
    <x v="19"/>
    <x v="1"/>
  </r>
  <r>
    <s v="At3882"/>
    <s v="Ignacio Rodríguez Caldera"/>
    <x v="251"/>
    <d v="2024-11-22T00:00:00"/>
    <x v="4"/>
    <x v="0"/>
    <x v="4"/>
    <x v="1"/>
    <n v="30123.13"/>
    <d v="1984-12-25T00:00:00"/>
    <x v="0"/>
    <x v="1"/>
    <x v="36"/>
    <x v="1"/>
  </r>
  <r>
    <s v="Pi0144"/>
    <s v="Ing. René Chávez"/>
    <x v="252"/>
    <m/>
    <x v="2"/>
    <x v="0"/>
    <x v="0"/>
    <x v="1"/>
    <n v="122622.84"/>
    <d v="1992-06-01T00:00:00"/>
    <x v="0"/>
    <x v="0"/>
    <x v="16"/>
    <x v="6"/>
  </r>
  <r>
    <s v="hT2230"/>
    <s v="Zoé Berríos Portillo"/>
    <x v="170"/>
    <m/>
    <x v="0"/>
    <x v="2"/>
    <x v="6"/>
    <x v="1"/>
    <n v="48807.14"/>
    <d v="2003-08-21T00:00:00"/>
    <x v="0"/>
    <x v="0"/>
    <x v="22"/>
    <x v="5"/>
  </r>
  <r>
    <s v="ZJ5901"/>
    <s v="Bianca Leonor Centeno"/>
    <x v="253"/>
    <d v="2024-05-03T00:00:00"/>
    <x v="0"/>
    <x v="4"/>
    <x v="5"/>
    <x v="0"/>
    <n v="56329.93"/>
    <d v="2005-01-06T00:00:00"/>
    <x v="2"/>
    <x v="1"/>
    <x v="26"/>
    <x v="1"/>
  </r>
  <r>
    <s v="Do7011"/>
    <s v="Carla Esmeralda Cabán Perales"/>
    <x v="254"/>
    <d v="2024-12-12T00:00:00"/>
    <x v="5"/>
    <x v="4"/>
    <x v="0"/>
    <x v="0"/>
    <n v="127904.8"/>
    <d v="2000-04-26T00:00:00"/>
    <x v="1"/>
    <x v="1"/>
    <x v="27"/>
    <x v="1"/>
  </r>
  <r>
    <s v="bq0018"/>
    <s v="Iván Modesto Mota Jiménez"/>
    <x v="255"/>
    <d v="2024-03-07T00:00:00"/>
    <x v="4"/>
    <x v="3"/>
    <x v="9"/>
    <x v="1"/>
    <n v="36713.019999999997"/>
    <d v="1958-12-13T00:00:00"/>
    <x v="0"/>
    <x v="1"/>
    <x v="33"/>
    <x v="1"/>
  </r>
  <r>
    <s v="MC1627"/>
    <s v="Eva Uriel Saldaña"/>
    <x v="256"/>
    <m/>
    <x v="3"/>
    <x v="5"/>
    <x v="7"/>
    <x v="0"/>
    <n v="147679.46"/>
    <d v="1967-09-08T00:00:00"/>
    <x v="0"/>
    <x v="0"/>
    <x v="8"/>
    <x v="5"/>
  </r>
  <r>
    <s v="rI3399"/>
    <s v="Diego Soledad Hurtado Magaña"/>
    <x v="71"/>
    <m/>
    <x v="2"/>
    <x v="5"/>
    <x v="9"/>
    <x v="1"/>
    <n v="93471.8"/>
    <d v="2002-08-02T00:00:00"/>
    <x v="1"/>
    <x v="0"/>
    <x v="3"/>
    <x v="4"/>
  </r>
  <r>
    <s v="fg7362"/>
    <s v="Ariadna Soliz Burgos"/>
    <x v="257"/>
    <d v="2024-03-24T00:00:00"/>
    <x v="5"/>
    <x v="0"/>
    <x v="1"/>
    <x v="0"/>
    <n v="47253.760000000002"/>
    <d v="1975-10-26T00:00:00"/>
    <x v="1"/>
    <x v="1"/>
    <x v="40"/>
    <x v="1"/>
  </r>
  <r>
    <s v="bj4951"/>
    <s v="Ángel Ortiz"/>
    <x v="95"/>
    <m/>
    <x v="0"/>
    <x v="1"/>
    <x v="3"/>
    <x v="1"/>
    <n v="97377.03"/>
    <d v="1988-10-17T00:00:00"/>
    <x v="2"/>
    <x v="0"/>
    <x v="1"/>
    <x v="1"/>
  </r>
  <r>
    <s v="WB1233"/>
    <s v="Angélica Emilio Lozada Mota"/>
    <x v="258"/>
    <m/>
    <x v="2"/>
    <x v="4"/>
    <x v="5"/>
    <x v="0"/>
    <n v="87604.62"/>
    <d v="1997-11-21T00:00:00"/>
    <x v="1"/>
    <x v="0"/>
    <x v="6"/>
    <x v="5"/>
  </r>
  <r>
    <s v="sO4087"/>
    <s v="Guillermo Cordero"/>
    <x v="163"/>
    <m/>
    <x v="5"/>
    <x v="1"/>
    <x v="0"/>
    <x v="1"/>
    <n v="34515.629999999997"/>
    <d v="1995-12-02T00:00:00"/>
    <x v="1"/>
    <x v="0"/>
    <x v="21"/>
    <x v="4"/>
  </r>
  <r>
    <s v="py2707"/>
    <s v="Omar Mares Carranza"/>
    <x v="259"/>
    <m/>
    <x v="1"/>
    <x v="4"/>
    <x v="0"/>
    <x v="1"/>
    <n v="122380.56"/>
    <d v="1975-12-19T00:00:00"/>
    <x v="1"/>
    <x v="0"/>
    <x v="40"/>
    <x v="0"/>
  </r>
  <r>
    <s v="Qi8621"/>
    <s v="Ramón Ofelia Domínguez Cervántez"/>
    <x v="260"/>
    <m/>
    <x v="0"/>
    <x v="2"/>
    <x v="9"/>
    <x v="1"/>
    <n v="140312"/>
    <d v="1975-01-20T00:00:00"/>
    <x v="2"/>
    <x v="0"/>
    <x v="40"/>
    <x v="5"/>
  </r>
  <r>
    <s v="xK6255"/>
    <s v="Juan Asunción Villagómez Carrero"/>
    <x v="261"/>
    <m/>
    <x v="4"/>
    <x v="1"/>
    <x v="7"/>
    <x v="1"/>
    <n v="145370.76999999999"/>
    <d v="2000-05-12T00:00:00"/>
    <x v="0"/>
    <x v="0"/>
    <x v="27"/>
    <x v="0"/>
  </r>
  <r>
    <s v="wa5610"/>
    <s v="Hilda Cotto"/>
    <x v="262"/>
    <d v="2024-05-21T00:00:00"/>
    <x v="4"/>
    <x v="0"/>
    <x v="9"/>
    <x v="0"/>
    <n v="125282.17"/>
    <d v="2001-04-20T00:00:00"/>
    <x v="0"/>
    <x v="1"/>
    <x v="31"/>
    <x v="1"/>
  </r>
  <r>
    <s v="PY7250"/>
    <s v="Gerardo Gabriela Blanco Montero"/>
    <x v="229"/>
    <m/>
    <x v="4"/>
    <x v="0"/>
    <x v="8"/>
    <x v="1"/>
    <n v="139713.98000000001"/>
    <d v="2000-11-14T00:00:00"/>
    <x v="1"/>
    <x v="0"/>
    <x v="27"/>
    <x v="5"/>
  </r>
  <r>
    <s v="Wv2201"/>
    <s v="José María Moya Loya"/>
    <x v="263"/>
    <m/>
    <x v="2"/>
    <x v="5"/>
    <x v="6"/>
    <x v="1"/>
    <n v="80351.649999999994"/>
    <d v="1993-04-01T00:00:00"/>
    <x v="0"/>
    <x v="0"/>
    <x v="9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A68648-DD6F-4A22-9784-E033457A8566}" name="AntiguedadLaboral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84:B92" firstHeaderRow="1" firstDataRow="1" firstDataCol="1"/>
  <pivotFields count="18">
    <pivotField showAll="0"/>
    <pivotField showAll="0"/>
    <pivotField numFmtId="14" showAll="0">
      <items count="265">
        <item x="75"/>
        <item x="134"/>
        <item x="202"/>
        <item x="210"/>
        <item x="207"/>
        <item x="79"/>
        <item x="199"/>
        <item x="198"/>
        <item x="88"/>
        <item x="250"/>
        <item x="122"/>
        <item x="62"/>
        <item x="234"/>
        <item x="183"/>
        <item x="252"/>
        <item x="49"/>
        <item x="148"/>
        <item x="221"/>
        <item x="23"/>
        <item x="194"/>
        <item x="235"/>
        <item x="59"/>
        <item x="220"/>
        <item x="87"/>
        <item x="104"/>
        <item x="34"/>
        <item x="44"/>
        <item x="239"/>
        <item x="113"/>
        <item x="153"/>
        <item x="226"/>
        <item x="4"/>
        <item x="24"/>
        <item x="158"/>
        <item x="112"/>
        <item x="140"/>
        <item x="167"/>
        <item x="130"/>
        <item x="116"/>
        <item x="137"/>
        <item x="176"/>
        <item x="160"/>
        <item x="65"/>
        <item x="101"/>
        <item x="227"/>
        <item x="105"/>
        <item x="22"/>
        <item x="46"/>
        <item x="240"/>
        <item x="144"/>
        <item x="139"/>
        <item x="223"/>
        <item x="66"/>
        <item x="132"/>
        <item x="187"/>
        <item x="18"/>
        <item x="184"/>
        <item x="57"/>
        <item x="30"/>
        <item x="216"/>
        <item x="115"/>
        <item x="150"/>
        <item x="110"/>
        <item x="37"/>
        <item x="108"/>
        <item x="203"/>
        <item x="192"/>
        <item x="136"/>
        <item x="114"/>
        <item x="82"/>
        <item x="67"/>
        <item x="52"/>
        <item x="259"/>
        <item x="78"/>
        <item x="173"/>
        <item x="231"/>
        <item x="128"/>
        <item x="261"/>
        <item x="68"/>
        <item x="156"/>
        <item x="233"/>
        <item x="32"/>
        <item x="244"/>
        <item x="232"/>
        <item x="107"/>
        <item x="135"/>
        <item x="243"/>
        <item x="138"/>
        <item x="206"/>
        <item x="1"/>
        <item x="80"/>
        <item x="9"/>
        <item x="36"/>
        <item x="186"/>
        <item x="54"/>
        <item x="64"/>
        <item x="145"/>
        <item x="152"/>
        <item x="141"/>
        <item x="74"/>
        <item x="99"/>
        <item x="111"/>
        <item x="131"/>
        <item x="123"/>
        <item x="3"/>
        <item x="97"/>
        <item x="248"/>
        <item x="0"/>
        <item x="61"/>
        <item x="117"/>
        <item x="56"/>
        <item x="229"/>
        <item x="94"/>
        <item x="170"/>
        <item x="39"/>
        <item x="193"/>
        <item x="260"/>
        <item x="72"/>
        <item x="258"/>
        <item x="127"/>
        <item x="45"/>
        <item x="55"/>
        <item x="256"/>
        <item x="77"/>
        <item x="47"/>
        <item x="83"/>
        <item x="213"/>
        <item x="238"/>
        <item x="5"/>
        <item x="92"/>
        <item x="215"/>
        <item x="154"/>
        <item x="155"/>
        <item x="254"/>
        <item x="181"/>
        <item x="31"/>
        <item x="40"/>
        <item x="179"/>
        <item x="27"/>
        <item x="120"/>
        <item x="118"/>
        <item x="191"/>
        <item x="12"/>
        <item x="177"/>
        <item x="249"/>
        <item x="2"/>
        <item x="245"/>
        <item x="50"/>
        <item x="53"/>
        <item x="242"/>
        <item x="165"/>
        <item x="218"/>
        <item x="195"/>
        <item x="185"/>
        <item x="84"/>
        <item x="26"/>
        <item x="25"/>
        <item x="73"/>
        <item x="98"/>
        <item x="228"/>
        <item x="38"/>
        <item x="60"/>
        <item x="129"/>
        <item x="81"/>
        <item x="157"/>
        <item x="208"/>
        <item x="16"/>
        <item x="171"/>
        <item x="161"/>
        <item x="29"/>
        <item x="13"/>
        <item x="15"/>
        <item x="174"/>
        <item x="102"/>
        <item x="106"/>
        <item x="257"/>
        <item x="246"/>
        <item x="211"/>
        <item x="182"/>
        <item x="100"/>
        <item x="230"/>
        <item x="71"/>
        <item x="124"/>
        <item x="201"/>
        <item x="90"/>
        <item x="163"/>
        <item x="121"/>
        <item x="28"/>
        <item x="63"/>
        <item x="147"/>
        <item x="91"/>
        <item x="125"/>
        <item x="151"/>
        <item x="41"/>
        <item x="103"/>
        <item x="222"/>
        <item x="224"/>
        <item x="119"/>
        <item x="10"/>
        <item x="214"/>
        <item x="17"/>
        <item x="58"/>
        <item x="212"/>
        <item x="42"/>
        <item x="86"/>
        <item x="236"/>
        <item x="237"/>
        <item x="205"/>
        <item x="255"/>
        <item x="164"/>
        <item x="253"/>
        <item x="6"/>
        <item x="11"/>
        <item x="19"/>
        <item x="180"/>
        <item x="247"/>
        <item x="43"/>
        <item x="225"/>
        <item x="126"/>
        <item x="85"/>
        <item x="188"/>
        <item x="109"/>
        <item x="190"/>
        <item x="200"/>
        <item x="197"/>
        <item x="219"/>
        <item x="8"/>
        <item x="143"/>
        <item x="48"/>
        <item x="196"/>
        <item x="142"/>
        <item x="189"/>
        <item x="262"/>
        <item x="51"/>
        <item x="146"/>
        <item x="96"/>
        <item x="69"/>
        <item x="149"/>
        <item x="178"/>
        <item x="21"/>
        <item x="7"/>
        <item x="175"/>
        <item x="251"/>
        <item x="76"/>
        <item x="35"/>
        <item x="70"/>
        <item x="14"/>
        <item x="95"/>
        <item x="89"/>
        <item x="209"/>
        <item x="133"/>
        <item x="168"/>
        <item x="20"/>
        <item x="241"/>
        <item x="169"/>
        <item x="172"/>
        <item x="217"/>
        <item x="263"/>
        <item x="162"/>
        <item x="166"/>
        <item x="93"/>
        <item x="159"/>
        <item x="33"/>
        <item x="204"/>
        <item t="default"/>
      </items>
    </pivotField>
    <pivotField showAll="0"/>
    <pivotField showAll="0">
      <items count="7">
        <item x="0"/>
        <item x="3"/>
        <item x="4"/>
        <item x="2"/>
        <item x="1"/>
        <item x="5"/>
        <item t="default"/>
      </items>
    </pivotField>
    <pivotField showAll="0">
      <items count="7">
        <item x="5"/>
        <item x="2"/>
        <item x="1"/>
        <item x="3"/>
        <item x="0"/>
        <item x="4"/>
        <item t="default"/>
      </items>
    </pivotField>
    <pivotField showAll="0">
      <items count="11">
        <item x="2"/>
        <item x="9"/>
        <item x="6"/>
        <item x="4"/>
        <item x="5"/>
        <item x="0"/>
        <item x="8"/>
        <item x="7"/>
        <item x="3"/>
        <item x="1"/>
        <item t="default"/>
      </items>
    </pivotField>
    <pivotField showAll="0">
      <items count="3">
        <item x="0"/>
        <item x="1"/>
        <item t="default"/>
      </items>
    </pivotField>
    <pivotField showAll="0"/>
    <pivotField numFmtId="14" showAll="0"/>
    <pivotField showAll="0">
      <items count="4"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8">
        <item x="1"/>
        <item x="3"/>
        <item x="4"/>
        <item x="5"/>
        <item x="0"/>
        <item x="2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ragToRow="0" dragToCol="0" dragToPage="0" showAll="0" defaultSubtotal="0"/>
  </pivotFields>
  <rowFields count="1">
    <field x="1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uenta de Antigüedad" fld="13" subtotal="count" baseField="13" baseItem="0"/>
  </dataFields>
  <formats count="1">
    <format dxfId="2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86E1AA-68A0-4872-B8C5-834F55AB459C}" name="RangoEdades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71:B77" firstHeaderRow="1" firstDataRow="1" firstDataCol="1"/>
  <pivotFields count="18">
    <pivotField showAll="0"/>
    <pivotField showAll="0"/>
    <pivotField numFmtId="14" showAll="0">
      <items count="265">
        <item x="75"/>
        <item x="134"/>
        <item x="202"/>
        <item x="210"/>
        <item x="207"/>
        <item x="79"/>
        <item x="199"/>
        <item x="198"/>
        <item x="88"/>
        <item x="250"/>
        <item x="122"/>
        <item x="62"/>
        <item x="234"/>
        <item x="183"/>
        <item x="252"/>
        <item x="49"/>
        <item x="148"/>
        <item x="221"/>
        <item x="23"/>
        <item x="194"/>
        <item x="235"/>
        <item x="59"/>
        <item x="220"/>
        <item x="87"/>
        <item x="104"/>
        <item x="34"/>
        <item x="44"/>
        <item x="239"/>
        <item x="113"/>
        <item x="153"/>
        <item x="226"/>
        <item x="4"/>
        <item x="24"/>
        <item x="158"/>
        <item x="112"/>
        <item x="140"/>
        <item x="167"/>
        <item x="130"/>
        <item x="116"/>
        <item x="137"/>
        <item x="176"/>
        <item x="160"/>
        <item x="65"/>
        <item x="101"/>
        <item x="227"/>
        <item x="105"/>
        <item x="22"/>
        <item x="46"/>
        <item x="240"/>
        <item x="144"/>
        <item x="139"/>
        <item x="223"/>
        <item x="66"/>
        <item x="132"/>
        <item x="187"/>
        <item x="18"/>
        <item x="184"/>
        <item x="57"/>
        <item x="30"/>
        <item x="216"/>
        <item x="115"/>
        <item x="150"/>
        <item x="110"/>
        <item x="37"/>
        <item x="108"/>
        <item x="203"/>
        <item x="192"/>
        <item x="136"/>
        <item x="114"/>
        <item x="82"/>
        <item x="67"/>
        <item x="52"/>
        <item x="259"/>
        <item x="78"/>
        <item x="173"/>
        <item x="231"/>
        <item x="128"/>
        <item x="261"/>
        <item x="68"/>
        <item x="156"/>
        <item x="233"/>
        <item x="32"/>
        <item x="244"/>
        <item x="232"/>
        <item x="107"/>
        <item x="135"/>
        <item x="243"/>
        <item x="138"/>
        <item x="206"/>
        <item x="1"/>
        <item x="80"/>
        <item x="9"/>
        <item x="36"/>
        <item x="186"/>
        <item x="54"/>
        <item x="64"/>
        <item x="145"/>
        <item x="152"/>
        <item x="141"/>
        <item x="74"/>
        <item x="99"/>
        <item x="111"/>
        <item x="131"/>
        <item x="123"/>
        <item x="3"/>
        <item x="97"/>
        <item x="248"/>
        <item x="0"/>
        <item x="61"/>
        <item x="117"/>
        <item x="56"/>
        <item x="229"/>
        <item x="94"/>
        <item x="170"/>
        <item x="39"/>
        <item x="193"/>
        <item x="260"/>
        <item x="72"/>
        <item x="258"/>
        <item x="127"/>
        <item x="45"/>
        <item x="55"/>
        <item x="256"/>
        <item x="77"/>
        <item x="47"/>
        <item x="83"/>
        <item x="213"/>
        <item x="238"/>
        <item x="5"/>
        <item x="92"/>
        <item x="215"/>
        <item x="154"/>
        <item x="155"/>
        <item x="254"/>
        <item x="181"/>
        <item x="31"/>
        <item x="40"/>
        <item x="179"/>
        <item x="27"/>
        <item x="120"/>
        <item x="118"/>
        <item x="191"/>
        <item x="12"/>
        <item x="177"/>
        <item x="249"/>
        <item x="2"/>
        <item x="245"/>
        <item x="50"/>
        <item x="53"/>
        <item x="242"/>
        <item x="165"/>
        <item x="218"/>
        <item x="195"/>
        <item x="185"/>
        <item x="84"/>
        <item x="26"/>
        <item x="25"/>
        <item x="73"/>
        <item x="98"/>
        <item x="228"/>
        <item x="38"/>
        <item x="60"/>
        <item x="129"/>
        <item x="81"/>
        <item x="157"/>
        <item x="208"/>
        <item x="16"/>
        <item x="171"/>
        <item x="161"/>
        <item x="29"/>
        <item x="13"/>
        <item x="15"/>
        <item x="174"/>
        <item x="102"/>
        <item x="106"/>
        <item x="257"/>
        <item x="246"/>
        <item x="211"/>
        <item x="182"/>
        <item x="100"/>
        <item x="230"/>
        <item x="71"/>
        <item x="124"/>
        <item x="201"/>
        <item x="90"/>
        <item x="163"/>
        <item x="121"/>
        <item x="28"/>
        <item x="63"/>
        <item x="147"/>
        <item x="91"/>
        <item x="125"/>
        <item x="151"/>
        <item x="41"/>
        <item x="103"/>
        <item x="222"/>
        <item x="224"/>
        <item x="119"/>
        <item x="10"/>
        <item x="214"/>
        <item x="17"/>
        <item x="58"/>
        <item x="212"/>
        <item x="42"/>
        <item x="86"/>
        <item x="236"/>
        <item x="237"/>
        <item x="205"/>
        <item x="255"/>
        <item x="164"/>
        <item x="253"/>
        <item x="6"/>
        <item x="11"/>
        <item x="19"/>
        <item x="180"/>
        <item x="247"/>
        <item x="43"/>
        <item x="225"/>
        <item x="126"/>
        <item x="85"/>
        <item x="188"/>
        <item x="109"/>
        <item x="190"/>
        <item x="200"/>
        <item x="197"/>
        <item x="219"/>
        <item x="8"/>
        <item x="143"/>
        <item x="48"/>
        <item x="196"/>
        <item x="142"/>
        <item x="189"/>
        <item x="262"/>
        <item x="51"/>
        <item x="146"/>
        <item x="96"/>
        <item x="69"/>
        <item x="149"/>
        <item x="178"/>
        <item x="21"/>
        <item x="7"/>
        <item x="175"/>
        <item x="251"/>
        <item x="76"/>
        <item x="35"/>
        <item x="70"/>
        <item x="14"/>
        <item x="95"/>
        <item x="89"/>
        <item x="209"/>
        <item x="133"/>
        <item x="168"/>
        <item x="20"/>
        <item x="241"/>
        <item x="169"/>
        <item x="172"/>
        <item x="217"/>
        <item x="263"/>
        <item x="162"/>
        <item x="166"/>
        <item x="93"/>
        <item x="159"/>
        <item x="33"/>
        <item x="204"/>
        <item t="default"/>
      </items>
    </pivotField>
    <pivotField showAll="0"/>
    <pivotField showAll="0">
      <items count="7">
        <item x="0"/>
        <item x="3"/>
        <item x="4"/>
        <item x="2"/>
        <item x="1"/>
        <item x="5"/>
        <item t="default"/>
      </items>
    </pivotField>
    <pivotField showAll="0">
      <items count="7">
        <item x="5"/>
        <item x="2"/>
        <item x="1"/>
        <item x="3"/>
        <item x="0"/>
        <item x="4"/>
        <item t="default"/>
      </items>
    </pivotField>
    <pivotField showAll="0">
      <items count="11">
        <item x="2"/>
        <item x="9"/>
        <item x="6"/>
        <item x="4"/>
        <item x="5"/>
        <item x="0"/>
        <item x="8"/>
        <item x="7"/>
        <item x="3"/>
        <item x="1"/>
        <item t="default"/>
      </items>
    </pivotField>
    <pivotField showAll="0">
      <items count="3">
        <item x="0"/>
        <item x="1"/>
        <item t="default"/>
      </items>
    </pivotField>
    <pivotField showAll="0"/>
    <pivotField numFmtId="14" showAll="0"/>
    <pivotField showAll="0">
      <items count="4"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axis="axisRow" dataFiel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ragToRow="0" dragToCol="0" dragToPage="0" showAll="0" defaultSubtotal="0"/>
  </pivotFields>
  <rowFields count="1">
    <field x="12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" fld="12" subtotal="count" baseField="12" baseItem="1"/>
  </dataFields>
  <formats count="1">
    <format dxfId="2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1DBC6A-8D23-4C4E-998E-9E2B54AD4DB6}" name="BajasContrataciones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6:K60" firstHeaderRow="1" firstDataRow="2" firstDataCol="1" rowPageCount="1" colPageCount="1"/>
  <pivotFields count="18">
    <pivotField showAll="0"/>
    <pivotField showAll="0"/>
    <pivotField numFmtId="14" showAll="0" maxSubtotal="1">
      <items count="265">
        <item x="75"/>
        <item x="134"/>
        <item x="202"/>
        <item x="210"/>
        <item x="207"/>
        <item x="79"/>
        <item x="199"/>
        <item x="198"/>
        <item x="88"/>
        <item x="250"/>
        <item x="122"/>
        <item x="62"/>
        <item x="234"/>
        <item x="183"/>
        <item x="252"/>
        <item x="49"/>
        <item x="148"/>
        <item x="221"/>
        <item x="23"/>
        <item x="194"/>
        <item x="235"/>
        <item x="59"/>
        <item x="220"/>
        <item x="87"/>
        <item x="104"/>
        <item x="34"/>
        <item x="44"/>
        <item x="239"/>
        <item x="113"/>
        <item x="153"/>
        <item x="226"/>
        <item x="4"/>
        <item x="24"/>
        <item x="158"/>
        <item x="112"/>
        <item x="140"/>
        <item x="167"/>
        <item x="130"/>
        <item x="116"/>
        <item x="137"/>
        <item x="176"/>
        <item x="160"/>
        <item x="65"/>
        <item x="101"/>
        <item x="227"/>
        <item x="105"/>
        <item x="22"/>
        <item x="46"/>
        <item x="240"/>
        <item x="144"/>
        <item x="139"/>
        <item x="223"/>
        <item x="66"/>
        <item x="132"/>
        <item x="187"/>
        <item x="18"/>
        <item x="184"/>
        <item x="57"/>
        <item x="30"/>
        <item x="216"/>
        <item x="115"/>
        <item x="150"/>
        <item x="110"/>
        <item x="37"/>
        <item x="108"/>
        <item x="203"/>
        <item x="192"/>
        <item x="136"/>
        <item x="114"/>
        <item x="82"/>
        <item x="67"/>
        <item x="52"/>
        <item x="259"/>
        <item x="78"/>
        <item x="173"/>
        <item x="231"/>
        <item x="128"/>
        <item x="261"/>
        <item x="68"/>
        <item x="156"/>
        <item x="233"/>
        <item x="32"/>
        <item x="244"/>
        <item x="232"/>
        <item x="107"/>
        <item x="135"/>
        <item x="243"/>
        <item x="138"/>
        <item x="206"/>
        <item x="1"/>
        <item x="80"/>
        <item x="9"/>
        <item x="36"/>
        <item x="186"/>
        <item x="54"/>
        <item x="64"/>
        <item x="145"/>
        <item x="152"/>
        <item x="141"/>
        <item x="74"/>
        <item x="99"/>
        <item x="111"/>
        <item x="131"/>
        <item x="123"/>
        <item x="3"/>
        <item x="97"/>
        <item x="248"/>
        <item x="0"/>
        <item x="61"/>
        <item x="117"/>
        <item x="56"/>
        <item x="229"/>
        <item x="94"/>
        <item x="170"/>
        <item x="39"/>
        <item x="193"/>
        <item x="260"/>
        <item x="72"/>
        <item x="258"/>
        <item x="127"/>
        <item x="45"/>
        <item x="55"/>
        <item x="256"/>
        <item x="77"/>
        <item x="47"/>
        <item x="83"/>
        <item x="213"/>
        <item x="238"/>
        <item x="5"/>
        <item x="92"/>
        <item x="215"/>
        <item x="154"/>
        <item x="155"/>
        <item x="254"/>
        <item x="181"/>
        <item x="31"/>
        <item x="40"/>
        <item x="179"/>
        <item x="27"/>
        <item x="120"/>
        <item x="118"/>
        <item x="191"/>
        <item x="12"/>
        <item x="177"/>
        <item x="249"/>
        <item x="2"/>
        <item x="245"/>
        <item x="50"/>
        <item x="53"/>
        <item x="242"/>
        <item x="165"/>
        <item x="218"/>
        <item x="195"/>
        <item x="185"/>
        <item x="84"/>
        <item x="26"/>
        <item x="25"/>
        <item x="73"/>
        <item x="98"/>
        <item x="228"/>
        <item x="38"/>
        <item x="60"/>
        <item x="129"/>
        <item x="81"/>
        <item x="157"/>
        <item x="208"/>
        <item x="16"/>
        <item x="171"/>
        <item x="161"/>
        <item x="29"/>
        <item x="13"/>
        <item x="15"/>
        <item x="174"/>
        <item x="102"/>
        <item x="106"/>
        <item x="257"/>
        <item x="246"/>
        <item x="211"/>
        <item x="182"/>
        <item x="100"/>
        <item x="230"/>
        <item x="71"/>
        <item x="124"/>
        <item x="201"/>
        <item x="90"/>
        <item x="163"/>
        <item x="121"/>
        <item x="28"/>
        <item x="63"/>
        <item x="147"/>
        <item x="91"/>
        <item x="125"/>
        <item x="151"/>
        <item x="41"/>
        <item x="103"/>
        <item x="222"/>
        <item x="224"/>
        <item x="119"/>
        <item x="10"/>
        <item x="214"/>
        <item x="17"/>
        <item x="58"/>
        <item x="212"/>
        <item x="42"/>
        <item x="86"/>
        <item x="236"/>
        <item x="237"/>
        <item x="205"/>
        <item x="255"/>
        <item x="164"/>
        <item x="253"/>
        <item x="6"/>
        <item x="11"/>
        <item x="19"/>
        <item x="180"/>
        <item x="247"/>
        <item x="43"/>
        <item x="225"/>
        <item x="126"/>
        <item x="85"/>
        <item x="188"/>
        <item x="109"/>
        <item x="190"/>
        <item x="200"/>
        <item x="197"/>
        <item x="219"/>
        <item x="8"/>
        <item x="143"/>
        <item x="48"/>
        <item x="196"/>
        <item x="142"/>
        <item x="189"/>
        <item x="262"/>
        <item x="51"/>
        <item x="146"/>
        <item x="96"/>
        <item x="69"/>
        <item x="149"/>
        <item x="178"/>
        <item x="21"/>
        <item x="7"/>
        <item x="175"/>
        <item x="251"/>
        <item x="76"/>
        <item x="35"/>
        <item x="70"/>
        <item x="14"/>
        <item x="95"/>
        <item x="89"/>
        <item x="209"/>
        <item x="133"/>
        <item x="168"/>
        <item x="20"/>
        <item x="241"/>
        <item x="169"/>
        <item x="172"/>
        <item x="217"/>
        <item x="263"/>
        <item x="162"/>
        <item x="166"/>
        <item x="93"/>
        <item x="159"/>
        <item x="33"/>
        <item x="204"/>
        <item t="max"/>
      </items>
    </pivotField>
    <pivotField showAll="0"/>
    <pivotField showAll="0">
      <items count="7">
        <item x="0"/>
        <item x="3"/>
        <item x="4"/>
        <item x="2"/>
        <item x="1"/>
        <item x="5"/>
        <item t="default"/>
      </items>
    </pivotField>
    <pivotField showAll="0">
      <items count="7">
        <item x="5"/>
        <item x="2"/>
        <item x="1"/>
        <item x="3"/>
        <item x="0"/>
        <item x="4"/>
        <item t="default"/>
      </items>
    </pivotField>
    <pivotField showAll="0">
      <items count="11">
        <item x="2"/>
        <item x="9"/>
        <item x="6"/>
        <item x="4"/>
        <item x="5"/>
        <item x="0"/>
        <item x="8"/>
        <item x="7"/>
        <item x="3"/>
        <item x="1"/>
        <item t="default"/>
      </items>
    </pivotField>
    <pivotField showAll="0">
      <items count="3">
        <item x="0"/>
        <item x="1"/>
        <item t="default"/>
      </items>
    </pivotField>
    <pivotField showAll="0"/>
    <pivotField numFmtId="14" showAll="0"/>
    <pivotField showAll="0">
      <items count="4">
        <item x="0"/>
        <item x="1"/>
        <item x="2"/>
        <item t="default"/>
      </items>
    </pivotField>
    <pivotField axis="axisRow" dataField="1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multipleItemSelectionAllowed="1" showAll="0">
      <items count="10">
        <item h="1" sd="0" x="0"/>
        <item h="1" sd="0" x="1"/>
        <item h="1" sd="0" x="2"/>
        <item h="1" sd="0" x="3"/>
        <item h="1" sd="0" x="4"/>
        <item h="1" sd="0" x="5"/>
        <item h="1" sd="0" x="6"/>
        <item sd="0" x="7"/>
        <item h="1" sd="0" x="8"/>
        <item t="default"/>
      </items>
    </pivotField>
    <pivotField dragToRow="0" dragToCol="0" dragToPage="0" showAll="0" defaultSubtotal="0"/>
  </pivotFields>
  <rowFields count="1">
    <field x="11"/>
  </rowFields>
  <rowItems count="3">
    <i>
      <x/>
    </i>
    <i>
      <x v="1"/>
    </i>
    <i t="grand">
      <x/>
    </i>
  </rowItems>
  <colFields count="1">
    <field x="14"/>
  </colFields>
  <col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16" hier="-1"/>
  </pageFields>
  <dataFields count="1">
    <dataField name="Cuenta de Estatus Trabajador" fld="11" subtotal="count" baseField="0" baseItem="0"/>
  </dataFields>
  <formats count="2">
    <format dxfId="19">
      <pivotArea outline="0" collapsedLevelsAreSubtotals="1" fieldPosition="0"/>
    </format>
    <format dxfId="20">
      <pivotArea dataOnly="0" labelOnly="1" fieldPosition="0">
        <references count="1">
          <reference field="1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3C0881-CEE0-42D5-9A14-519DA413E690}" name="SueldoPais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9:B50" firstHeaderRow="1" firstDataRow="1" firstDataCol="1"/>
  <pivotFields count="18">
    <pivotField showAll="0"/>
    <pivotField showAll="0"/>
    <pivotField numFmtId="14" showAll="0">
      <items count="265">
        <item x="75"/>
        <item x="134"/>
        <item x="202"/>
        <item x="210"/>
        <item x="207"/>
        <item x="79"/>
        <item x="199"/>
        <item x="198"/>
        <item x="88"/>
        <item x="250"/>
        <item x="122"/>
        <item x="62"/>
        <item x="234"/>
        <item x="183"/>
        <item x="252"/>
        <item x="49"/>
        <item x="148"/>
        <item x="221"/>
        <item x="23"/>
        <item x="194"/>
        <item x="235"/>
        <item x="59"/>
        <item x="220"/>
        <item x="87"/>
        <item x="104"/>
        <item x="34"/>
        <item x="44"/>
        <item x="239"/>
        <item x="113"/>
        <item x="153"/>
        <item x="226"/>
        <item x="4"/>
        <item x="24"/>
        <item x="158"/>
        <item x="112"/>
        <item x="140"/>
        <item x="167"/>
        <item x="130"/>
        <item x="116"/>
        <item x="137"/>
        <item x="176"/>
        <item x="160"/>
        <item x="65"/>
        <item x="101"/>
        <item x="227"/>
        <item x="105"/>
        <item x="22"/>
        <item x="46"/>
        <item x="240"/>
        <item x="144"/>
        <item x="139"/>
        <item x="223"/>
        <item x="66"/>
        <item x="132"/>
        <item x="187"/>
        <item x="18"/>
        <item x="184"/>
        <item x="57"/>
        <item x="30"/>
        <item x="216"/>
        <item x="115"/>
        <item x="150"/>
        <item x="110"/>
        <item x="37"/>
        <item x="108"/>
        <item x="203"/>
        <item x="192"/>
        <item x="136"/>
        <item x="114"/>
        <item x="82"/>
        <item x="67"/>
        <item x="52"/>
        <item x="259"/>
        <item x="78"/>
        <item x="173"/>
        <item x="231"/>
        <item x="128"/>
        <item x="261"/>
        <item x="68"/>
        <item x="156"/>
        <item x="233"/>
        <item x="32"/>
        <item x="244"/>
        <item x="232"/>
        <item x="107"/>
        <item x="135"/>
        <item x="243"/>
        <item x="138"/>
        <item x="206"/>
        <item x="1"/>
        <item x="80"/>
        <item x="9"/>
        <item x="36"/>
        <item x="186"/>
        <item x="54"/>
        <item x="64"/>
        <item x="145"/>
        <item x="152"/>
        <item x="141"/>
        <item x="74"/>
        <item x="99"/>
        <item x="111"/>
        <item x="131"/>
        <item x="123"/>
        <item x="3"/>
        <item x="97"/>
        <item x="248"/>
        <item x="0"/>
        <item x="61"/>
        <item x="117"/>
        <item x="56"/>
        <item x="229"/>
        <item x="94"/>
        <item x="170"/>
        <item x="39"/>
        <item x="193"/>
        <item x="260"/>
        <item x="72"/>
        <item x="258"/>
        <item x="127"/>
        <item x="45"/>
        <item x="55"/>
        <item x="256"/>
        <item x="77"/>
        <item x="47"/>
        <item x="83"/>
        <item x="213"/>
        <item x="238"/>
        <item x="5"/>
        <item x="92"/>
        <item x="215"/>
        <item x="154"/>
        <item x="155"/>
        <item x="254"/>
        <item x="181"/>
        <item x="31"/>
        <item x="40"/>
        <item x="179"/>
        <item x="27"/>
        <item x="120"/>
        <item x="118"/>
        <item x="191"/>
        <item x="12"/>
        <item x="177"/>
        <item x="249"/>
        <item x="2"/>
        <item x="245"/>
        <item x="50"/>
        <item x="53"/>
        <item x="242"/>
        <item x="165"/>
        <item x="218"/>
        <item x="195"/>
        <item x="185"/>
        <item x="84"/>
        <item x="26"/>
        <item x="25"/>
        <item x="73"/>
        <item x="98"/>
        <item x="228"/>
        <item x="38"/>
        <item x="60"/>
        <item x="129"/>
        <item x="81"/>
        <item x="157"/>
        <item x="208"/>
        <item x="16"/>
        <item x="171"/>
        <item x="161"/>
        <item x="29"/>
        <item x="13"/>
        <item x="15"/>
        <item x="174"/>
        <item x="102"/>
        <item x="106"/>
        <item x="257"/>
        <item x="246"/>
        <item x="211"/>
        <item x="182"/>
        <item x="100"/>
        <item x="230"/>
        <item x="71"/>
        <item x="124"/>
        <item x="201"/>
        <item x="90"/>
        <item x="163"/>
        <item x="121"/>
        <item x="28"/>
        <item x="63"/>
        <item x="147"/>
        <item x="91"/>
        <item x="125"/>
        <item x="151"/>
        <item x="41"/>
        <item x="103"/>
        <item x="222"/>
        <item x="224"/>
        <item x="119"/>
        <item x="10"/>
        <item x="214"/>
        <item x="17"/>
        <item x="58"/>
        <item x="212"/>
        <item x="42"/>
        <item x="86"/>
        <item x="236"/>
        <item x="237"/>
        <item x="205"/>
        <item x="255"/>
        <item x="164"/>
        <item x="253"/>
        <item x="6"/>
        <item x="11"/>
        <item x="19"/>
        <item x="180"/>
        <item x="247"/>
        <item x="43"/>
        <item x="225"/>
        <item x="126"/>
        <item x="85"/>
        <item x="188"/>
        <item x="109"/>
        <item x="190"/>
        <item x="200"/>
        <item x="197"/>
        <item x="219"/>
        <item x="8"/>
        <item x="143"/>
        <item x="48"/>
        <item x="196"/>
        <item x="142"/>
        <item x="189"/>
        <item x="262"/>
        <item x="51"/>
        <item x="146"/>
        <item x="96"/>
        <item x="69"/>
        <item x="149"/>
        <item x="178"/>
        <item x="21"/>
        <item x="7"/>
        <item x="175"/>
        <item x="251"/>
        <item x="76"/>
        <item x="35"/>
        <item x="70"/>
        <item x="14"/>
        <item x="95"/>
        <item x="89"/>
        <item x="209"/>
        <item x="133"/>
        <item x="168"/>
        <item x="20"/>
        <item x="241"/>
        <item x="169"/>
        <item x="172"/>
        <item x="217"/>
        <item x="263"/>
        <item x="162"/>
        <item x="166"/>
        <item x="93"/>
        <item x="159"/>
        <item x="33"/>
        <item x="204"/>
        <item t="default"/>
      </items>
    </pivotField>
    <pivotField showAll="0"/>
    <pivotField showAll="0">
      <items count="7">
        <item x="0"/>
        <item x="3"/>
        <item x="4"/>
        <item x="2"/>
        <item x="1"/>
        <item x="5"/>
        <item t="default"/>
      </items>
    </pivotField>
    <pivotField showAll="0">
      <items count="7">
        <item x="5"/>
        <item x="2"/>
        <item x="1"/>
        <item x="3"/>
        <item x="0"/>
        <item x="4"/>
        <item t="default"/>
      </items>
    </pivotField>
    <pivotField axis="axisRow" showAll="0">
      <items count="11">
        <item x="2"/>
        <item x="9"/>
        <item x="6"/>
        <item x="4"/>
        <item x="5"/>
        <item x="0"/>
        <item x="8"/>
        <item x="7"/>
        <item x="3"/>
        <item x="1"/>
        <item t="default"/>
      </items>
    </pivotField>
    <pivotField showAll="0">
      <items count="3">
        <item x="0"/>
        <item x="1"/>
        <item t="default"/>
      </items>
    </pivotField>
    <pivotField dataField="1" showAll="0"/>
    <pivotField numFmtId="14" showAll="0"/>
    <pivotField showAll="0">
      <items count="4"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ragToRow="0" dragToCol="0" dragToPage="0" showAll="0" defaultSubtotal="0"/>
  </pivotFields>
  <rowFields count="1"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alario" fld="8" baseField="4" baseItem="0" numFmtId="44"/>
  </dataFields>
  <formats count="1">
    <format dxfId="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D8F2F8-A25F-4849-8CC9-C25818DFE850}" name="SueldosPuestos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5:B32" firstHeaderRow="1" firstDataRow="1" firstDataCol="1"/>
  <pivotFields count="18">
    <pivotField showAll="0"/>
    <pivotField showAll="0"/>
    <pivotField numFmtId="14" showAll="0">
      <items count="265">
        <item x="75"/>
        <item x="134"/>
        <item x="202"/>
        <item x="210"/>
        <item x="207"/>
        <item x="79"/>
        <item x="199"/>
        <item x="198"/>
        <item x="88"/>
        <item x="250"/>
        <item x="122"/>
        <item x="62"/>
        <item x="234"/>
        <item x="183"/>
        <item x="252"/>
        <item x="49"/>
        <item x="148"/>
        <item x="221"/>
        <item x="23"/>
        <item x="194"/>
        <item x="235"/>
        <item x="59"/>
        <item x="220"/>
        <item x="87"/>
        <item x="104"/>
        <item x="34"/>
        <item x="44"/>
        <item x="239"/>
        <item x="113"/>
        <item x="153"/>
        <item x="226"/>
        <item x="4"/>
        <item x="24"/>
        <item x="158"/>
        <item x="112"/>
        <item x="140"/>
        <item x="167"/>
        <item x="130"/>
        <item x="116"/>
        <item x="137"/>
        <item x="176"/>
        <item x="160"/>
        <item x="65"/>
        <item x="101"/>
        <item x="227"/>
        <item x="105"/>
        <item x="22"/>
        <item x="46"/>
        <item x="240"/>
        <item x="144"/>
        <item x="139"/>
        <item x="223"/>
        <item x="66"/>
        <item x="132"/>
        <item x="187"/>
        <item x="18"/>
        <item x="184"/>
        <item x="57"/>
        <item x="30"/>
        <item x="216"/>
        <item x="115"/>
        <item x="150"/>
        <item x="110"/>
        <item x="37"/>
        <item x="108"/>
        <item x="203"/>
        <item x="192"/>
        <item x="136"/>
        <item x="114"/>
        <item x="82"/>
        <item x="67"/>
        <item x="52"/>
        <item x="259"/>
        <item x="78"/>
        <item x="173"/>
        <item x="231"/>
        <item x="128"/>
        <item x="261"/>
        <item x="68"/>
        <item x="156"/>
        <item x="233"/>
        <item x="32"/>
        <item x="244"/>
        <item x="232"/>
        <item x="107"/>
        <item x="135"/>
        <item x="243"/>
        <item x="138"/>
        <item x="206"/>
        <item x="1"/>
        <item x="80"/>
        <item x="9"/>
        <item x="36"/>
        <item x="186"/>
        <item x="54"/>
        <item x="64"/>
        <item x="145"/>
        <item x="152"/>
        <item x="141"/>
        <item x="74"/>
        <item x="99"/>
        <item x="111"/>
        <item x="131"/>
        <item x="123"/>
        <item x="3"/>
        <item x="97"/>
        <item x="248"/>
        <item x="0"/>
        <item x="61"/>
        <item x="117"/>
        <item x="56"/>
        <item x="229"/>
        <item x="94"/>
        <item x="170"/>
        <item x="39"/>
        <item x="193"/>
        <item x="260"/>
        <item x="72"/>
        <item x="258"/>
        <item x="127"/>
        <item x="45"/>
        <item x="55"/>
        <item x="256"/>
        <item x="77"/>
        <item x="47"/>
        <item x="83"/>
        <item x="213"/>
        <item x="238"/>
        <item x="5"/>
        <item x="92"/>
        <item x="215"/>
        <item x="154"/>
        <item x="155"/>
        <item x="254"/>
        <item x="181"/>
        <item x="31"/>
        <item x="40"/>
        <item x="179"/>
        <item x="27"/>
        <item x="120"/>
        <item x="118"/>
        <item x="191"/>
        <item x="12"/>
        <item x="177"/>
        <item x="249"/>
        <item x="2"/>
        <item x="245"/>
        <item x="50"/>
        <item x="53"/>
        <item x="242"/>
        <item x="165"/>
        <item x="218"/>
        <item x="195"/>
        <item x="185"/>
        <item x="84"/>
        <item x="26"/>
        <item x="25"/>
        <item x="73"/>
        <item x="98"/>
        <item x="228"/>
        <item x="38"/>
        <item x="60"/>
        <item x="129"/>
        <item x="81"/>
        <item x="157"/>
        <item x="208"/>
        <item x="16"/>
        <item x="171"/>
        <item x="161"/>
        <item x="29"/>
        <item x="13"/>
        <item x="15"/>
        <item x="174"/>
        <item x="102"/>
        <item x="106"/>
        <item x="257"/>
        <item x="246"/>
        <item x="211"/>
        <item x="182"/>
        <item x="100"/>
        <item x="230"/>
        <item x="71"/>
        <item x="124"/>
        <item x="201"/>
        <item x="90"/>
        <item x="163"/>
        <item x="121"/>
        <item x="28"/>
        <item x="63"/>
        <item x="147"/>
        <item x="91"/>
        <item x="125"/>
        <item x="151"/>
        <item x="41"/>
        <item x="103"/>
        <item x="222"/>
        <item x="224"/>
        <item x="119"/>
        <item x="10"/>
        <item x="214"/>
        <item x="17"/>
        <item x="58"/>
        <item x="212"/>
        <item x="42"/>
        <item x="86"/>
        <item x="236"/>
        <item x="237"/>
        <item x="205"/>
        <item x="255"/>
        <item x="164"/>
        <item x="253"/>
        <item x="6"/>
        <item x="11"/>
        <item x="19"/>
        <item x="180"/>
        <item x="247"/>
        <item x="43"/>
        <item x="225"/>
        <item x="126"/>
        <item x="85"/>
        <item x="188"/>
        <item x="109"/>
        <item x="190"/>
        <item x="200"/>
        <item x="197"/>
        <item x="219"/>
        <item x="8"/>
        <item x="143"/>
        <item x="48"/>
        <item x="196"/>
        <item x="142"/>
        <item x="189"/>
        <item x="262"/>
        <item x="51"/>
        <item x="146"/>
        <item x="96"/>
        <item x="69"/>
        <item x="149"/>
        <item x="178"/>
        <item x="21"/>
        <item x="7"/>
        <item x="175"/>
        <item x="251"/>
        <item x="76"/>
        <item x="35"/>
        <item x="70"/>
        <item x="14"/>
        <item x="95"/>
        <item x="89"/>
        <item x="209"/>
        <item x="133"/>
        <item x="168"/>
        <item x="20"/>
        <item x="241"/>
        <item x="169"/>
        <item x="172"/>
        <item x="217"/>
        <item x="263"/>
        <item x="162"/>
        <item x="166"/>
        <item x="93"/>
        <item x="159"/>
        <item x="33"/>
        <item x="204"/>
        <item t="default"/>
      </items>
    </pivotField>
    <pivotField showAll="0"/>
    <pivotField axis="axisRow" showAll="0">
      <items count="7">
        <item x="0"/>
        <item x="3"/>
        <item x="4"/>
        <item x="2"/>
        <item x="1"/>
        <item x="5"/>
        <item t="default"/>
      </items>
    </pivotField>
    <pivotField showAll="0">
      <items count="7">
        <item x="5"/>
        <item x="2"/>
        <item x="1"/>
        <item x="3"/>
        <item x="0"/>
        <item x="4"/>
        <item t="default"/>
      </items>
    </pivotField>
    <pivotField showAll="0"/>
    <pivotField showAll="0">
      <items count="3">
        <item x="0"/>
        <item x="1"/>
        <item t="default"/>
      </items>
    </pivotField>
    <pivotField dataField="1" showAll="0"/>
    <pivotField numFmtId="14" showAll="0"/>
    <pivotField showAll="0">
      <items count="4"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ragToRow="0" dragToCol="0" dragToPage="0" showAll="0" defaultSubtota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alario" fld="8" baseField="4" baseItem="0" numFmtId="44"/>
  </dataFields>
  <formats count="1">
    <format dxfId="1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5691C2-5B2F-44D3-B188-13B153C0D520}" name="CantidadActivos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A16:B19" firstHeaderRow="1" firstDataRow="1" firstDataCol="1"/>
  <pivotFields count="18">
    <pivotField dataField="1" showAll="0"/>
    <pivotField showAll="0"/>
    <pivotField numFmtId="14" showAll="0">
      <items count="265">
        <item x="75"/>
        <item x="134"/>
        <item x="202"/>
        <item x="210"/>
        <item x="207"/>
        <item x="79"/>
        <item x="199"/>
        <item x="198"/>
        <item x="88"/>
        <item x="250"/>
        <item x="122"/>
        <item x="62"/>
        <item x="234"/>
        <item x="183"/>
        <item x="252"/>
        <item x="49"/>
        <item x="148"/>
        <item x="221"/>
        <item x="23"/>
        <item x="194"/>
        <item x="235"/>
        <item x="59"/>
        <item x="220"/>
        <item x="87"/>
        <item x="104"/>
        <item x="34"/>
        <item x="44"/>
        <item x="239"/>
        <item x="113"/>
        <item x="153"/>
        <item x="226"/>
        <item x="4"/>
        <item x="24"/>
        <item x="158"/>
        <item x="112"/>
        <item x="140"/>
        <item x="167"/>
        <item x="130"/>
        <item x="116"/>
        <item x="137"/>
        <item x="176"/>
        <item x="160"/>
        <item x="65"/>
        <item x="101"/>
        <item x="227"/>
        <item x="105"/>
        <item x="22"/>
        <item x="46"/>
        <item x="240"/>
        <item x="144"/>
        <item x="139"/>
        <item x="223"/>
        <item x="66"/>
        <item x="132"/>
        <item x="187"/>
        <item x="18"/>
        <item x="184"/>
        <item x="57"/>
        <item x="30"/>
        <item x="216"/>
        <item x="115"/>
        <item x="150"/>
        <item x="110"/>
        <item x="37"/>
        <item x="108"/>
        <item x="203"/>
        <item x="192"/>
        <item x="136"/>
        <item x="114"/>
        <item x="82"/>
        <item x="67"/>
        <item x="52"/>
        <item x="259"/>
        <item x="78"/>
        <item x="173"/>
        <item x="231"/>
        <item x="128"/>
        <item x="261"/>
        <item x="68"/>
        <item x="156"/>
        <item x="233"/>
        <item x="32"/>
        <item x="244"/>
        <item x="232"/>
        <item x="107"/>
        <item x="135"/>
        <item x="243"/>
        <item x="138"/>
        <item x="206"/>
        <item x="1"/>
        <item x="80"/>
        <item x="9"/>
        <item x="36"/>
        <item x="186"/>
        <item x="54"/>
        <item x="64"/>
        <item x="145"/>
        <item x="152"/>
        <item x="141"/>
        <item x="74"/>
        <item x="99"/>
        <item x="111"/>
        <item x="131"/>
        <item x="123"/>
        <item x="3"/>
        <item x="97"/>
        <item x="248"/>
        <item x="0"/>
        <item x="61"/>
        <item x="117"/>
        <item x="56"/>
        <item x="229"/>
        <item x="94"/>
        <item x="170"/>
        <item x="39"/>
        <item x="193"/>
        <item x="260"/>
        <item x="72"/>
        <item x="258"/>
        <item x="127"/>
        <item x="45"/>
        <item x="55"/>
        <item x="256"/>
        <item x="77"/>
        <item x="47"/>
        <item x="83"/>
        <item x="213"/>
        <item x="238"/>
        <item x="5"/>
        <item x="92"/>
        <item x="215"/>
        <item x="154"/>
        <item x="155"/>
        <item x="254"/>
        <item x="181"/>
        <item x="31"/>
        <item x="40"/>
        <item x="179"/>
        <item x="27"/>
        <item x="120"/>
        <item x="118"/>
        <item x="191"/>
        <item x="12"/>
        <item x="177"/>
        <item x="249"/>
        <item x="2"/>
        <item x="245"/>
        <item x="50"/>
        <item x="53"/>
        <item x="242"/>
        <item x="165"/>
        <item x="218"/>
        <item x="195"/>
        <item x="185"/>
        <item x="84"/>
        <item x="26"/>
        <item x="25"/>
        <item x="73"/>
        <item x="98"/>
        <item x="228"/>
        <item x="38"/>
        <item x="60"/>
        <item x="129"/>
        <item x="81"/>
        <item x="157"/>
        <item x="208"/>
        <item x="16"/>
        <item x="171"/>
        <item x="161"/>
        <item x="29"/>
        <item x="13"/>
        <item x="15"/>
        <item x="174"/>
        <item x="102"/>
        <item x="106"/>
        <item x="257"/>
        <item x="246"/>
        <item x="211"/>
        <item x="182"/>
        <item x="100"/>
        <item x="230"/>
        <item x="71"/>
        <item x="124"/>
        <item x="201"/>
        <item x="90"/>
        <item x="163"/>
        <item x="121"/>
        <item x="28"/>
        <item x="63"/>
        <item x="147"/>
        <item x="91"/>
        <item x="125"/>
        <item x="151"/>
        <item x="41"/>
        <item x="103"/>
        <item x="222"/>
        <item x="224"/>
        <item x="119"/>
        <item x="10"/>
        <item x="214"/>
        <item x="17"/>
        <item x="58"/>
        <item x="212"/>
        <item x="42"/>
        <item x="86"/>
        <item x="236"/>
        <item x="237"/>
        <item x="205"/>
        <item x="255"/>
        <item x="164"/>
        <item x="253"/>
        <item x="6"/>
        <item x="11"/>
        <item x="19"/>
        <item x="180"/>
        <item x="247"/>
        <item x="43"/>
        <item x="225"/>
        <item x="126"/>
        <item x="85"/>
        <item x="188"/>
        <item x="109"/>
        <item x="190"/>
        <item x="200"/>
        <item x="197"/>
        <item x="219"/>
        <item x="8"/>
        <item x="143"/>
        <item x="48"/>
        <item x="196"/>
        <item x="142"/>
        <item x="189"/>
        <item x="262"/>
        <item x="51"/>
        <item x="146"/>
        <item x="96"/>
        <item x="69"/>
        <item x="149"/>
        <item x="178"/>
        <item x="21"/>
        <item x="7"/>
        <item x="175"/>
        <item x="251"/>
        <item x="76"/>
        <item x="35"/>
        <item x="70"/>
        <item x="14"/>
        <item x="95"/>
        <item x="89"/>
        <item x="209"/>
        <item x="133"/>
        <item x="168"/>
        <item x="20"/>
        <item x="241"/>
        <item x="169"/>
        <item x="172"/>
        <item x="217"/>
        <item x="263"/>
        <item x="162"/>
        <item x="166"/>
        <item x="93"/>
        <item x="159"/>
        <item x="33"/>
        <item x="204"/>
        <item t="default"/>
      </items>
    </pivotField>
    <pivotField showAll="0"/>
    <pivotField showAll="0"/>
    <pivotField showAll="0">
      <items count="7">
        <item x="5"/>
        <item x="2"/>
        <item x="1"/>
        <item x="3"/>
        <item x="0"/>
        <item x="4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numFmtId="14" showAll="0"/>
    <pivotField showAll="0">
      <items count="4">
        <item x="0"/>
        <item x="1"/>
        <item x="2"/>
        <item t="default"/>
      </items>
    </pivotField>
    <pivotField axis="axisRow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ragToRow="0" dragToCol="0" dragToPage="0" showAll="0" defaultSubtotal="0"/>
  </pivotFields>
  <rowFields count="1">
    <field x="11"/>
  </rowFields>
  <rowItems count="3">
    <i>
      <x/>
    </i>
    <i>
      <x v="1"/>
    </i>
    <i t="grand">
      <x/>
    </i>
  </rowItems>
  <colItems count="1">
    <i/>
  </colItems>
  <dataFields count="1">
    <dataField name="Cantidad" fld="0" subtotal="count" baseField="7" baseItem="0"/>
  </dataFields>
  <chartFormats count="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0F7C42-13FA-480B-8490-C47C751B234D}" name="CantidadGenero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D8" firstHeaderRow="0" firstDataRow="1" firstDataCol="1"/>
  <pivotFields count="18">
    <pivotField dataField="1" showAll="0"/>
    <pivotField showAll="0"/>
    <pivotField numFmtId="14" showAll="0">
      <items count="265">
        <item x="75"/>
        <item x="134"/>
        <item x="202"/>
        <item x="210"/>
        <item x="207"/>
        <item x="79"/>
        <item x="199"/>
        <item x="198"/>
        <item x="88"/>
        <item x="250"/>
        <item x="122"/>
        <item x="62"/>
        <item x="234"/>
        <item x="183"/>
        <item x="252"/>
        <item x="49"/>
        <item x="148"/>
        <item x="221"/>
        <item x="23"/>
        <item x="194"/>
        <item x="235"/>
        <item x="59"/>
        <item x="220"/>
        <item x="87"/>
        <item x="104"/>
        <item x="34"/>
        <item x="44"/>
        <item x="239"/>
        <item x="113"/>
        <item x="153"/>
        <item x="226"/>
        <item x="4"/>
        <item x="24"/>
        <item x="158"/>
        <item x="112"/>
        <item x="140"/>
        <item x="167"/>
        <item x="130"/>
        <item x="116"/>
        <item x="137"/>
        <item x="176"/>
        <item x="160"/>
        <item x="65"/>
        <item x="101"/>
        <item x="227"/>
        <item x="105"/>
        <item x="22"/>
        <item x="46"/>
        <item x="240"/>
        <item x="144"/>
        <item x="139"/>
        <item x="223"/>
        <item x="66"/>
        <item x="132"/>
        <item x="187"/>
        <item x="18"/>
        <item x="184"/>
        <item x="57"/>
        <item x="30"/>
        <item x="216"/>
        <item x="115"/>
        <item x="150"/>
        <item x="110"/>
        <item x="37"/>
        <item x="108"/>
        <item x="203"/>
        <item x="192"/>
        <item x="136"/>
        <item x="114"/>
        <item x="82"/>
        <item x="67"/>
        <item x="52"/>
        <item x="259"/>
        <item x="78"/>
        <item x="173"/>
        <item x="231"/>
        <item x="128"/>
        <item x="261"/>
        <item x="68"/>
        <item x="156"/>
        <item x="233"/>
        <item x="32"/>
        <item x="244"/>
        <item x="232"/>
        <item x="107"/>
        <item x="135"/>
        <item x="243"/>
        <item x="138"/>
        <item x="206"/>
        <item x="1"/>
        <item x="80"/>
        <item x="9"/>
        <item x="36"/>
        <item x="186"/>
        <item x="54"/>
        <item x="64"/>
        <item x="145"/>
        <item x="152"/>
        <item x="141"/>
        <item x="74"/>
        <item x="99"/>
        <item x="111"/>
        <item x="131"/>
        <item x="123"/>
        <item x="3"/>
        <item x="97"/>
        <item x="248"/>
        <item x="0"/>
        <item x="61"/>
        <item x="117"/>
        <item x="56"/>
        <item x="229"/>
        <item x="94"/>
        <item x="170"/>
        <item x="39"/>
        <item x="193"/>
        <item x="260"/>
        <item x="72"/>
        <item x="258"/>
        <item x="127"/>
        <item x="45"/>
        <item x="55"/>
        <item x="256"/>
        <item x="77"/>
        <item x="47"/>
        <item x="83"/>
        <item x="213"/>
        <item x="238"/>
        <item x="5"/>
        <item x="92"/>
        <item x="215"/>
        <item x="154"/>
        <item x="155"/>
        <item x="254"/>
        <item x="181"/>
        <item x="31"/>
        <item x="40"/>
        <item x="179"/>
        <item x="27"/>
        <item x="120"/>
        <item x="118"/>
        <item x="191"/>
        <item x="12"/>
        <item x="177"/>
        <item x="249"/>
        <item x="2"/>
        <item x="245"/>
        <item x="50"/>
        <item x="53"/>
        <item x="242"/>
        <item x="165"/>
        <item x="218"/>
        <item x="195"/>
        <item x="185"/>
        <item x="84"/>
        <item x="26"/>
        <item x="25"/>
        <item x="73"/>
        <item x="98"/>
        <item x="228"/>
        <item x="38"/>
        <item x="60"/>
        <item x="129"/>
        <item x="81"/>
        <item x="157"/>
        <item x="208"/>
        <item x="16"/>
        <item x="171"/>
        <item x="161"/>
        <item x="29"/>
        <item x="13"/>
        <item x="15"/>
        <item x="174"/>
        <item x="102"/>
        <item x="106"/>
        <item x="257"/>
        <item x="246"/>
        <item x="211"/>
        <item x="182"/>
        <item x="100"/>
        <item x="230"/>
        <item x="71"/>
        <item x="124"/>
        <item x="201"/>
        <item x="90"/>
        <item x="163"/>
        <item x="121"/>
        <item x="28"/>
        <item x="63"/>
        <item x="147"/>
        <item x="91"/>
        <item x="125"/>
        <item x="151"/>
        <item x="41"/>
        <item x="103"/>
        <item x="222"/>
        <item x="224"/>
        <item x="119"/>
        <item x="10"/>
        <item x="214"/>
        <item x="17"/>
        <item x="58"/>
        <item x="212"/>
        <item x="42"/>
        <item x="86"/>
        <item x="236"/>
        <item x="237"/>
        <item x="205"/>
        <item x="255"/>
        <item x="164"/>
        <item x="253"/>
        <item x="6"/>
        <item x="11"/>
        <item x="19"/>
        <item x="180"/>
        <item x="247"/>
        <item x="43"/>
        <item x="225"/>
        <item x="126"/>
        <item x="85"/>
        <item x="188"/>
        <item x="109"/>
        <item x="190"/>
        <item x="200"/>
        <item x="197"/>
        <item x="219"/>
        <item x="8"/>
        <item x="143"/>
        <item x="48"/>
        <item x="196"/>
        <item x="142"/>
        <item x="189"/>
        <item x="262"/>
        <item x="51"/>
        <item x="146"/>
        <item x="96"/>
        <item x="69"/>
        <item x="149"/>
        <item x="178"/>
        <item x="21"/>
        <item x="7"/>
        <item x="175"/>
        <item x="251"/>
        <item x="76"/>
        <item x="35"/>
        <item x="70"/>
        <item x="14"/>
        <item x="95"/>
        <item x="89"/>
        <item x="209"/>
        <item x="133"/>
        <item x="168"/>
        <item x="20"/>
        <item x="241"/>
        <item x="169"/>
        <item x="172"/>
        <item x="217"/>
        <item x="263"/>
        <item x="162"/>
        <item x="166"/>
        <item x="93"/>
        <item x="159"/>
        <item x="33"/>
        <item x="204"/>
        <item t="default"/>
      </items>
    </pivotField>
    <pivotField showAll="0"/>
    <pivotField showAll="0"/>
    <pivotField showAll="0">
      <items count="7">
        <item x="5"/>
        <item x="2"/>
        <item x="1"/>
        <item x="3"/>
        <item x="0"/>
        <item x="4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dataField="1" showAll="0"/>
    <pivotField numFmtId="14" showAll="0"/>
    <pivotField showAll="0">
      <items count="4">
        <item x="0"/>
        <item x="1"/>
        <item x="2"/>
        <item t="default"/>
      </items>
    </pivotField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ragToRow="0" dragToCol="0" dragToPage="0" showAll="0" defaultSubtota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antidad" fld="0" subtotal="count" baseField="7" baseItem="0"/>
    <dataField name="Salario" fld="8" baseField="7" baseItem="0" numFmtId="44"/>
    <dataField name="% Salario" fld="8" showDataAs="percentOfTotal" baseField="0" baseItem="0" numFmtId="10"/>
  </dataFields>
  <formats count="1">
    <format dxfId="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F87470E-0F56-419B-AB36-8A5BCEFE9A3A}" autoFormatId="16" applyNumberFormats="0" applyBorderFormats="0" applyFontFormats="0" applyPatternFormats="0" applyAlignmentFormats="0" applyWidthHeightFormats="0">
  <queryTableRefresh nextId="15" unboundColumnsRight="3">
    <queryTableFields count="14">
      <queryTableField id="1" name="ID_Empleado" tableColumnId="1"/>
      <queryTableField id="2" name="Nombre y Apellido" tableColumnId="2"/>
      <queryTableField id="3" name="Fecha de Ingreso laboral" tableColumnId="3"/>
      <queryTableField id="4" name="Fecha de salida Laboral" tableColumnId="4"/>
      <queryTableField id="5" name="Puesto" tableColumnId="5"/>
      <queryTableField id="6" name="Departamento de Trabajo" tableColumnId="6"/>
      <queryTableField id="7" name="Pais de Residencia" tableColumnId="7"/>
      <queryTableField id="8" name="Genero del Empleado" tableColumnId="8"/>
      <queryTableField id="9" name="Salario Anual en Dolares" tableColumnId="9"/>
      <queryTableField id="10" name="Fecha de Nacimiento" tableColumnId="10"/>
      <queryTableField id="11" name="Tipo Contratacion" tableColumnId="11"/>
      <queryTableField id="12" dataBound="0" tableColumnId="12"/>
      <queryTableField id="13" dataBound="0" tableColumnId="13"/>
      <queryTableField id="14" dataBound="0" tableColumnId="14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s__Fecha_de_Ingreso_laboral" xr10:uid="{535D9EC1-E8DE-4587-B15C-56156993D96A}" sourceName="Años (Fecha de Ingreso laboral)">
  <pivotTables>
    <pivotTable tabId="3" name="BajasContrataciones"/>
  </pivotTables>
  <data>
    <tabular pivotCacheId="1455812298" sortOrder="descending">
      <items count="9">
        <i x="7" s="1"/>
        <i x="6"/>
        <i x="5"/>
        <i x="4"/>
        <i x="3"/>
        <i x="2"/>
        <i x="1"/>
        <i x="8" nd="1"/>
        <i x="0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partamento_de_Trabajo" xr10:uid="{5FA72367-F69C-47D6-A53F-2BDBF2736353}" sourceName="Departamento de Trabajo">
  <pivotTables>
    <pivotTable tabId="3" name="CantidadGenero"/>
    <pivotTable tabId="3" name="AntiguedadLaboral"/>
    <pivotTable tabId="3" name="BajasContrataciones"/>
    <pivotTable tabId="3" name="CantidadActivos"/>
    <pivotTable tabId="3" name="RangoEdades"/>
    <pivotTable tabId="3" name="SueldoPais"/>
    <pivotTable tabId="3" name="SueldosPuestos"/>
  </pivotTables>
  <data>
    <tabular pivotCacheId="1455812298">
      <items count="6">
        <i x="5" s="1"/>
        <i x="2" s="1"/>
        <i x="1" s="1"/>
        <i x="3" s="1"/>
        <i x="0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Contratacion" xr10:uid="{E8076EB0-514D-422F-85DF-C0BD842D652F}" sourceName="Tipo Contratacion">
  <pivotTables>
    <pivotTable tabId="3" name="CantidadGenero"/>
    <pivotTable tabId="3" name="AntiguedadLaboral"/>
    <pivotTable tabId="3" name="BajasContrataciones"/>
    <pivotTable tabId="3" name="CantidadActivos"/>
    <pivotTable tabId="3" name="RangoEdades"/>
    <pivotTable tabId="3" name="SueldoPais"/>
    <pivotTable tabId="3" name="SueldosPuestos"/>
  </pivotTables>
  <data>
    <tabular pivotCacheId="1455812298">
      <items count="3">
        <i x="0" s="1"/>
        <i x="1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s (Fecha de Ingreso laboral)" xr10:uid="{9F0E034E-F33D-43F0-AE8F-43859758D851}" cache="SegmentaciónDeDatos_Años__Fecha_de_Ingreso_laboral" caption="Años (Fecha de Ingreso laboral)" columnCount="4" rowHeight="247650"/>
  <slicer name="Departamento de Trabajo" xr10:uid="{5F458191-82CB-493F-A7ED-2B58E430AA48}" cache="SegmentaciónDeDatos_Departamento_de_Trabajo" caption="Departamento de Trabajo" columnCount="2" rowHeight="247650"/>
  <slicer name="Tipo Contratacion" xr10:uid="{96CEE509-0C7D-402B-8DDA-4AFC06F7F874}" cache="SegmentaciónDeDatos_Tipo_Contratacion" caption="Tipo Contratacion" columnCount="3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379CEB-02FD-40DF-8A0C-607DA01889F6}" name="RH" displayName="RH" ref="A1:N281" tableType="queryTable" totalsRowShown="0">
  <autoFilter ref="A1:N281" xr:uid="{1A379CEB-02FD-40DF-8A0C-607DA01889F6}"/>
  <tableColumns count="14">
    <tableColumn id="1" xr3:uid="{FD123DB6-8C43-42EE-9D57-A1989DCB4978}" uniqueName="1" name="ID_Empleado" queryTableFieldId="1" dataDxfId="58"/>
    <tableColumn id="2" xr3:uid="{A64204E9-8CFB-45FC-A9DC-1BCE3DE802EF}" uniqueName="2" name="Nombre y Apellido" queryTableFieldId="2" dataDxfId="57"/>
    <tableColumn id="3" xr3:uid="{8E4256AC-D025-47E4-BC90-B7CB45DEBF8B}" uniqueName="3" name="Fecha de Ingreso laboral" queryTableFieldId="3" dataDxfId="56"/>
    <tableColumn id="4" xr3:uid="{7FF4E91E-799E-4A2D-A6C7-AA7DA6AA3ABF}" uniqueName="4" name="Fecha de salida Laboral" queryTableFieldId="4" dataDxfId="55"/>
    <tableColumn id="5" xr3:uid="{356938F4-0994-4B55-952A-7322DD8D3F0C}" uniqueName="5" name="Puesto" queryTableFieldId="5" dataDxfId="54"/>
    <tableColumn id="6" xr3:uid="{182C21D7-243D-4E19-9C56-F8608BB08ECE}" uniqueName="6" name="Departamento de Trabajo" queryTableFieldId="6" dataDxfId="53"/>
    <tableColumn id="7" xr3:uid="{2A4AB414-073C-4C17-A39D-89B31267093B}" uniqueName="7" name="Pais de Residencia" queryTableFieldId="7" dataDxfId="52"/>
    <tableColumn id="8" xr3:uid="{22D21529-4755-4CA4-A290-C150B707A9F8}" uniqueName="8" name="Genero" queryTableFieldId="8" dataDxfId="51"/>
    <tableColumn id="9" xr3:uid="{5E1D67F9-D168-4CDE-BA3A-813CECC5D910}" uniqueName="9" name="Salario USD" queryTableFieldId="9"/>
    <tableColumn id="10" xr3:uid="{92822E34-D5C8-4F54-9BCB-8C72D7841C14}" uniqueName="10" name="Fecha Nacimiento" queryTableFieldId="10" dataDxfId="50"/>
    <tableColumn id="11" xr3:uid="{9C9CD421-0AFA-440B-9380-0B67E498334A}" uniqueName="11" name="Tipo Contratacion" queryTableFieldId="11" dataDxfId="49"/>
    <tableColumn id="12" xr3:uid="{7C23BC09-E18E-47E8-8134-528F7B795624}" uniqueName="12" name="Estatus Trabajador" queryTableFieldId="12" dataDxfId="48">
      <calculatedColumnFormula>IF(RH[[#This Row],[Fecha de salida Laboral]]="","Activo","Inactivo")</calculatedColumnFormula>
    </tableColumn>
    <tableColumn id="13" xr3:uid="{20F992F2-CDA4-4B84-AC78-F438989F4D89}" uniqueName="13" name="Edad" queryTableFieldId="13" dataDxfId="47">
      <calculatedColumnFormula>INT((TODAY()-RH[[#This Row],[Fecha Nacimiento]])/365)</calculatedColumnFormula>
    </tableColumn>
    <tableColumn id="14" xr3:uid="{8D422E22-AF40-4155-B259-24EF25DD8235}" uniqueName="14" name="Antigüedad" queryTableFieldId="14" dataDxfId="46">
      <calculatedColumnFormula>IF(RH[[#This Row],[Fecha de salida Laboral]]="",INT((TODAY()-RH[[#This Row],[Fecha de Ingreso laboral]])/365),INT((TODAY()-RH[[#This Row],[Fecha de salida Laboral]])/365))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2F1D1-F057-43C5-8D79-233A1AC13286}">
  <dimension ref="B2:B11"/>
  <sheetViews>
    <sheetView showGridLines="0" workbookViewId="0">
      <selection activeCell="B11" sqref="B11"/>
    </sheetView>
  </sheetViews>
  <sheetFormatPr baseColWidth="10" defaultRowHeight="14.4" x14ac:dyDescent="0.3"/>
  <cols>
    <col min="2" max="2" width="82.88671875" customWidth="1"/>
  </cols>
  <sheetData>
    <row r="2" spans="2:2" ht="25.8" x14ac:dyDescent="0.5">
      <c r="B2" s="3" t="s">
        <v>605</v>
      </c>
    </row>
    <row r="5" spans="2:2" ht="25.8" x14ac:dyDescent="0.5">
      <c r="B5" s="2" t="s">
        <v>598</v>
      </c>
    </row>
    <row r="6" spans="2:2" ht="25.8" x14ac:dyDescent="0.5">
      <c r="B6" s="2" t="s">
        <v>599</v>
      </c>
    </row>
    <row r="7" spans="2:2" ht="25.8" x14ac:dyDescent="0.5">
      <c r="B7" s="2" t="s">
        <v>600</v>
      </c>
    </row>
    <row r="8" spans="2:2" ht="25.8" x14ac:dyDescent="0.5">
      <c r="B8" s="2" t="s">
        <v>601</v>
      </c>
    </row>
    <row r="9" spans="2:2" ht="25.8" x14ac:dyDescent="0.5">
      <c r="B9" s="2" t="s">
        <v>602</v>
      </c>
    </row>
    <row r="10" spans="2:2" ht="25.8" x14ac:dyDescent="0.5">
      <c r="B10" s="2" t="s">
        <v>603</v>
      </c>
    </row>
    <row r="11" spans="2:2" ht="25.8" x14ac:dyDescent="0.5">
      <c r="B11" s="2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C1FA-9943-402F-BA86-AEEB4D7508BD}">
  <dimension ref="A1:N281"/>
  <sheetViews>
    <sheetView topLeftCell="D49" workbookViewId="0">
      <selection activeCell="E9" sqref="A2:N281"/>
    </sheetView>
  </sheetViews>
  <sheetFormatPr baseColWidth="10" defaultRowHeight="14.4" x14ac:dyDescent="0.3"/>
  <cols>
    <col min="1" max="1" width="14.21875" bestFit="1" customWidth="1"/>
    <col min="2" max="2" width="37.5546875" bestFit="1" customWidth="1"/>
    <col min="3" max="3" width="23.44140625" bestFit="1" customWidth="1"/>
    <col min="4" max="4" width="22.77734375" bestFit="1" customWidth="1"/>
    <col min="5" max="5" width="11" bestFit="1" customWidth="1"/>
    <col min="6" max="6" width="24.44140625" bestFit="1" customWidth="1"/>
    <col min="7" max="7" width="18.88671875" bestFit="1" customWidth="1"/>
    <col min="8" max="8" width="9.21875" bestFit="1" customWidth="1"/>
    <col min="9" max="9" width="13" bestFit="1" customWidth="1"/>
    <col min="10" max="10" width="18.44140625" bestFit="1" customWidth="1"/>
    <col min="11" max="11" width="17.88671875" bestFit="1" customWidth="1"/>
    <col min="13" max="13" width="25.6640625" style="4" bestFit="1" customWidth="1"/>
    <col min="14" max="14" width="19.664062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606</v>
      </c>
      <c r="M1" s="4" t="s">
        <v>607</v>
      </c>
      <c r="N1" t="s">
        <v>608</v>
      </c>
    </row>
    <row r="2" spans="1:14" x14ac:dyDescent="0.3">
      <c r="A2" t="s">
        <v>11</v>
      </c>
      <c r="B2" t="s">
        <v>12</v>
      </c>
      <c r="C2" s="1">
        <v>44181</v>
      </c>
      <c r="D2" s="1"/>
      <c r="E2" t="s">
        <v>13</v>
      </c>
      <c r="F2" t="s">
        <v>14</v>
      </c>
      <c r="G2" t="s">
        <v>15</v>
      </c>
      <c r="H2" t="s">
        <v>16</v>
      </c>
      <c r="I2">
        <v>37981.94</v>
      </c>
      <c r="J2" s="1">
        <v>30313</v>
      </c>
      <c r="K2" t="s">
        <v>17</v>
      </c>
      <c r="L2" s="4" t="str">
        <f>IF(RH[[#This Row],[Fecha de salida Laboral]]="","Activo","Inactivo")</f>
        <v>Activo</v>
      </c>
      <c r="M2" s="4">
        <f ca="1">INT((TODAY()-RH[[#This Row],[Fecha Nacimiento]])/365)</f>
        <v>43</v>
      </c>
      <c r="N2" s="4">
        <f ca="1">IF(RH[[#This Row],[Fecha de salida Laboral]]="",INT((TODAY()-RH[[#This Row],[Fecha de Ingreso laboral]])/365),INT((TODAY()-RH[[#This Row],[Fecha de salida Laboral]])/365))</f>
        <v>5</v>
      </c>
    </row>
    <row r="3" spans="1:14" x14ac:dyDescent="0.3">
      <c r="A3" t="s">
        <v>18</v>
      </c>
      <c r="B3" t="s">
        <v>19</v>
      </c>
      <c r="C3" s="1">
        <v>44073</v>
      </c>
      <c r="D3" s="1"/>
      <c r="E3" t="s">
        <v>20</v>
      </c>
      <c r="F3" t="s">
        <v>21</v>
      </c>
      <c r="G3" t="s">
        <v>22</v>
      </c>
      <c r="H3" t="s">
        <v>16</v>
      </c>
      <c r="I3">
        <v>63239.11</v>
      </c>
      <c r="J3" s="1">
        <v>32428</v>
      </c>
      <c r="K3" t="s">
        <v>17</v>
      </c>
      <c r="L3" s="4" t="str">
        <f>IF(RH[[#This Row],[Fecha de salida Laboral]]="","Activo","Inactivo")</f>
        <v>Activo</v>
      </c>
      <c r="M3" s="4">
        <f ca="1">INT((TODAY()-RH[[#This Row],[Fecha Nacimiento]])/365)</f>
        <v>37</v>
      </c>
      <c r="N3" s="4">
        <f ca="1">IF(RH[[#This Row],[Fecha de salida Laboral]]="",INT((TODAY()-RH[[#This Row],[Fecha de Ingreso laboral]])/365),INT((TODAY()-RH[[#This Row],[Fecha de salida Laboral]])/365))</f>
        <v>5</v>
      </c>
    </row>
    <row r="4" spans="1:14" x14ac:dyDescent="0.3">
      <c r="A4" t="s">
        <v>23</v>
      </c>
      <c r="B4" t="s">
        <v>24</v>
      </c>
      <c r="C4" s="1">
        <v>44536</v>
      </c>
      <c r="D4" s="1">
        <v>45639</v>
      </c>
      <c r="E4" t="s">
        <v>13</v>
      </c>
      <c r="F4" t="s">
        <v>25</v>
      </c>
      <c r="G4" t="s">
        <v>26</v>
      </c>
      <c r="H4" t="s">
        <v>27</v>
      </c>
      <c r="I4">
        <v>37765.620000000003</v>
      </c>
      <c r="J4" s="1">
        <v>26814</v>
      </c>
      <c r="K4" t="s">
        <v>28</v>
      </c>
      <c r="L4" s="4" t="str">
        <f>IF(RH[[#This Row],[Fecha de salida Laboral]]="","Activo","Inactivo")</f>
        <v>Inactivo</v>
      </c>
      <c r="M4" s="4">
        <f ca="1">INT((TODAY()-RH[[#This Row],[Fecha Nacimiento]])/365)</f>
        <v>52</v>
      </c>
      <c r="N4" s="4">
        <f ca="1">IF(RH[[#This Row],[Fecha de salida Laboral]]="",INT((TODAY()-RH[[#This Row],[Fecha de Ingreso laboral]])/365),INT((TODAY()-RH[[#This Row],[Fecha de salida Laboral]])/365))</f>
        <v>1</v>
      </c>
    </row>
    <row r="5" spans="1:14" x14ac:dyDescent="0.3">
      <c r="A5" t="s">
        <v>29</v>
      </c>
      <c r="B5" t="s">
        <v>30</v>
      </c>
      <c r="C5" s="1">
        <v>44166</v>
      </c>
      <c r="D5" s="1"/>
      <c r="E5" t="s">
        <v>31</v>
      </c>
      <c r="F5" t="s">
        <v>14</v>
      </c>
      <c r="G5" t="s">
        <v>32</v>
      </c>
      <c r="H5" t="s">
        <v>27</v>
      </c>
      <c r="I5">
        <v>53663.79</v>
      </c>
      <c r="J5" s="1">
        <v>37398</v>
      </c>
      <c r="K5" t="s">
        <v>17</v>
      </c>
      <c r="L5" s="4" t="str">
        <f>IF(RH[[#This Row],[Fecha de salida Laboral]]="","Activo","Inactivo")</f>
        <v>Activo</v>
      </c>
      <c r="M5" s="4">
        <f ca="1">INT((TODAY()-RH[[#This Row],[Fecha Nacimiento]])/365)</f>
        <v>23</v>
      </c>
      <c r="N5" s="4">
        <f ca="1">IF(RH[[#This Row],[Fecha de salida Laboral]]="",INT((TODAY()-RH[[#This Row],[Fecha de Ingreso laboral]])/365),INT((TODAY()-RH[[#This Row],[Fecha de salida Laboral]])/365))</f>
        <v>5</v>
      </c>
    </row>
    <row r="6" spans="1:14" x14ac:dyDescent="0.3">
      <c r="A6" t="s">
        <v>33</v>
      </c>
      <c r="B6" t="s">
        <v>34</v>
      </c>
      <c r="C6" s="1">
        <v>43582</v>
      </c>
      <c r="D6" s="1"/>
      <c r="E6" t="s">
        <v>13</v>
      </c>
      <c r="F6" t="s">
        <v>14</v>
      </c>
      <c r="G6" t="s">
        <v>35</v>
      </c>
      <c r="H6" t="s">
        <v>16</v>
      </c>
      <c r="I6">
        <v>126887.77</v>
      </c>
      <c r="J6" s="1">
        <v>32692</v>
      </c>
      <c r="K6" t="s">
        <v>36</v>
      </c>
      <c r="L6" s="4" t="str">
        <f>IF(RH[[#This Row],[Fecha de salida Laboral]]="","Activo","Inactivo")</f>
        <v>Activo</v>
      </c>
      <c r="M6" s="4">
        <f ca="1">INT((TODAY()-RH[[#This Row],[Fecha Nacimiento]])/365)</f>
        <v>36</v>
      </c>
      <c r="N6" s="4">
        <f ca="1">IF(RH[[#This Row],[Fecha de salida Laboral]]="",INT((TODAY()-RH[[#This Row],[Fecha de Ingreso laboral]])/365),INT((TODAY()-RH[[#This Row],[Fecha de salida Laboral]])/365))</f>
        <v>6</v>
      </c>
    </row>
    <row r="7" spans="1:14" x14ac:dyDescent="0.3">
      <c r="A7" t="s">
        <v>37</v>
      </c>
      <c r="B7" t="s">
        <v>38</v>
      </c>
      <c r="C7" s="1">
        <v>44394</v>
      </c>
      <c r="D7" s="1">
        <v>45470</v>
      </c>
      <c r="E7" t="s">
        <v>31</v>
      </c>
      <c r="F7" t="s">
        <v>39</v>
      </c>
      <c r="G7" t="s">
        <v>15</v>
      </c>
      <c r="H7" t="s">
        <v>27</v>
      </c>
      <c r="I7">
        <v>102203.98</v>
      </c>
      <c r="J7" s="1">
        <v>32513</v>
      </c>
      <c r="K7" t="s">
        <v>28</v>
      </c>
      <c r="L7" s="4" t="str">
        <f>IF(RH[[#This Row],[Fecha de salida Laboral]]="","Activo","Inactivo")</f>
        <v>Inactivo</v>
      </c>
      <c r="M7" s="4">
        <f ca="1">INT((TODAY()-RH[[#This Row],[Fecha Nacimiento]])/365)</f>
        <v>37</v>
      </c>
      <c r="N7" s="4">
        <f ca="1">IF(RH[[#This Row],[Fecha de salida Laboral]]="",INT((TODAY()-RH[[#This Row],[Fecha de Ingreso laboral]])/365),INT((TODAY()-RH[[#This Row],[Fecha de salida Laboral]])/365))</f>
        <v>1</v>
      </c>
    </row>
    <row r="8" spans="1:14" x14ac:dyDescent="0.3">
      <c r="A8" t="s">
        <v>40</v>
      </c>
      <c r="B8" t="s">
        <v>41</v>
      </c>
      <c r="C8" s="1">
        <v>45179</v>
      </c>
      <c r="D8" s="1">
        <v>45553</v>
      </c>
      <c r="E8" t="s">
        <v>42</v>
      </c>
      <c r="F8" t="s">
        <v>21</v>
      </c>
      <c r="G8" t="s">
        <v>32</v>
      </c>
      <c r="H8" t="s">
        <v>27</v>
      </c>
      <c r="I8">
        <v>122315.35</v>
      </c>
      <c r="J8" s="1">
        <v>36498</v>
      </c>
      <c r="K8" t="s">
        <v>36</v>
      </c>
      <c r="L8" s="4" t="str">
        <f>IF(RH[[#This Row],[Fecha de salida Laboral]]="","Activo","Inactivo")</f>
        <v>Inactivo</v>
      </c>
      <c r="M8" s="4">
        <f ca="1">INT((TODAY()-RH[[#This Row],[Fecha Nacimiento]])/365)</f>
        <v>26</v>
      </c>
      <c r="N8" s="4">
        <f ca="1">IF(RH[[#This Row],[Fecha de salida Laboral]]="",INT((TODAY()-RH[[#This Row],[Fecha de Ingreso laboral]])/365),INT((TODAY()-RH[[#This Row],[Fecha de salida Laboral]])/365))</f>
        <v>1</v>
      </c>
    </row>
    <row r="9" spans="1:14" x14ac:dyDescent="0.3">
      <c r="A9" t="s">
        <v>43</v>
      </c>
      <c r="B9" t="s">
        <v>44</v>
      </c>
      <c r="C9" s="1">
        <v>45390</v>
      </c>
      <c r="D9" s="1"/>
      <c r="E9" t="s">
        <v>45</v>
      </c>
      <c r="F9" t="s">
        <v>21</v>
      </c>
      <c r="G9" t="s">
        <v>35</v>
      </c>
      <c r="H9" t="s">
        <v>16</v>
      </c>
      <c r="I9">
        <v>137297.71</v>
      </c>
      <c r="J9" s="1">
        <v>26830</v>
      </c>
      <c r="K9" t="s">
        <v>17</v>
      </c>
      <c r="L9" s="4" t="str">
        <f>IF(RH[[#This Row],[Fecha de salida Laboral]]="","Activo","Inactivo")</f>
        <v>Activo</v>
      </c>
      <c r="M9" s="4">
        <f ca="1">INT((TODAY()-RH[[#This Row],[Fecha Nacimiento]])/365)</f>
        <v>52</v>
      </c>
      <c r="N9" s="4">
        <f ca="1">IF(RH[[#This Row],[Fecha de salida Laboral]]="",INT((TODAY()-RH[[#This Row],[Fecha de Ingreso laboral]])/365),INT((TODAY()-RH[[#This Row],[Fecha de salida Laboral]])/365))</f>
        <v>1</v>
      </c>
    </row>
    <row r="10" spans="1:14" x14ac:dyDescent="0.3">
      <c r="A10" t="s">
        <v>46</v>
      </c>
      <c r="B10" t="s">
        <v>47</v>
      </c>
      <c r="C10" s="1">
        <v>45282</v>
      </c>
      <c r="D10" s="1">
        <v>45305</v>
      </c>
      <c r="E10" t="s">
        <v>42</v>
      </c>
      <c r="F10" t="s">
        <v>25</v>
      </c>
      <c r="G10" t="s">
        <v>15</v>
      </c>
      <c r="H10" t="s">
        <v>16</v>
      </c>
      <c r="I10">
        <v>55983.32</v>
      </c>
      <c r="J10" s="1">
        <v>35692</v>
      </c>
      <c r="K10" t="s">
        <v>36</v>
      </c>
      <c r="L10" s="4" t="str">
        <f>IF(RH[[#This Row],[Fecha de salida Laboral]]="","Activo","Inactivo")</f>
        <v>Inactivo</v>
      </c>
      <c r="M10" s="4">
        <f ca="1">INT((TODAY()-RH[[#This Row],[Fecha Nacimiento]])/365)</f>
        <v>28</v>
      </c>
      <c r="N10" s="4">
        <f ca="1">IF(RH[[#This Row],[Fecha de salida Laboral]]="",INT((TODAY()-RH[[#This Row],[Fecha de Ingreso laboral]])/365),INT((TODAY()-RH[[#This Row],[Fecha de salida Laboral]])/365))</f>
        <v>1</v>
      </c>
    </row>
    <row r="11" spans="1:14" x14ac:dyDescent="0.3">
      <c r="A11" t="s">
        <v>48</v>
      </c>
      <c r="B11" t="s">
        <v>49</v>
      </c>
      <c r="C11" s="1">
        <v>44097</v>
      </c>
      <c r="D11" s="1">
        <v>45362</v>
      </c>
      <c r="E11" t="s">
        <v>31</v>
      </c>
      <c r="F11" t="s">
        <v>39</v>
      </c>
      <c r="G11" t="s">
        <v>35</v>
      </c>
      <c r="H11" t="s">
        <v>27</v>
      </c>
      <c r="I11">
        <v>138508.01</v>
      </c>
      <c r="J11" s="1">
        <v>29769</v>
      </c>
      <c r="K11" t="s">
        <v>17</v>
      </c>
      <c r="L11" s="4" t="str">
        <f>IF(RH[[#This Row],[Fecha de salida Laboral]]="","Activo","Inactivo")</f>
        <v>Inactivo</v>
      </c>
      <c r="M11" s="4">
        <f ca="1">INT((TODAY()-RH[[#This Row],[Fecha Nacimiento]])/365)</f>
        <v>44</v>
      </c>
      <c r="N11" s="4">
        <f ca="1">IF(RH[[#This Row],[Fecha de salida Laboral]]="",INT((TODAY()-RH[[#This Row],[Fecha de Ingreso laboral]])/365),INT((TODAY()-RH[[#This Row],[Fecha de salida Laboral]])/365))</f>
        <v>1</v>
      </c>
    </row>
    <row r="12" spans="1:14" x14ac:dyDescent="0.3">
      <c r="A12" t="s">
        <v>50</v>
      </c>
      <c r="B12" t="s">
        <v>51</v>
      </c>
      <c r="C12" s="1">
        <v>45075</v>
      </c>
      <c r="D12" s="1">
        <v>45550</v>
      </c>
      <c r="E12" t="s">
        <v>13</v>
      </c>
      <c r="F12" t="s">
        <v>39</v>
      </c>
      <c r="G12" t="s">
        <v>15</v>
      </c>
      <c r="H12" t="s">
        <v>16</v>
      </c>
      <c r="I12">
        <v>45791.93</v>
      </c>
      <c r="J12" s="1">
        <v>24640</v>
      </c>
      <c r="K12" t="s">
        <v>28</v>
      </c>
      <c r="L12" s="4" t="str">
        <f>IF(RH[[#This Row],[Fecha de salida Laboral]]="","Activo","Inactivo")</f>
        <v>Inactivo</v>
      </c>
      <c r="M12" s="4">
        <f ca="1">INT((TODAY()-RH[[#This Row],[Fecha Nacimiento]])/365)</f>
        <v>58</v>
      </c>
      <c r="N12" s="4">
        <f ca="1">IF(RH[[#This Row],[Fecha de salida Laboral]]="",INT((TODAY()-RH[[#This Row],[Fecha de Ingreso laboral]])/365),INT((TODAY()-RH[[#This Row],[Fecha de salida Laboral]])/365))</f>
        <v>1</v>
      </c>
    </row>
    <row r="13" spans="1:14" x14ac:dyDescent="0.3">
      <c r="A13" t="s">
        <v>52</v>
      </c>
      <c r="B13" t="s">
        <v>53</v>
      </c>
      <c r="C13" s="1">
        <v>45199</v>
      </c>
      <c r="D13" s="1"/>
      <c r="E13" t="s">
        <v>42</v>
      </c>
      <c r="F13" t="s">
        <v>54</v>
      </c>
      <c r="G13" t="s">
        <v>22</v>
      </c>
      <c r="H13" t="s">
        <v>16</v>
      </c>
      <c r="I13">
        <v>135684.54</v>
      </c>
      <c r="J13" s="1">
        <v>24540</v>
      </c>
      <c r="K13" t="s">
        <v>28</v>
      </c>
      <c r="L13" s="4" t="str">
        <f>IF(RH[[#This Row],[Fecha de salida Laboral]]="","Activo","Inactivo")</f>
        <v>Activo</v>
      </c>
      <c r="M13" s="4">
        <f ca="1">INT((TODAY()-RH[[#This Row],[Fecha Nacimiento]])/365)</f>
        <v>58</v>
      </c>
      <c r="N13" s="4">
        <f ca="1">IF(RH[[#This Row],[Fecha de salida Laboral]]="",INT((TODAY()-RH[[#This Row],[Fecha de Ingreso laboral]])/365),INT((TODAY()-RH[[#This Row],[Fecha de salida Laboral]])/365))</f>
        <v>2</v>
      </c>
    </row>
    <row r="14" spans="1:14" x14ac:dyDescent="0.3">
      <c r="A14" t="s">
        <v>55</v>
      </c>
      <c r="B14" t="s">
        <v>56</v>
      </c>
      <c r="C14" s="1">
        <v>44528</v>
      </c>
      <c r="D14" s="1">
        <v>45462</v>
      </c>
      <c r="E14" t="s">
        <v>42</v>
      </c>
      <c r="F14" t="s">
        <v>54</v>
      </c>
      <c r="G14" t="s">
        <v>32</v>
      </c>
      <c r="H14" t="s">
        <v>27</v>
      </c>
      <c r="I14">
        <v>40342.080000000002</v>
      </c>
      <c r="J14" s="1">
        <v>34061</v>
      </c>
      <c r="K14" t="s">
        <v>17</v>
      </c>
      <c r="L14" s="4" t="str">
        <f>IF(RH[[#This Row],[Fecha de salida Laboral]]="","Activo","Inactivo")</f>
        <v>Inactivo</v>
      </c>
      <c r="M14" s="4">
        <f ca="1">INT((TODAY()-RH[[#This Row],[Fecha Nacimiento]])/365)</f>
        <v>32</v>
      </c>
      <c r="N14" s="4">
        <f ca="1">IF(RH[[#This Row],[Fecha de salida Laboral]]="",INT((TODAY()-RH[[#This Row],[Fecha de Ingreso laboral]])/365),INT((TODAY()-RH[[#This Row],[Fecha de salida Laboral]])/365))</f>
        <v>1</v>
      </c>
    </row>
    <row r="15" spans="1:14" x14ac:dyDescent="0.3">
      <c r="A15" t="s">
        <v>57</v>
      </c>
      <c r="B15" t="s">
        <v>58</v>
      </c>
      <c r="C15" s="1">
        <v>44785</v>
      </c>
      <c r="D15" s="1"/>
      <c r="E15" t="s">
        <v>31</v>
      </c>
      <c r="F15" t="s">
        <v>59</v>
      </c>
      <c r="G15" t="s">
        <v>15</v>
      </c>
      <c r="H15" t="s">
        <v>27</v>
      </c>
      <c r="I15">
        <v>134409.76</v>
      </c>
      <c r="J15" s="1">
        <v>38091</v>
      </c>
      <c r="K15" t="s">
        <v>36</v>
      </c>
      <c r="L15" s="4" t="str">
        <f>IF(RH[[#This Row],[Fecha de salida Laboral]]="","Activo","Inactivo")</f>
        <v>Activo</v>
      </c>
      <c r="M15" s="4">
        <f ca="1">INT((TODAY()-RH[[#This Row],[Fecha Nacimiento]])/365)</f>
        <v>21</v>
      </c>
      <c r="N15" s="4">
        <f ca="1">IF(RH[[#This Row],[Fecha de salida Laboral]]="",INT((TODAY()-RH[[#This Row],[Fecha de Ingreso laboral]])/365),INT((TODAY()-RH[[#This Row],[Fecha de salida Laboral]])/365))</f>
        <v>3</v>
      </c>
    </row>
    <row r="16" spans="1:14" x14ac:dyDescent="0.3">
      <c r="A16" t="s">
        <v>60</v>
      </c>
      <c r="B16" t="s">
        <v>61</v>
      </c>
      <c r="C16" s="1">
        <v>45425</v>
      </c>
      <c r="D16" s="1">
        <v>45374</v>
      </c>
      <c r="E16" t="s">
        <v>42</v>
      </c>
      <c r="F16" t="s">
        <v>59</v>
      </c>
      <c r="G16" t="s">
        <v>35</v>
      </c>
      <c r="H16" t="s">
        <v>27</v>
      </c>
      <c r="I16">
        <v>47323.56</v>
      </c>
      <c r="J16" s="1">
        <v>38320</v>
      </c>
      <c r="K16" t="s">
        <v>28</v>
      </c>
      <c r="L16" s="4" t="str">
        <f>IF(RH[[#This Row],[Fecha de salida Laboral]]="","Activo","Inactivo")</f>
        <v>Inactivo</v>
      </c>
      <c r="M16" s="4">
        <f ca="1">INT((TODAY()-RH[[#This Row],[Fecha Nacimiento]])/365)</f>
        <v>21</v>
      </c>
      <c r="N16" s="4">
        <f ca="1">IF(RH[[#This Row],[Fecha de salida Laboral]]="",INT((TODAY()-RH[[#This Row],[Fecha de Ingreso laboral]])/365),INT((TODAY()-RH[[#This Row],[Fecha de salida Laboral]])/365))</f>
        <v>1</v>
      </c>
    </row>
    <row r="17" spans="1:14" x14ac:dyDescent="0.3">
      <c r="A17" t="s">
        <v>62</v>
      </c>
      <c r="B17" t="s">
        <v>63</v>
      </c>
      <c r="C17" s="1">
        <v>44789</v>
      </c>
      <c r="D17" s="1"/>
      <c r="E17" t="s">
        <v>45</v>
      </c>
      <c r="F17" t="s">
        <v>25</v>
      </c>
      <c r="G17" t="s">
        <v>26</v>
      </c>
      <c r="H17" t="s">
        <v>16</v>
      </c>
      <c r="I17">
        <v>63826.03</v>
      </c>
      <c r="J17" s="1">
        <v>29934</v>
      </c>
      <c r="K17" t="s">
        <v>36</v>
      </c>
      <c r="L17" s="4" t="str">
        <f>IF(RH[[#This Row],[Fecha de salida Laboral]]="","Activo","Inactivo")</f>
        <v>Activo</v>
      </c>
      <c r="M17" s="4">
        <f ca="1">INT((TODAY()-RH[[#This Row],[Fecha Nacimiento]])/365)</f>
        <v>44</v>
      </c>
      <c r="N17" s="4">
        <f ca="1">IF(RH[[#This Row],[Fecha de salida Laboral]]="",INT((TODAY()-RH[[#This Row],[Fecha de Ingreso laboral]])/365),INT((TODAY()-RH[[#This Row],[Fecha de salida Laboral]])/365))</f>
        <v>3</v>
      </c>
    </row>
    <row r="18" spans="1:14" x14ac:dyDescent="0.3">
      <c r="A18" t="s">
        <v>64</v>
      </c>
      <c r="B18" t="s">
        <v>65</v>
      </c>
      <c r="C18" s="1">
        <v>44753</v>
      </c>
      <c r="D18" s="1"/>
      <c r="E18" t="s">
        <v>20</v>
      </c>
      <c r="F18" t="s">
        <v>54</v>
      </c>
      <c r="G18" t="s">
        <v>26</v>
      </c>
      <c r="H18" t="s">
        <v>27</v>
      </c>
      <c r="I18">
        <v>105529.73</v>
      </c>
      <c r="J18" s="1">
        <v>26868</v>
      </c>
      <c r="K18" t="s">
        <v>36</v>
      </c>
      <c r="L18" s="4" t="str">
        <f>IF(RH[[#This Row],[Fecha de salida Laboral]]="","Activo","Inactivo")</f>
        <v>Activo</v>
      </c>
      <c r="M18" s="4">
        <f ca="1">INT((TODAY()-RH[[#This Row],[Fecha Nacimiento]])/365)</f>
        <v>52</v>
      </c>
      <c r="N18" s="4">
        <f ca="1">IF(RH[[#This Row],[Fecha de salida Laboral]]="",INT((TODAY()-RH[[#This Row],[Fecha de Ingreso laboral]])/365),INT((TODAY()-RH[[#This Row],[Fecha de salida Laboral]])/365))</f>
        <v>3</v>
      </c>
    </row>
    <row r="19" spans="1:14" x14ac:dyDescent="0.3">
      <c r="A19" t="s">
        <v>66</v>
      </c>
      <c r="B19" t="s">
        <v>67</v>
      </c>
      <c r="C19" s="1">
        <v>45092</v>
      </c>
      <c r="D19" s="1">
        <v>45603</v>
      </c>
      <c r="E19" t="s">
        <v>13</v>
      </c>
      <c r="F19" t="s">
        <v>25</v>
      </c>
      <c r="G19" t="s">
        <v>15</v>
      </c>
      <c r="H19" t="s">
        <v>27</v>
      </c>
      <c r="I19">
        <v>69488.789999999994</v>
      </c>
      <c r="J19" s="1">
        <v>35497</v>
      </c>
      <c r="K19" t="s">
        <v>28</v>
      </c>
      <c r="L19" s="4" t="str">
        <f>IF(RH[[#This Row],[Fecha de salida Laboral]]="","Activo","Inactivo")</f>
        <v>Inactivo</v>
      </c>
      <c r="M19" s="4">
        <f ca="1">INT((TODAY()-RH[[#This Row],[Fecha Nacimiento]])/365)</f>
        <v>28</v>
      </c>
      <c r="N19" s="4">
        <f ca="1">IF(RH[[#This Row],[Fecha de salida Laboral]]="",INT((TODAY()-RH[[#This Row],[Fecha de Ingreso laboral]])/365),INT((TODAY()-RH[[#This Row],[Fecha de salida Laboral]])/365))</f>
        <v>1</v>
      </c>
    </row>
    <row r="20" spans="1:14" x14ac:dyDescent="0.3">
      <c r="A20" t="s">
        <v>68</v>
      </c>
      <c r="B20" t="s">
        <v>69</v>
      </c>
      <c r="C20" s="1">
        <v>43770</v>
      </c>
      <c r="D20" s="1">
        <v>45409</v>
      </c>
      <c r="E20" t="s">
        <v>31</v>
      </c>
      <c r="F20" t="s">
        <v>25</v>
      </c>
      <c r="G20" t="s">
        <v>70</v>
      </c>
      <c r="H20" t="s">
        <v>27</v>
      </c>
      <c r="I20">
        <v>133467.19</v>
      </c>
      <c r="J20" s="1">
        <v>21621</v>
      </c>
      <c r="K20" t="s">
        <v>28</v>
      </c>
      <c r="L20" s="4" t="str">
        <f>IF(RH[[#This Row],[Fecha de salida Laboral]]="","Activo","Inactivo")</f>
        <v>Inactivo</v>
      </c>
      <c r="M20" s="4">
        <f ca="1">INT((TODAY()-RH[[#This Row],[Fecha Nacimiento]])/365)</f>
        <v>66</v>
      </c>
      <c r="N20" s="4">
        <f ca="1">IF(RH[[#This Row],[Fecha de salida Laboral]]="",INT((TODAY()-RH[[#This Row],[Fecha de Ingreso laboral]])/365),INT((TODAY()-RH[[#This Row],[Fecha de salida Laboral]])/365))</f>
        <v>1</v>
      </c>
    </row>
    <row r="21" spans="1:14" x14ac:dyDescent="0.3">
      <c r="A21" t="s">
        <v>71</v>
      </c>
      <c r="B21" t="s">
        <v>72</v>
      </c>
      <c r="C21" s="1">
        <v>45203</v>
      </c>
      <c r="D21" s="1">
        <v>45649</v>
      </c>
      <c r="E21" t="s">
        <v>73</v>
      </c>
      <c r="F21" t="s">
        <v>14</v>
      </c>
      <c r="G21" t="s">
        <v>74</v>
      </c>
      <c r="H21" t="s">
        <v>27</v>
      </c>
      <c r="I21">
        <v>128759.59</v>
      </c>
      <c r="J21" s="1">
        <v>22298</v>
      </c>
      <c r="K21" t="s">
        <v>36</v>
      </c>
      <c r="L21" s="4" t="str">
        <f>IF(RH[[#This Row],[Fecha de salida Laboral]]="","Activo","Inactivo")</f>
        <v>Inactivo</v>
      </c>
      <c r="M21" s="4">
        <f ca="1">INT((TODAY()-RH[[#This Row],[Fecha Nacimiento]])/365)</f>
        <v>64</v>
      </c>
      <c r="N21" s="4">
        <f ca="1">IF(RH[[#This Row],[Fecha de salida Laboral]]="",INT((TODAY()-RH[[#This Row],[Fecha de Ingreso laboral]])/365),INT((TODAY()-RH[[#This Row],[Fecha de salida Laboral]])/365))</f>
        <v>1</v>
      </c>
    </row>
    <row r="22" spans="1:14" x14ac:dyDescent="0.3">
      <c r="A22" t="s">
        <v>75</v>
      </c>
      <c r="B22" t="s">
        <v>76</v>
      </c>
      <c r="C22" s="1">
        <v>45457</v>
      </c>
      <c r="D22" s="1"/>
      <c r="E22" t="s">
        <v>31</v>
      </c>
      <c r="F22" t="s">
        <v>39</v>
      </c>
      <c r="G22" t="s">
        <v>35</v>
      </c>
      <c r="H22" t="s">
        <v>16</v>
      </c>
      <c r="I22">
        <v>102562.4</v>
      </c>
      <c r="J22" s="1">
        <v>30130</v>
      </c>
      <c r="K22" t="s">
        <v>28</v>
      </c>
      <c r="L22" s="4" t="str">
        <f>IF(RH[[#This Row],[Fecha de salida Laboral]]="","Activo","Inactivo")</f>
        <v>Activo</v>
      </c>
      <c r="M22" s="4">
        <f ca="1">INT((TODAY()-RH[[#This Row],[Fecha Nacimiento]])/365)</f>
        <v>43</v>
      </c>
      <c r="N22" s="4">
        <f ca="1">IF(RH[[#This Row],[Fecha de salida Laboral]]="",INT((TODAY()-RH[[#This Row],[Fecha de Ingreso laboral]])/365),INT((TODAY()-RH[[#This Row],[Fecha de salida Laboral]])/365))</f>
        <v>1</v>
      </c>
    </row>
    <row r="23" spans="1:14" x14ac:dyDescent="0.3">
      <c r="A23" t="s">
        <v>77</v>
      </c>
      <c r="B23" t="s">
        <v>78</v>
      </c>
      <c r="C23" s="1">
        <v>45376</v>
      </c>
      <c r="D23" s="1">
        <v>45301</v>
      </c>
      <c r="E23" t="s">
        <v>20</v>
      </c>
      <c r="F23" t="s">
        <v>59</v>
      </c>
      <c r="G23" t="s">
        <v>70</v>
      </c>
      <c r="H23" t="s">
        <v>27</v>
      </c>
      <c r="I23">
        <v>54019.46</v>
      </c>
      <c r="J23" s="1">
        <v>28381</v>
      </c>
      <c r="K23" t="s">
        <v>17</v>
      </c>
      <c r="L23" s="4" t="str">
        <f>IF(RH[[#This Row],[Fecha de salida Laboral]]="","Activo","Inactivo")</f>
        <v>Inactivo</v>
      </c>
      <c r="M23" s="4">
        <f ca="1">INT((TODAY()-RH[[#This Row],[Fecha Nacimiento]])/365)</f>
        <v>48</v>
      </c>
      <c r="N23" s="4">
        <f ca="1">IF(RH[[#This Row],[Fecha de salida Laboral]]="",INT((TODAY()-RH[[#This Row],[Fecha de Ingreso laboral]])/365),INT((TODAY()-RH[[#This Row],[Fecha de salida Laboral]])/365))</f>
        <v>1</v>
      </c>
    </row>
    <row r="24" spans="1:14" x14ac:dyDescent="0.3">
      <c r="A24" t="s">
        <v>79</v>
      </c>
      <c r="B24" t="s">
        <v>80</v>
      </c>
      <c r="C24" s="1">
        <v>43697</v>
      </c>
      <c r="D24" s="1">
        <v>45364</v>
      </c>
      <c r="E24" t="s">
        <v>42</v>
      </c>
      <c r="F24" t="s">
        <v>25</v>
      </c>
      <c r="G24" t="s">
        <v>81</v>
      </c>
      <c r="H24" t="s">
        <v>27</v>
      </c>
      <c r="I24">
        <v>45729.4</v>
      </c>
      <c r="J24" s="1">
        <v>32878</v>
      </c>
      <c r="K24" t="s">
        <v>17</v>
      </c>
      <c r="L24" s="4" t="str">
        <f>IF(RH[[#This Row],[Fecha de salida Laboral]]="","Activo","Inactivo")</f>
        <v>Inactivo</v>
      </c>
      <c r="M24" s="4">
        <f ca="1">INT((TODAY()-RH[[#This Row],[Fecha Nacimiento]])/365)</f>
        <v>36</v>
      </c>
      <c r="N24" s="4">
        <f ca="1">IF(RH[[#This Row],[Fecha de salida Laboral]]="",INT((TODAY()-RH[[#This Row],[Fecha de Ingreso laboral]])/365),INT((TODAY()-RH[[#This Row],[Fecha de salida Laboral]])/365))</f>
        <v>1</v>
      </c>
    </row>
    <row r="25" spans="1:14" x14ac:dyDescent="0.3">
      <c r="A25" t="s">
        <v>82</v>
      </c>
      <c r="B25" t="s">
        <v>83</v>
      </c>
      <c r="C25" s="1">
        <v>43482</v>
      </c>
      <c r="D25" s="1">
        <v>45620</v>
      </c>
      <c r="E25" t="s">
        <v>73</v>
      </c>
      <c r="F25" t="s">
        <v>54</v>
      </c>
      <c r="G25" t="s">
        <v>32</v>
      </c>
      <c r="H25" t="s">
        <v>16</v>
      </c>
      <c r="I25">
        <v>137726.98000000001</v>
      </c>
      <c r="J25" s="1">
        <v>25728</v>
      </c>
      <c r="K25" t="s">
        <v>17</v>
      </c>
      <c r="L25" s="4" t="str">
        <f>IF(RH[[#This Row],[Fecha de salida Laboral]]="","Activo","Inactivo")</f>
        <v>Inactivo</v>
      </c>
      <c r="M25" s="4">
        <f ca="1">INT((TODAY()-RH[[#This Row],[Fecha Nacimiento]])/365)</f>
        <v>55</v>
      </c>
      <c r="N25" s="4">
        <f ca="1">IF(RH[[#This Row],[Fecha de salida Laboral]]="",INT((TODAY()-RH[[#This Row],[Fecha de Ingreso laboral]])/365),INT((TODAY()-RH[[#This Row],[Fecha de salida Laboral]])/365))</f>
        <v>1</v>
      </c>
    </row>
    <row r="26" spans="1:14" x14ac:dyDescent="0.3">
      <c r="A26" t="s">
        <v>84</v>
      </c>
      <c r="B26" t="s">
        <v>85</v>
      </c>
      <c r="C26" s="1">
        <v>43587</v>
      </c>
      <c r="D26" s="1">
        <v>45486</v>
      </c>
      <c r="E26" t="s">
        <v>20</v>
      </c>
      <c r="F26" t="s">
        <v>54</v>
      </c>
      <c r="G26" t="s">
        <v>32</v>
      </c>
      <c r="H26" t="s">
        <v>27</v>
      </c>
      <c r="I26">
        <v>44439.86</v>
      </c>
      <c r="J26" s="1">
        <v>32460</v>
      </c>
      <c r="K26" t="s">
        <v>17</v>
      </c>
      <c r="L26" s="4" t="str">
        <f>IF(RH[[#This Row],[Fecha de salida Laboral]]="","Activo","Inactivo")</f>
        <v>Inactivo</v>
      </c>
      <c r="M26" s="4">
        <f ca="1">INT((TODAY()-RH[[#This Row],[Fecha Nacimiento]])/365)</f>
        <v>37</v>
      </c>
      <c r="N26" s="4">
        <f ca="1">IF(RH[[#This Row],[Fecha de salida Laboral]]="",INT((TODAY()-RH[[#This Row],[Fecha de Ingreso laboral]])/365),INT((TODAY()-RH[[#This Row],[Fecha de salida Laboral]])/365))</f>
        <v>1</v>
      </c>
    </row>
    <row r="27" spans="1:14" x14ac:dyDescent="0.3">
      <c r="A27" t="s">
        <v>86</v>
      </c>
      <c r="B27" t="s">
        <v>87</v>
      </c>
      <c r="C27" s="1">
        <v>44640</v>
      </c>
      <c r="D27" s="1">
        <v>45300</v>
      </c>
      <c r="E27" t="s">
        <v>20</v>
      </c>
      <c r="F27" t="s">
        <v>21</v>
      </c>
      <c r="G27" t="s">
        <v>88</v>
      </c>
      <c r="H27" t="s">
        <v>27</v>
      </c>
      <c r="I27">
        <v>111748.76</v>
      </c>
      <c r="J27" s="1">
        <v>36501</v>
      </c>
      <c r="K27" t="s">
        <v>36</v>
      </c>
      <c r="L27" s="4" t="str">
        <f>IF(RH[[#This Row],[Fecha de salida Laboral]]="","Activo","Inactivo")</f>
        <v>Inactivo</v>
      </c>
      <c r="M27" s="4">
        <f ca="1">INT((TODAY()-RH[[#This Row],[Fecha Nacimiento]])/365)</f>
        <v>26</v>
      </c>
      <c r="N27" s="4">
        <f ca="1">IF(RH[[#This Row],[Fecha de salida Laboral]]="",INT((TODAY()-RH[[#This Row],[Fecha de Ingreso laboral]])/365),INT((TODAY()-RH[[#This Row],[Fecha de salida Laboral]])/365))</f>
        <v>1</v>
      </c>
    </row>
    <row r="28" spans="1:14" x14ac:dyDescent="0.3">
      <c r="A28" t="s">
        <v>89</v>
      </c>
      <c r="B28" t="s">
        <v>90</v>
      </c>
      <c r="C28" s="1">
        <v>44630</v>
      </c>
      <c r="D28" s="1">
        <v>45645</v>
      </c>
      <c r="E28" t="s">
        <v>45</v>
      </c>
      <c r="F28" t="s">
        <v>39</v>
      </c>
      <c r="G28" t="s">
        <v>88</v>
      </c>
      <c r="H28" t="s">
        <v>16</v>
      </c>
      <c r="I28">
        <v>117452.58</v>
      </c>
      <c r="J28" s="1">
        <v>28804</v>
      </c>
      <c r="K28" t="s">
        <v>28</v>
      </c>
      <c r="L28" s="4" t="str">
        <f>IF(RH[[#This Row],[Fecha de salida Laboral]]="","Activo","Inactivo")</f>
        <v>Inactivo</v>
      </c>
      <c r="M28" s="4">
        <f ca="1">INT((TODAY()-RH[[#This Row],[Fecha Nacimiento]])/365)</f>
        <v>47</v>
      </c>
      <c r="N28" s="4">
        <f ca="1">IF(RH[[#This Row],[Fecha de salida Laboral]]="",INT((TODAY()-RH[[#This Row],[Fecha de Ingreso laboral]])/365),INT((TODAY()-RH[[#This Row],[Fecha de salida Laboral]])/365))</f>
        <v>1</v>
      </c>
    </row>
    <row r="29" spans="1:14" x14ac:dyDescent="0.3">
      <c r="A29" t="s">
        <v>91</v>
      </c>
      <c r="B29" t="s">
        <v>92</v>
      </c>
      <c r="C29" s="1">
        <v>44497</v>
      </c>
      <c r="D29" s="1"/>
      <c r="E29" t="s">
        <v>45</v>
      </c>
      <c r="F29" t="s">
        <v>39</v>
      </c>
      <c r="G29" t="s">
        <v>70</v>
      </c>
      <c r="H29" t="s">
        <v>27</v>
      </c>
      <c r="I29">
        <v>102439.58</v>
      </c>
      <c r="J29" s="1">
        <v>33941</v>
      </c>
      <c r="K29" t="s">
        <v>36</v>
      </c>
      <c r="L29" s="4" t="str">
        <f>IF(RH[[#This Row],[Fecha de salida Laboral]]="","Activo","Inactivo")</f>
        <v>Activo</v>
      </c>
      <c r="M29" s="4">
        <f ca="1">INT((TODAY()-RH[[#This Row],[Fecha Nacimiento]])/365)</f>
        <v>33</v>
      </c>
      <c r="N29" s="4">
        <f ca="1">IF(RH[[#This Row],[Fecha de salida Laboral]]="",INT((TODAY()-RH[[#This Row],[Fecha de Ingreso laboral]])/365),INT((TODAY()-RH[[#This Row],[Fecha de salida Laboral]])/365))</f>
        <v>4</v>
      </c>
    </row>
    <row r="30" spans="1:14" x14ac:dyDescent="0.3">
      <c r="A30" t="s">
        <v>93</v>
      </c>
      <c r="B30" t="s">
        <v>94</v>
      </c>
      <c r="C30" s="1">
        <v>44955</v>
      </c>
      <c r="D30" s="1">
        <v>45470</v>
      </c>
      <c r="E30" t="s">
        <v>42</v>
      </c>
      <c r="F30" t="s">
        <v>39</v>
      </c>
      <c r="G30" t="s">
        <v>26</v>
      </c>
      <c r="H30" t="s">
        <v>16</v>
      </c>
      <c r="I30">
        <v>111716.39</v>
      </c>
      <c r="J30" s="1">
        <v>35598</v>
      </c>
      <c r="K30" t="s">
        <v>36</v>
      </c>
      <c r="L30" s="4" t="str">
        <f>IF(RH[[#This Row],[Fecha de salida Laboral]]="","Activo","Inactivo")</f>
        <v>Inactivo</v>
      </c>
      <c r="M30" s="4">
        <f ca="1">INT((TODAY()-RH[[#This Row],[Fecha Nacimiento]])/365)</f>
        <v>28</v>
      </c>
      <c r="N30" s="4">
        <f ca="1">IF(RH[[#This Row],[Fecha de salida Laboral]]="",INT((TODAY()-RH[[#This Row],[Fecha de Ingreso laboral]])/365),INT((TODAY()-RH[[#This Row],[Fecha de salida Laboral]])/365))</f>
        <v>1</v>
      </c>
    </row>
    <row r="31" spans="1:14" x14ac:dyDescent="0.3">
      <c r="A31" t="s">
        <v>95</v>
      </c>
      <c r="B31" t="s">
        <v>96</v>
      </c>
      <c r="C31" s="1">
        <v>44770</v>
      </c>
      <c r="D31" s="1">
        <v>45509</v>
      </c>
      <c r="E31" t="s">
        <v>13</v>
      </c>
      <c r="F31" t="s">
        <v>54</v>
      </c>
      <c r="G31" t="s">
        <v>32</v>
      </c>
      <c r="H31" t="s">
        <v>27</v>
      </c>
      <c r="I31">
        <v>144873.54</v>
      </c>
      <c r="J31" s="1">
        <v>21985</v>
      </c>
      <c r="K31" t="s">
        <v>17</v>
      </c>
      <c r="L31" s="4" t="str">
        <f>IF(RH[[#This Row],[Fecha de salida Laboral]]="","Activo","Inactivo")</f>
        <v>Inactivo</v>
      </c>
      <c r="M31" s="4">
        <f ca="1">INT((TODAY()-RH[[#This Row],[Fecha Nacimiento]])/365)</f>
        <v>65</v>
      </c>
      <c r="N31" s="4">
        <f ca="1">IF(RH[[#This Row],[Fecha de salida Laboral]]="",INT((TODAY()-RH[[#This Row],[Fecha de Ingreso laboral]])/365),INT((TODAY()-RH[[#This Row],[Fecha de salida Laboral]])/365))</f>
        <v>1</v>
      </c>
    </row>
    <row r="32" spans="1:14" x14ac:dyDescent="0.3">
      <c r="A32" t="s">
        <v>97</v>
      </c>
      <c r="B32" t="s">
        <v>98</v>
      </c>
      <c r="C32" s="1">
        <v>43802</v>
      </c>
      <c r="D32" s="1">
        <v>45467</v>
      </c>
      <c r="E32" t="s">
        <v>42</v>
      </c>
      <c r="F32" t="s">
        <v>25</v>
      </c>
      <c r="G32" t="s">
        <v>22</v>
      </c>
      <c r="H32" t="s">
        <v>27</v>
      </c>
      <c r="I32">
        <v>139740.06</v>
      </c>
      <c r="J32" s="1">
        <v>35704</v>
      </c>
      <c r="K32" t="s">
        <v>36</v>
      </c>
      <c r="L32" s="4" t="str">
        <f>IF(RH[[#This Row],[Fecha de salida Laboral]]="","Activo","Inactivo")</f>
        <v>Inactivo</v>
      </c>
      <c r="M32" s="4">
        <f ca="1">INT((TODAY()-RH[[#This Row],[Fecha Nacimiento]])/365)</f>
        <v>28</v>
      </c>
      <c r="N32" s="4">
        <f ca="1">IF(RH[[#This Row],[Fecha de salida Laboral]]="",INT((TODAY()-RH[[#This Row],[Fecha de Ingreso laboral]])/365),INT((TODAY()-RH[[#This Row],[Fecha de salida Laboral]])/365))</f>
        <v>1</v>
      </c>
    </row>
    <row r="33" spans="1:14" x14ac:dyDescent="0.3">
      <c r="A33" t="s">
        <v>99</v>
      </c>
      <c r="B33" t="s">
        <v>100</v>
      </c>
      <c r="C33" s="1">
        <v>44483</v>
      </c>
      <c r="D33" s="1">
        <v>45448</v>
      </c>
      <c r="E33" t="s">
        <v>20</v>
      </c>
      <c r="F33" t="s">
        <v>14</v>
      </c>
      <c r="G33" t="s">
        <v>22</v>
      </c>
      <c r="H33" t="s">
        <v>27</v>
      </c>
      <c r="I33">
        <v>55751.21</v>
      </c>
      <c r="J33" s="1">
        <v>37466</v>
      </c>
      <c r="K33" t="s">
        <v>17</v>
      </c>
      <c r="L33" s="4" t="str">
        <f>IF(RH[[#This Row],[Fecha de salida Laboral]]="","Activo","Inactivo")</f>
        <v>Inactivo</v>
      </c>
      <c r="M33" s="4">
        <f ca="1">INT((TODAY()-RH[[#This Row],[Fecha Nacimiento]])/365)</f>
        <v>23</v>
      </c>
      <c r="N33" s="4">
        <f ca="1">IF(RH[[#This Row],[Fecha de salida Laboral]]="",INT((TODAY()-RH[[#This Row],[Fecha de Ingreso laboral]])/365),INT((TODAY()-RH[[#This Row],[Fecha de salida Laboral]])/365))</f>
        <v>1</v>
      </c>
    </row>
    <row r="34" spans="1:14" x14ac:dyDescent="0.3">
      <c r="A34" t="s">
        <v>101</v>
      </c>
      <c r="B34" t="s">
        <v>102</v>
      </c>
      <c r="C34" s="1">
        <v>44010</v>
      </c>
      <c r="D34" s="1">
        <v>45390</v>
      </c>
      <c r="E34" t="s">
        <v>20</v>
      </c>
      <c r="F34" t="s">
        <v>59</v>
      </c>
      <c r="G34" t="s">
        <v>103</v>
      </c>
      <c r="H34" t="s">
        <v>27</v>
      </c>
      <c r="I34">
        <v>74611.55</v>
      </c>
      <c r="J34" s="1">
        <v>38876</v>
      </c>
      <c r="K34" t="s">
        <v>36</v>
      </c>
      <c r="L34" s="4" t="str">
        <f>IF(RH[[#This Row],[Fecha de salida Laboral]]="","Activo","Inactivo")</f>
        <v>Inactivo</v>
      </c>
      <c r="M34" s="4">
        <f ca="1">INT((TODAY()-RH[[#This Row],[Fecha Nacimiento]])/365)</f>
        <v>19</v>
      </c>
      <c r="N34" s="4">
        <f ca="1">IF(RH[[#This Row],[Fecha de salida Laboral]]="",INT((TODAY()-RH[[#This Row],[Fecha de Ingreso laboral]])/365),INT((TODAY()-RH[[#This Row],[Fecha de salida Laboral]])/365))</f>
        <v>1</v>
      </c>
    </row>
    <row r="35" spans="1:14" x14ac:dyDescent="0.3">
      <c r="A35" t="s">
        <v>104</v>
      </c>
      <c r="B35" t="s">
        <v>105</v>
      </c>
      <c r="C35" s="1">
        <v>45544</v>
      </c>
      <c r="D35" s="1">
        <v>45491</v>
      </c>
      <c r="E35" t="s">
        <v>42</v>
      </c>
      <c r="F35" t="s">
        <v>39</v>
      </c>
      <c r="G35" t="s">
        <v>32</v>
      </c>
      <c r="H35" t="s">
        <v>27</v>
      </c>
      <c r="I35">
        <v>63972.3</v>
      </c>
      <c r="J35" s="1">
        <v>25946</v>
      </c>
      <c r="K35" t="s">
        <v>17</v>
      </c>
      <c r="L35" s="4" t="str">
        <f>IF(RH[[#This Row],[Fecha de salida Laboral]]="","Activo","Inactivo")</f>
        <v>Inactivo</v>
      </c>
      <c r="M35" s="4">
        <f ca="1">INT((TODAY()-RH[[#This Row],[Fecha Nacimiento]])/365)</f>
        <v>54</v>
      </c>
      <c r="N35" s="4">
        <f ca="1">IF(RH[[#This Row],[Fecha de salida Laboral]]="",INT((TODAY()-RH[[#This Row],[Fecha de Ingreso laboral]])/365),INT((TODAY()-RH[[#This Row],[Fecha de salida Laboral]])/365))</f>
        <v>1</v>
      </c>
    </row>
    <row r="36" spans="1:14" x14ac:dyDescent="0.3">
      <c r="A36" t="s">
        <v>106</v>
      </c>
      <c r="B36" t="s">
        <v>107</v>
      </c>
      <c r="C36" s="1">
        <v>43533</v>
      </c>
      <c r="D36" s="1">
        <v>45396</v>
      </c>
      <c r="E36" t="s">
        <v>45</v>
      </c>
      <c r="F36" t="s">
        <v>54</v>
      </c>
      <c r="G36" t="s">
        <v>22</v>
      </c>
      <c r="H36" t="s">
        <v>27</v>
      </c>
      <c r="I36">
        <v>86043.83</v>
      </c>
      <c r="J36" s="1">
        <v>27183</v>
      </c>
      <c r="K36" t="s">
        <v>28</v>
      </c>
      <c r="L36" s="4" t="str">
        <f>IF(RH[[#This Row],[Fecha de salida Laboral]]="","Activo","Inactivo")</f>
        <v>Inactivo</v>
      </c>
      <c r="M36" s="4">
        <f ca="1">INT((TODAY()-RH[[#This Row],[Fecha Nacimiento]])/365)</f>
        <v>51</v>
      </c>
      <c r="N36" s="4">
        <f ca="1">IF(RH[[#This Row],[Fecha de salida Laboral]]="",INT((TODAY()-RH[[#This Row],[Fecha de Ingreso laboral]])/365),INT((TODAY()-RH[[#This Row],[Fecha de salida Laboral]])/365))</f>
        <v>1</v>
      </c>
    </row>
    <row r="37" spans="1:14" x14ac:dyDescent="0.3">
      <c r="A37" t="s">
        <v>108</v>
      </c>
      <c r="B37" t="s">
        <v>109</v>
      </c>
      <c r="C37" s="1">
        <v>45412</v>
      </c>
      <c r="D37" s="1"/>
      <c r="E37" t="s">
        <v>13</v>
      </c>
      <c r="F37" t="s">
        <v>54</v>
      </c>
      <c r="G37" t="s">
        <v>103</v>
      </c>
      <c r="H37" t="s">
        <v>27</v>
      </c>
      <c r="I37">
        <v>144807.75</v>
      </c>
      <c r="J37" s="1">
        <v>25779</v>
      </c>
      <c r="K37" t="s">
        <v>28</v>
      </c>
      <c r="L37" s="4" t="str">
        <f>IF(RH[[#This Row],[Fecha de salida Laboral]]="","Activo","Inactivo")</f>
        <v>Activo</v>
      </c>
      <c r="M37" s="4">
        <f ca="1">INT((TODAY()-RH[[#This Row],[Fecha Nacimiento]])/365)</f>
        <v>55</v>
      </c>
      <c r="N37" s="4">
        <f ca="1">IF(RH[[#This Row],[Fecha de salida Laboral]]="",INT((TODAY()-RH[[#This Row],[Fecha de Ingreso laboral]])/365),INT((TODAY()-RH[[#This Row],[Fecha de salida Laboral]])/365))</f>
        <v>1</v>
      </c>
    </row>
    <row r="38" spans="1:14" x14ac:dyDescent="0.3">
      <c r="A38" t="s">
        <v>110</v>
      </c>
      <c r="B38" t="s">
        <v>111</v>
      </c>
      <c r="C38" s="1">
        <v>44098</v>
      </c>
      <c r="D38" s="1">
        <v>45591</v>
      </c>
      <c r="E38" t="s">
        <v>13</v>
      </c>
      <c r="F38" t="s">
        <v>39</v>
      </c>
      <c r="G38" t="s">
        <v>22</v>
      </c>
      <c r="H38" t="s">
        <v>16</v>
      </c>
      <c r="I38">
        <v>111540.48</v>
      </c>
      <c r="J38" s="1">
        <v>34981</v>
      </c>
      <c r="K38" t="s">
        <v>17</v>
      </c>
      <c r="L38" s="4" t="str">
        <f>IF(RH[[#This Row],[Fecha de salida Laboral]]="","Activo","Inactivo")</f>
        <v>Inactivo</v>
      </c>
      <c r="M38" s="4">
        <f ca="1">INT((TODAY()-RH[[#This Row],[Fecha Nacimiento]])/365)</f>
        <v>30</v>
      </c>
      <c r="N38" s="4">
        <f ca="1">IF(RH[[#This Row],[Fecha de salida Laboral]]="",INT((TODAY()-RH[[#This Row],[Fecha de Ingreso laboral]])/365),INT((TODAY()-RH[[#This Row],[Fecha de salida Laboral]])/365))</f>
        <v>1</v>
      </c>
    </row>
    <row r="39" spans="1:14" x14ac:dyDescent="0.3">
      <c r="A39" t="s">
        <v>112</v>
      </c>
      <c r="B39" t="s">
        <v>113</v>
      </c>
      <c r="C39" s="1">
        <v>43848</v>
      </c>
      <c r="D39" s="1">
        <v>45590</v>
      </c>
      <c r="E39" t="s">
        <v>45</v>
      </c>
      <c r="F39" t="s">
        <v>54</v>
      </c>
      <c r="G39" t="s">
        <v>70</v>
      </c>
      <c r="H39" t="s">
        <v>27</v>
      </c>
      <c r="I39">
        <v>105279.36</v>
      </c>
      <c r="J39" s="1">
        <v>35045</v>
      </c>
      <c r="K39" t="s">
        <v>28</v>
      </c>
      <c r="L39" s="4" t="str">
        <f>IF(RH[[#This Row],[Fecha de salida Laboral]]="","Activo","Inactivo")</f>
        <v>Inactivo</v>
      </c>
      <c r="M39" s="4">
        <f ca="1">INT((TODAY()-RH[[#This Row],[Fecha Nacimiento]])/365)</f>
        <v>30</v>
      </c>
      <c r="N39" s="4">
        <f ca="1">IF(RH[[#This Row],[Fecha de salida Laboral]]="",INT((TODAY()-RH[[#This Row],[Fecha de Ingreso laboral]])/365),INT((TODAY()-RH[[#This Row],[Fecha de salida Laboral]])/365))</f>
        <v>1</v>
      </c>
    </row>
    <row r="40" spans="1:14" x14ac:dyDescent="0.3">
      <c r="A40" t="s">
        <v>114</v>
      </c>
      <c r="B40" t="s">
        <v>115</v>
      </c>
      <c r="C40" s="1">
        <v>44683</v>
      </c>
      <c r="D40" s="1">
        <v>45556</v>
      </c>
      <c r="E40" t="s">
        <v>20</v>
      </c>
      <c r="F40" t="s">
        <v>25</v>
      </c>
      <c r="G40" t="s">
        <v>81</v>
      </c>
      <c r="H40" t="s">
        <v>27</v>
      </c>
      <c r="I40">
        <v>130906.56</v>
      </c>
      <c r="J40" s="1">
        <v>37759</v>
      </c>
      <c r="K40" t="s">
        <v>36</v>
      </c>
      <c r="L40" s="4" t="str">
        <f>IF(RH[[#This Row],[Fecha de salida Laboral]]="","Activo","Inactivo")</f>
        <v>Inactivo</v>
      </c>
      <c r="M40" s="4">
        <f ca="1">INT((TODAY()-RH[[#This Row],[Fecha Nacimiento]])/365)</f>
        <v>22</v>
      </c>
      <c r="N40" s="4">
        <f ca="1">IF(RH[[#This Row],[Fecha de salida Laboral]]="",INT((TODAY()-RH[[#This Row],[Fecha de Ingreso laboral]])/365),INT((TODAY()-RH[[#This Row],[Fecha de salida Laboral]])/365))</f>
        <v>1</v>
      </c>
    </row>
    <row r="41" spans="1:14" x14ac:dyDescent="0.3">
      <c r="A41" t="s">
        <v>116</v>
      </c>
      <c r="B41" t="s">
        <v>117</v>
      </c>
      <c r="C41" s="1">
        <v>44236</v>
      </c>
      <c r="D41" s="1">
        <v>45543</v>
      </c>
      <c r="E41" t="s">
        <v>13</v>
      </c>
      <c r="F41" t="s">
        <v>25</v>
      </c>
      <c r="G41" t="s">
        <v>81</v>
      </c>
      <c r="H41" t="s">
        <v>27</v>
      </c>
      <c r="I41">
        <v>124470.89</v>
      </c>
      <c r="J41" s="1">
        <v>37781</v>
      </c>
      <c r="K41" t="s">
        <v>28</v>
      </c>
      <c r="L41" s="4" t="str">
        <f>IF(RH[[#This Row],[Fecha de salida Laboral]]="","Activo","Inactivo")</f>
        <v>Inactivo</v>
      </c>
      <c r="M41" s="4">
        <f ca="1">INT((TODAY()-RH[[#This Row],[Fecha Nacimiento]])/365)</f>
        <v>22</v>
      </c>
      <c r="N41" s="4">
        <f ca="1">IF(RH[[#This Row],[Fecha de salida Laboral]]="",INT((TODAY()-RH[[#This Row],[Fecha de Ingreso laboral]])/365),INT((TODAY()-RH[[#This Row],[Fecha de salida Laboral]])/365))</f>
        <v>1</v>
      </c>
    </row>
    <row r="42" spans="1:14" x14ac:dyDescent="0.3">
      <c r="A42" t="s">
        <v>118</v>
      </c>
      <c r="B42" t="s">
        <v>119</v>
      </c>
      <c r="C42" s="1">
        <v>44489</v>
      </c>
      <c r="D42" s="1"/>
      <c r="E42" t="s">
        <v>45</v>
      </c>
      <c r="F42" t="s">
        <v>21</v>
      </c>
      <c r="G42" t="s">
        <v>15</v>
      </c>
      <c r="H42" t="s">
        <v>27</v>
      </c>
      <c r="I42">
        <v>39510.58</v>
      </c>
      <c r="J42" s="1">
        <v>37671</v>
      </c>
      <c r="K42" t="s">
        <v>17</v>
      </c>
      <c r="L42" s="4" t="str">
        <f>IF(RH[[#This Row],[Fecha de salida Laboral]]="","Activo","Inactivo")</f>
        <v>Activo</v>
      </c>
      <c r="M42" s="4">
        <f ca="1">INT((TODAY()-RH[[#This Row],[Fecha Nacimiento]])/365)</f>
        <v>22</v>
      </c>
      <c r="N42" s="4">
        <f ca="1">IF(RH[[#This Row],[Fecha de salida Laboral]]="",INT((TODAY()-RH[[#This Row],[Fecha de Ingreso laboral]])/365),INT((TODAY()-RH[[#This Row],[Fecha de salida Laboral]])/365))</f>
        <v>4</v>
      </c>
    </row>
    <row r="43" spans="1:14" x14ac:dyDescent="0.3">
      <c r="A43" t="s">
        <v>120</v>
      </c>
      <c r="B43" t="s">
        <v>121</v>
      </c>
      <c r="C43" s="1">
        <v>45008</v>
      </c>
      <c r="D43" s="1"/>
      <c r="E43" t="s">
        <v>20</v>
      </c>
      <c r="F43" t="s">
        <v>25</v>
      </c>
      <c r="G43" t="s">
        <v>15</v>
      </c>
      <c r="H43" t="s">
        <v>27</v>
      </c>
      <c r="I43">
        <v>127167.59</v>
      </c>
      <c r="J43" s="1">
        <v>26348</v>
      </c>
      <c r="K43" t="s">
        <v>17</v>
      </c>
      <c r="L43" s="4" t="str">
        <f>IF(RH[[#This Row],[Fecha de salida Laboral]]="","Activo","Inactivo")</f>
        <v>Activo</v>
      </c>
      <c r="M43" s="4">
        <f ca="1">INT((TODAY()-RH[[#This Row],[Fecha Nacimiento]])/365)</f>
        <v>53</v>
      </c>
      <c r="N43" s="4">
        <f ca="1">IF(RH[[#This Row],[Fecha de salida Laboral]]="",INT((TODAY()-RH[[#This Row],[Fecha de Ingreso laboral]])/365),INT((TODAY()-RH[[#This Row],[Fecha de salida Laboral]])/365))</f>
        <v>2</v>
      </c>
    </row>
    <row r="44" spans="1:14" x14ac:dyDescent="0.3">
      <c r="A44" t="s">
        <v>122</v>
      </c>
      <c r="B44" t="s">
        <v>123</v>
      </c>
      <c r="C44" s="1">
        <v>45118</v>
      </c>
      <c r="D44" s="1">
        <v>45328</v>
      </c>
      <c r="E44" t="s">
        <v>31</v>
      </c>
      <c r="F44" t="s">
        <v>25</v>
      </c>
      <c r="G44" t="s">
        <v>15</v>
      </c>
      <c r="H44" t="s">
        <v>27</v>
      </c>
      <c r="I44">
        <v>73871.520000000004</v>
      </c>
      <c r="J44" s="1">
        <v>24917</v>
      </c>
      <c r="K44" t="s">
        <v>17</v>
      </c>
      <c r="L44" s="4" t="str">
        <f>IF(RH[[#This Row],[Fecha de salida Laboral]]="","Activo","Inactivo")</f>
        <v>Inactivo</v>
      </c>
      <c r="M44" s="4">
        <f ca="1">INT((TODAY()-RH[[#This Row],[Fecha Nacimiento]])/365)</f>
        <v>57</v>
      </c>
      <c r="N44" s="4">
        <f ca="1">IF(RH[[#This Row],[Fecha de salida Laboral]]="",INT((TODAY()-RH[[#This Row],[Fecha de Ingreso laboral]])/365),INT((TODAY()-RH[[#This Row],[Fecha de salida Laboral]])/365))</f>
        <v>1</v>
      </c>
    </row>
    <row r="45" spans="1:14" x14ac:dyDescent="0.3">
      <c r="A45" t="s">
        <v>124</v>
      </c>
      <c r="B45" t="s">
        <v>125</v>
      </c>
      <c r="C45" s="1">
        <v>45225</v>
      </c>
      <c r="D45" s="1">
        <v>45619</v>
      </c>
      <c r="E45" t="s">
        <v>31</v>
      </c>
      <c r="F45" t="s">
        <v>39</v>
      </c>
      <c r="G45" t="s">
        <v>15</v>
      </c>
      <c r="H45" t="s">
        <v>27</v>
      </c>
      <c r="I45">
        <v>32059.98</v>
      </c>
      <c r="J45" s="1">
        <v>35520</v>
      </c>
      <c r="K45" t="s">
        <v>28</v>
      </c>
      <c r="L45" s="4" t="str">
        <f>IF(RH[[#This Row],[Fecha de salida Laboral]]="","Activo","Inactivo")</f>
        <v>Inactivo</v>
      </c>
      <c r="M45" s="4">
        <f ca="1">INT((TODAY()-RH[[#This Row],[Fecha Nacimiento]])/365)</f>
        <v>28</v>
      </c>
      <c r="N45" s="4">
        <f ca="1">IF(RH[[#This Row],[Fecha de salida Laboral]]="",INT((TODAY()-RH[[#This Row],[Fecha de Ingreso laboral]])/365),INT((TODAY()-RH[[#This Row],[Fecha de salida Laboral]])/365))</f>
        <v>1</v>
      </c>
    </row>
    <row r="46" spans="1:14" x14ac:dyDescent="0.3">
      <c r="A46" t="s">
        <v>126</v>
      </c>
      <c r="B46" t="s">
        <v>127</v>
      </c>
      <c r="C46" s="1">
        <v>43536</v>
      </c>
      <c r="D46" s="1">
        <v>45608</v>
      </c>
      <c r="E46" t="s">
        <v>20</v>
      </c>
      <c r="F46" t="s">
        <v>25</v>
      </c>
      <c r="G46" t="s">
        <v>88</v>
      </c>
      <c r="H46" t="s">
        <v>16</v>
      </c>
      <c r="I46">
        <v>66034.350000000006</v>
      </c>
      <c r="J46" s="1">
        <v>32409</v>
      </c>
      <c r="K46" t="s">
        <v>28</v>
      </c>
      <c r="L46" s="4" t="str">
        <f>IF(RH[[#This Row],[Fecha de salida Laboral]]="","Activo","Inactivo")</f>
        <v>Inactivo</v>
      </c>
      <c r="M46" s="4">
        <f ca="1">INT((TODAY()-RH[[#This Row],[Fecha Nacimiento]])/365)</f>
        <v>37</v>
      </c>
      <c r="N46" s="4">
        <f ca="1">IF(RH[[#This Row],[Fecha de salida Laboral]]="",INT((TODAY()-RH[[#This Row],[Fecha de Ingreso laboral]])/365),INT((TODAY()-RH[[#This Row],[Fecha de salida Laboral]])/365))</f>
        <v>1</v>
      </c>
    </row>
    <row r="47" spans="1:14" x14ac:dyDescent="0.3">
      <c r="A47" t="s">
        <v>128</v>
      </c>
      <c r="B47" t="s">
        <v>129</v>
      </c>
      <c r="C47" s="1">
        <v>44299</v>
      </c>
      <c r="D47" s="1"/>
      <c r="E47" t="s">
        <v>13</v>
      </c>
      <c r="F47" t="s">
        <v>59</v>
      </c>
      <c r="G47" t="s">
        <v>15</v>
      </c>
      <c r="H47" t="s">
        <v>16</v>
      </c>
      <c r="I47">
        <v>110141.19</v>
      </c>
      <c r="J47" s="1">
        <v>23181</v>
      </c>
      <c r="K47" t="s">
        <v>28</v>
      </c>
      <c r="L47" s="4" t="str">
        <f>IF(RH[[#This Row],[Fecha de salida Laboral]]="","Activo","Inactivo")</f>
        <v>Activo</v>
      </c>
      <c r="M47" s="4">
        <f ca="1">INT((TODAY()-RH[[#This Row],[Fecha Nacimiento]])/365)</f>
        <v>62</v>
      </c>
      <c r="N47" s="4">
        <f ca="1">IF(RH[[#This Row],[Fecha de salida Laboral]]="",INT((TODAY()-RH[[#This Row],[Fecha de Ingreso laboral]])/365),INT((TODAY()-RH[[#This Row],[Fecha de salida Laboral]])/365))</f>
        <v>4</v>
      </c>
    </row>
    <row r="48" spans="1:14" x14ac:dyDescent="0.3">
      <c r="A48" t="s">
        <v>130</v>
      </c>
      <c r="B48" t="s">
        <v>131</v>
      </c>
      <c r="C48" s="1">
        <v>43701</v>
      </c>
      <c r="D48" s="1"/>
      <c r="E48" t="s">
        <v>20</v>
      </c>
      <c r="F48" t="s">
        <v>54</v>
      </c>
      <c r="G48" t="s">
        <v>15</v>
      </c>
      <c r="H48" t="s">
        <v>27</v>
      </c>
      <c r="I48">
        <v>42883.68</v>
      </c>
      <c r="J48" s="1">
        <v>23041</v>
      </c>
      <c r="K48" t="s">
        <v>17</v>
      </c>
      <c r="L48" s="4" t="str">
        <f>IF(RH[[#This Row],[Fecha de salida Laboral]]="","Activo","Inactivo")</f>
        <v>Activo</v>
      </c>
      <c r="M48" s="4">
        <f ca="1">INT((TODAY()-RH[[#This Row],[Fecha Nacimiento]])/365)</f>
        <v>62</v>
      </c>
      <c r="N48" s="4">
        <f ca="1">IF(RH[[#This Row],[Fecha de salida Laboral]]="",INT((TODAY()-RH[[#This Row],[Fecha de Ingreso laboral]])/365),INT((TODAY()-RH[[#This Row],[Fecha de salida Laboral]])/365))</f>
        <v>6</v>
      </c>
    </row>
    <row r="49" spans="1:14" x14ac:dyDescent="0.3">
      <c r="A49" t="s">
        <v>132</v>
      </c>
      <c r="B49" t="s">
        <v>133</v>
      </c>
      <c r="C49" s="1">
        <v>44347</v>
      </c>
      <c r="D49" s="1"/>
      <c r="E49" t="s">
        <v>31</v>
      </c>
      <c r="F49" t="s">
        <v>25</v>
      </c>
      <c r="G49" t="s">
        <v>103</v>
      </c>
      <c r="H49" t="s">
        <v>27</v>
      </c>
      <c r="I49">
        <v>51404.62</v>
      </c>
      <c r="J49" s="1">
        <v>38546</v>
      </c>
      <c r="K49" t="s">
        <v>36</v>
      </c>
      <c r="L49" s="4" t="str">
        <f>IF(RH[[#This Row],[Fecha de salida Laboral]]="","Activo","Inactivo")</f>
        <v>Activo</v>
      </c>
      <c r="M49" s="4">
        <f ca="1">INT((TODAY()-RH[[#This Row],[Fecha Nacimiento]])/365)</f>
        <v>20</v>
      </c>
      <c r="N49" s="4">
        <f ca="1">IF(RH[[#This Row],[Fecha de salida Laboral]]="",INT((TODAY()-RH[[#This Row],[Fecha de Ingreso laboral]])/365),INT((TODAY()-RH[[#This Row],[Fecha de salida Laboral]])/365))</f>
        <v>4</v>
      </c>
    </row>
    <row r="50" spans="1:14" x14ac:dyDescent="0.3">
      <c r="A50" t="s">
        <v>134</v>
      </c>
      <c r="B50" t="s">
        <v>135</v>
      </c>
      <c r="C50" s="1">
        <v>45303</v>
      </c>
      <c r="D50" s="1">
        <v>45456</v>
      </c>
      <c r="E50" t="s">
        <v>13</v>
      </c>
      <c r="F50" t="s">
        <v>21</v>
      </c>
      <c r="G50" t="s">
        <v>15</v>
      </c>
      <c r="H50" t="s">
        <v>27</v>
      </c>
      <c r="I50">
        <v>43901.04</v>
      </c>
      <c r="J50" s="1">
        <v>36685</v>
      </c>
      <c r="K50" t="s">
        <v>28</v>
      </c>
      <c r="L50" s="4" t="str">
        <f>IF(RH[[#This Row],[Fecha de salida Laboral]]="","Activo","Inactivo")</f>
        <v>Inactivo</v>
      </c>
      <c r="M50" s="4">
        <f ca="1">INT((TODAY()-RH[[#This Row],[Fecha Nacimiento]])/365)</f>
        <v>25</v>
      </c>
      <c r="N50" s="4">
        <f ca="1">IF(RH[[#This Row],[Fecha de salida Laboral]]="",INT((TODAY()-RH[[#This Row],[Fecha de Ingreso laboral]])/365),INT((TODAY()-RH[[#This Row],[Fecha de salida Laboral]])/365))</f>
        <v>1</v>
      </c>
    </row>
    <row r="51" spans="1:14" x14ac:dyDescent="0.3">
      <c r="A51" t="s">
        <v>136</v>
      </c>
      <c r="B51" t="s">
        <v>137</v>
      </c>
      <c r="C51" s="1">
        <v>43476</v>
      </c>
      <c r="D51" s="1">
        <v>45612</v>
      </c>
      <c r="E51" t="s">
        <v>73</v>
      </c>
      <c r="F51" t="s">
        <v>14</v>
      </c>
      <c r="G51" t="s">
        <v>70</v>
      </c>
      <c r="H51" t="s">
        <v>16</v>
      </c>
      <c r="I51">
        <v>50177.87</v>
      </c>
      <c r="J51" s="1">
        <v>38708</v>
      </c>
      <c r="K51" t="s">
        <v>28</v>
      </c>
      <c r="L51" s="4" t="str">
        <f>IF(RH[[#This Row],[Fecha de salida Laboral]]="","Activo","Inactivo")</f>
        <v>Inactivo</v>
      </c>
      <c r="M51" s="4">
        <f ca="1">INT((TODAY()-RH[[#This Row],[Fecha Nacimiento]])/365)</f>
        <v>20</v>
      </c>
      <c r="N51" s="4">
        <f ca="1">IF(RH[[#This Row],[Fecha de salida Laboral]]="",INT((TODAY()-RH[[#This Row],[Fecha de Ingreso laboral]])/365),INT((TODAY()-RH[[#This Row],[Fecha de salida Laboral]])/365))</f>
        <v>1</v>
      </c>
    </row>
    <row r="52" spans="1:14" x14ac:dyDescent="0.3">
      <c r="A52" t="s">
        <v>138</v>
      </c>
      <c r="B52" t="s">
        <v>139</v>
      </c>
      <c r="C52" s="1">
        <v>44562</v>
      </c>
      <c r="D52" s="1">
        <v>45626</v>
      </c>
      <c r="E52" t="s">
        <v>42</v>
      </c>
      <c r="F52" t="s">
        <v>14</v>
      </c>
      <c r="G52" t="s">
        <v>15</v>
      </c>
      <c r="H52" t="s">
        <v>27</v>
      </c>
      <c r="I52">
        <v>49901.99</v>
      </c>
      <c r="J52" s="1">
        <v>24293</v>
      </c>
      <c r="K52" t="s">
        <v>36</v>
      </c>
      <c r="L52" s="4" t="str">
        <f>IF(RH[[#This Row],[Fecha de salida Laboral]]="","Activo","Inactivo")</f>
        <v>Inactivo</v>
      </c>
      <c r="M52" s="4">
        <f ca="1">INT((TODAY()-RH[[#This Row],[Fecha Nacimiento]])/365)</f>
        <v>59</v>
      </c>
      <c r="N52" s="4">
        <f ca="1">IF(RH[[#This Row],[Fecha de salida Laboral]]="",INT((TODAY()-RH[[#This Row],[Fecha de Ingreso laboral]])/365),INT((TODAY()-RH[[#This Row],[Fecha de salida Laboral]])/365))</f>
        <v>1</v>
      </c>
    </row>
    <row r="53" spans="1:14" x14ac:dyDescent="0.3">
      <c r="A53" t="s">
        <v>140</v>
      </c>
      <c r="B53" t="s">
        <v>141</v>
      </c>
      <c r="C53" s="1">
        <v>45343</v>
      </c>
      <c r="D53" s="1">
        <v>45577</v>
      </c>
      <c r="E53" t="s">
        <v>42</v>
      </c>
      <c r="F53" t="s">
        <v>54</v>
      </c>
      <c r="G53" t="s">
        <v>15</v>
      </c>
      <c r="H53" t="s">
        <v>27</v>
      </c>
      <c r="I53">
        <v>116686.66</v>
      </c>
      <c r="J53" s="1">
        <v>29176</v>
      </c>
      <c r="K53" t="s">
        <v>36</v>
      </c>
      <c r="L53" s="4" t="str">
        <f>IF(RH[[#This Row],[Fecha de salida Laboral]]="","Activo","Inactivo")</f>
        <v>Inactivo</v>
      </c>
      <c r="M53" s="4">
        <f ca="1">INT((TODAY()-RH[[#This Row],[Fecha Nacimiento]])/365)</f>
        <v>46</v>
      </c>
      <c r="N53" s="4">
        <f ca="1">IF(RH[[#This Row],[Fecha de salida Laboral]]="",INT((TODAY()-RH[[#This Row],[Fecha de Ingreso laboral]])/365),INT((TODAY()-RH[[#This Row],[Fecha de salida Laboral]])/365))</f>
        <v>1</v>
      </c>
    </row>
    <row r="54" spans="1:14" x14ac:dyDescent="0.3">
      <c r="A54" t="s">
        <v>142</v>
      </c>
      <c r="B54" t="s">
        <v>143</v>
      </c>
      <c r="C54" s="1">
        <v>43901</v>
      </c>
      <c r="D54" s="1"/>
      <c r="E54" t="s">
        <v>13</v>
      </c>
      <c r="F54" t="s">
        <v>14</v>
      </c>
      <c r="G54" t="s">
        <v>32</v>
      </c>
      <c r="H54" t="s">
        <v>27</v>
      </c>
      <c r="I54">
        <v>107564.03</v>
      </c>
      <c r="J54" s="1">
        <v>22815</v>
      </c>
      <c r="K54" t="s">
        <v>36</v>
      </c>
      <c r="L54" s="4" t="str">
        <f>IF(RH[[#This Row],[Fecha de salida Laboral]]="","Activo","Inactivo")</f>
        <v>Activo</v>
      </c>
      <c r="M54" s="4">
        <f ca="1">INT((TODAY()-RH[[#This Row],[Fecha Nacimiento]])/365)</f>
        <v>63</v>
      </c>
      <c r="N54" s="4">
        <f ca="1">IF(RH[[#This Row],[Fecha de salida Laboral]]="",INT((TODAY()-RH[[#This Row],[Fecha de Ingreso laboral]])/365),INT((TODAY()-RH[[#This Row],[Fecha de salida Laboral]])/365))</f>
        <v>5</v>
      </c>
    </row>
    <row r="55" spans="1:14" x14ac:dyDescent="0.3">
      <c r="A55" t="s">
        <v>144</v>
      </c>
      <c r="B55" t="s">
        <v>145</v>
      </c>
      <c r="C55" s="1">
        <v>44571</v>
      </c>
      <c r="D55" s="1"/>
      <c r="E55" t="s">
        <v>73</v>
      </c>
      <c r="F55" t="s">
        <v>21</v>
      </c>
      <c r="G55" t="s">
        <v>32</v>
      </c>
      <c r="H55" t="s">
        <v>27</v>
      </c>
      <c r="I55">
        <v>101948.59</v>
      </c>
      <c r="J55" s="1">
        <v>36976</v>
      </c>
      <c r="K55" t="s">
        <v>28</v>
      </c>
      <c r="L55" s="4" t="str">
        <f>IF(RH[[#This Row],[Fecha de salida Laboral]]="","Activo","Inactivo")</f>
        <v>Activo</v>
      </c>
      <c r="M55" s="4">
        <f ca="1">INT((TODAY()-RH[[#This Row],[Fecha Nacimiento]])/365)</f>
        <v>24</v>
      </c>
      <c r="N55" s="4">
        <f ca="1">IF(RH[[#This Row],[Fecha de salida Laboral]]="",INT((TODAY()-RH[[#This Row],[Fecha de Ingreso laboral]])/365),INT((TODAY()-RH[[#This Row],[Fecha de salida Laboral]])/365))</f>
        <v>3</v>
      </c>
    </row>
    <row r="56" spans="1:14" x14ac:dyDescent="0.3">
      <c r="A56" t="s">
        <v>146</v>
      </c>
      <c r="B56" t="s">
        <v>147</v>
      </c>
      <c r="C56" s="1">
        <v>44105</v>
      </c>
      <c r="D56" s="1">
        <v>45588</v>
      </c>
      <c r="E56" t="s">
        <v>73</v>
      </c>
      <c r="F56" t="s">
        <v>39</v>
      </c>
      <c r="G56" t="s">
        <v>81</v>
      </c>
      <c r="H56" t="s">
        <v>27</v>
      </c>
      <c r="I56">
        <v>115577.22</v>
      </c>
      <c r="J56" s="1">
        <v>38390</v>
      </c>
      <c r="K56" t="s">
        <v>36</v>
      </c>
      <c r="L56" s="4" t="str">
        <f>IF(RH[[#This Row],[Fecha de salida Laboral]]="","Activo","Inactivo")</f>
        <v>Inactivo</v>
      </c>
      <c r="M56" s="4">
        <f ca="1">INT((TODAY()-RH[[#This Row],[Fecha Nacimiento]])/365)</f>
        <v>20</v>
      </c>
      <c r="N56" s="4">
        <f ca="1">IF(RH[[#This Row],[Fecha de salida Laboral]]="",INT((TODAY()-RH[[#This Row],[Fecha de Ingreso laboral]])/365),INT((TODAY()-RH[[#This Row],[Fecha de salida Laboral]])/365))</f>
        <v>1</v>
      </c>
    </row>
    <row r="57" spans="1:14" x14ac:dyDescent="0.3">
      <c r="A57" t="s">
        <v>148</v>
      </c>
      <c r="B57" t="s">
        <v>149</v>
      </c>
      <c r="C57" s="1">
        <v>44304</v>
      </c>
      <c r="D57" s="1">
        <v>45339</v>
      </c>
      <c r="E57" t="s">
        <v>45</v>
      </c>
      <c r="F57" t="s">
        <v>54</v>
      </c>
      <c r="G57" t="s">
        <v>15</v>
      </c>
      <c r="H57" t="s">
        <v>16</v>
      </c>
      <c r="I57">
        <v>58958.2</v>
      </c>
      <c r="J57" s="1">
        <v>32737</v>
      </c>
      <c r="K57" t="s">
        <v>17</v>
      </c>
      <c r="L57" s="4" t="str">
        <f>IF(RH[[#This Row],[Fecha de salida Laboral]]="","Activo","Inactivo")</f>
        <v>Inactivo</v>
      </c>
      <c r="M57" s="4">
        <f ca="1">INT((TODAY()-RH[[#This Row],[Fecha Nacimiento]])/365)</f>
        <v>36</v>
      </c>
      <c r="N57" s="4">
        <f ca="1">IF(RH[[#This Row],[Fecha de salida Laboral]]="",INT((TODAY()-RH[[#This Row],[Fecha de Ingreso laboral]])/365),INT((TODAY()-RH[[#This Row],[Fecha de salida Laboral]])/365))</f>
        <v>1</v>
      </c>
    </row>
    <row r="58" spans="1:14" x14ac:dyDescent="0.3">
      <c r="A58" t="s">
        <v>150</v>
      </c>
      <c r="B58" t="s">
        <v>151</v>
      </c>
      <c r="C58" s="1">
        <v>44210</v>
      </c>
      <c r="D58" s="1"/>
      <c r="E58" t="s">
        <v>20</v>
      </c>
      <c r="F58" t="s">
        <v>39</v>
      </c>
      <c r="G58" t="s">
        <v>74</v>
      </c>
      <c r="H58" t="s">
        <v>27</v>
      </c>
      <c r="I58">
        <v>131248.63</v>
      </c>
      <c r="J58" s="1">
        <v>22188</v>
      </c>
      <c r="K58" t="s">
        <v>28</v>
      </c>
      <c r="L58" s="4" t="str">
        <f>IF(RH[[#This Row],[Fecha de salida Laboral]]="","Activo","Inactivo")</f>
        <v>Activo</v>
      </c>
      <c r="M58" s="4">
        <f ca="1">INT((TODAY()-RH[[#This Row],[Fecha Nacimiento]])/365)</f>
        <v>65</v>
      </c>
      <c r="N58" s="4">
        <f ca="1">IF(RH[[#This Row],[Fecha de salida Laboral]]="",INT((TODAY()-RH[[#This Row],[Fecha de Ingreso laboral]])/365),INT((TODAY()-RH[[#This Row],[Fecha de salida Laboral]])/365))</f>
        <v>4</v>
      </c>
    </row>
    <row r="59" spans="1:14" x14ac:dyDescent="0.3">
      <c r="A59" t="s">
        <v>152</v>
      </c>
      <c r="B59" t="s">
        <v>153</v>
      </c>
      <c r="C59" s="1">
        <v>43795</v>
      </c>
      <c r="D59" s="1"/>
      <c r="E59" t="s">
        <v>42</v>
      </c>
      <c r="F59" t="s">
        <v>21</v>
      </c>
      <c r="G59" t="s">
        <v>35</v>
      </c>
      <c r="H59" t="s">
        <v>27</v>
      </c>
      <c r="I59">
        <v>57214.04</v>
      </c>
      <c r="J59" s="1">
        <v>38801</v>
      </c>
      <c r="K59" t="s">
        <v>36</v>
      </c>
      <c r="L59" s="4" t="str">
        <f>IF(RH[[#This Row],[Fecha de salida Laboral]]="","Activo","Inactivo")</f>
        <v>Activo</v>
      </c>
      <c r="M59" s="4">
        <f ca="1">INT((TODAY()-RH[[#This Row],[Fecha Nacimiento]])/365)</f>
        <v>19</v>
      </c>
      <c r="N59" s="4">
        <f ca="1">IF(RH[[#This Row],[Fecha de salida Laboral]]="",INT((TODAY()-RH[[#This Row],[Fecha de Ingreso laboral]])/365),INT((TODAY()-RH[[#This Row],[Fecha de salida Laboral]])/365))</f>
        <v>6</v>
      </c>
    </row>
    <row r="60" spans="1:14" x14ac:dyDescent="0.3">
      <c r="A60" t="s">
        <v>154</v>
      </c>
      <c r="B60" t="s">
        <v>155</v>
      </c>
      <c r="C60" s="1">
        <v>45094</v>
      </c>
      <c r="D60" s="1">
        <v>45511</v>
      </c>
      <c r="E60" t="s">
        <v>45</v>
      </c>
      <c r="F60" t="s">
        <v>14</v>
      </c>
      <c r="G60" t="s">
        <v>35</v>
      </c>
      <c r="H60" t="s">
        <v>27</v>
      </c>
      <c r="I60">
        <v>37065.33</v>
      </c>
      <c r="J60" s="1">
        <v>22692</v>
      </c>
      <c r="K60" t="s">
        <v>28</v>
      </c>
      <c r="L60" s="4" t="str">
        <f>IF(RH[[#This Row],[Fecha de salida Laboral]]="","Activo","Inactivo")</f>
        <v>Inactivo</v>
      </c>
      <c r="M60" s="4">
        <f ca="1">INT((TODAY()-RH[[#This Row],[Fecha Nacimiento]])/365)</f>
        <v>63</v>
      </c>
      <c r="N60" s="4">
        <f ca="1">IF(RH[[#This Row],[Fecha de salida Laboral]]="",INT((TODAY()-RH[[#This Row],[Fecha de Ingreso laboral]])/365),INT((TODAY()-RH[[#This Row],[Fecha de salida Laboral]])/365))</f>
        <v>1</v>
      </c>
    </row>
    <row r="61" spans="1:14" x14ac:dyDescent="0.3">
      <c r="A61" t="s">
        <v>156</v>
      </c>
      <c r="B61" t="s">
        <v>157</v>
      </c>
      <c r="C61" s="1">
        <v>43516</v>
      </c>
      <c r="D61" s="1"/>
      <c r="E61" t="s">
        <v>31</v>
      </c>
      <c r="F61" t="s">
        <v>21</v>
      </c>
      <c r="G61" t="s">
        <v>15</v>
      </c>
      <c r="H61" t="s">
        <v>27</v>
      </c>
      <c r="I61">
        <v>114002.42</v>
      </c>
      <c r="J61" s="1">
        <v>29308</v>
      </c>
      <c r="K61" t="s">
        <v>17</v>
      </c>
      <c r="L61" s="4" t="str">
        <f>IF(RH[[#This Row],[Fecha de salida Laboral]]="","Activo","Inactivo")</f>
        <v>Activo</v>
      </c>
      <c r="M61" s="4">
        <f ca="1">INT((TODAY()-RH[[#This Row],[Fecha Nacimiento]])/365)</f>
        <v>45</v>
      </c>
      <c r="N61" s="4">
        <f ca="1">IF(RH[[#This Row],[Fecha de salida Laboral]]="",INT((TODAY()-RH[[#This Row],[Fecha de Ingreso laboral]])/365),INT((TODAY()-RH[[#This Row],[Fecha de salida Laboral]])/365))</f>
        <v>6</v>
      </c>
    </row>
    <row r="62" spans="1:14" x14ac:dyDescent="0.3">
      <c r="A62" t="s">
        <v>158</v>
      </c>
      <c r="B62" t="s">
        <v>159</v>
      </c>
      <c r="C62" s="1">
        <v>44686</v>
      </c>
      <c r="D62" s="1"/>
      <c r="E62" t="s">
        <v>13</v>
      </c>
      <c r="F62" t="s">
        <v>59</v>
      </c>
      <c r="G62" t="s">
        <v>74</v>
      </c>
      <c r="H62" t="s">
        <v>16</v>
      </c>
      <c r="I62">
        <v>123575.28</v>
      </c>
      <c r="J62" s="1">
        <v>38736</v>
      </c>
      <c r="K62" t="s">
        <v>28</v>
      </c>
      <c r="L62" s="4" t="str">
        <f>IF(RH[[#This Row],[Fecha de salida Laboral]]="","Activo","Inactivo")</f>
        <v>Activo</v>
      </c>
      <c r="M62" s="4">
        <f ca="1">INT((TODAY()-RH[[#This Row],[Fecha Nacimiento]])/365)</f>
        <v>19</v>
      </c>
      <c r="N62" s="4">
        <f ca="1">IF(RH[[#This Row],[Fecha de salida Laboral]]="",INT((TODAY()-RH[[#This Row],[Fecha de Ingreso laboral]])/365),INT((TODAY()-RH[[#This Row],[Fecha de salida Laboral]])/365))</f>
        <v>3</v>
      </c>
    </row>
    <row r="63" spans="1:14" x14ac:dyDescent="0.3">
      <c r="A63" t="s">
        <v>160</v>
      </c>
      <c r="B63" t="s">
        <v>161</v>
      </c>
      <c r="C63" s="1">
        <v>44193</v>
      </c>
      <c r="D63" s="1"/>
      <c r="E63" t="s">
        <v>13</v>
      </c>
      <c r="F63" t="s">
        <v>54</v>
      </c>
      <c r="G63" t="s">
        <v>15</v>
      </c>
      <c r="H63" t="s">
        <v>27</v>
      </c>
      <c r="I63">
        <v>82337.210000000006</v>
      </c>
      <c r="J63" s="1">
        <v>30139</v>
      </c>
      <c r="K63" t="s">
        <v>36</v>
      </c>
      <c r="L63" s="4" t="str">
        <f>IF(RH[[#This Row],[Fecha de salida Laboral]]="","Activo","Inactivo")</f>
        <v>Activo</v>
      </c>
      <c r="M63" s="4">
        <f ca="1">INT((TODAY()-RH[[#This Row],[Fecha Nacimiento]])/365)</f>
        <v>43</v>
      </c>
      <c r="N63" s="4">
        <f ca="1">IF(RH[[#This Row],[Fecha de salida Laboral]]="",INT((TODAY()-RH[[#This Row],[Fecha de Ingreso laboral]])/365),INT((TODAY()-RH[[#This Row],[Fecha de salida Laboral]])/365))</f>
        <v>5</v>
      </c>
    </row>
    <row r="64" spans="1:14" x14ac:dyDescent="0.3">
      <c r="A64" t="s">
        <v>162</v>
      </c>
      <c r="B64" t="s">
        <v>163</v>
      </c>
      <c r="C64" s="1">
        <v>43429</v>
      </c>
      <c r="D64" s="1"/>
      <c r="E64" t="s">
        <v>42</v>
      </c>
      <c r="F64" t="s">
        <v>54</v>
      </c>
      <c r="G64" t="s">
        <v>32</v>
      </c>
      <c r="H64" t="s">
        <v>16</v>
      </c>
      <c r="I64">
        <v>106793.46</v>
      </c>
      <c r="J64" s="1">
        <v>21464</v>
      </c>
      <c r="K64" t="s">
        <v>17</v>
      </c>
      <c r="L64" s="4" t="str">
        <f>IF(RH[[#This Row],[Fecha de salida Laboral]]="","Activo","Inactivo")</f>
        <v>Activo</v>
      </c>
      <c r="M64" s="4">
        <f ca="1">INT((TODAY()-RH[[#This Row],[Fecha Nacimiento]])/365)</f>
        <v>67</v>
      </c>
      <c r="N64" s="4">
        <f ca="1">IF(RH[[#This Row],[Fecha de salida Laboral]]="",INT((TODAY()-RH[[#This Row],[Fecha de Ingreso laboral]])/365),INT((TODAY()-RH[[#This Row],[Fecha de salida Laboral]])/365))</f>
        <v>7</v>
      </c>
    </row>
    <row r="65" spans="1:14" x14ac:dyDescent="0.3">
      <c r="A65" t="s">
        <v>164</v>
      </c>
      <c r="B65" t="s">
        <v>165</v>
      </c>
      <c r="C65" s="1">
        <v>44960</v>
      </c>
      <c r="D65" s="1">
        <v>45374</v>
      </c>
      <c r="E65" t="s">
        <v>13</v>
      </c>
      <c r="F65" t="s">
        <v>39</v>
      </c>
      <c r="G65" t="s">
        <v>103</v>
      </c>
      <c r="H65" t="s">
        <v>27</v>
      </c>
      <c r="I65">
        <v>141947.46</v>
      </c>
      <c r="J65" s="1">
        <v>38012</v>
      </c>
      <c r="K65" t="s">
        <v>17</v>
      </c>
      <c r="L65" s="4" t="str">
        <f>IF(RH[[#This Row],[Fecha de salida Laboral]]="","Activo","Inactivo")</f>
        <v>Inactivo</v>
      </c>
      <c r="M65" s="4">
        <f ca="1">INT((TODAY()-RH[[#This Row],[Fecha Nacimiento]])/365)</f>
        <v>21</v>
      </c>
      <c r="N65" s="4">
        <f ca="1">IF(RH[[#This Row],[Fecha de salida Laboral]]="",INT((TODAY()-RH[[#This Row],[Fecha de Ingreso laboral]])/365),INT((TODAY()-RH[[#This Row],[Fecha de salida Laboral]])/365))</f>
        <v>1</v>
      </c>
    </row>
    <row r="66" spans="1:14" x14ac:dyDescent="0.3">
      <c r="A66" t="s">
        <v>166</v>
      </c>
      <c r="B66" t="s">
        <v>167</v>
      </c>
      <c r="C66" s="1">
        <v>44122</v>
      </c>
      <c r="D66" s="1"/>
      <c r="E66" t="s">
        <v>31</v>
      </c>
      <c r="F66" t="s">
        <v>14</v>
      </c>
      <c r="G66" t="s">
        <v>81</v>
      </c>
      <c r="H66" t="s">
        <v>27</v>
      </c>
      <c r="I66">
        <v>112618.63</v>
      </c>
      <c r="J66" s="1">
        <v>23540</v>
      </c>
      <c r="K66" t="s">
        <v>36</v>
      </c>
      <c r="L66" s="4" t="str">
        <f>IF(RH[[#This Row],[Fecha de salida Laboral]]="","Activo","Inactivo")</f>
        <v>Activo</v>
      </c>
      <c r="M66" s="4">
        <f ca="1">INT((TODAY()-RH[[#This Row],[Fecha Nacimiento]])/365)</f>
        <v>61</v>
      </c>
      <c r="N66" s="4">
        <f ca="1">IF(RH[[#This Row],[Fecha de salida Laboral]]="",INT((TODAY()-RH[[#This Row],[Fecha de Ingreso laboral]])/365),INT((TODAY()-RH[[#This Row],[Fecha de salida Laboral]])/365))</f>
        <v>5</v>
      </c>
    </row>
    <row r="67" spans="1:14" x14ac:dyDescent="0.3">
      <c r="A67" t="s">
        <v>168</v>
      </c>
      <c r="B67" t="s">
        <v>169</v>
      </c>
      <c r="C67" s="1">
        <v>43684</v>
      </c>
      <c r="D67" s="1"/>
      <c r="E67" t="s">
        <v>45</v>
      </c>
      <c r="F67" t="s">
        <v>21</v>
      </c>
      <c r="G67" t="s">
        <v>26</v>
      </c>
      <c r="H67" t="s">
        <v>27</v>
      </c>
      <c r="I67">
        <v>67274.14</v>
      </c>
      <c r="J67" s="1">
        <v>34775</v>
      </c>
      <c r="K67" t="s">
        <v>28</v>
      </c>
      <c r="L67" s="4" t="str">
        <f>IF(RH[[#This Row],[Fecha de salida Laboral]]="","Activo","Inactivo")</f>
        <v>Activo</v>
      </c>
      <c r="M67" s="4">
        <f ca="1">INT((TODAY()-RH[[#This Row],[Fecha Nacimiento]])/365)</f>
        <v>30</v>
      </c>
      <c r="N67" s="4">
        <f ca="1">IF(RH[[#This Row],[Fecha de salida Laboral]]="",INT((TODAY()-RH[[#This Row],[Fecha de Ingreso laboral]])/365),INT((TODAY()-RH[[#This Row],[Fecha de salida Laboral]])/365))</f>
        <v>6</v>
      </c>
    </row>
    <row r="68" spans="1:14" x14ac:dyDescent="0.3">
      <c r="A68" t="s">
        <v>170</v>
      </c>
      <c r="B68" t="s">
        <v>171</v>
      </c>
      <c r="C68" s="1">
        <v>43755</v>
      </c>
      <c r="D68" s="1"/>
      <c r="E68" t="s">
        <v>31</v>
      </c>
      <c r="F68" t="s">
        <v>25</v>
      </c>
      <c r="G68" t="s">
        <v>22</v>
      </c>
      <c r="H68" t="s">
        <v>27</v>
      </c>
      <c r="I68">
        <v>133899.76</v>
      </c>
      <c r="J68" s="1">
        <v>33417</v>
      </c>
      <c r="K68" t="s">
        <v>28</v>
      </c>
      <c r="L68" s="4" t="str">
        <f>IF(RH[[#This Row],[Fecha de salida Laboral]]="","Activo","Inactivo")</f>
        <v>Activo</v>
      </c>
      <c r="M68" s="4">
        <f ca="1">INT((TODAY()-RH[[#This Row],[Fecha Nacimiento]])/365)</f>
        <v>34</v>
      </c>
      <c r="N68" s="4">
        <f ca="1">IF(RH[[#This Row],[Fecha de salida Laboral]]="",INT((TODAY()-RH[[#This Row],[Fecha de Ingreso laboral]])/365),INT((TODAY()-RH[[#This Row],[Fecha de salida Laboral]])/365))</f>
        <v>6</v>
      </c>
    </row>
    <row r="69" spans="1:14" x14ac:dyDescent="0.3">
      <c r="A69" t="s">
        <v>172</v>
      </c>
      <c r="B69" t="s">
        <v>173</v>
      </c>
      <c r="C69" s="1">
        <v>43898</v>
      </c>
      <c r="D69" s="1">
        <v>45566</v>
      </c>
      <c r="E69" t="s">
        <v>45</v>
      </c>
      <c r="F69" t="s">
        <v>21</v>
      </c>
      <c r="G69" t="s">
        <v>32</v>
      </c>
      <c r="H69" t="s">
        <v>16</v>
      </c>
      <c r="I69">
        <v>141277.67000000001</v>
      </c>
      <c r="J69" s="1">
        <v>36418</v>
      </c>
      <c r="K69" t="s">
        <v>28</v>
      </c>
      <c r="L69" s="4" t="str">
        <f>IF(RH[[#This Row],[Fecha de salida Laboral]]="","Activo","Inactivo")</f>
        <v>Inactivo</v>
      </c>
      <c r="M69" s="4">
        <f ca="1">INT((TODAY()-RH[[#This Row],[Fecha Nacimiento]])/365)</f>
        <v>26</v>
      </c>
      <c r="N69" s="4">
        <f ca="1">IF(RH[[#This Row],[Fecha de salida Laboral]]="",INT((TODAY()-RH[[#This Row],[Fecha de Ingreso laboral]])/365),INT((TODAY()-RH[[#This Row],[Fecha de salida Laboral]])/365))</f>
        <v>1</v>
      </c>
    </row>
    <row r="70" spans="1:14" x14ac:dyDescent="0.3">
      <c r="A70" t="s">
        <v>174</v>
      </c>
      <c r="B70" t="s">
        <v>175</v>
      </c>
      <c r="C70" s="1">
        <v>43989</v>
      </c>
      <c r="D70" s="1">
        <v>45578</v>
      </c>
      <c r="E70" t="s">
        <v>31</v>
      </c>
      <c r="F70" t="s">
        <v>21</v>
      </c>
      <c r="G70" t="s">
        <v>22</v>
      </c>
      <c r="H70" t="s">
        <v>16</v>
      </c>
      <c r="I70">
        <v>56963.7</v>
      </c>
      <c r="J70" s="1">
        <v>32640</v>
      </c>
      <c r="K70" t="s">
        <v>17</v>
      </c>
      <c r="L70" s="4" t="str">
        <f>IF(RH[[#This Row],[Fecha de salida Laboral]]="","Activo","Inactivo")</f>
        <v>Inactivo</v>
      </c>
      <c r="M70" s="4">
        <f ca="1">INT((TODAY()-RH[[#This Row],[Fecha Nacimiento]])/365)</f>
        <v>36</v>
      </c>
      <c r="N70" s="4">
        <f ca="1">IF(RH[[#This Row],[Fecha de salida Laboral]]="",INT((TODAY()-RH[[#This Row],[Fecha de Ingreso laboral]])/365),INT((TODAY()-RH[[#This Row],[Fecha de salida Laboral]])/365))</f>
        <v>1</v>
      </c>
    </row>
    <row r="71" spans="1:14" x14ac:dyDescent="0.3">
      <c r="A71" t="s">
        <v>176</v>
      </c>
      <c r="B71" t="s">
        <v>177</v>
      </c>
      <c r="C71" s="1">
        <v>45357</v>
      </c>
      <c r="D71" s="1">
        <v>45416</v>
      </c>
      <c r="E71" t="s">
        <v>45</v>
      </c>
      <c r="F71" t="s">
        <v>21</v>
      </c>
      <c r="G71" t="s">
        <v>74</v>
      </c>
      <c r="H71" t="s">
        <v>27</v>
      </c>
      <c r="I71">
        <v>76725.14</v>
      </c>
      <c r="J71" s="1">
        <v>26272</v>
      </c>
      <c r="K71" t="s">
        <v>36</v>
      </c>
      <c r="L71" s="4" t="str">
        <f>IF(RH[[#This Row],[Fecha de salida Laboral]]="","Activo","Inactivo")</f>
        <v>Inactivo</v>
      </c>
      <c r="M71" s="4">
        <f ca="1">INT((TODAY()-RH[[#This Row],[Fecha Nacimiento]])/365)</f>
        <v>54</v>
      </c>
      <c r="N71" s="4">
        <f ca="1">IF(RH[[#This Row],[Fecha de salida Laboral]]="",INT((TODAY()-RH[[#This Row],[Fecha de Ingreso laboral]])/365),INT((TODAY()-RH[[#This Row],[Fecha de salida Laboral]])/365))</f>
        <v>1</v>
      </c>
    </row>
    <row r="72" spans="1:14" x14ac:dyDescent="0.3">
      <c r="A72" t="s">
        <v>178</v>
      </c>
      <c r="B72" t="s">
        <v>179</v>
      </c>
      <c r="C72" s="1">
        <v>45416</v>
      </c>
      <c r="D72" s="1">
        <v>45574</v>
      </c>
      <c r="E72" t="s">
        <v>45</v>
      </c>
      <c r="F72" t="s">
        <v>25</v>
      </c>
      <c r="G72" t="s">
        <v>88</v>
      </c>
      <c r="H72" t="s">
        <v>27</v>
      </c>
      <c r="I72">
        <v>141627.12</v>
      </c>
      <c r="J72" s="1">
        <v>30771</v>
      </c>
      <c r="K72" t="s">
        <v>17</v>
      </c>
      <c r="L72" s="4" t="str">
        <f>IF(RH[[#This Row],[Fecha de salida Laboral]]="","Activo","Inactivo")</f>
        <v>Inactivo</v>
      </c>
      <c r="M72" s="4">
        <f ca="1">INT((TODAY()-RH[[#This Row],[Fecha Nacimiento]])/365)</f>
        <v>41</v>
      </c>
      <c r="N72" s="4">
        <f ca="1">IF(RH[[#This Row],[Fecha de salida Laboral]]="",INT((TODAY()-RH[[#This Row],[Fecha de Ingreso laboral]])/365),INT((TODAY()-RH[[#This Row],[Fecha de salida Laboral]])/365))</f>
        <v>1</v>
      </c>
    </row>
    <row r="73" spans="1:14" x14ac:dyDescent="0.3">
      <c r="A73" t="s">
        <v>180</v>
      </c>
      <c r="B73" t="s">
        <v>181</v>
      </c>
      <c r="C73" s="1">
        <v>44882</v>
      </c>
      <c r="D73" s="1"/>
      <c r="E73" t="s">
        <v>42</v>
      </c>
      <c r="F73" t="s">
        <v>25</v>
      </c>
      <c r="G73" t="s">
        <v>70</v>
      </c>
      <c r="H73" t="s">
        <v>27</v>
      </c>
      <c r="I73">
        <v>128599.84</v>
      </c>
      <c r="J73" s="1">
        <v>26303</v>
      </c>
      <c r="K73" t="s">
        <v>36</v>
      </c>
      <c r="L73" s="4" t="str">
        <f>IF(RH[[#This Row],[Fecha de salida Laboral]]="","Activo","Inactivo")</f>
        <v>Activo</v>
      </c>
      <c r="M73" s="4">
        <f ca="1">INT((TODAY()-RH[[#This Row],[Fecha Nacimiento]])/365)</f>
        <v>54</v>
      </c>
      <c r="N73" s="4">
        <f ca="1">IF(RH[[#This Row],[Fecha de salida Laboral]]="",INT((TODAY()-RH[[#This Row],[Fecha de Ingreso laboral]])/365),INT((TODAY()-RH[[#This Row],[Fecha de salida Laboral]])/365))</f>
        <v>3</v>
      </c>
    </row>
    <row r="74" spans="1:14" x14ac:dyDescent="0.3">
      <c r="A74" t="s">
        <v>182</v>
      </c>
      <c r="B74" t="s">
        <v>183</v>
      </c>
      <c r="C74" s="1">
        <v>44249</v>
      </c>
      <c r="D74" s="1"/>
      <c r="E74" t="s">
        <v>42</v>
      </c>
      <c r="F74" t="s">
        <v>14</v>
      </c>
      <c r="G74" t="s">
        <v>32</v>
      </c>
      <c r="H74" t="s">
        <v>27</v>
      </c>
      <c r="I74">
        <v>98704.639999999999</v>
      </c>
      <c r="J74" s="1">
        <v>26804</v>
      </c>
      <c r="K74" t="s">
        <v>17</v>
      </c>
      <c r="L74" s="4" t="str">
        <f>IF(RH[[#This Row],[Fecha de salida Laboral]]="","Activo","Inactivo")</f>
        <v>Activo</v>
      </c>
      <c r="M74" s="4">
        <f ca="1">INT((TODAY()-RH[[#This Row],[Fecha Nacimiento]])/365)</f>
        <v>52</v>
      </c>
      <c r="N74" s="4">
        <f ca="1">IF(RH[[#This Row],[Fecha de salida Laboral]]="",INT((TODAY()-RH[[#This Row],[Fecha de Ingreso laboral]])/365),INT((TODAY()-RH[[#This Row],[Fecha de salida Laboral]])/365))</f>
        <v>4</v>
      </c>
    </row>
    <row r="75" spans="1:14" x14ac:dyDescent="0.3">
      <c r="A75" t="s">
        <v>184</v>
      </c>
      <c r="B75" t="s">
        <v>185</v>
      </c>
      <c r="C75" s="1">
        <v>44671</v>
      </c>
      <c r="D75" s="1">
        <v>45356</v>
      </c>
      <c r="E75" t="s">
        <v>73</v>
      </c>
      <c r="F75" t="s">
        <v>54</v>
      </c>
      <c r="G75" t="s">
        <v>15</v>
      </c>
      <c r="H75" t="s">
        <v>27</v>
      </c>
      <c r="I75">
        <v>72038.89</v>
      </c>
      <c r="J75" s="1">
        <v>35769</v>
      </c>
      <c r="K75" t="s">
        <v>17</v>
      </c>
      <c r="L75" s="4" t="str">
        <f>IF(RH[[#This Row],[Fecha de salida Laboral]]="","Activo","Inactivo")</f>
        <v>Inactivo</v>
      </c>
      <c r="M75" s="4">
        <f ca="1">INT((TODAY()-RH[[#This Row],[Fecha Nacimiento]])/365)</f>
        <v>28</v>
      </c>
      <c r="N75" s="4">
        <f ca="1">IF(RH[[#This Row],[Fecha de salida Laboral]]="",INT((TODAY()-RH[[#This Row],[Fecha de Ingreso laboral]])/365),INT((TODAY()-RH[[#This Row],[Fecha de salida Laboral]])/365))</f>
        <v>1</v>
      </c>
    </row>
    <row r="76" spans="1:14" x14ac:dyDescent="0.3">
      <c r="A76" t="s">
        <v>186</v>
      </c>
      <c r="B76" t="s">
        <v>187</v>
      </c>
      <c r="C76" s="1">
        <v>44142</v>
      </c>
      <c r="D76" s="1">
        <v>45602</v>
      </c>
      <c r="E76" t="s">
        <v>13</v>
      </c>
      <c r="F76" t="s">
        <v>54</v>
      </c>
      <c r="G76" t="s">
        <v>35</v>
      </c>
      <c r="H76" t="s">
        <v>27</v>
      </c>
      <c r="I76">
        <v>46482.68</v>
      </c>
      <c r="J76" s="1">
        <v>28595</v>
      </c>
      <c r="K76" t="s">
        <v>36</v>
      </c>
      <c r="L76" s="4" t="str">
        <f>IF(RH[[#This Row],[Fecha de salida Laboral]]="","Activo","Inactivo")</f>
        <v>Inactivo</v>
      </c>
      <c r="M76" s="4">
        <f ca="1">INT((TODAY()-RH[[#This Row],[Fecha Nacimiento]])/365)</f>
        <v>47</v>
      </c>
      <c r="N76" s="4">
        <f ca="1">IF(RH[[#This Row],[Fecha de salida Laboral]]="",INT((TODAY()-RH[[#This Row],[Fecha de Ingreso laboral]])/365),INT((TODAY()-RH[[#This Row],[Fecha de salida Laboral]])/365))</f>
        <v>1</v>
      </c>
    </row>
    <row r="77" spans="1:14" x14ac:dyDescent="0.3">
      <c r="A77" t="s">
        <v>188</v>
      </c>
      <c r="B77" t="s">
        <v>189</v>
      </c>
      <c r="C77" s="1">
        <v>43375</v>
      </c>
      <c r="D77" s="1"/>
      <c r="E77" t="s">
        <v>13</v>
      </c>
      <c r="F77" t="s">
        <v>21</v>
      </c>
      <c r="G77" t="s">
        <v>70</v>
      </c>
      <c r="H77" t="s">
        <v>16</v>
      </c>
      <c r="I77">
        <v>87311.41</v>
      </c>
      <c r="J77" s="1">
        <v>33689</v>
      </c>
      <c r="K77" t="s">
        <v>36</v>
      </c>
      <c r="L77" s="4" t="str">
        <f>IF(RH[[#This Row],[Fecha de salida Laboral]]="","Activo","Inactivo")</f>
        <v>Activo</v>
      </c>
      <c r="M77" s="4">
        <f ca="1">INT((TODAY()-RH[[#This Row],[Fecha Nacimiento]])/365)</f>
        <v>33</v>
      </c>
      <c r="N77" s="4">
        <f ca="1">IF(RH[[#This Row],[Fecha de salida Laboral]]="",INT((TODAY()-RH[[#This Row],[Fecha de Ingreso laboral]])/365),INT((TODAY()-RH[[#This Row],[Fecha de salida Laboral]])/365))</f>
        <v>7</v>
      </c>
    </row>
    <row r="78" spans="1:14" x14ac:dyDescent="0.3">
      <c r="A78" t="s">
        <v>190</v>
      </c>
      <c r="B78" t="s">
        <v>191</v>
      </c>
      <c r="C78" s="1">
        <v>45410</v>
      </c>
      <c r="D78" s="1"/>
      <c r="E78" t="s">
        <v>42</v>
      </c>
      <c r="F78" t="s">
        <v>25</v>
      </c>
      <c r="G78" t="s">
        <v>32</v>
      </c>
      <c r="H78" t="s">
        <v>27</v>
      </c>
      <c r="I78">
        <v>42519.02</v>
      </c>
      <c r="J78" s="1">
        <v>21516</v>
      </c>
      <c r="K78" t="s">
        <v>17</v>
      </c>
      <c r="L78" s="4" t="str">
        <f>IF(RH[[#This Row],[Fecha de salida Laboral]]="","Activo","Inactivo")</f>
        <v>Activo</v>
      </c>
      <c r="M78" s="4">
        <f ca="1">INT((TODAY()-RH[[#This Row],[Fecha Nacimiento]])/365)</f>
        <v>67</v>
      </c>
      <c r="N78" s="4">
        <f ca="1">IF(RH[[#This Row],[Fecha de salida Laboral]]="",INT((TODAY()-RH[[#This Row],[Fecha de Ingreso laboral]])/365),INT((TODAY()-RH[[#This Row],[Fecha de salida Laboral]])/365))</f>
        <v>1</v>
      </c>
    </row>
    <row r="79" spans="1:14" x14ac:dyDescent="0.3">
      <c r="A79" t="s">
        <v>192</v>
      </c>
      <c r="B79" t="s">
        <v>193</v>
      </c>
      <c r="C79" s="1">
        <v>44344</v>
      </c>
      <c r="D79" s="1"/>
      <c r="E79" t="s">
        <v>13</v>
      </c>
      <c r="F79" t="s">
        <v>39</v>
      </c>
      <c r="G79" t="s">
        <v>32</v>
      </c>
      <c r="H79" t="s">
        <v>16</v>
      </c>
      <c r="I79">
        <v>76042.3</v>
      </c>
      <c r="J79" s="1">
        <v>34115</v>
      </c>
      <c r="K79" t="s">
        <v>28</v>
      </c>
      <c r="L79" s="4" t="str">
        <f>IF(RH[[#This Row],[Fecha de salida Laboral]]="","Activo","Inactivo")</f>
        <v>Activo</v>
      </c>
      <c r="M79" s="4">
        <f ca="1">INT((TODAY()-RH[[#This Row],[Fecha Nacimiento]])/365)</f>
        <v>32</v>
      </c>
      <c r="N79" s="4">
        <f ca="1">IF(RH[[#This Row],[Fecha de salida Laboral]]="",INT((TODAY()-RH[[#This Row],[Fecha de Ingreso laboral]])/365),INT((TODAY()-RH[[#This Row],[Fecha de salida Laboral]])/365))</f>
        <v>4</v>
      </c>
    </row>
    <row r="80" spans="1:14" x14ac:dyDescent="0.3">
      <c r="A80" t="s">
        <v>194</v>
      </c>
      <c r="B80" t="s">
        <v>195</v>
      </c>
      <c r="C80" s="1">
        <v>43936</v>
      </c>
      <c r="D80" s="1">
        <v>45457</v>
      </c>
      <c r="E80" t="s">
        <v>73</v>
      </c>
      <c r="F80" t="s">
        <v>25</v>
      </c>
      <c r="G80" t="s">
        <v>26</v>
      </c>
      <c r="H80" t="s">
        <v>27</v>
      </c>
      <c r="I80">
        <v>84294.6</v>
      </c>
      <c r="J80" s="1">
        <v>37452</v>
      </c>
      <c r="K80" t="s">
        <v>17</v>
      </c>
      <c r="L80" s="4" t="str">
        <f>IF(RH[[#This Row],[Fecha de salida Laboral]]="","Activo","Inactivo")</f>
        <v>Inactivo</v>
      </c>
      <c r="M80" s="4">
        <f ca="1">INT((TODAY()-RH[[#This Row],[Fecha Nacimiento]])/365)</f>
        <v>23</v>
      </c>
      <c r="N80" s="4">
        <f ca="1">IF(RH[[#This Row],[Fecha de salida Laboral]]="",INT((TODAY()-RH[[#This Row],[Fecha de Ingreso laboral]])/365),INT((TODAY()-RH[[#This Row],[Fecha de salida Laboral]])/365))</f>
        <v>1</v>
      </c>
    </row>
    <row r="81" spans="1:14" x14ac:dyDescent="0.3">
      <c r="A81" t="s">
        <v>196</v>
      </c>
      <c r="B81" t="s">
        <v>197</v>
      </c>
      <c r="C81" s="1">
        <v>43401</v>
      </c>
      <c r="D81" s="1">
        <v>45317</v>
      </c>
      <c r="E81" t="s">
        <v>73</v>
      </c>
      <c r="F81" t="s">
        <v>39</v>
      </c>
      <c r="G81" t="s">
        <v>35</v>
      </c>
      <c r="H81" t="s">
        <v>27</v>
      </c>
      <c r="I81">
        <v>51982.29</v>
      </c>
      <c r="J81" s="1">
        <v>24800</v>
      </c>
      <c r="K81" t="s">
        <v>28</v>
      </c>
      <c r="L81" s="4" t="str">
        <f>IF(RH[[#This Row],[Fecha de salida Laboral]]="","Activo","Inactivo")</f>
        <v>Inactivo</v>
      </c>
      <c r="M81" s="4">
        <f ca="1">INT((TODAY()-RH[[#This Row],[Fecha Nacimiento]])/365)</f>
        <v>58</v>
      </c>
      <c r="N81" s="4">
        <f ca="1">IF(RH[[#This Row],[Fecha de salida Laboral]]="",INT((TODAY()-RH[[#This Row],[Fecha de Ingreso laboral]])/365),INT((TODAY()-RH[[#This Row],[Fecha de salida Laboral]])/365))</f>
        <v>1</v>
      </c>
    </row>
    <row r="82" spans="1:14" x14ac:dyDescent="0.3">
      <c r="A82" t="s">
        <v>198</v>
      </c>
      <c r="B82" t="s">
        <v>199</v>
      </c>
      <c r="C82" s="1">
        <v>44096</v>
      </c>
      <c r="D82" s="1"/>
      <c r="E82" t="s">
        <v>45</v>
      </c>
      <c r="F82" t="s">
        <v>21</v>
      </c>
      <c r="G82" t="s">
        <v>88</v>
      </c>
      <c r="H82" t="s">
        <v>27</v>
      </c>
      <c r="I82">
        <v>123840.5</v>
      </c>
      <c r="J82" s="1">
        <v>35011</v>
      </c>
      <c r="K82" t="s">
        <v>36</v>
      </c>
      <c r="L82" s="4" t="str">
        <f>IF(RH[[#This Row],[Fecha de salida Laboral]]="","Activo","Inactivo")</f>
        <v>Activo</v>
      </c>
      <c r="M82" s="4">
        <f ca="1">INT((TODAY()-RH[[#This Row],[Fecha Nacimiento]])/365)</f>
        <v>30</v>
      </c>
      <c r="N82" s="4">
        <f ca="1">IF(RH[[#This Row],[Fecha de salida Laboral]]="",INT((TODAY()-RH[[#This Row],[Fecha de Ingreso laboral]])/365),INT((TODAY()-RH[[#This Row],[Fecha de salida Laboral]])/365))</f>
        <v>5</v>
      </c>
    </row>
    <row r="83" spans="1:14" x14ac:dyDescent="0.3">
      <c r="A83" t="s">
        <v>200</v>
      </c>
      <c r="B83" t="s">
        <v>201</v>
      </c>
      <c r="C83" s="1">
        <v>44700</v>
      </c>
      <c r="D83" s="1">
        <v>45326</v>
      </c>
      <c r="E83" t="s">
        <v>31</v>
      </c>
      <c r="F83" t="s">
        <v>25</v>
      </c>
      <c r="G83" t="s">
        <v>88</v>
      </c>
      <c r="H83" t="s">
        <v>27</v>
      </c>
      <c r="I83">
        <v>71795.199999999997</v>
      </c>
      <c r="J83" s="1">
        <v>30376</v>
      </c>
      <c r="K83" t="s">
        <v>17</v>
      </c>
      <c r="L83" s="4" t="str">
        <f>IF(RH[[#This Row],[Fecha de salida Laboral]]="","Activo","Inactivo")</f>
        <v>Inactivo</v>
      </c>
      <c r="M83" s="4">
        <f ca="1">INT((TODAY()-RH[[#This Row],[Fecha Nacimiento]])/365)</f>
        <v>42</v>
      </c>
      <c r="N83" s="4">
        <f ca="1">IF(RH[[#This Row],[Fecha de salida Laboral]]="",INT((TODAY()-RH[[#This Row],[Fecha de Ingreso laboral]])/365),INT((TODAY()-RH[[#This Row],[Fecha de salida Laboral]])/365))</f>
        <v>1</v>
      </c>
    </row>
    <row r="84" spans="1:14" x14ac:dyDescent="0.3">
      <c r="A84" t="s">
        <v>202</v>
      </c>
      <c r="B84" t="s">
        <v>203</v>
      </c>
      <c r="C84" s="1">
        <v>43890</v>
      </c>
      <c r="D84" s="1">
        <v>45568</v>
      </c>
      <c r="E84" t="s">
        <v>45</v>
      </c>
      <c r="F84" t="s">
        <v>25</v>
      </c>
      <c r="G84" t="s">
        <v>81</v>
      </c>
      <c r="H84" t="s">
        <v>27</v>
      </c>
      <c r="I84">
        <v>128581.93</v>
      </c>
      <c r="J84" s="1">
        <v>35811</v>
      </c>
      <c r="K84" t="s">
        <v>17</v>
      </c>
      <c r="L84" s="4" t="str">
        <f>IF(RH[[#This Row],[Fecha de salida Laboral]]="","Activo","Inactivo")</f>
        <v>Inactivo</v>
      </c>
      <c r="M84" s="4">
        <f ca="1">INT((TODAY()-RH[[#This Row],[Fecha Nacimiento]])/365)</f>
        <v>27</v>
      </c>
      <c r="N84" s="4">
        <f ca="1">IF(RH[[#This Row],[Fecha de salida Laboral]]="",INT((TODAY()-RH[[#This Row],[Fecha de Ingreso laboral]])/365),INT((TODAY()-RH[[#This Row],[Fecha de salida Laboral]])/365))</f>
        <v>1</v>
      </c>
    </row>
    <row r="85" spans="1:14" x14ac:dyDescent="0.3">
      <c r="A85" t="s">
        <v>204</v>
      </c>
      <c r="B85" t="s">
        <v>205</v>
      </c>
      <c r="C85" s="1">
        <v>44348</v>
      </c>
      <c r="D85" s="1"/>
      <c r="E85" t="s">
        <v>45</v>
      </c>
      <c r="F85" t="s">
        <v>39</v>
      </c>
      <c r="G85" t="s">
        <v>26</v>
      </c>
      <c r="H85" t="s">
        <v>27</v>
      </c>
      <c r="I85">
        <v>122390.36</v>
      </c>
      <c r="J85" s="1">
        <v>25451</v>
      </c>
      <c r="K85" t="s">
        <v>17</v>
      </c>
      <c r="L85" s="4" t="str">
        <f>IF(RH[[#This Row],[Fecha de salida Laboral]]="","Activo","Inactivo")</f>
        <v>Activo</v>
      </c>
      <c r="M85" s="4">
        <f ca="1">INT((TODAY()-RH[[#This Row],[Fecha Nacimiento]])/365)</f>
        <v>56</v>
      </c>
      <c r="N85" s="4">
        <f ca="1">IF(RH[[#This Row],[Fecha de salida Laboral]]="",INT((TODAY()-RH[[#This Row],[Fecha de Ingreso laboral]])/365),INT((TODAY()-RH[[#This Row],[Fecha de salida Laboral]])/365))</f>
        <v>4</v>
      </c>
    </row>
    <row r="86" spans="1:14" x14ac:dyDescent="0.3">
      <c r="A86" t="s">
        <v>206</v>
      </c>
      <c r="B86" t="s">
        <v>207</v>
      </c>
      <c r="C86" s="1">
        <v>44624</v>
      </c>
      <c r="D86" s="1">
        <v>45563</v>
      </c>
      <c r="E86" t="s">
        <v>42</v>
      </c>
      <c r="F86" t="s">
        <v>54</v>
      </c>
      <c r="G86" t="s">
        <v>74</v>
      </c>
      <c r="H86" t="s">
        <v>27</v>
      </c>
      <c r="I86">
        <v>80263.899999999994</v>
      </c>
      <c r="J86" s="1">
        <v>28198</v>
      </c>
      <c r="K86" t="s">
        <v>17</v>
      </c>
      <c r="L86" s="4" t="str">
        <f>IF(RH[[#This Row],[Fecha de salida Laboral]]="","Activo","Inactivo")</f>
        <v>Inactivo</v>
      </c>
      <c r="M86" s="4">
        <f ca="1">INT((TODAY()-RH[[#This Row],[Fecha Nacimiento]])/365)</f>
        <v>48</v>
      </c>
      <c r="N86" s="4">
        <f ca="1">IF(RH[[#This Row],[Fecha de salida Laboral]]="",INT((TODAY()-RH[[#This Row],[Fecha de Ingreso laboral]])/365),INT((TODAY()-RH[[#This Row],[Fecha de salida Laboral]])/365))</f>
        <v>1</v>
      </c>
    </row>
    <row r="87" spans="1:14" x14ac:dyDescent="0.3">
      <c r="A87" t="s">
        <v>208</v>
      </c>
      <c r="B87" t="s">
        <v>209</v>
      </c>
      <c r="C87" s="1">
        <v>45235</v>
      </c>
      <c r="D87" s="1">
        <v>45422</v>
      </c>
      <c r="E87" t="s">
        <v>45</v>
      </c>
      <c r="F87" t="s">
        <v>59</v>
      </c>
      <c r="G87" t="s">
        <v>81</v>
      </c>
      <c r="H87" t="s">
        <v>27</v>
      </c>
      <c r="I87">
        <v>55587.07</v>
      </c>
      <c r="J87" s="1">
        <v>25514</v>
      </c>
      <c r="K87" t="s">
        <v>36</v>
      </c>
      <c r="L87" s="4" t="str">
        <f>IF(RH[[#This Row],[Fecha de salida Laboral]]="","Activo","Inactivo")</f>
        <v>Inactivo</v>
      </c>
      <c r="M87" s="4">
        <f ca="1">INT((TODAY()-RH[[#This Row],[Fecha Nacimiento]])/365)</f>
        <v>56</v>
      </c>
      <c r="N87" s="4">
        <f ca="1">IF(RH[[#This Row],[Fecha de salida Laboral]]="",INT((TODAY()-RH[[#This Row],[Fecha de Ingreso laboral]])/365),INT((TODAY()-RH[[#This Row],[Fecha de salida Laboral]])/365))</f>
        <v>1</v>
      </c>
    </row>
    <row r="88" spans="1:14" x14ac:dyDescent="0.3">
      <c r="A88" t="s">
        <v>210</v>
      </c>
      <c r="B88" t="s">
        <v>211</v>
      </c>
      <c r="C88" s="1">
        <v>45119</v>
      </c>
      <c r="D88" s="1">
        <v>45460</v>
      </c>
      <c r="E88" t="s">
        <v>45</v>
      </c>
      <c r="F88" t="s">
        <v>21</v>
      </c>
      <c r="G88" t="s">
        <v>103</v>
      </c>
      <c r="H88" t="s">
        <v>27</v>
      </c>
      <c r="I88">
        <v>49529.07</v>
      </c>
      <c r="J88" s="1">
        <v>24635</v>
      </c>
      <c r="K88" t="s">
        <v>36</v>
      </c>
      <c r="L88" s="4" t="str">
        <f>IF(RH[[#This Row],[Fecha de salida Laboral]]="","Activo","Inactivo")</f>
        <v>Inactivo</v>
      </c>
      <c r="M88" s="4">
        <f ca="1">INT((TODAY()-RH[[#This Row],[Fecha Nacimiento]])/365)</f>
        <v>58</v>
      </c>
      <c r="N88" s="4">
        <f ca="1">IF(RH[[#This Row],[Fecha de salida Laboral]]="",INT((TODAY()-RH[[#This Row],[Fecha de Ingreso laboral]])/365),INT((TODAY()-RH[[#This Row],[Fecha de salida Laboral]])/365))</f>
        <v>1</v>
      </c>
    </row>
    <row r="89" spans="1:14" x14ac:dyDescent="0.3">
      <c r="A89" t="s">
        <v>212</v>
      </c>
      <c r="B89" t="s">
        <v>213</v>
      </c>
      <c r="C89" s="1">
        <v>43520</v>
      </c>
      <c r="D89" s="1"/>
      <c r="E89" t="s">
        <v>31</v>
      </c>
      <c r="F89" t="s">
        <v>39</v>
      </c>
      <c r="G89" t="s">
        <v>81</v>
      </c>
      <c r="H89" t="s">
        <v>27</v>
      </c>
      <c r="I89">
        <v>52161.2</v>
      </c>
      <c r="J89" s="1">
        <v>27428</v>
      </c>
      <c r="K89" t="s">
        <v>36</v>
      </c>
      <c r="L89" s="4" t="str">
        <f>IF(RH[[#This Row],[Fecha de salida Laboral]]="","Activo","Inactivo")</f>
        <v>Activo</v>
      </c>
      <c r="M89" s="4">
        <f ca="1">INT((TODAY()-RH[[#This Row],[Fecha Nacimiento]])/365)</f>
        <v>50</v>
      </c>
      <c r="N89" s="4">
        <f ca="1">IF(RH[[#This Row],[Fecha de salida Laboral]]="",INT((TODAY()-RH[[#This Row],[Fecha de Ingreso laboral]])/365),INT((TODAY()-RH[[#This Row],[Fecha de salida Laboral]])/365))</f>
        <v>6</v>
      </c>
    </row>
    <row r="90" spans="1:14" x14ac:dyDescent="0.3">
      <c r="A90" t="s">
        <v>214</v>
      </c>
      <c r="B90" t="s">
        <v>215</v>
      </c>
      <c r="C90" s="1">
        <v>43421</v>
      </c>
      <c r="D90" s="1">
        <v>45486</v>
      </c>
      <c r="E90" t="s">
        <v>20</v>
      </c>
      <c r="F90" t="s">
        <v>39</v>
      </c>
      <c r="G90" t="s">
        <v>32</v>
      </c>
      <c r="H90" t="s">
        <v>16</v>
      </c>
      <c r="I90">
        <v>139500.69</v>
      </c>
      <c r="J90" s="1">
        <v>30640</v>
      </c>
      <c r="K90" t="s">
        <v>36</v>
      </c>
      <c r="L90" s="4" t="str">
        <f>IF(RH[[#This Row],[Fecha de salida Laboral]]="","Activo","Inactivo")</f>
        <v>Inactivo</v>
      </c>
      <c r="M90" s="4">
        <f ca="1">INT((TODAY()-RH[[#This Row],[Fecha Nacimiento]])/365)</f>
        <v>42</v>
      </c>
      <c r="N90" s="4">
        <f ca="1">IF(RH[[#This Row],[Fecha de salida Laboral]]="",INT((TODAY()-RH[[#This Row],[Fecha de Ingreso laboral]])/365),INT((TODAY()-RH[[#This Row],[Fecha de salida Laboral]])/365))</f>
        <v>1</v>
      </c>
    </row>
    <row r="91" spans="1:14" x14ac:dyDescent="0.3">
      <c r="A91" t="s">
        <v>216</v>
      </c>
      <c r="B91" t="s">
        <v>217</v>
      </c>
      <c r="C91" s="1">
        <v>45436</v>
      </c>
      <c r="D91" s="1">
        <v>45334</v>
      </c>
      <c r="E91" t="s">
        <v>20</v>
      </c>
      <c r="F91" t="s">
        <v>14</v>
      </c>
      <c r="G91" t="s">
        <v>15</v>
      </c>
      <c r="H91" t="s">
        <v>27</v>
      </c>
      <c r="I91">
        <v>114296.59</v>
      </c>
      <c r="J91" s="1">
        <v>31890</v>
      </c>
      <c r="K91" t="s">
        <v>17</v>
      </c>
      <c r="L91" s="4" t="str">
        <f>IF(RH[[#This Row],[Fecha de salida Laboral]]="","Activo","Inactivo")</f>
        <v>Inactivo</v>
      </c>
      <c r="M91" s="4">
        <f ca="1">INT((TODAY()-RH[[#This Row],[Fecha Nacimiento]])/365)</f>
        <v>38</v>
      </c>
      <c r="N91" s="4">
        <f ca="1">IF(RH[[#This Row],[Fecha de salida Laboral]]="",INT((TODAY()-RH[[#This Row],[Fecha de Ingreso laboral]])/365),INT((TODAY()-RH[[#This Row],[Fecha de salida Laboral]])/365))</f>
        <v>1</v>
      </c>
    </row>
    <row r="92" spans="1:14" x14ac:dyDescent="0.3">
      <c r="A92" t="s">
        <v>218</v>
      </c>
      <c r="B92" t="s">
        <v>219</v>
      </c>
      <c r="C92" s="1">
        <v>44908</v>
      </c>
      <c r="D92" s="1">
        <v>45554</v>
      </c>
      <c r="E92" t="s">
        <v>45</v>
      </c>
      <c r="F92" t="s">
        <v>25</v>
      </c>
      <c r="G92" t="s">
        <v>15</v>
      </c>
      <c r="H92" t="s">
        <v>16</v>
      </c>
      <c r="I92">
        <v>34934.49</v>
      </c>
      <c r="J92" s="1">
        <v>27351</v>
      </c>
      <c r="K92" t="s">
        <v>36</v>
      </c>
      <c r="L92" s="4" t="str">
        <f>IF(RH[[#This Row],[Fecha de salida Laboral]]="","Activo","Inactivo")</f>
        <v>Inactivo</v>
      </c>
      <c r="M92" s="4">
        <f ca="1">INT((TODAY()-RH[[#This Row],[Fecha Nacimiento]])/365)</f>
        <v>51</v>
      </c>
      <c r="N92" s="4">
        <f ca="1">IF(RH[[#This Row],[Fecha de salida Laboral]]="",INT((TODAY()-RH[[#This Row],[Fecha de Ingreso laboral]])/365),INT((TODAY()-RH[[#This Row],[Fecha de salida Laboral]])/365))</f>
        <v>1</v>
      </c>
    </row>
    <row r="93" spans="1:14" x14ac:dyDescent="0.3">
      <c r="A93" t="s">
        <v>220</v>
      </c>
      <c r="B93" t="s">
        <v>221</v>
      </c>
      <c r="C93" s="1">
        <v>44976</v>
      </c>
      <c r="D93" s="1">
        <v>45397</v>
      </c>
      <c r="E93" t="s">
        <v>45</v>
      </c>
      <c r="F93" t="s">
        <v>21</v>
      </c>
      <c r="G93" t="s">
        <v>88</v>
      </c>
      <c r="H93" t="s">
        <v>27</v>
      </c>
      <c r="I93">
        <v>124006.01</v>
      </c>
      <c r="J93" s="1">
        <v>38202</v>
      </c>
      <c r="K93" t="s">
        <v>28</v>
      </c>
      <c r="L93" s="4" t="str">
        <f>IF(RH[[#This Row],[Fecha de salida Laboral]]="","Activo","Inactivo")</f>
        <v>Inactivo</v>
      </c>
      <c r="M93" s="4">
        <f ca="1">INT((TODAY()-RH[[#This Row],[Fecha Nacimiento]])/365)</f>
        <v>21</v>
      </c>
      <c r="N93" s="4">
        <f ca="1">IF(RH[[#This Row],[Fecha de salida Laboral]]="",INT((TODAY()-RH[[#This Row],[Fecha de Ingreso laboral]])/365),INT((TODAY()-RH[[#This Row],[Fecha de salida Laboral]])/365))</f>
        <v>1</v>
      </c>
    </row>
    <row r="94" spans="1:14" x14ac:dyDescent="0.3">
      <c r="A94" t="s">
        <v>222</v>
      </c>
      <c r="B94" t="s">
        <v>223</v>
      </c>
      <c r="C94" s="1">
        <v>44405</v>
      </c>
      <c r="D94" s="1">
        <v>45373</v>
      </c>
      <c r="E94" t="s">
        <v>13</v>
      </c>
      <c r="F94" t="s">
        <v>25</v>
      </c>
      <c r="G94" t="s">
        <v>103</v>
      </c>
      <c r="H94" t="s">
        <v>27</v>
      </c>
      <c r="I94">
        <v>70407.070000000007</v>
      </c>
      <c r="J94" s="1">
        <v>34853</v>
      </c>
      <c r="K94" t="s">
        <v>17</v>
      </c>
      <c r="L94" s="4" t="str">
        <f>IF(RH[[#This Row],[Fecha de salida Laboral]]="","Activo","Inactivo")</f>
        <v>Inactivo</v>
      </c>
      <c r="M94" s="4">
        <f ca="1">INT((TODAY()-RH[[#This Row],[Fecha Nacimiento]])/365)</f>
        <v>30</v>
      </c>
      <c r="N94" s="4">
        <f ca="1">IF(RH[[#This Row],[Fecha de salida Laboral]]="",INT((TODAY()-RH[[#This Row],[Fecha de Ingreso laboral]])/365),INT((TODAY()-RH[[#This Row],[Fecha de salida Laboral]])/365))</f>
        <v>1</v>
      </c>
    </row>
    <row r="95" spans="1:14" x14ac:dyDescent="0.3">
      <c r="A95" t="s">
        <v>224</v>
      </c>
      <c r="B95" t="s">
        <v>225</v>
      </c>
      <c r="C95" s="1">
        <v>45522</v>
      </c>
      <c r="D95" s="1"/>
      <c r="E95" t="s">
        <v>31</v>
      </c>
      <c r="F95" t="s">
        <v>25</v>
      </c>
      <c r="G95" t="s">
        <v>74</v>
      </c>
      <c r="H95" t="s">
        <v>27</v>
      </c>
      <c r="I95">
        <v>88762.68</v>
      </c>
      <c r="J95" s="1">
        <v>32382</v>
      </c>
      <c r="K95" t="s">
        <v>28</v>
      </c>
      <c r="L95" s="4" t="str">
        <f>IF(RH[[#This Row],[Fecha de salida Laboral]]="","Activo","Inactivo")</f>
        <v>Activo</v>
      </c>
      <c r="M95" s="4">
        <f ca="1">INT((TODAY()-RH[[#This Row],[Fecha Nacimiento]])/365)</f>
        <v>37</v>
      </c>
      <c r="N95" s="4">
        <f ca="1">IF(RH[[#This Row],[Fecha de salida Laboral]]="",INT((TODAY()-RH[[#This Row],[Fecha de Ingreso laboral]])/365),INT((TODAY()-RH[[#This Row],[Fecha de salida Laboral]])/365))</f>
        <v>1</v>
      </c>
    </row>
    <row r="96" spans="1:14" x14ac:dyDescent="0.3">
      <c r="A96" t="s">
        <v>226</v>
      </c>
      <c r="B96" t="s">
        <v>227</v>
      </c>
      <c r="C96" s="1">
        <v>44219</v>
      </c>
      <c r="D96" s="1"/>
      <c r="E96" t="s">
        <v>45</v>
      </c>
      <c r="F96" t="s">
        <v>54</v>
      </c>
      <c r="G96" t="s">
        <v>22</v>
      </c>
      <c r="H96" t="s">
        <v>27</v>
      </c>
      <c r="I96">
        <v>94346.03</v>
      </c>
      <c r="J96" s="1">
        <v>23172</v>
      </c>
      <c r="K96" t="s">
        <v>28</v>
      </c>
      <c r="L96" s="4" t="str">
        <f>IF(RH[[#This Row],[Fecha de salida Laboral]]="","Activo","Inactivo")</f>
        <v>Activo</v>
      </c>
      <c r="M96" s="4">
        <f ca="1">INT((TODAY()-RH[[#This Row],[Fecha Nacimiento]])/365)</f>
        <v>62</v>
      </c>
      <c r="N96" s="4">
        <f ca="1">IF(RH[[#This Row],[Fecha de salida Laboral]]="",INT((TODAY()-RH[[#This Row],[Fecha de Ingreso laboral]])/365),INT((TODAY()-RH[[#This Row],[Fecha de salida Laboral]])/365))</f>
        <v>4</v>
      </c>
    </row>
    <row r="97" spans="1:14" x14ac:dyDescent="0.3">
      <c r="A97" t="s">
        <v>228</v>
      </c>
      <c r="B97" t="s">
        <v>229</v>
      </c>
      <c r="C97" s="1">
        <v>45433</v>
      </c>
      <c r="D97" s="1">
        <v>45458</v>
      </c>
      <c r="E97" t="s">
        <v>73</v>
      </c>
      <c r="F97" t="s">
        <v>39</v>
      </c>
      <c r="G97" t="s">
        <v>74</v>
      </c>
      <c r="H97" t="s">
        <v>16</v>
      </c>
      <c r="I97">
        <v>125860.54</v>
      </c>
      <c r="J97" s="1">
        <v>28261</v>
      </c>
      <c r="K97" t="s">
        <v>17</v>
      </c>
      <c r="L97" s="4" t="str">
        <f>IF(RH[[#This Row],[Fecha de salida Laboral]]="","Activo","Inactivo")</f>
        <v>Inactivo</v>
      </c>
      <c r="M97" s="4">
        <f ca="1">INT((TODAY()-RH[[#This Row],[Fecha Nacimiento]])/365)</f>
        <v>48</v>
      </c>
      <c r="N97" s="4">
        <f ca="1">IF(RH[[#This Row],[Fecha de salida Laboral]]="",INT((TODAY()-RH[[#This Row],[Fecha de Ingreso laboral]])/365),INT((TODAY()-RH[[#This Row],[Fecha de salida Laboral]])/365))</f>
        <v>1</v>
      </c>
    </row>
    <row r="98" spans="1:14" x14ac:dyDescent="0.3">
      <c r="A98" t="s">
        <v>230</v>
      </c>
      <c r="B98" t="s">
        <v>231</v>
      </c>
      <c r="C98" s="1">
        <v>45354</v>
      </c>
      <c r="D98" s="1"/>
      <c r="E98" t="s">
        <v>73</v>
      </c>
      <c r="F98" t="s">
        <v>39</v>
      </c>
      <c r="G98" t="s">
        <v>103</v>
      </c>
      <c r="H98" t="s">
        <v>27</v>
      </c>
      <c r="I98">
        <v>132783.87</v>
      </c>
      <c r="J98" s="1">
        <v>33947</v>
      </c>
      <c r="K98" t="s">
        <v>36</v>
      </c>
      <c r="L98" s="4" t="str">
        <f>IF(RH[[#This Row],[Fecha de salida Laboral]]="","Activo","Inactivo")</f>
        <v>Activo</v>
      </c>
      <c r="M98" s="4">
        <f ca="1">INT((TODAY()-RH[[#This Row],[Fecha Nacimiento]])/365)</f>
        <v>33</v>
      </c>
      <c r="N98" s="4">
        <f ca="1">IF(RH[[#This Row],[Fecha de salida Laboral]]="",INT((TODAY()-RH[[#This Row],[Fecha de Ingreso laboral]])/365),INT((TODAY()-RH[[#This Row],[Fecha de salida Laboral]])/365))</f>
        <v>1</v>
      </c>
    </row>
    <row r="99" spans="1:14" x14ac:dyDescent="0.3">
      <c r="A99" t="s">
        <v>232</v>
      </c>
      <c r="B99" t="s">
        <v>233</v>
      </c>
      <c r="C99" s="1">
        <v>44177</v>
      </c>
      <c r="D99" s="1"/>
      <c r="E99" t="s">
        <v>42</v>
      </c>
      <c r="F99" t="s">
        <v>21</v>
      </c>
      <c r="G99" t="s">
        <v>81</v>
      </c>
      <c r="H99" t="s">
        <v>27</v>
      </c>
      <c r="I99">
        <v>116220.88</v>
      </c>
      <c r="J99" s="1">
        <v>23092</v>
      </c>
      <c r="K99" t="s">
        <v>17</v>
      </c>
      <c r="L99" s="4" t="str">
        <f>IF(RH[[#This Row],[Fecha de salida Laboral]]="","Activo","Inactivo")</f>
        <v>Activo</v>
      </c>
      <c r="M99" s="4">
        <f ca="1">INT((TODAY()-RH[[#This Row],[Fecha Nacimiento]])/365)</f>
        <v>62</v>
      </c>
      <c r="N99" s="4">
        <f ca="1">IF(RH[[#This Row],[Fecha de salida Laboral]]="",INT((TODAY()-RH[[#This Row],[Fecha de Ingreso laboral]])/365),INT((TODAY()-RH[[#This Row],[Fecha de salida Laboral]])/365))</f>
        <v>5</v>
      </c>
    </row>
    <row r="100" spans="1:14" x14ac:dyDescent="0.3">
      <c r="A100" t="s">
        <v>234</v>
      </c>
      <c r="B100" t="s">
        <v>235</v>
      </c>
      <c r="C100" s="1">
        <v>44677</v>
      </c>
      <c r="D100" s="1">
        <v>45329</v>
      </c>
      <c r="E100" t="s">
        <v>45</v>
      </c>
      <c r="F100" t="s">
        <v>54</v>
      </c>
      <c r="G100" t="s">
        <v>70</v>
      </c>
      <c r="H100" t="s">
        <v>27</v>
      </c>
      <c r="I100">
        <v>137746.44</v>
      </c>
      <c r="J100" s="1">
        <v>26127</v>
      </c>
      <c r="K100" t="s">
        <v>17</v>
      </c>
      <c r="L100" s="4" t="str">
        <f>IF(RH[[#This Row],[Fecha de salida Laboral]]="","Activo","Inactivo")</f>
        <v>Inactivo</v>
      </c>
      <c r="M100" s="4">
        <f ca="1">INT((TODAY()-RH[[#This Row],[Fecha Nacimiento]])/365)</f>
        <v>54</v>
      </c>
      <c r="N100" s="4">
        <f ca="1">IF(RH[[#This Row],[Fecha de salida Laboral]]="",INT((TODAY()-RH[[#This Row],[Fecha de Ingreso laboral]])/365),INT((TODAY()-RH[[#This Row],[Fecha de salida Laboral]])/365))</f>
        <v>1</v>
      </c>
    </row>
    <row r="101" spans="1:14" x14ac:dyDescent="0.3">
      <c r="A101" t="s">
        <v>236</v>
      </c>
      <c r="B101" t="s">
        <v>237</v>
      </c>
      <c r="C101" s="1">
        <v>43533</v>
      </c>
      <c r="D101" s="1">
        <v>45636</v>
      </c>
      <c r="E101" t="s">
        <v>31</v>
      </c>
      <c r="F101" t="s">
        <v>54</v>
      </c>
      <c r="G101" t="s">
        <v>32</v>
      </c>
      <c r="H101" t="s">
        <v>27</v>
      </c>
      <c r="I101">
        <v>118558.32</v>
      </c>
      <c r="J101" s="1">
        <v>37246</v>
      </c>
      <c r="K101" t="s">
        <v>36</v>
      </c>
      <c r="L101" s="4" t="str">
        <f>IF(RH[[#This Row],[Fecha de salida Laboral]]="","Activo","Inactivo")</f>
        <v>Inactivo</v>
      </c>
      <c r="M101" s="4">
        <f ca="1">INT((TODAY()-RH[[#This Row],[Fecha Nacimiento]])/365)</f>
        <v>24</v>
      </c>
      <c r="N101" s="4">
        <f ca="1">IF(RH[[#This Row],[Fecha de salida Laboral]]="",INT((TODAY()-RH[[#This Row],[Fecha de Ingreso laboral]])/365),INT((TODAY()-RH[[#This Row],[Fecha de salida Laboral]])/365))</f>
        <v>1</v>
      </c>
    </row>
    <row r="102" spans="1:14" x14ac:dyDescent="0.3">
      <c r="A102" t="s">
        <v>238</v>
      </c>
      <c r="B102" t="s">
        <v>239</v>
      </c>
      <c r="C102" s="1">
        <v>44145</v>
      </c>
      <c r="D102" s="1"/>
      <c r="E102" t="s">
        <v>73</v>
      </c>
      <c r="F102" t="s">
        <v>59</v>
      </c>
      <c r="G102" t="s">
        <v>35</v>
      </c>
      <c r="H102" t="s">
        <v>27</v>
      </c>
      <c r="I102">
        <v>68222.759999999995</v>
      </c>
      <c r="J102" s="1">
        <v>22124</v>
      </c>
      <c r="K102" t="s">
        <v>17</v>
      </c>
      <c r="L102" s="4" t="str">
        <f>IF(RH[[#This Row],[Fecha de salida Laboral]]="","Activo","Inactivo")</f>
        <v>Activo</v>
      </c>
      <c r="M102" s="4">
        <f ca="1">INT((TODAY()-RH[[#This Row],[Fecha Nacimiento]])/365)</f>
        <v>65</v>
      </c>
      <c r="N102" s="4">
        <f ca="1">IF(RH[[#This Row],[Fecha de salida Laboral]]="",INT((TODAY()-RH[[#This Row],[Fecha de Ingreso laboral]])/365),INT((TODAY()-RH[[#This Row],[Fecha de salida Laboral]])/365))</f>
        <v>5</v>
      </c>
    </row>
    <row r="103" spans="1:14" x14ac:dyDescent="0.3">
      <c r="A103" t="s">
        <v>240</v>
      </c>
      <c r="B103" t="s">
        <v>241</v>
      </c>
      <c r="C103" s="1">
        <v>44873</v>
      </c>
      <c r="D103" s="1"/>
      <c r="E103" t="s">
        <v>13</v>
      </c>
      <c r="F103" t="s">
        <v>59</v>
      </c>
      <c r="G103" t="s">
        <v>88</v>
      </c>
      <c r="H103" t="s">
        <v>16</v>
      </c>
      <c r="I103">
        <v>106025.49</v>
      </c>
      <c r="J103" s="1">
        <v>26994</v>
      </c>
      <c r="K103" t="s">
        <v>36</v>
      </c>
      <c r="L103" s="4" t="str">
        <f>IF(RH[[#This Row],[Fecha de salida Laboral]]="","Activo","Inactivo")</f>
        <v>Activo</v>
      </c>
      <c r="M103" s="4">
        <f ca="1">INT((TODAY()-RH[[#This Row],[Fecha Nacimiento]])/365)</f>
        <v>52</v>
      </c>
      <c r="N103" s="4">
        <f ca="1">IF(RH[[#This Row],[Fecha de salida Laboral]]="",INT((TODAY()-RH[[#This Row],[Fecha de Ingreso laboral]])/365),INT((TODAY()-RH[[#This Row],[Fecha de salida Laboral]])/365))</f>
        <v>3</v>
      </c>
    </row>
    <row r="104" spans="1:14" x14ac:dyDescent="0.3">
      <c r="A104" t="s">
        <v>242</v>
      </c>
      <c r="B104" t="s">
        <v>243</v>
      </c>
      <c r="C104" s="1">
        <v>43689</v>
      </c>
      <c r="D104" s="1"/>
      <c r="E104" t="s">
        <v>42</v>
      </c>
      <c r="F104" t="s">
        <v>25</v>
      </c>
      <c r="G104" t="s">
        <v>103</v>
      </c>
      <c r="H104" t="s">
        <v>27</v>
      </c>
      <c r="I104">
        <v>148383.57</v>
      </c>
      <c r="J104" s="1">
        <v>25846</v>
      </c>
      <c r="K104" t="s">
        <v>28</v>
      </c>
      <c r="L104" s="4" t="str">
        <f>IF(RH[[#This Row],[Fecha de salida Laboral]]="","Activo","Inactivo")</f>
        <v>Activo</v>
      </c>
      <c r="M104" s="4">
        <f ca="1">INT((TODAY()-RH[[#This Row],[Fecha Nacimiento]])/365)</f>
        <v>55</v>
      </c>
      <c r="N104" s="4">
        <f ca="1">IF(RH[[#This Row],[Fecha de salida Laboral]]="",INT((TODAY()-RH[[#This Row],[Fecha de Ingreso laboral]])/365),INT((TODAY()-RH[[#This Row],[Fecha de salida Laboral]])/365))</f>
        <v>6</v>
      </c>
    </row>
    <row r="105" spans="1:14" x14ac:dyDescent="0.3">
      <c r="A105" t="s">
        <v>244</v>
      </c>
      <c r="B105" t="s">
        <v>245</v>
      </c>
      <c r="C105" s="1">
        <v>44824</v>
      </c>
      <c r="D105" s="1"/>
      <c r="E105" t="s">
        <v>73</v>
      </c>
      <c r="F105" t="s">
        <v>54</v>
      </c>
      <c r="G105" t="s">
        <v>74</v>
      </c>
      <c r="H105" t="s">
        <v>16</v>
      </c>
      <c r="I105">
        <v>38456.18</v>
      </c>
      <c r="J105" s="1">
        <v>36500</v>
      </c>
      <c r="K105" t="s">
        <v>36</v>
      </c>
      <c r="L105" s="4" t="str">
        <f>IF(RH[[#This Row],[Fecha de salida Laboral]]="","Activo","Inactivo")</f>
        <v>Activo</v>
      </c>
      <c r="M105" s="4">
        <f ca="1">INT((TODAY()-RH[[#This Row],[Fecha Nacimiento]])/365)</f>
        <v>26</v>
      </c>
      <c r="N105" s="4">
        <f ca="1">IF(RH[[#This Row],[Fecha de salida Laboral]]="",INT((TODAY()-RH[[#This Row],[Fecha de Ingreso laboral]])/365),INT((TODAY()-RH[[#This Row],[Fecha de salida Laboral]])/365))</f>
        <v>3</v>
      </c>
    </row>
    <row r="106" spans="1:14" x14ac:dyDescent="0.3">
      <c r="A106" t="s">
        <v>246</v>
      </c>
      <c r="B106" t="s">
        <v>247</v>
      </c>
      <c r="C106" s="1">
        <v>45012</v>
      </c>
      <c r="D106" s="1"/>
      <c r="E106" t="s">
        <v>20</v>
      </c>
      <c r="F106" t="s">
        <v>59</v>
      </c>
      <c r="G106" t="s">
        <v>22</v>
      </c>
      <c r="H106" t="s">
        <v>27</v>
      </c>
      <c r="I106">
        <v>82041.539999999994</v>
      </c>
      <c r="J106" s="1">
        <v>25606</v>
      </c>
      <c r="K106" t="s">
        <v>28</v>
      </c>
      <c r="L106" s="4" t="str">
        <f>IF(RH[[#This Row],[Fecha de salida Laboral]]="","Activo","Inactivo")</f>
        <v>Activo</v>
      </c>
      <c r="M106" s="4">
        <f ca="1">INT((TODAY()-RH[[#This Row],[Fecha Nacimiento]])/365)</f>
        <v>55</v>
      </c>
      <c r="N106" s="4">
        <f ca="1">IF(RH[[#This Row],[Fecha de salida Laboral]]="",INT((TODAY()-RH[[#This Row],[Fecha de Ingreso laboral]])/365),INT((TODAY()-RH[[#This Row],[Fecha de salida Laboral]])/365))</f>
        <v>2</v>
      </c>
    </row>
    <row r="107" spans="1:14" x14ac:dyDescent="0.3">
      <c r="A107" t="s">
        <v>248</v>
      </c>
      <c r="B107" t="s">
        <v>249</v>
      </c>
      <c r="C107" s="1">
        <v>43529</v>
      </c>
      <c r="D107" s="1">
        <v>45483</v>
      </c>
      <c r="E107" t="s">
        <v>45</v>
      </c>
      <c r="F107" t="s">
        <v>39</v>
      </c>
      <c r="G107" t="s">
        <v>74</v>
      </c>
      <c r="H107" t="s">
        <v>27</v>
      </c>
      <c r="I107">
        <v>103438.11</v>
      </c>
      <c r="J107" s="1">
        <v>23003</v>
      </c>
      <c r="K107" t="s">
        <v>28</v>
      </c>
      <c r="L107" s="4" t="str">
        <f>IF(RH[[#This Row],[Fecha de salida Laboral]]="","Activo","Inactivo")</f>
        <v>Inactivo</v>
      </c>
      <c r="M107" s="4">
        <f ca="1">INT((TODAY()-RH[[#This Row],[Fecha Nacimiento]])/365)</f>
        <v>63</v>
      </c>
      <c r="N107" s="4">
        <f ca="1">IF(RH[[#This Row],[Fecha de salida Laboral]]="",INT((TODAY()-RH[[#This Row],[Fecha de Ingreso laboral]])/365),INT((TODAY()-RH[[#This Row],[Fecha de salida Laboral]])/365))</f>
        <v>1</v>
      </c>
    </row>
    <row r="108" spans="1:14" x14ac:dyDescent="0.3">
      <c r="A108" t="s">
        <v>250</v>
      </c>
      <c r="B108" t="s">
        <v>251</v>
      </c>
      <c r="C108" s="1">
        <v>43696</v>
      </c>
      <c r="D108" s="1">
        <v>45411</v>
      </c>
      <c r="E108" t="s">
        <v>73</v>
      </c>
      <c r="F108" t="s">
        <v>21</v>
      </c>
      <c r="G108" t="s">
        <v>32</v>
      </c>
      <c r="H108" t="s">
        <v>27</v>
      </c>
      <c r="I108">
        <v>40475.730000000003</v>
      </c>
      <c r="J108" s="1">
        <v>30634</v>
      </c>
      <c r="K108" t="s">
        <v>17</v>
      </c>
      <c r="L108" s="4" t="str">
        <f>IF(RH[[#This Row],[Fecha de salida Laboral]]="","Activo","Inactivo")</f>
        <v>Inactivo</v>
      </c>
      <c r="M108" s="4">
        <f ca="1">INT((TODAY()-RH[[#This Row],[Fecha Nacimiento]])/365)</f>
        <v>42</v>
      </c>
      <c r="N108" s="4">
        <f ca="1">IF(RH[[#This Row],[Fecha de salida Laboral]]="",INT((TODAY()-RH[[#This Row],[Fecha de Ingreso laboral]])/365),INT((TODAY()-RH[[#This Row],[Fecha de salida Laboral]])/365))</f>
        <v>1</v>
      </c>
    </row>
    <row r="109" spans="1:14" x14ac:dyDescent="0.3">
      <c r="A109" t="s">
        <v>252</v>
      </c>
      <c r="B109" t="s">
        <v>253</v>
      </c>
      <c r="C109" s="1">
        <v>44829</v>
      </c>
      <c r="D109" s="1">
        <v>45374</v>
      </c>
      <c r="E109" t="s">
        <v>42</v>
      </c>
      <c r="F109" t="s">
        <v>14</v>
      </c>
      <c r="G109" t="s">
        <v>35</v>
      </c>
      <c r="H109" t="s">
        <v>27</v>
      </c>
      <c r="I109">
        <v>129438.61</v>
      </c>
      <c r="J109" s="1">
        <v>29522</v>
      </c>
      <c r="K109" t="s">
        <v>36</v>
      </c>
      <c r="L109" s="4" t="str">
        <f>IF(RH[[#This Row],[Fecha de salida Laboral]]="","Activo","Inactivo")</f>
        <v>Inactivo</v>
      </c>
      <c r="M109" s="4">
        <f ca="1">INT((TODAY()-RH[[#This Row],[Fecha Nacimiento]])/365)</f>
        <v>45</v>
      </c>
      <c r="N109" s="4">
        <f ca="1">IF(RH[[#This Row],[Fecha de salida Laboral]]="",INT((TODAY()-RH[[#This Row],[Fecha de Ingreso laboral]])/365),INT((TODAY()-RH[[#This Row],[Fecha de salida Laboral]])/365))</f>
        <v>1</v>
      </c>
    </row>
    <row r="110" spans="1:14" x14ac:dyDescent="0.3">
      <c r="A110" t="s">
        <v>254</v>
      </c>
      <c r="B110" t="s">
        <v>255</v>
      </c>
      <c r="C110" s="1">
        <v>44049</v>
      </c>
      <c r="D110" s="1"/>
      <c r="E110" t="s">
        <v>45</v>
      </c>
      <c r="F110" t="s">
        <v>59</v>
      </c>
      <c r="G110" t="s">
        <v>88</v>
      </c>
      <c r="H110" t="s">
        <v>16</v>
      </c>
      <c r="I110">
        <v>51311.7</v>
      </c>
      <c r="J110" s="1">
        <v>29318</v>
      </c>
      <c r="K110" t="s">
        <v>17</v>
      </c>
      <c r="L110" s="4" t="str">
        <f>IF(RH[[#This Row],[Fecha de salida Laboral]]="","Activo","Inactivo")</f>
        <v>Activo</v>
      </c>
      <c r="M110" s="4">
        <f ca="1">INT((TODAY()-RH[[#This Row],[Fecha Nacimiento]])/365)</f>
        <v>45</v>
      </c>
      <c r="N110" s="4">
        <f ca="1">IF(RH[[#This Row],[Fecha de salida Laboral]]="",INT((TODAY()-RH[[#This Row],[Fecha de Ingreso laboral]])/365),INT((TODAY()-RH[[#This Row],[Fecha de salida Laboral]])/365))</f>
        <v>5</v>
      </c>
    </row>
    <row r="111" spans="1:14" x14ac:dyDescent="0.3">
      <c r="A111" t="s">
        <v>256</v>
      </c>
      <c r="B111" t="s">
        <v>257</v>
      </c>
      <c r="C111" s="1">
        <v>43849</v>
      </c>
      <c r="D111" s="1"/>
      <c r="E111" t="s">
        <v>73</v>
      </c>
      <c r="F111" t="s">
        <v>21</v>
      </c>
      <c r="G111" t="s">
        <v>88</v>
      </c>
      <c r="H111" t="s">
        <v>27</v>
      </c>
      <c r="I111">
        <v>97941.45</v>
      </c>
      <c r="J111" s="1">
        <v>32957</v>
      </c>
      <c r="K111" t="s">
        <v>28</v>
      </c>
      <c r="L111" s="4" t="str">
        <f>IF(RH[[#This Row],[Fecha de salida Laboral]]="","Activo","Inactivo")</f>
        <v>Activo</v>
      </c>
      <c r="M111" s="4">
        <f ca="1">INT((TODAY()-RH[[#This Row],[Fecha Nacimiento]])/365)</f>
        <v>35</v>
      </c>
      <c r="N111" s="4">
        <f ca="1">IF(RH[[#This Row],[Fecha de salida Laboral]]="",INT((TODAY()-RH[[#This Row],[Fecha de Ingreso laboral]])/365),INT((TODAY()-RH[[#This Row],[Fecha de salida Laboral]])/365))</f>
        <v>5</v>
      </c>
    </row>
    <row r="112" spans="1:14" x14ac:dyDescent="0.3">
      <c r="A112" t="s">
        <v>258</v>
      </c>
      <c r="B112" t="s">
        <v>259</v>
      </c>
      <c r="C112" s="1">
        <v>45252</v>
      </c>
      <c r="D112" s="1"/>
      <c r="E112" t="s">
        <v>31</v>
      </c>
      <c r="F112" t="s">
        <v>39</v>
      </c>
      <c r="G112" t="s">
        <v>103</v>
      </c>
      <c r="H112" t="s">
        <v>27</v>
      </c>
      <c r="I112">
        <v>94045.46</v>
      </c>
      <c r="J112" s="1">
        <v>35055</v>
      </c>
      <c r="K112" t="s">
        <v>36</v>
      </c>
      <c r="L112" s="4" t="str">
        <f>IF(RH[[#This Row],[Fecha de salida Laboral]]="","Activo","Inactivo")</f>
        <v>Activo</v>
      </c>
      <c r="M112" s="4">
        <f ca="1">INT((TODAY()-RH[[#This Row],[Fecha Nacimiento]])/365)</f>
        <v>30</v>
      </c>
      <c r="N112" s="4">
        <f ca="1">IF(RH[[#This Row],[Fecha de salida Laboral]]="",INT((TODAY()-RH[[#This Row],[Fecha de Ingreso laboral]])/365),INT((TODAY()-RH[[#This Row],[Fecha de salida Laboral]])/365))</f>
        <v>2</v>
      </c>
    </row>
    <row r="113" spans="1:14" x14ac:dyDescent="0.3">
      <c r="A113" t="s">
        <v>260</v>
      </c>
      <c r="B113" t="s">
        <v>261</v>
      </c>
      <c r="C113" s="1">
        <v>43828</v>
      </c>
      <c r="D113" s="1">
        <v>45483</v>
      </c>
      <c r="E113" t="s">
        <v>13</v>
      </c>
      <c r="F113" t="s">
        <v>25</v>
      </c>
      <c r="G113" t="s">
        <v>88</v>
      </c>
      <c r="H113" t="s">
        <v>27</v>
      </c>
      <c r="I113">
        <v>111804.55</v>
      </c>
      <c r="J113" s="1">
        <v>24185</v>
      </c>
      <c r="K113" t="s">
        <v>17</v>
      </c>
      <c r="L113" s="4" t="str">
        <f>IF(RH[[#This Row],[Fecha de salida Laboral]]="","Activo","Inactivo")</f>
        <v>Inactivo</v>
      </c>
      <c r="M113" s="4">
        <f ca="1">INT((TODAY()-RH[[#This Row],[Fecha Nacimiento]])/365)</f>
        <v>59</v>
      </c>
      <c r="N113" s="4">
        <f ca="1">IF(RH[[#This Row],[Fecha de salida Laboral]]="",INT((TODAY()-RH[[#This Row],[Fecha de Ingreso laboral]])/365),INT((TODAY()-RH[[#This Row],[Fecha de salida Laboral]])/365))</f>
        <v>1</v>
      </c>
    </row>
    <row r="114" spans="1:14" x14ac:dyDescent="0.3">
      <c r="A114" t="s">
        <v>262</v>
      </c>
      <c r="B114" t="s">
        <v>263</v>
      </c>
      <c r="C114" s="1">
        <v>44152</v>
      </c>
      <c r="D114" s="1"/>
      <c r="E114" t="s">
        <v>13</v>
      </c>
      <c r="F114" t="s">
        <v>59</v>
      </c>
      <c r="G114" t="s">
        <v>103</v>
      </c>
      <c r="H114" t="s">
        <v>27</v>
      </c>
      <c r="I114">
        <v>132115.92000000001</v>
      </c>
      <c r="J114" s="1">
        <v>38411</v>
      </c>
      <c r="K114" t="s">
        <v>28</v>
      </c>
      <c r="L114" s="4" t="str">
        <f>IF(RH[[#This Row],[Fecha de salida Laboral]]="","Activo","Inactivo")</f>
        <v>Activo</v>
      </c>
      <c r="M114" s="4">
        <f ca="1">INT((TODAY()-RH[[#This Row],[Fecha Nacimiento]])/365)</f>
        <v>20</v>
      </c>
      <c r="N114" s="4">
        <f ca="1">IF(RH[[#This Row],[Fecha de salida Laboral]]="",INT((TODAY()-RH[[#This Row],[Fecha de Ingreso laboral]])/365),INT((TODAY()-RH[[#This Row],[Fecha de salida Laboral]])/365))</f>
        <v>5</v>
      </c>
    </row>
    <row r="115" spans="1:14" x14ac:dyDescent="0.3">
      <c r="A115" t="s">
        <v>264</v>
      </c>
      <c r="B115" t="s">
        <v>265</v>
      </c>
      <c r="C115" s="1">
        <v>44671</v>
      </c>
      <c r="D115" s="1">
        <v>45500</v>
      </c>
      <c r="E115" t="s">
        <v>73</v>
      </c>
      <c r="F115" t="s">
        <v>39</v>
      </c>
      <c r="G115" t="s">
        <v>35</v>
      </c>
      <c r="H115" t="s">
        <v>27</v>
      </c>
      <c r="I115">
        <v>108620.93</v>
      </c>
      <c r="J115" s="1">
        <v>36135</v>
      </c>
      <c r="K115" t="s">
        <v>28</v>
      </c>
      <c r="L115" s="4" t="str">
        <f>IF(RH[[#This Row],[Fecha de salida Laboral]]="","Activo","Inactivo")</f>
        <v>Inactivo</v>
      </c>
      <c r="M115" s="4">
        <f ca="1">INT((TODAY()-RH[[#This Row],[Fecha Nacimiento]])/365)</f>
        <v>27</v>
      </c>
      <c r="N115" s="4">
        <f ca="1">IF(RH[[#This Row],[Fecha de salida Laboral]]="",INT((TODAY()-RH[[#This Row],[Fecha de Ingreso laboral]])/365),INT((TODAY()-RH[[#This Row],[Fecha de salida Laboral]])/365))</f>
        <v>1</v>
      </c>
    </row>
    <row r="116" spans="1:14" x14ac:dyDescent="0.3">
      <c r="A116" t="s">
        <v>266</v>
      </c>
      <c r="B116" t="s">
        <v>267</v>
      </c>
      <c r="C116" s="1">
        <v>43593</v>
      </c>
      <c r="D116" s="1">
        <v>45513</v>
      </c>
      <c r="E116" t="s">
        <v>20</v>
      </c>
      <c r="F116" t="s">
        <v>14</v>
      </c>
      <c r="G116" t="s">
        <v>81</v>
      </c>
      <c r="H116" t="s">
        <v>27</v>
      </c>
      <c r="I116">
        <v>58317.81</v>
      </c>
      <c r="J116" s="1">
        <v>22047</v>
      </c>
      <c r="K116" t="s">
        <v>17</v>
      </c>
      <c r="L116" s="4" t="str">
        <f>IF(RH[[#This Row],[Fecha de salida Laboral]]="","Activo","Inactivo")</f>
        <v>Inactivo</v>
      </c>
      <c r="M116" s="4">
        <f ca="1">INT((TODAY()-RH[[#This Row],[Fecha Nacimiento]])/365)</f>
        <v>65</v>
      </c>
      <c r="N116" s="4">
        <f ca="1">IF(RH[[#This Row],[Fecha de salida Laboral]]="",INT((TODAY()-RH[[#This Row],[Fecha de Ingreso laboral]])/365),INT((TODAY()-RH[[#This Row],[Fecha de salida Laboral]])/365))</f>
        <v>1</v>
      </c>
    </row>
    <row r="117" spans="1:14" x14ac:dyDescent="0.3">
      <c r="A117" t="s">
        <v>268</v>
      </c>
      <c r="B117" t="s">
        <v>269</v>
      </c>
      <c r="C117" s="1">
        <v>43548</v>
      </c>
      <c r="D117" s="1">
        <v>45408</v>
      </c>
      <c r="E117" t="s">
        <v>45</v>
      </c>
      <c r="F117" t="s">
        <v>54</v>
      </c>
      <c r="G117" t="s">
        <v>88</v>
      </c>
      <c r="H117" t="s">
        <v>27</v>
      </c>
      <c r="I117">
        <v>119186.79</v>
      </c>
      <c r="J117" s="1">
        <v>25416</v>
      </c>
      <c r="K117" t="s">
        <v>17</v>
      </c>
      <c r="L117" s="4" t="str">
        <f>IF(RH[[#This Row],[Fecha de salida Laboral]]="","Activo","Inactivo")</f>
        <v>Inactivo</v>
      </c>
      <c r="M117" s="4">
        <f ca="1">INT((TODAY()-RH[[#This Row],[Fecha Nacimiento]])/365)</f>
        <v>56</v>
      </c>
      <c r="N117" s="4">
        <f ca="1">IF(RH[[#This Row],[Fecha de salida Laboral]]="",INT((TODAY()-RH[[#This Row],[Fecha de Ingreso laboral]])/365),INT((TODAY()-RH[[#This Row],[Fecha de salida Laboral]])/365))</f>
        <v>1</v>
      </c>
    </row>
    <row r="118" spans="1:14" x14ac:dyDescent="0.3">
      <c r="A118" t="s">
        <v>270</v>
      </c>
      <c r="B118" t="s">
        <v>271</v>
      </c>
      <c r="C118" s="1">
        <v>43889</v>
      </c>
      <c r="D118" s="1">
        <v>45310</v>
      </c>
      <c r="E118" t="s">
        <v>42</v>
      </c>
      <c r="F118" t="s">
        <v>54</v>
      </c>
      <c r="G118" t="s">
        <v>15</v>
      </c>
      <c r="H118" t="s">
        <v>16</v>
      </c>
      <c r="I118">
        <v>32764.799999999999</v>
      </c>
      <c r="J118" s="1">
        <v>28273</v>
      </c>
      <c r="K118" t="s">
        <v>36</v>
      </c>
      <c r="L118" s="4" t="str">
        <f>IF(RH[[#This Row],[Fecha de salida Laboral]]="","Activo","Inactivo")</f>
        <v>Inactivo</v>
      </c>
      <c r="M118" s="4">
        <f ca="1">INT((TODAY()-RH[[#This Row],[Fecha Nacimiento]])/365)</f>
        <v>48</v>
      </c>
      <c r="N118" s="4">
        <f ca="1">IF(RH[[#This Row],[Fecha de salida Laboral]]="",INT((TODAY()-RH[[#This Row],[Fecha de Ingreso laboral]])/365),INT((TODAY()-RH[[#This Row],[Fecha de salida Laboral]])/365))</f>
        <v>1</v>
      </c>
    </row>
    <row r="119" spans="1:14" x14ac:dyDescent="0.3">
      <c r="A119" t="s">
        <v>272</v>
      </c>
      <c r="B119" t="s">
        <v>273</v>
      </c>
      <c r="C119" s="1">
        <v>43824</v>
      </c>
      <c r="D119" s="1">
        <v>45384</v>
      </c>
      <c r="E119" t="s">
        <v>20</v>
      </c>
      <c r="F119" t="s">
        <v>59</v>
      </c>
      <c r="G119" t="s">
        <v>103</v>
      </c>
      <c r="H119" t="s">
        <v>27</v>
      </c>
      <c r="I119">
        <v>30851.22</v>
      </c>
      <c r="J119" s="1">
        <v>35678</v>
      </c>
      <c r="K119" t="s">
        <v>36</v>
      </c>
      <c r="L119" s="4" t="str">
        <f>IF(RH[[#This Row],[Fecha de salida Laboral]]="","Activo","Inactivo")</f>
        <v>Inactivo</v>
      </c>
      <c r="M119" s="4">
        <f ca="1">INT((TODAY()-RH[[#This Row],[Fecha Nacimiento]])/365)</f>
        <v>28</v>
      </c>
      <c r="N119" s="4">
        <f ca="1">IF(RH[[#This Row],[Fecha de salida Laboral]]="",INT((TODAY()-RH[[#This Row],[Fecha de Ingreso laboral]])/365),INT((TODAY()-RH[[#This Row],[Fecha de salida Laboral]])/365))</f>
        <v>1</v>
      </c>
    </row>
    <row r="120" spans="1:14" x14ac:dyDescent="0.3">
      <c r="A120" t="s">
        <v>274</v>
      </c>
      <c r="B120" t="s">
        <v>275</v>
      </c>
      <c r="C120" s="1">
        <v>43619</v>
      </c>
      <c r="D120" s="1">
        <v>45384</v>
      </c>
      <c r="E120" t="s">
        <v>73</v>
      </c>
      <c r="F120" t="s">
        <v>54</v>
      </c>
      <c r="G120" t="s">
        <v>32</v>
      </c>
      <c r="H120" t="s">
        <v>27</v>
      </c>
      <c r="I120">
        <v>36345.78</v>
      </c>
      <c r="J120" s="1">
        <v>29532</v>
      </c>
      <c r="K120" t="s">
        <v>28</v>
      </c>
      <c r="L120" s="4" t="str">
        <f>IF(RH[[#This Row],[Fecha de salida Laboral]]="","Activo","Inactivo")</f>
        <v>Inactivo</v>
      </c>
      <c r="M120" s="4">
        <f ca="1">INT((TODAY()-RH[[#This Row],[Fecha Nacimiento]])/365)</f>
        <v>45</v>
      </c>
      <c r="N120" s="4">
        <f ca="1">IF(RH[[#This Row],[Fecha de salida Laboral]]="",INT((TODAY()-RH[[#This Row],[Fecha de Ingreso laboral]])/365),INT((TODAY()-RH[[#This Row],[Fecha de salida Laboral]])/365))</f>
        <v>1</v>
      </c>
    </row>
    <row r="121" spans="1:14" x14ac:dyDescent="0.3">
      <c r="A121" t="s">
        <v>276</v>
      </c>
      <c r="B121" t="s">
        <v>277</v>
      </c>
      <c r="C121" s="1">
        <v>44195</v>
      </c>
      <c r="D121" s="1"/>
      <c r="E121" t="s">
        <v>73</v>
      </c>
      <c r="F121" t="s">
        <v>54</v>
      </c>
      <c r="G121" t="s">
        <v>32</v>
      </c>
      <c r="H121" t="s">
        <v>16</v>
      </c>
      <c r="I121">
        <v>53394.3</v>
      </c>
      <c r="J121" s="1">
        <v>34338</v>
      </c>
      <c r="K121" t="s">
        <v>28</v>
      </c>
      <c r="L121" s="4" t="str">
        <f>IF(RH[[#This Row],[Fecha de salida Laboral]]="","Activo","Inactivo")</f>
        <v>Activo</v>
      </c>
      <c r="M121" s="4">
        <f ca="1">INT((TODAY()-RH[[#This Row],[Fecha Nacimiento]])/365)</f>
        <v>32</v>
      </c>
      <c r="N121" s="4">
        <f ca="1">IF(RH[[#This Row],[Fecha de salida Laboral]]="",INT((TODAY()-RH[[#This Row],[Fecha de Ingreso laboral]])/365),INT((TODAY()-RH[[#This Row],[Fecha de salida Laboral]])/365))</f>
        <v>4</v>
      </c>
    </row>
    <row r="122" spans="1:14" x14ac:dyDescent="0.3">
      <c r="A122" t="s">
        <v>278</v>
      </c>
      <c r="B122" t="s">
        <v>279</v>
      </c>
      <c r="C122" s="1">
        <v>44501</v>
      </c>
      <c r="D122" s="1">
        <v>45645</v>
      </c>
      <c r="E122" t="s">
        <v>13</v>
      </c>
      <c r="F122" t="s">
        <v>14</v>
      </c>
      <c r="G122" t="s">
        <v>81</v>
      </c>
      <c r="H122" t="s">
        <v>27</v>
      </c>
      <c r="I122">
        <v>45767.77</v>
      </c>
      <c r="J122" s="1">
        <v>24480</v>
      </c>
      <c r="K122" t="s">
        <v>17</v>
      </c>
      <c r="L122" s="4" t="str">
        <f>IF(RH[[#This Row],[Fecha de salida Laboral]]="","Activo","Inactivo")</f>
        <v>Inactivo</v>
      </c>
      <c r="M122" s="4">
        <f ca="1">INT((TODAY()-RH[[#This Row],[Fecha Nacimiento]])/365)</f>
        <v>59</v>
      </c>
      <c r="N122" s="4">
        <f ca="1">IF(RH[[#This Row],[Fecha de salida Laboral]]="",INT((TODAY()-RH[[#This Row],[Fecha de Ingreso laboral]])/365),INT((TODAY()-RH[[#This Row],[Fecha de salida Laboral]])/365))</f>
        <v>1</v>
      </c>
    </row>
    <row r="123" spans="1:14" x14ac:dyDescent="0.3">
      <c r="A123" t="s">
        <v>280</v>
      </c>
      <c r="B123" t="s">
        <v>281</v>
      </c>
      <c r="C123" s="1">
        <v>45070</v>
      </c>
      <c r="D123" s="1">
        <v>45377</v>
      </c>
      <c r="E123" t="s">
        <v>45</v>
      </c>
      <c r="F123" t="s">
        <v>21</v>
      </c>
      <c r="G123" t="s">
        <v>15</v>
      </c>
      <c r="H123" t="s">
        <v>27</v>
      </c>
      <c r="I123">
        <v>49397.26</v>
      </c>
      <c r="J123" s="1">
        <v>25946</v>
      </c>
      <c r="K123" t="s">
        <v>36</v>
      </c>
      <c r="L123" s="4" t="str">
        <f>IF(RH[[#This Row],[Fecha de salida Laboral]]="","Activo","Inactivo")</f>
        <v>Inactivo</v>
      </c>
      <c r="M123" s="4">
        <f ca="1">INT((TODAY()-RH[[#This Row],[Fecha Nacimiento]])/365)</f>
        <v>54</v>
      </c>
      <c r="N123" s="4">
        <f ca="1">IF(RH[[#This Row],[Fecha de salida Laboral]]="",INT((TODAY()-RH[[#This Row],[Fecha de Ingreso laboral]])/365),INT((TODAY()-RH[[#This Row],[Fecha de salida Laboral]])/365))</f>
        <v>1</v>
      </c>
    </row>
    <row r="124" spans="1:14" x14ac:dyDescent="0.3">
      <c r="A124" t="s">
        <v>282</v>
      </c>
      <c r="B124" t="s">
        <v>283</v>
      </c>
      <c r="C124" s="1">
        <v>44500</v>
      </c>
      <c r="D124" s="1"/>
      <c r="E124" t="s">
        <v>42</v>
      </c>
      <c r="F124" t="s">
        <v>21</v>
      </c>
      <c r="G124" t="s">
        <v>22</v>
      </c>
      <c r="H124" t="s">
        <v>27</v>
      </c>
      <c r="I124">
        <v>122431.31</v>
      </c>
      <c r="J124" s="1">
        <v>37515</v>
      </c>
      <c r="K124" t="s">
        <v>36</v>
      </c>
      <c r="L124" s="4" t="str">
        <f>IF(RH[[#This Row],[Fecha de salida Laboral]]="","Activo","Inactivo")</f>
        <v>Activo</v>
      </c>
      <c r="M124" s="4">
        <f ca="1">INT((TODAY()-RH[[#This Row],[Fecha Nacimiento]])/365)</f>
        <v>23</v>
      </c>
      <c r="N124" s="4">
        <f ca="1">IF(RH[[#This Row],[Fecha de salida Laboral]]="",INT((TODAY()-RH[[#This Row],[Fecha de Ingreso laboral]])/365),INT((TODAY()-RH[[#This Row],[Fecha de salida Laboral]])/365))</f>
        <v>4</v>
      </c>
    </row>
    <row r="125" spans="1:14" x14ac:dyDescent="0.3">
      <c r="A125" t="s">
        <v>284</v>
      </c>
      <c r="B125" t="s">
        <v>285</v>
      </c>
      <c r="C125" s="1">
        <v>44923</v>
      </c>
      <c r="D125" s="1">
        <v>45292</v>
      </c>
      <c r="E125" t="s">
        <v>31</v>
      </c>
      <c r="F125" t="s">
        <v>21</v>
      </c>
      <c r="G125" t="s">
        <v>81</v>
      </c>
      <c r="H125" t="s">
        <v>27</v>
      </c>
      <c r="I125">
        <v>81171.77</v>
      </c>
      <c r="J125" s="1">
        <v>24289</v>
      </c>
      <c r="K125" t="s">
        <v>17</v>
      </c>
      <c r="L125" s="4" t="str">
        <f>IF(RH[[#This Row],[Fecha de salida Laboral]]="","Activo","Inactivo")</f>
        <v>Inactivo</v>
      </c>
      <c r="M125" s="4">
        <f ca="1">INT((TODAY()-RH[[#This Row],[Fecha Nacimiento]])/365)</f>
        <v>59</v>
      </c>
      <c r="N125" s="4">
        <f ca="1">IF(RH[[#This Row],[Fecha de salida Laboral]]="",INT((TODAY()-RH[[#This Row],[Fecha de Ingreso laboral]])/365),INT((TODAY()-RH[[#This Row],[Fecha de salida Laboral]])/365))</f>
        <v>1</v>
      </c>
    </row>
    <row r="126" spans="1:14" x14ac:dyDescent="0.3">
      <c r="A126" t="s">
        <v>286</v>
      </c>
      <c r="B126" t="s">
        <v>287</v>
      </c>
      <c r="C126" s="1">
        <v>43428</v>
      </c>
      <c r="D126" s="1"/>
      <c r="E126" t="s">
        <v>73</v>
      </c>
      <c r="F126" t="s">
        <v>39</v>
      </c>
      <c r="G126" t="s">
        <v>35</v>
      </c>
      <c r="H126" t="s">
        <v>27</v>
      </c>
      <c r="I126">
        <v>71526.89</v>
      </c>
      <c r="J126" s="1">
        <v>22281</v>
      </c>
      <c r="K126" t="s">
        <v>28</v>
      </c>
      <c r="L126" s="4" t="str">
        <f>IF(RH[[#This Row],[Fecha de salida Laboral]]="","Activo","Inactivo")</f>
        <v>Activo</v>
      </c>
      <c r="M126" s="4">
        <f ca="1">INT((TODAY()-RH[[#This Row],[Fecha Nacimiento]])/365)</f>
        <v>65</v>
      </c>
      <c r="N126" s="4">
        <f ca="1">IF(RH[[#This Row],[Fecha de salida Laboral]]="",INT((TODAY()-RH[[#This Row],[Fecha de Ingreso laboral]])/365),INT((TODAY()-RH[[#This Row],[Fecha de salida Laboral]])/365))</f>
        <v>7</v>
      </c>
    </row>
    <row r="127" spans="1:14" x14ac:dyDescent="0.3">
      <c r="A127" t="s">
        <v>288</v>
      </c>
      <c r="B127" t="s">
        <v>289</v>
      </c>
      <c r="C127" s="1">
        <v>44163</v>
      </c>
      <c r="D127" s="1">
        <v>45647</v>
      </c>
      <c r="E127" t="s">
        <v>45</v>
      </c>
      <c r="F127" t="s">
        <v>25</v>
      </c>
      <c r="G127" t="s">
        <v>26</v>
      </c>
      <c r="H127" t="s">
        <v>27</v>
      </c>
      <c r="I127">
        <v>102981.51</v>
      </c>
      <c r="J127" s="1">
        <v>31845</v>
      </c>
      <c r="K127" t="s">
        <v>17</v>
      </c>
      <c r="L127" s="4" t="str">
        <f>IF(RH[[#This Row],[Fecha de salida Laboral]]="","Activo","Inactivo")</f>
        <v>Inactivo</v>
      </c>
      <c r="M127" s="4">
        <f ca="1">INT((TODAY()-RH[[#This Row],[Fecha Nacimiento]])/365)</f>
        <v>38</v>
      </c>
      <c r="N127" s="4">
        <f ca="1">IF(RH[[#This Row],[Fecha de salida Laboral]]="",INT((TODAY()-RH[[#This Row],[Fecha de Ingreso laboral]])/365),INT((TODAY()-RH[[#This Row],[Fecha de salida Laboral]])/365))</f>
        <v>1</v>
      </c>
    </row>
    <row r="128" spans="1:14" x14ac:dyDescent="0.3">
      <c r="A128" t="s">
        <v>290</v>
      </c>
      <c r="B128" t="s">
        <v>291</v>
      </c>
      <c r="C128" s="1">
        <v>44887</v>
      </c>
      <c r="D128" s="1"/>
      <c r="E128" t="s">
        <v>13</v>
      </c>
      <c r="F128" t="s">
        <v>25</v>
      </c>
      <c r="G128" t="s">
        <v>103</v>
      </c>
      <c r="H128" t="s">
        <v>27</v>
      </c>
      <c r="I128">
        <v>132903.67999999999</v>
      </c>
      <c r="J128" s="1">
        <v>25228</v>
      </c>
      <c r="K128" t="s">
        <v>17</v>
      </c>
      <c r="L128" s="4" t="str">
        <f>IF(RH[[#This Row],[Fecha de salida Laboral]]="","Activo","Inactivo")</f>
        <v>Activo</v>
      </c>
      <c r="M128" s="4">
        <f ca="1">INT((TODAY()-RH[[#This Row],[Fecha Nacimiento]])/365)</f>
        <v>56</v>
      </c>
      <c r="N128" s="4">
        <f ca="1">IF(RH[[#This Row],[Fecha de salida Laboral]]="",INT((TODAY()-RH[[#This Row],[Fecha de Ingreso laboral]])/365),INT((TODAY()-RH[[#This Row],[Fecha de salida Laboral]])/365))</f>
        <v>3</v>
      </c>
    </row>
    <row r="129" spans="1:14" x14ac:dyDescent="0.3">
      <c r="A129" t="s">
        <v>292</v>
      </c>
      <c r="B129" t="s">
        <v>293</v>
      </c>
      <c r="C129" s="1">
        <v>44999</v>
      </c>
      <c r="D129" s="1">
        <v>45449</v>
      </c>
      <c r="E129" t="s">
        <v>13</v>
      </c>
      <c r="F129" t="s">
        <v>14</v>
      </c>
      <c r="G129" t="s">
        <v>88</v>
      </c>
      <c r="H129" t="s">
        <v>27</v>
      </c>
      <c r="I129">
        <v>94565.51</v>
      </c>
      <c r="J129" s="1">
        <v>22596</v>
      </c>
      <c r="K129" t="s">
        <v>17</v>
      </c>
      <c r="L129" s="4" t="str">
        <f>IF(RH[[#This Row],[Fecha de salida Laboral]]="","Activo","Inactivo")</f>
        <v>Inactivo</v>
      </c>
      <c r="M129" s="4">
        <f ca="1">INT((TODAY()-RH[[#This Row],[Fecha Nacimiento]])/365)</f>
        <v>64</v>
      </c>
      <c r="N129" s="4">
        <f ca="1">IF(RH[[#This Row],[Fecha de salida Laboral]]="",INT((TODAY()-RH[[#This Row],[Fecha de Ingreso laboral]])/365),INT((TODAY()-RH[[#This Row],[Fecha de salida Laboral]])/365))</f>
        <v>1</v>
      </c>
    </row>
    <row r="130" spans="1:14" x14ac:dyDescent="0.3">
      <c r="A130" t="s">
        <v>294</v>
      </c>
      <c r="B130" t="s">
        <v>295</v>
      </c>
      <c r="C130" s="1">
        <v>45230</v>
      </c>
      <c r="D130" s="1"/>
      <c r="E130" t="s">
        <v>45</v>
      </c>
      <c r="F130" t="s">
        <v>14</v>
      </c>
      <c r="G130" t="s">
        <v>88</v>
      </c>
      <c r="H130" t="s">
        <v>16</v>
      </c>
      <c r="I130">
        <v>115144.36</v>
      </c>
      <c r="J130" s="1">
        <v>31934</v>
      </c>
      <c r="K130" t="s">
        <v>17</v>
      </c>
      <c r="L130" s="4" t="str">
        <f>IF(RH[[#This Row],[Fecha de salida Laboral]]="","Activo","Inactivo")</f>
        <v>Activo</v>
      </c>
      <c r="M130" s="4">
        <f ca="1">INT((TODAY()-RH[[#This Row],[Fecha Nacimiento]])/365)</f>
        <v>38</v>
      </c>
      <c r="N130" s="4">
        <f ca="1">IF(RH[[#This Row],[Fecha de salida Laboral]]="",INT((TODAY()-RH[[#This Row],[Fecha de Ingreso laboral]])/365),INT((TODAY()-RH[[#This Row],[Fecha de salida Laboral]])/365))</f>
        <v>2</v>
      </c>
    </row>
    <row r="131" spans="1:14" x14ac:dyDescent="0.3">
      <c r="A131" t="s">
        <v>296</v>
      </c>
      <c r="B131" t="s">
        <v>297</v>
      </c>
      <c r="C131" s="1">
        <v>44294</v>
      </c>
      <c r="D131" s="1"/>
      <c r="E131" t="s">
        <v>13</v>
      </c>
      <c r="F131" t="s">
        <v>25</v>
      </c>
      <c r="G131" t="s">
        <v>88</v>
      </c>
      <c r="H131" t="s">
        <v>16</v>
      </c>
      <c r="I131">
        <v>86979.39</v>
      </c>
      <c r="J131" s="1">
        <v>31906</v>
      </c>
      <c r="K131" t="s">
        <v>28</v>
      </c>
      <c r="L131" s="4" t="str">
        <f>IF(RH[[#This Row],[Fecha de salida Laboral]]="","Activo","Inactivo")</f>
        <v>Activo</v>
      </c>
      <c r="M131" s="4">
        <f ca="1">INT((TODAY()-RH[[#This Row],[Fecha Nacimiento]])/365)</f>
        <v>38</v>
      </c>
      <c r="N131" s="4">
        <f ca="1">IF(RH[[#This Row],[Fecha de salida Laboral]]="",INT((TODAY()-RH[[#This Row],[Fecha de Ingreso laboral]])/365),INT((TODAY()-RH[[#This Row],[Fecha de salida Laboral]])/365))</f>
        <v>4</v>
      </c>
    </row>
    <row r="132" spans="1:14" x14ac:dyDescent="0.3">
      <c r="A132" t="s">
        <v>298</v>
      </c>
      <c r="B132" t="s">
        <v>299</v>
      </c>
      <c r="C132" s="1">
        <v>43965</v>
      </c>
      <c r="D132" s="1"/>
      <c r="E132" t="s">
        <v>13</v>
      </c>
      <c r="F132" t="s">
        <v>59</v>
      </c>
      <c r="G132" t="s">
        <v>88</v>
      </c>
      <c r="H132" t="s">
        <v>16</v>
      </c>
      <c r="I132">
        <v>96777.26</v>
      </c>
      <c r="J132" s="1">
        <v>36332</v>
      </c>
      <c r="K132" t="s">
        <v>17</v>
      </c>
      <c r="L132" s="4" t="str">
        <f>IF(RH[[#This Row],[Fecha de salida Laboral]]="","Activo","Inactivo")</f>
        <v>Activo</v>
      </c>
      <c r="M132" s="4">
        <f ca="1">INT((TODAY()-RH[[#This Row],[Fecha Nacimiento]])/365)</f>
        <v>26</v>
      </c>
      <c r="N132" s="4">
        <f ca="1">IF(RH[[#This Row],[Fecha de salida Laboral]]="",INT((TODAY()-RH[[#This Row],[Fecha de Ingreso laboral]])/365),INT((TODAY()-RH[[#This Row],[Fecha de salida Laboral]])/365))</f>
        <v>5</v>
      </c>
    </row>
    <row r="133" spans="1:14" x14ac:dyDescent="0.3">
      <c r="A133" t="s">
        <v>300</v>
      </c>
      <c r="B133" t="s">
        <v>301</v>
      </c>
      <c r="C133" s="1">
        <v>44692</v>
      </c>
      <c r="D133" s="1"/>
      <c r="E133" t="s">
        <v>20</v>
      </c>
      <c r="F133" t="s">
        <v>54</v>
      </c>
      <c r="G133" t="s">
        <v>32</v>
      </c>
      <c r="H133" t="s">
        <v>16</v>
      </c>
      <c r="I133">
        <v>108780.57</v>
      </c>
      <c r="J133" s="1">
        <v>34211</v>
      </c>
      <c r="K133" t="s">
        <v>36</v>
      </c>
      <c r="L133" s="4" t="str">
        <f>IF(RH[[#This Row],[Fecha de salida Laboral]]="","Activo","Inactivo")</f>
        <v>Activo</v>
      </c>
      <c r="M133" s="4">
        <f ca="1">INT((TODAY()-RH[[#This Row],[Fecha Nacimiento]])/365)</f>
        <v>32</v>
      </c>
      <c r="N133" s="4">
        <f ca="1">IF(RH[[#This Row],[Fecha de salida Laboral]]="",INT((TODAY()-RH[[#This Row],[Fecha de Ingreso laboral]])/365),INT((TODAY()-RH[[#This Row],[Fecha de salida Laboral]])/365))</f>
        <v>3</v>
      </c>
    </row>
    <row r="134" spans="1:14" x14ac:dyDescent="0.3">
      <c r="A134" t="s">
        <v>302</v>
      </c>
      <c r="B134" t="s">
        <v>303</v>
      </c>
      <c r="C134" s="1">
        <v>43615</v>
      </c>
      <c r="D134" s="1">
        <v>45393</v>
      </c>
      <c r="E134" t="s">
        <v>45</v>
      </c>
      <c r="F134" t="s">
        <v>59</v>
      </c>
      <c r="G134" t="s">
        <v>32</v>
      </c>
      <c r="H134" t="s">
        <v>16</v>
      </c>
      <c r="I134">
        <v>89830.16</v>
      </c>
      <c r="J134" s="1">
        <v>30794</v>
      </c>
      <c r="K134" t="s">
        <v>28</v>
      </c>
      <c r="L134" s="4" t="str">
        <f>IF(RH[[#This Row],[Fecha de salida Laboral]]="","Activo","Inactivo")</f>
        <v>Inactivo</v>
      </c>
      <c r="M134" s="4">
        <f ca="1">INT((TODAY()-RH[[#This Row],[Fecha Nacimiento]])/365)</f>
        <v>41</v>
      </c>
      <c r="N134" s="4">
        <f ca="1">IF(RH[[#This Row],[Fecha de salida Laboral]]="",INT((TODAY()-RH[[#This Row],[Fecha de Ingreso laboral]])/365),INT((TODAY()-RH[[#This Row],[Fecha de salida Laboral]])/365))</f>
        <v>1</v>
      </c>
    </row>
    <row r="135" spans="1:14" x14ac:dyDescent="0.3">
      <c r="A135" t="s">
        <v>304</v>
      </c>
      <c r="B135" t="s">
        <v>305</v>
      </c>
      <c r="C135" s="1">
        <v>44156</v>
      </c>
      <c r="D135" s="1"/>
      <c r="E135" t="s">
        <v>73</v>
      </c>
      <c r="F135" t="s">
        <v>21</v>
      </c>
      <c r="G135" t="s">
        <v>74</v>
      </c>
      <c r="H135" t="s">
        <v>27</v>
      </c>
      <c r="I135">
        <v>130195.17</v>
      </c>
      <c r="J135" s="1">
        <v>25398</v>
      </c>
      <c r="K135" t="s">
        <v>28</v>
      </c>
      <c r="L135" s="4" t="str">
        <f>IF(RH[[#This Row],[Fecha de salida Laboral]]="","Activo","Inactivo")</f>
        <v>Activo</v>
      </c>
      <c r="M135" s="4">
        <f ca="1">INT((TODAY()-RH[[#This Row],[Fecha Nacimiento]])/365)</f>
        <v>56</v>
      </c>
      <c r="N135" s="4">
        <f ca="1">IF(RH[[#This Row],[Fecha de salida Laboral]]="",INT((TODAY()-RH[[#This Row],[Fecha de Ingreso laboral]])/365),INT((TODAY()-RH[[#This Row],[Fecha de salida Laboral]])/365))</f>
        <v>5</v>
      </c>
    </row>
    <row r="136" spans="1:14" x14ac:dyDescent="0.3">
      <c r="A136" t="s">
        <v>306</v>
      </c>
      <c r="B136" t="s">
        <v>307</v>
      </c>
      <c r="C136" s="1">
        <v>43760</v>
      </c>
      <c r="D136" s="1">
        <v>45561</v>
      </c>
      <c r="E136" t="s">
        <v>45</v>
      </c>
      <c r="F136" t="s">
        <v>39</v>
      </c>
      <c r="G136" t="s">
        <v>103</v>
      </c>
      <c r="H136" t="s">
        <v>27</v>
      </c>
      <c r="I136">
        <v>104629.17</v>
      </c>
      <c r="J136" s="1">
        <v>28328</v>
      </c>
      <c r="K136" t="s">
        <v>17</v>
      </c>
      <c r="L136" s="4" t="str">
        <f>IF(RH[[#This Row],[Fecha de salida Laboral]]="","Activo","Inactivo")</f>
        <v>Inactivo</v>
      </c>
      <c r="M136" s="4">
        <f ca="1">INT((TODAY()-RH[[#This Row],[Fecha Nacimiento]])/365)</f>
        <v>48</v>
      </c>
      <c r="N136" s="4">
        <f ca="1">IF(RH[[#This Row],[Fecha de salida Laboral]]="",INT((TODAY()-RH[[#This Row],[Fecha de Ingreso laboral]])/365),INT((TODAY()-RH[[#This Row],[Fecha de salida Laboral]])/365))</f>
        <v>1</v>
      </c>
    </row>
    <row r="137" spans="1:14" x14ac:dyDescent="0.3">
      <c r="A137" t="s">
        <v>308</v>
      </c>
      <c r="B137" t="s">
        <v>309</v>
      </c>
      <c r="C137" s="1">
        <v>45442</v>
      </c>
      <c r="D137" s="1">
        <v>45310</v>
      </c>
      <c r="E137" t="s">
        <v>42</v>
      </c>
      <c r="F137" t="s">
        <v>14</v>
      </c>
      <c r="G137" t="s">
        <v>32</v>
      </c>
      <c r="H137" t="s">
        <v>27</v>
      </c>
      <c r="I137">
        <v>127644.62</v>
      </c>
      <c r="J137" s="1">
        <v>26976</v>
      </c>
      <c r="K137" t="s">
        <v>17</v>
      </c>
      <c r="L137" s="4" t="str">
        <f>IF(RH[[#This Row],[Fecha de salida Laboral]]="","Activo","Inactivo")</f>
        <v>Inactivo</v>
      </c>
      <c r="M137" s="4">
        <f ca="1">INT((TODAY()-RH[[#This Row],[Fecha Nacimiento]])/365)</f>
        <v>52</v>
      </c>
      <c r="N137" s="4">
        <f ca="1">IF(RH[[#This Row],[Fecha de salida Laboral]]="",INT((TODAY()-RH[[#This Row],[Fecha de Ingreso laboral]])/365),INT((TODAY()-RH[[#This Row],[Fecha de salida Laboral]])/365))</f>
        <v>1</v>
      </c>
    </row>
    <row r="138" spans="1:14" x14ac:dyDescent="0.3">
      <c r="A138" t="s">
        <v>310</v>
      </c>
      <c r="B138" t="s">
        <v>311</v>
      </c>
      <c r="C138" s="1">
        <v>43380</v>
      </c>
      <c r="D138" s="1">
        <v>45410</v>
      </c>
      <c r="E138" t="s">
        <v>45</v>
      </c>
      <c r="F138" t="s">
        <v>39</v>
      </c>
      <c r="G138" t="s">
        <v>70</v>
      </c>
      <c r="H138" t="s">
        <v>27</v>
      </c>
      <c r="I138">
        <v>65214.7</v>
      </c>
      <c r="J138" s="1">
        <v>33111</v>
      </c>
      <c r="K138" t="s">
        <v>36</v>
      </c>
      <c r="L138" s="4" t="str">
        <f>IF(RH[[#This Row],[Fecha de salida Laboral]]="","Activo","Inactivo")</f>
        <v>Inactivo</v>
      </c>
      <c r="M138" s="4">
        <f ca="1">INT((TODAY()-RH[[#This Row],[Fecha Nacimiento]])/365)</f>
        <v>35</v>
      </c>
      <c r="N138" s="4">
        <f ca="1">IF(RH[[#This Row],[Fecha de salida Laboral]]="",INT((TODAY()-RH[[#This Row],[Fecha de Ingreso laboral]])/365),INT((TODAY()-RH[[#This Row],[Fecha de salida Laboral]])/365))</f>
        <v>1</v>
      </c>
    </row>
    <row r="139" spans="1:14" x14ac:dyDescent="0.3">
      <c r="A139" t="s">
        <v>312</v>
      </c>
      <c r="B139" t="s">
        <v>313</v>
      </c>
      <c r="C139" s="1">
        <v>44053</v>
      </c>
      <c r="D139" s="1"/>
      <c r="E139" t="s">
        <v>45</v>
      </c>
      <c r="F139" t="s">
        <v>59</v>
      </c>
      <c r="G139" t="s">
        <v>32</v>
      </c>
      <c r="H139" t="s">
        <v>16</v>
      </c>
      <c r="I139">
        <v>120797.03</v>
      </c>
      <c r="J139" s="1">
        <v>36593</v>
      </c>
      <c r="K139" t="s">
        <v>28</v>
      </c>
      <c r="L139" s="4" t="str">
        <f>IF(RH[[#This Row],[Fecha de salida Laboral]]="","Activo","Inactivo")</f>
        <v>Activo</v>
      </c>
      <c r="M139" s="4">
        <f ca="1">INT((TODAY()-RH[[#This Row],[Fecha Nacimiento]])/365)</f>
        <v>25</v>
      </c>
      <c r="N139" s="4">
        <f ca="1">IF(RH[[#This Row],[Fecha de salida Laboral]]="",INT((TODAY()-RH[[#This Row],[Fecha de Ingreso laboral]])/365),INT((TODAY()-RH[[#This Row],[Fecha de salida Laboral]])/365))</f>
        <v>5</v>
      </c>
    </row>
    <row r="140" spans="1:14" x14ac:dyDescent="0.3">
      <c r="A140" t="s">
        <v>314</v>
      </c>
      <c r="B140" t="s">
        <v>315</v>
      </c>
      <c r="C140" s="1">
        <v>43886</v>
      </c>
      <c r="D140" s="1">
        <v>45380</v>
      </c>
      <c r="E140" t="s">
        <v>45</v>
      </c>
      <c r="F140" t="s">
        <v>59</v>
      </c>
      <c r="G140" t="s">
        <v>22</v>
      </c>
      <c r="H140" t="s">
        <v>27</v>
      </c>
      <c r="I140">
        <v>92003.67</v>
      </c>
      <c r="J140" s="1">
        <v>31337</v>
      </c>
      <c r="K140" t="s">
        <v>17</v>
      </c>
      <c r="L140" s="4" t="str">
        <f>IF(RH[[#This Row],[Fecha de salida Laboral]]="","Activo","Inactivo")</f>
        <v>Inactivo</v>
      </c>
      <c r="M140" s="4">
        <f ca="1">INT((TODAY()-RH[[#This Row],[Fecha Nacimiento]])/365)</f>
        <v>40</v>
      </c>
      <c r="N140" s="4">
        <f ca="1">IF(RH[[#This Row],[Fecha de salida Laboral]]="",INT((TODAY()-RH[[#This Row],[Fecha de Ingreso laboral]])/365),INT((TODAY()-RH[[#This Row],[Fecha de salida Laboral]])/365))</f>
        <v>1</v>
      </c>
    </row>
    <row r="141" spans="1:14" x14ac:dyDescent="0.3">
      <c r="A141" t="s">
        <v>316</v>
      </c>
      <c r="B141" t="s">
        <v>317</v>
      </c>
      <c r="C141" s="1">
        <v>43623</v>
      </c>
      <c r="D141" s="1"/>
      <c r="E141" t="s">
        <v>73</v>
      </c>
      <c r="F141" t="s">
        <v>54</v>
      </c>
      <c r="G141" t="s">
        <v>35</v>
      </c>
      <c r="H141" t="s">
        <v>27</v>
      </c>
      <c r="I141">
        <v>49016.59</v>
      </c>
      <c r="J141" s="1">
        <v>33707</v>
      </c>
      <c r="K141" t="s">
        <v>17</v>
      </c>
      <c r="L141" s="4" t="str">
        <f>IF(RH[[#This Row],[Fecha de salida Laboral]]="","Activo","Inactivo")</f>
        <v>Activo</v>
      </c>
      <c r="M141" s="4">
        <f ca="1">INT((TODAY()-RH[[#This Row],[Fecha Nacimiento]])/365)</f>
        <v>33</v>
      </c>
      <c r="N141" s="4">
        <f ca="1">IF(RH[[#This Row],[Fecha de salida Laboral]]="",INT((TODAY()-RH[[#This Row],[Fecha de Ingreso laboral]])/365),INT((TODAY()-RH[[#This Row],[Fecha de salida Laboral]])/365))</f>
        <v>6</v>
      </c>
    </row>
    <row r="142" spans="1:14" x14ac:dyDescent="0.3">
      <c r="A142" t="s">
        <v>318</v>
      </c>
      <c r="B142" t="s">
        <v>319</v>
      </c>
      <c r="C142" s="1">
        <v>44056</v>
      </c>
      <c r="D142" s="1"/>
      <c r="E142" t="s">
        <v>13</v>
      </c>
      <c r="F142" t="s">
        <v>39</v>
      </c>
      <c r="G142" t="s">
        <v>103</v>
      </c>
      <c r="H142" t="s">
        <v>16</v>
      </c>
      <c r="I142">
        <v>106783.35</v>
      </c>
      <c r="J142" s="1">
        <v>25492</v>
      </c>
      <c r="K142" t="s">
        <v>28</v>
      </c>
      <c r="L142" s="4" t="str">
        <f>IF(RH[[#This Row],[Fecha de salida Laboral]]="","Activo","Inactivo")</f>
        <v>Activo</v>
      </c>
      <c r="M142" s="4">
        <f ca="1">INT((TODAY()-RH[[#This Row],[Fecha Nacimiento]])/365)</f>
        <v>56</v>
      </c>
      <c r="N142" s="4">
        <f ca="1">IF(RH[[#This Row],[Fecha de salida Laboral]]="",INT((TODAY()-RH[[#This Row],[Fecha de Ingreso laboral]])/365),INT((TODAY()-RH[[#This Row],[Fecha de salida Laboral]])/365))</f>
        <v>5</v>
      </c>
    </row>
    <row r="143" spans="1:14" x14ac:dyDescent="0.3">
      <c r="A143" t="s">
        <v>320</v>
      </c>
      <c r="B143" t="s">
        <v>321</v>
      </c>
      <c r="C143" s="1">
        <v>43733</v>
      </c>
      <c r="D143" s="1"/>
      <c r="E143" t="s">
        <v>45</v>
      </c>
      <c r="F143" t="s">
        <v>14</v>
      </c>
      <c r="G143" t="s">
        <v>88</v>
      </c>
      <c r="H143" t="s">
        <v>27</v>
      </c>
      <c r="I143">
        <v>127934.67</v>
      </c>
      <c r="J143" s="1">
        <v>28491</v>
      </c>
      <c r="K143" t="s">
        <v>17</v>
      </c>
      <c r="L143" s="4" t="str">
        <f>IF(RH[[#This Row],[Fecha de salida Laboral]]="","Activo","Inactivo")</f>
        <v>Activo</v>
      </c>
      <c r="M143" s="4">
        <f ca="1">INT((TODAY()-RH[[#This Row],[Fecha Nacimiento]])/365)</f>
        <v>48</v>
      </c>
      <c r="N143" s="4">
        <f ca="1">IF(RH[[#This Row],[Fecha de salida Laboral]]="",INT((TODAY()-RH[[#This Row],[Fecha de Ingreso laboral]])/365),INT((TODAY()-RH[[#This Row],[Fecha de salida Laboral]])/365))</f>
        <v>6</v>
      </c>
    </row>
    <row r="144" spans="1:14" x14ac:dyDescent="0.3">
      <c r="A144" t="s">
        <v>322</v>
      </c>
      <c r="B144" t="s">
        <v>323</v>
      </c>
      <c r="C144" s="1">
        <v>43608</v>
      </c>
      <c r="D144" s="1"/>
      <c r="E144" t="s">
        <v>42</v>
      </c>
      <c r="F144" t="s">
        <v>59</v>
      </c>
      <c r="G144" t="s">
        <v>74</v>
      </c>
      <c r="H144" t="s">
        <v>27</v>
      </c>
      <c r="I144">
        <v>47713.27</v>
      </c>
      <c r="J144" s="1">
        <v>35281</v>
      </c>
      <c r="K144" t="s">
        <v>28</v>
      </c>
      <c r="L144" s="4" t="str">
        <f>IF(RH[[#This Row],[Fecha de salida Laboral]]="","Activo","Inactivo")</f>
        <v>Activo</v>
      </c>
      <c r="M144" s="4">
        <f ca="1">INT((TODAY()-RH[[#This Row],[Fecha Nacimiento]])/365)</f>
        <v>29</v>
      </c>
      <c r="N144" s="4">
        <f ca="1">IF(RH[[#This Row],[Fecha de salida Laboral]]="",INT((TODAY()-RH[[#This Row],[Fecha de Ingreso laboral]])/365),INT((TODAY()-RH[[#This Row],[Fecha de salida Laboral]])/365))</f>
        <v>6</v>
      </c>
    </row>
    <row r="145" spans="1:14" x14ac:dyDescent="0.3">
      <c r="A145" t="s">
        <v>324</v>
      </c>
      <c r="B145" t="s">
        <v>325</v>
      </c>
      <c r="C145" s="1">
        <v>44137</v>
      </c>
      <c r="D145" s="1"/>
      <c r="E145" t="s">
        <v>13</v>
      </c>
      <c r="F145" t="s">
        <v>39</v>
      </c>
      <c r="G145" t="s">
        <v>88</v>
      </c>
      <c r="H145" t="s">
        <v>27</v>
      </c>
      <c r="I145">
        <v>139930.85</v>
      </c>
      <c r="J145" s="1">
        <v>29326</v>
      </c>
      <c r="K145" t="s">
        <v>17</v>
      </c>
      <c r="L145" s="4" t="str">
        <f>IF(RH[[#This Row],[Fecha de salida Laboral]]="","Activo","Inactivo")</f>
        <v>Activo</v>
      </c>
      <c r="M145" s="4">
        <f ca="1">INT((TODAY()-RH[[#This Row],[Fecha Nacimiento]])/365)</f>
        <v>45</v>
      </c>
      <c r="N145" s="4">
        <f ca="1">IF(RH[[#This Row],[Fecha de salida Laboral]]="",INT((TODAY()-RH[[#This Row],[Fecha de Ingreso laboral]])/365),INT((TODAY()-RH[[#This Row],[Fecha de salida Laboral]])/365))</f>
        <v>5</v>
      </c>
    </row>
    <row r="146" spans="1:14" x14ac:dyDescent="0.3">
      <c r="A146" t="s">
        <v>326</v>
      </c>
      <c r="B146" t="s">
        <v>327</v>
      </c>
      <c r="C146" s="1">
        <v>45308</v>
      </c>
      <c r="D146" s="1">
        <v>45304</v>
      </c>
      <c r="E146" t="s">
        <v>73</v>
      </c>
      <c r="F146" t="s">
        <v>54</v>
      </c>
      <c r="G146" t="s">
        <v>26</v>
      </c>
      <c r="H146" t="s">
        <v>27</v>
      </c>
      <c r="I146">
        <v>118385.92</v>
      </c>
      <c r="J146" s="1">
        <v>36312</v>
      </c>
      <c r="K146" t="s">
        <v>28</v>
      </c>
      <c r="L146" s="4" t="str">
        <f>IF(RH[[#This Row],[Fecha de salida Laboral]]="","Activo","Inactivo")</f>
        <v>Inactivo</v>
      </c>
      <c r="M146" s="4">
        <f ca="1">INT((TODAY()-RH[[#This Row],[Fecha Nacimiento]])/365)</f>
        <v>26</v>
      </c>
      <c r="N146" s="4">
        <f ca="1">IF(RH[[#This Row],[Fecha de salida Laboral]]="",INT((TODAY()-RH[[#This Row],[Fecha de Ingreso laboral]])/365),INT((TODAY()-RH[[#This Row],[Fecha de salida Laboral]])/365))</f>
        <v>1</v>
      </c>
    </row>
    <row r="147" spans="1:14" x14ac:dyDescent="0.3">
      <c r="A147" t="s">
        <v>328</v>
      </c>
      <c r="B147" t="s">
        <v>329</v>
      </c>
      <c r="C147" s="1">
        <v>45296</v>
      </c>
      <c r="D147" s="1"/>
      <c r="E147" t="s">
        <v>42</v>
      </c>
      <c r="F147" t="s">
        <v>39</v>
      </c>
      <c r="G147" t="s">
        <v>81</v>
      </c>
      <c r="H147" t="s">
        <v>16</v>
      </c>
      <c r="I147">
        <v>128092.82</v>
      </c>
      <c r="J147" s="1">
        <v>34127</v>
      </c>
      <c r="K147" t="s">
        <v>36</v>
      </c>
      <c r="L147" s="4" t="str">
        <f>IF(RH[[#This Row],[Fecha de salida Laboral]]="","Activo","Inactivo")</f>
        <v>Activo</v>
      </c>
      <c r="M147" s="4">
        <f ca="1">INT((TODAY()-RH[[#This Row],[Fecha Nacimiento]])/365)</f>
        <v>32</v>
      </c>
      <c r="N147" s="4">
        <f ca="1">IF(RH[[#This Row],[Fecha de salida Laboral]]="",INT((TODAY()-RH[[#This Row],[Fecha de Ingreso laboral]])/365),INT((TODAY()-RH[[#This Row],[Fecha de salida Laboral]])/365))</f>
        <v>1</v>
      </c>
    </row>
    <row r="148" spans="1:14" x14ac:dyDescent="0.3">
      <c r="A148" t="s">
        <v>330</v>
      </c>
      <c r="B148" t="s">
        <v>331</v>
      </c>
      <c r="C148" s="1">
        <v>43724</v>
      </c>
      <c r="D148" s="1">
        <v>45613</v>
      </c>
      <c r="E148" t="s">
        <v>42</v>
      </c>
      <c r="F148" t="s">
        <v>39</v>
      </c>
      <c r="G148" t="s">
        <v>103</v>
      </c>
      <c r="H148" t="s">
        <v>16</v>
      </c>
      <c r="I148">
        <v>70477.600000000006</v>
      </c>
      <c r="J148" s="1">
        <v>28133</v>
      </c>
      <c r="K148" t="s">
        <v>28</v>
      </c>
      <c r="L148" s="4" t="str">
        <f>IF(RH[[#This Row],[Fecha de salida Laboral]]="","Activo","Inactivo")</f>
        <v>Inactivo</v>
      </c>
      <c r="M148" s="4">
        <f ca="1">INT((TODAY()-RH[[#This Row],[Fecha Nacimiento]])/365)</f>
        <v>49</v>
      </c>
      <c r="N148" s="4">
        <f ca="1">IF(RH[[#This Row],[Fecha de salida Laboral]]="",INT((TODAY()-RH[[#This Row],[Fecha de Ingreso laboral]])/365),INT((TODAY()-RH[[#This Row],[Fecha de salida Laboral]])/365))</f>
        <v>1</v>
      </c>
    </row>
    <row r="149" spans="1:14" x14ac:dyDescent="0.3">
      <c r="A149" t="s">
        <v>332</v>
      </c>
      <c r="B149" t="s">
        <v>333</v>
      </c>
      <c r="C149" s="1">
        <v>44128</v>
      </c>
      <c r="D149" s="1">
        <v>45585</v>
      </c>
      <c r="E149" t="s">
        <v>20</v>
      </c>
      <c r="F149" t="s">
        <v>21</v>
      </c>
      <c r="G149" t="s">
        <v>74</v>
      </c>
      <c r="H149" t="s">
        <v>16</v>
      </c>
      <c r="I149">
        <v>34455.440000000002</v>
      </c>
      <c r="J149" s="1">
        <v>22819</v>
      </c>
      <c r="K149" t="s">
        <v>28</v>
      </c>
      <c r="L149" s="4" t="str">
        <f>IF(RH[[#This Row],[Fecha de salida Laboral]]="","Activo","Inactivo")</f>
        <v>Inactivo</v>
      </c>
      <c r="M149" s="4">
        <f ca="1">INT((TODAY()-RH[[#This Row],[Fecha Nacimiento]])/365)</f>
        <v>63</v>
      </c>
      <c r="N149" s="4">
        <f ca="1">IF(RH[[#This Row],[Fecha de salida Laboral]]="",INT((TODAY()-RH[[#This Row],[Fecha de Ingreso laboral]])/365),INT((TODAY()-RH[[#This Row],[Fecha de salida Laboral]])/365))</f>
        <v>1</v>
      </c>
    </row>
    <row r="150" spans="1:14" x14ac:dyDescent="0.3">
      <c r="A150" t="s">
        <v>334</v>
      </c>
      <c r="B150" t="s">
        <v>335</v>
      </c>
      <c r="C150" s="1">
        <v>45345</v>
      </c>
      <c r="D150" s="1">
        <v>45341</v>
      </c>
      <c r="E150" t="s">
        <v>13</v>
      </c>
      <c r="F150" t="s">
        <v>54</v>
      </c>
      <c r="G150" t="s">
        <v>81</v>
      </c>
      <c r="H150" t="s">
        <v>27</v>
      </c>
      <c r="I150">
        <v>108465.74</v>
      </c>
      <c r="J150" s="1">
        <v>30036</v>
      </c>
      <c r="K150" t="s">
        <v>28</v>
      </c>
      <c r="L150" s="4" t="str">
        <f>IF(RH[[#This Row],[Fecha de salida Laboral]]="","Activo","Inactivo")</f>
        <v>Inactivo</v>
      </c>
      <c r="M150" s="4">
        <f ca="1">INT((TODAY()-RH[[#This Row],[Fecha Nacimiento]])/365)</f>
        <v>43</v>
      </c>
      <c r="N150" s="4">
        <f ca="1">IF(RH[[#This Row],[Fecha de salida Laboral]]="",INT((TODAY()-RH[[#This Row],[Fecha de Ingreso laboral]])/365),INT((TODAY()-RH[[#This Row],[Fecha de salida Laboral]])/365))</f>
        <v>1</v>
      </c>
    </row>
    <row r="151" spans="1:14" x14ac:dyDescent="0.3">
      <c r="A151" t="s">
        <v>336</v>
      </c>
      <c r="B151" t="s">
        <v>337</v>
      </c>
      <c r="C151" s="1">
        <v>44973</v>
      </c>
      <c r="D151" s="1"/>
      <c r="E151" t="s">
        <v>31</v>
      </c>
      <c r="F151" t="s">
        <v>59</v>
      </c>
      <c r="G151" t="s">
        <v>26</v>
      </c>
      <c r="H151" t="s">
        <v>16</v>
      </c>
      <c r="I151">
        <v>126008.95</v>
      </c>
      <c r="J151" s="1">
        <v>23168</v>
      </c>
      <c r="K151" t="s">
        <v>17</v>
      </c>
      <c r="L151" s="4" t="str">
        <f>IF(RH[[#This Row],[Fecha de salida Laboral]]="","Activo","Inactivo")</f>
        <v>Activo</v>
      </c>
      <c r="M151" s="4">
        <f ca="1">INT((TODAY()-RH[[#This Row],[Fecha Nacimiento]])/365)</f>
        <v>62</v>
      </c>
      <c r="N151" s="4">
        <f ca="1">IF(RH[[#This Row],[Fecha de salida Laboral]]="",INT((TODAY()-RH[[#This Row],[Fecha de Ingreso laboral]])/365),INT((TODAY()-RH[[#This Row],[Fecha de salida Laboral]])/365))</f>
        <v>2</v>
      </c>
    </row>
    <row r="152" spans="1:14" x14ac:dyDescent="0.3">
      <c r="A152" t="s">
        <v>338</v>
      </c>
      <c r="B152" t="s">
        <v>339</v>
      </c>
      <c r="C152" s="1">
        <v>43478</v>
      </c>
      <c r="D152" s="1">
        <v>45497</v>
      </c>
      <c r="E152" t="s">
        <v>42</v>
      </c>
      <c r="F152" t="s">
        <v>25</v>
      </c>
      <c r="G152" t="s">
        <v>74</v>
      </c>
      <c r="H152" t="s">
        <v>16</v>
      </c>
      <c r="I152">
        <v>49296.42</v>
      </c>
      <c r="J152" s="1">
        <v>31053</v>
      </c>
      <c r="K152" t="s">
        <v>17</v>
      </c>
      <c r="L152" s="4" t="str">
        <f>IF(RH[[#This Row],[Fecha de salida Laboral]]="","Activo","Inactivo")</f>
        <v>Inactivo</v>
      </c>
      <c r="M152" s="4">
        <f ca="1">INT((TODAY()-RH[[#This Row],[Fecha Nacimiento]])/365)</f>
        <v>41</v>
      </c>
      <c r="N152" s="4">
        <f ca="1">IF(RH[[#This Row],[Fecha de salida Laboral]]="",INT((TODAY()-RH[[#This Row],[Fecha de Ingreso laboral]])/365),INT((TODAY()-RH[[#This Row],[Fecha de salida Laboral]])/365))</f>
        <v>1</v>
      </c>
    </row>
    <row r="153" spans="1:14" x14ac:dyDescent="0.3">
      <c r="A153" t="s">
        <v>340</v>
      </c>
      <c r="B153" t="s">
        <v>341</v>
      </c>
      <c r="C153" s="1">
        <v>45369</v>
      </c>
      <c r="D153" s="1">
        <v>45432</v>
      </c>
      <c r="E153" t="s">
        <v>20</v>
      </c>
      <c r="F153" t="s">
        <v>14</v>
      </c>
      <c r="G153" t="s">
        <v>35</v>
      </c>
      <c r="H153" t="s">
        <v>27</v>
      </c>
      <c r="I153">
        <v>61023.76</v>
      </c>
      <c r="J153" s="1">
        <v>38756</v>
      </c>
      <c r="K153" t="s">
        <v>17</v>
      </c>
      <c r="L153" s="4" t="str">
        <f>IF(RH[[#This Row],[Fecha de salida Laboral]]="","Activo","Inactivo")</f>
        <v>Inactivo</v>
      </c>
      <c r="M153" s="4">
        <f ca="1">INT((TODAY()-RH[[#This Row],[Fecha Nacimiento]])/365)</f>
        <v>19</v>
      </c>
      <c r="N153" s="4">
        <f ca="1">IF(RH[[#This Row],[Fecha de salida Laboral]]="",INT((TODAY()-RH[[#This Row],[Fecha de Ingreso laboral]])/365),INT((TODAY()-RH[[#This Row],[Fecha de salida Laboral]])/365))</f>
        <v>1</v>
      </c>
    </row>
    <row r="154" spans="1:14" x14ac:dyDescent="0.3">
      <c r="A154" t="s">
        <v>342</v>
      </c>
      <c r="B154" t="s">
        <v>343</v>
      </c>
      <c r="C154" s="1">
        <v>43826</v>
      </c>
      <c r="D154" s="1">
        <v>45550</v>
      </c>
      <c r="E154" t="s">
        <v>73</v>
      </c>
      <c r="F154" t="s">
        <v>59</v>
      </c>
      <c r="G154" t="s">
        <v>15</v>
      </c>
      <c r="H154" t="s">
        <v>16</v>
      </c>
      <c r="I154">
        <v>129360.68</v>
      </c>
      <c r="J154" s="1">
        <v>30256</v>
      </c>
      <c r="K154" t="s">
        <v>36</v>
      </c>
      <c r="L154" s="4" t="str">
        <f>IF(RH[[#This Row],[Fecha de salida Laboral]]="","Activo","Inactivo")</f>
        <v>Inactivo</v>
      </c>
      <c r="M154" s="4">
        <f ca="1">INT((TODAY()-RH[[#This Row],[Fecha Nacimiento]])/365)</f>
        <v>43</v>
      </c>
      <c r="N154" s="4">
        <f ca="1">IF(RH[[#This Row],[Fecha de salida Laboral]]="",INT((TODAY()-RH[[#This Row],[Fecha de Ingreso laboral]])/365),INT((TODAY()-RH[[#This Row],[Fecha de salida Laboral]])/365))</f>
        <v>1</v>
      </c>
    </row>
    <row r="155" spans="1:14" x14ac:dyDescent="0.3">
      <c r="A155" t="s">
        <v>344</v>
      </c>
      <c r="B155" t="s">
        <v>345</v>
      </c>
      <c r="C155" s="1">
        <v>44405</v>
      </c>
      <c r="D155" s="1">
        <v>45588</v>
      </c>
      <c r="E155" t="s">
        <v>45</v>
      </c>
      <c r="F155" t="s">
        <v>25</v>
      </c>
      <c r="G155" t="s">
        <v>15</v>
      </c>
      <c r="H155" t="s">
        <v>16</v>
      </c>
      <c r="I155">
        <v>33706.559999999998</v>
      </c>
      <c r="J155" s="1">
        <v>36087</v>
      </c>
      <c r="K155" t="s">
        <v>28</v>
      </c>
      <c r="L155" s="4" t="str">
        <f>IF(RH[[#This Row],[Fecha de salida Laboral]]="","Activo","Inactivo")</f>
        <v>Inactivo</v>
      </c>
      <c r="M155" s="4">
        <f ca="1">INT((TODAY()-RH[[#This Row],[Fecha Nacimiento]])/365)</f>
        <v>27</v>
      </c>
      <c r="N155" s="4">
        <f ca="1">IF(RH[[#This Row],[Fecha de salida Laboral]]="",INT((TODAY()-RH[[#This Row],[Fecha de Ingreso laboral]])/365),INT((TODAY()-RH[[#This Row],[Fecha de salida Laboral]])/365))</f>
        <v>1</v>
      </c>
    </row>
    <row r="156" spans="1:14" x14ac:dyDescent="0.3">
      <c r="A156" t="s">
        <v>346</v>
      </c>
      <c r="B156" t="s">
        <v>347</v>
      </c>
      <c r="C156" s="1">
        <v>45003</v>
      </c>
      <c r="D156" s="1"/>
      <c r="E156" t="s">
        <v>20</v>
      </c>
      <c r="F156" t="s">
        <v>21</v>
      </c>
      <c r="G156" t="s">
        <v>70</v>
      </c>
      <c r="H156" t="s">
        <v>16</v>
      </c>
      <c r="I156">
        <v>142606.82</v>
      </c>
      <c r="J156" s="1">
        <v>37125</v>
      </c>
      <c r="K156" t="s">
        <v>36</v>
      </c>
      <c r="L156" s="4" t="str">
        <f>IF(RH[[#This Row],[Fecha de salida Laboral]]="","Activo","Inactivo")</f>
        <v>Activo</v>
      </c>
      <c r="M156" s="4">
        <f ca="1">INT((TODAY()-RH[[#This Row],[Fecha Nacimiento]])/365)</f>
        <v>24</v>
      </c>
      <c r="N156" s="4">
        <f ca="1">IF(RH[[#This Row],[Fecha de salida Laboral]]="",INT((TODAY()-RH[[#This Row],[Fecha de Ingreso laboral]])/365),INT((TODAY()-RH[[#This Row],[Fecha de salida Laboral]])/365))</f>
        <v>2</v>
      </c>
    </row>
    <row r="157" spans="1:14" x14ac:dyDescent="0.3">
      <c r="A157" t="s">
        <v>348</v>
      </c>
      <c r="B157" t="s">
        <v>349</v>
      </c>
      <c r="C157" s="1">
        <v>44134</v>
      </c>
      <c r="D157" s="1"/>
      <c r="E157" t="s">
        <v>45</v>
      </c>
      <c r="F157" t="s">
        <v>21</v>
      </c>
      <c r="G157" t="s">
        <v>35</v>
      </c>
      <c r="H157" t="s">
        <v>27</v>
      </c>
      <c r="I157">
        <v>133605.57</v>
      </c>
      <c r="J157" s="1">
        <v>27514</v>
      </c>
      <c r="K157" t="s">
        <v>28</v>
      </c>
      <c r="L157" s="4" t="str">
        <f>IF(RH[[#This Row],[Fecha de salida Laboral]]="","Activo","Inactivo")</f>
        <v>Activo</v>
      </c>
      <c r="M157" s="4">
        <f ca="1">INT((TODAY()-RH[[#This Row],[Fecha Nacimiento]])/365)</f>
        <v>50</v>
      </c>
      <c r="N157" s="4">
        <f ca="1">IF(RH[[#This Row],[Fecha de salida Laboral]]="",INT((TODAY()-RH[[#This Row],[Fecha de Ingreso laboral]])/365),INT((TODAY()-RH[[#This Row],[Fecha de salida Laboral]])/365))</f>
        <v>5</v>
      </c>
    </row>
    <row r="158" spans="1:14" x14ac:dyDescent="0.3">
      <c r="A158" t="s">
        <v>350</v>
      </c>
      <c r="B158" t="s">
        <v>351</v>
      </c>
      <c r="C158" s="1">
        <v>43557</v>
      </c>
      <c r="D158" s="1"/>
      <c r="E158" t="s">
        <v>20</v>
      </c>
      <c r="F158" t="s">
        <v>54</v>
      </c>
      <c r="G158" t="s">
        <v>88</v>
      </c>
      <c r="H158" t="s">
        <v>27</v>
      </c>
      <c r="I158">
        <v>104261.88</v>
      </c>
      <c r="J158" s="1">
        <v>28114</v>
      </c>
      <c r="K158" t="s">
        <v>36</v>
      </c>
      <c r="L158" s="4" t="str">
        <f>IF(RH[[#This Row],[Fecha de salida Laboral]]="","Activo","Inactivo")</f>
        <v>Activo</v>
      </c>
      <c r="M158" s="4">
        <f ca="1">INT((TODAY()-RH[[#This Row],[Fecha Nacimiento]])/365)</f>
        <v>49</v>
      </c>
      <c r="N158" s="4">
        <f ca="1">IF(RH[[#This Row],[Fecha de salida Laboral]]="",INT((TODAY()-RH[[#This Row],[Fecha de Ingreso laboral]])/365),INT((TODAY()-RH[[#This Row],[Fecha de salida Laboral]])/365))</f>
        <v>6</v>
      </c>
    </row>
    <row r="159" spans="1:14" x14ac:dyDescent="0.3">
      <c r="A159" t="s">
        <v>352</v>
      </c>
      <c r="B159" t="s">
        <v>353</v>
      </c>
      <c r="C159" s="1">
        <v>44418</v>
      </c>
      <c r="D159" s="1"/>
      <c r="E159" t="s">
        <v>45</v>
      </c>
      <c r="F159" t="s">
        <v>59</v>
      </c>
      <c r="G159" t="s">
        <v>81</v>
      </c>
      <c r="H159" t="s">
        <v>27</v>
      </c>
      <c r="I159">
        <v>38891.43</v>
      </c>
      <c r="J159" s="1">
        <v>24224</v>
      </c>
      <c r="K159" t="s">
        <v>36</v>
      </c>
      <c r="L159" s="4" t="str">
        <f>IF(RH[[#This Row],[Fecha de salida Laboral]]="","Activo","Inactivo")</f>
        <v>Activo</v>
      </c>
      <c r="M159" s="4">
        <f ca="1">INT((TODAY()-RH[[#This Row],[Fecha Nacimiento]])/365)</f>
        <v>59</v>
      </c>
      <c r="N159" s="4">
        <f ca="1">IF(RH[[#This Row],[Fecha de salida Laboral]]="",INT((TODAY()-RH[[#This Row],[Fecha de Ingreso laboral]])/365),INT((TODAY()-RH[[#This Row],[Fecha de salida Laboral]])/365))</f>
        <v>4</v>
      </c>
    </row>
    <row r="160" spans="1:14" x14ac:dyDescent="0.3">
      <c r="A160" t="s">
        <v>354</v>
      </c>
      <c r="B160" t="s">
        <v>355</v>
      </c>
      <c r="C160" s="1">
        <v>44451</v>
      </c>
      <c r="D160" s="1">
        <v>45585</v>
      </c>
      <c r="E160" t="s">
        <v>31</v>
      </c>
      <c r="F160" t="s">
        <v>39</v>
      </c>
      <c r="G160" t="s">
        <v>22</v>
      </c>
      <c r="H160" t="s">
        <v>27</v>
      </c>
      <c r="I160">
        <v>70608.710000000006</v>
      </c>
      <c r="J160" s="1">
        <v>29059</v>
      </c>
      <c r="K160" t="s">
        <v>17</v>
      </c>
      <c r="L160" s="4" t="str">
        <f>IF(RH[[#This Row],[Fecha de salida Laboral]]="","Activo","Inactivo")</f>
        <v>Inactivo</v>
      </c>
      <c r="M160" s="4">
        <f ca="1">INT((TODAY()-RH[[#This Row],[Fecha Nacimiento]])/365)</f>
        <v>46</v>
      </c>
      <c r="N160" s="4">
        <f ca="1">IF(RH[[#This Row],[Fecha de salida Laboral]]="",INT((TODAY()-RH[[#This Row],[Fecha de Ingreso laboral]])/365),INT((TODAY()-RH[[#This Row],[Fecha de salida Laboral]])/365))</f>
        <v>1</v>
      </c>
    </row>
    <row r="161" spans="1:14" x14ac:dyDescent="0.3">
      <c r="A161" t="s">
        <v>356</v>
      </c>
      <c r="B161" t="s">
        <v>357</v>
      </c>
      <c r="C161" s="1">
        <v>43993</v>
      </c>
      <c r="D161" s="1">
        <v>45345</v>
      </c>
      <c r="E161" t="s">
        <v>45</v>
      </c>
      <c r="F161" t="s">
        <v>39</v>
      </c>
      <c r="G161" t="s">
        <v>74</v>
      </c>
      <c r="H161" t="s">
        <v>27</v>
      </c>
      <c r="I161">
        <v>117663.97</v>
      </c>
      <c r="J161" s="1">
        <v>22908</v>
      </c>
      <c r="K161" t="s">
        <v>28</v>
      </c>
      <c r="L161" s="4" t="str">
        <f>IF(RH[[#This Row],[Fecha de salida Laboral]]="","Activo","Inactivo")</f>
        <v>Inactivo</v>
      </c>
      <c r="M161" s="4">
        <f ca="1">INT((TODAY()-RH[[#This Row],[Fecha Nacimiento]])/365)</f>
        <v>63</v>
      </c>
      <c r="N161" s="4">
        <f ca="1">IF(RH[[#This Row],[Fecha de salida Laboral]]="",INT((TODAY()-RH[[#This Row],[Fecha de Ingreso laboral]])/365),INT((TODAY()-RH[[#This Row],[Fecha de salida Laboral]])/365))</f>
        <v>1</v>
      </c>
    </row>
    <row r="162" spans="1:14" x14ac:dyDescent="0.3">
      <c r="A162" t="s">
        <v>358</v>
      </c>
      <c r="B162" t="s">
        <v>359</v>
      </c>
      <c r="C162" s="1">
        <v>44727</v>
      </c>
      <c r="D162" s="1">
        <v>45317</v>
      </c>
      <c r="E162" t="s">
        <v>31</v>
      </c>
      <c r="F162" t="s">
        <v>14</v>
      </c>
      <c r="G162" t="s">
        <v>26</v>
      </c>
      <c r="H162" t="s">
        <v>16</v>
      </c>
      <c r="I162">
        <v>42792.89</v>
      </c>
      <c r="J162" s="1">
        <v>25239</v>
      </c>
      <c r="K162" t="s">
        <v>36</v>
      </c>
      <c r="L162" s="4" t="str">
        <f>IF(RH[[#This Row],[Fecha de salida Laboral]]="","Activo","Inactivo")</f>
        <v>Inactivo</v>
      </c>
      <c r="M162" s="4">
        <f ca="1">INT((TODAY()-RH[[#This Row],[Fecha Nacimiento]])/365)</f>
        <v>56</v>
      </c>
      <c r="N162" s="4">
        <f ca="1">IF(RH[[#This Row],[Fecha de salida Laboral]]="",INT((TODAY()-RH[[#This Row],[Fecha de Ingreso laboral]])/365),INT((TODAY()-RH[[#This Row],[Fecha de salida Laboral]])/365))</f>
        <v>1</v>
      </c>
    </row>
    <row r="163" spans="1:14" x14ac:dyDescent="0.3">
      <c r="A163" t="s">
        <v>360</v>
      </c>
      <c r="B163" t="s">
        <v>361</v>
      </c>
      <c r="C163" s="1">
        <v>43590</v>
      </c>
      <c r="D163" s="1"/>
      <c r="E163" t="s">
        <v>45</v>
      </c>
      <c r="F163" t="s">
        <v>25</v>
      </c>
      <c r="G163" t="s">
        <v>103</v>
      </c>
      <c r="H163" t="s">
        <v>27</v>
      </c>
      <c r="I163">
        <v>90300.56</v>
      </c>
      <c r="J163" s="1">
        <v>31776</v>
      </c>
      <c r="K163" t="s">
        <v>36</v>
      </c>
      <c r="L163" s="4" t="str">
        <f>IF(RH[[#This Row],[Fecha de salida Laboral]]="","Activo","Inactivo")</f>
        <v>Activo</v>
      </c>
      <c r="M163" s="4">
        <f ca="1">INT((TODAY()-RH[[#This Row],[Fecha Nacimiento]])/365)</f>
        <v>39</v>
      </c>
      <c r="N163" s="4">
        <f ca="1">IF(RH[[#This Row],[Fecha de salida Laboral]]="",INT((TODAY()-RH[[#This Row],[Fecha de Ingreso laboral]])/365),INT((TODAY()-RH[[#This Row],[Fecha de salida Laboral]])/365))</f>
        <v>6</v>
      </c>
    </row>
    <row r="164" spans="1:14" x14ac:dyDescent="0.3">
      <c r="A164" t="s">
        <v>362</v>
      </c>
      <c r="B164" t="s">
        <v>363</v>
      </c>
      <c r="C164" s="1">
        <v>45525</v>
      </c>
      <c r="D164" s="1"/>
      <c r="E164" t="s">
        <v>42</v>
      </c>
      <c r="F164" t="s">
        <v>21</v>
      </c>
      <c r="G164" t="s">
        <v>88</v>
      </c>
      <c r="H164" t="s">
        <v>27</v>
      </c>
      <c r="I164">
        <v>109827.68</v>
      </c>
      <c r="J164" s="1">
        <v>36595</v>
      </c>
      <c r="K164" t="s">
        <v>17</v>
      </c>
      <c r="L164" s="4" t="str">
        <f>IF(RH[[#This Row],[Fecha de salida Laboral]]="","Activo","Inactivo")</f>
        <v>Activo</v>
      </c>
      <c r="M164" s="4">
        <f ca="1">INT((TODAY()-RH[[#This Row],[Fecha Nacimiento]])/365)</f>
        <v>25</v>
      </c>
      <c r="N164" s="4">
        <f ca="1">IF(RH[[#This Row],[Fecha de salida Laboral]]="",INT((TODAY()-RH[[#This Row],[Fecha de Ingreso laboral]])/365),INT((TODAY()-RH[[#This Row],[Fecha de salida Laboral]])/365))</f>
        <v>1</v>
      </c>
    </row>
    <row r="165" spans="1:14" x14ac:dyDescent="0.3">
      <c r="A165" t="s">
        <v>364</v>
      </c>
      <c r="B165" t="s">
        <v>365</v>
      </c>
      <c r="C165" s="1">
        <v>43652</v>
      </c>
      <c r="D165" s="1"/>
      <c r="E165" t="s">
        <v>73</v>
      </c>
      <c r="F165" t="s">
        <v>54</v>
      </c>
      <c r="G165" t="s">
        <v>32</v>
      </c>
      <c r="H165" t="s">
        <v>27</v>
      </c>
      <c r="I165">
        <v>103088.85</v>
      </c>
      <c r="J165" s="1">
        <v>31513</v>
      </c>
      <c r="K165" t="s">
        <v>28</v>
      </c>
      <c r="L165" s="4" t="str">
        <f>IF(RH[[#This Row],[Fecha de salida Laboral]]="","Activo","Inactivo")</f>
        <v>Activo</v>
      </c>
      <c r="M165" s="4">
        <f ca="1">INT((TODAY()-RH[[#This Row],[Fecha Nacimiento]])/365)</f>
        <v>39</v>
      </c>
      <c r="N165" s="4">
        <f ca="1">IF(RH[[#This Row],[Fecha de salida Laboral]]="",INT((TODAY()-RH[[#This Row],[Fecha de Ingreso laboral]])/365),INT((TODAY()-RH[[#This Row],[Fecha de salida Laboral]])/365))</f>
        <v>6</v>
      </c>
    </row>
    <row r="166" spans="1:14" x14ac:dyDescent="0.3">
      <c r="A166" t="s">
        <v>366</v>
      </c>
      <c r="B166" t="s">
        <v>367</v>
      </c>
      <c r="C166" s="1">
        <v>44766</v>
      </c>
      <c r="D166" s="1"/>
      <c r="E166" t="s">
        <v>13</v>
      </c>
      <c r="F166" t="s">
        <v>54</v>
      </c>
      <c r="G166" t="s">
        <v>26</v>
      </c>
      <c r="H166" t="s">
        <v>16</v>
      </c>
      <c r="I166">
        <v>91744.72</v>
      </c>
      <c r="J166" s="1">
        <v>36005</v>
      </c>
      <c r="K166" t="s">
        <v>36</v>
      </c>
      <c r="L166" s="4" t="str">
        <f>IF(RH[[#This Row],[Fecha de salida Laboral]]="","Activo","Inactivo")</f>
        <v>Activo</v>
      </c>
      <c r="M166" s="4">
        <f ca="1">INT((TODAY()-RH[[#This Row],[Fecha Nacimiento]])/365)</f>
        <v>27</v>
      </c>
      <c r="N166" s="4">
        <f ca="1">IF(RH[[#This Row],[Fecha de salida Laboral]]="",INT((TODAY()-RH[[#This Row],[Fecha de Ingreso laboral]])/365),INT((TODAY()-RH[[#This Row],[Fecha de salida Laboral]])/365))</f>
        <v>3</v>
      </c>
    </row>
    <row r="167" spans="1:14" x14ac:dyDescent="0.3">
      <c r="A167" t="s">
        <v>368</v>
      </c>
      <c r="B167" t="s">
        <v>369</v>
      </c>
      <c r="C167" s="1">
        <v>45504</v>
      </c>
      <c r="D167" s="1">
        <v>45374</v>
      </c>
      <c r="E167" t="s">
        <v>31</v>
      </c>
      <c r="F167" t="s">
        <v>54</v>
      </c>
      <c r="G167" t="s">
        <v>88</v>
      </c>
      <c r="H167" t="s">
        <v>16</v>
      </c>
      <c r="I167">
        <v>145970.16</v>
      </c>
      <c r="J167" s="1">
        <v>36967</v>
      </c>
      <c r="K167" t="s">
        <v>17</v>
      </c>
      <c r="L167" s="4" t="str">
        <f>IF(RH[[#This Row],[Fecha de salida Laboral]]="","Activo","Inactivo")</f>
        <v>Inactivo</v>
      </c>
      <c r="M167" s="4">
        <f ca="1">INT((TODAY()-RH[[#This Row],[Fecha Nacimiento]])/365)</f>
        <v>24</v>
      </c>
      <c r="N167" s="4">
        <f ca="1">IF(RH[[#This Row],[Fecha de salida Laboral]]="",INT((TODAY()-RH[[#This Row],[Fecha de Ingreso laboral]])/365),INT((TODAY()-RH[[#This Row],[Fecha de salida Laboral]])/365))</f>
        <v>1</v>
      </c>
    </row>
    <row r="168" spans="1:14" x14ac:dyDescent="0.3">
      <c r="A168" t="s">
        <v>370</v>
      </c>
      <c r="B168" t="s">
        <v>371</v>
      </c>
      <c r="C168" s="1">
        <v>44909</v>
      </c>
      <c r="D168" s="1">
        <v>45453</v>
      </c>
      <c r="E168" t="s">
        <v>73</v>
      </c>
      <c r="F168" t="s">
        <v>54</v>
      </c>
      <c r="G168" t="s">
        <v>35</v>
      </c>
      <c r="H168" t="s">
        <v>27</v>
      </c>
      <c r="I168">
        <v>144374.5</v>
      </c>
      <c r="J168" s="1">
        <v>35250</v>
      </c>
      <c r="K168" t="s">
        <v>28</v>
      </c>
      <c r="L168" s="4" t="str">
        <f>IF(RH[[#This Row],[Fecha de salida Laboral]]="","Activo","Inactivo")</f>
        <v>Inactivo</v>
      </c>
      <c r="M168" s="4">
        <f ca="1">INT((TODAY()-RH[[#This Row],[Fecha Nacimiento]])/365)</f>
        <v>29</v>
      </c>
      <c r="N168" s="4">
        <f ca="1">IF(RH[[#This Row],[Fecha de salida Laboral]]="",INT((TODAY()-RH[[#This Row],[Fecha de Ingreso laboral]])/365),INT((TODAY()-RH[[#This Row],[Fecha de salida Laboral]])/365))</f>
        <v>1</v>
      </c>
    </row>
    <row r="169" spans="1:14" x14ac:dyDescent="0.3">
      <c r="A169" t="s">
        <v>372</v>
      </c>
      <c r="B169" t="s">
        <v>373</v>
      </c>
      <c r="C169" s="1">
        <v>45166</v>
      </c>
      <c r="D169" s="1"/>
      <c r="E169" t="s">
        <v>45</v>
      </c>
      <c r="F169" t="s">
        <v>14</v>
      </c>
      <c r="G169" t="s">
        <v>81</v>
      </c>
      <c r="H169" t="s">
        <v>27</v>
      </c>
      <c r="I169">
        <v>49759.69</v>
      </c>
      <c r="J169" s="1">
        <v>21634</v>
      </c>
      <c r="K169" t="s">
        <v>17</v>
      </c>
      <c r="L169" s="4" t="str">
        <f>IF(RH[[#This Row],[Fecha de salida Laboral]]="","Activo","Inactivo")</f>
        <v>Activo</v>
      </c>
      <c r="M169" s="4">
        <f ca="1">INT((TODAY()-RH[[#This Row],[Fecha Nacimiento]])/365)</f>
        <v>66</v>
      </c>
      <c r="N169" s="4">
        <f ca="1">IF(RH[[#This Row],[Fecha de salida Laboral]]="",INT((TODAY()-RH[[#This Row],[Fecha de Ingreso laboral]])/365),INT((TODAY()-RH[[#This Row],[Fecha de salida Laboral]])/365))</f>
        <v>2</v>
      </c>
    </row>
    <row r="170" spans="1:14" x14ac:dyDescent="0.3">
      <c r="A170" t="s">
        <v>374</v>
      </c>
      <c r="B170" t="s">
        <v>375</v>
      </c>
      <c r="C170" s="1">
        <v>44592</v>
      </c>
      <c r="D170" s="1"/>
      <c r="E170" t="s">
        <v>13</v>
      </c>
      <c r="F170" t="s">
        <v>21</v>
      </c>
      <c r="G170" t="s">
        <v>15</v>
      </c>
      <c r="H170" t="s">
        <v>16</v>
      </c>
      <c r="I170">
        <v>140468.16</v>
      </c>
      <c r="J170" s="1">
        <v>36039</v>
      </c>
      <c r="K170" t="s">
        <v>36</v>
      </c>
      <c r="L170" s="4" t="str">
        <f>IF(RH[[#This Row],[Fecha de salida Laboral]]="","Activo","Inactivo")</f>
        <v>Activo</v>
      </c>
      <c r="M170" s="4">
        <f ca="1">INT((TODAY()-RH[[#This Row],[Fecha Nacimiento]])/365)</f>
        <v>27</v>
      </c>
      <c r="N170" s="4">
        <f ca="1">IF(RH[[#This Row],[Fecha de salida Laboral]]="",INT((TODAY()-RH[[#This Row],[Fecha de Ingreso laboral]])/365),INT((TODAY()-RH[[#This Row],[Fecha de salida Laboral]])/365))</f>
        <v>3</v>
      </c>
    </row>
    <row r="171" spans="1:14" x14ac:dyDescent="0.3">
      <c r="A171" t="s">
        <v>376</v>
      </c>
      <c r="B171" t="s">
        <v>377</v>
      </c>
      <c r="C171" s="1">
        <v>45517</v>
      </c>
      <c r="D171" s="1"/>
      <c r="E171" t="s">
        <v>73</v>
      </c>
      <c r="F171" t="s">
        <v>59</v>
      </c>
      <c r="G171" t="s">
        <v>103</v>
      </c>
      <c r="H171" t="s">
        <v>16</v>
      </c>
      <c r="I171">
        <v>65761.929999999993</v>
      </c>
      <c r="J171" s="1">
        <v>29090</v>
      </c>
      <c r="K171" t="s">
        <v>17</v>
      </c>
      <c r="L171" s="4" t="str">
        <f>IF(RH[[#This Row],[Fecha de salida Laboral]]="","Activo","Inactivo")</f>
        <v>Activo</v>
      </c>
      <c r="M171" s="4">
        <f ca="1">INT((TODAY()-RH[[#This Row],[Fecha Nacimiento]])/365)</f>
        <v>46</v>
      </c>
      <c r="N171" s="4">
        <f ca="1">IF(RH[[#This Row],[Fecha de salida Laboral]]="",INT((TODAY()-RH[[#This Row],[Fecha de Ingreso laboral]])/365),INT((TODAY()-RH[[#This Row],[Fecha de salida Laboral]])/365))</f>
        <v>1</v>
      </c>
    </row>
    <row r="172" spans="1:14" x14ac:dyDescent="0.3">
      <c r="A172" t="s">
        <v>378</v>
      </c>
      <c r="B172" t="s">
        <v>379</v>
      </c>
      <c r="C172" s="1">
        <v>43614</v>
      </c>
      <c r="D172" s="1"/>
      <c r="E172" t="s">
        <v>42</v>
      </c>
      <c r="F172" t="s">
        <v>14</v>
      </c>
      <c r="G172" t="s">
        <v>26</v>
      </c>
      <c r="H172" t="s">
        <v>16</v>
      </c>
      <c r="I172">
        <v>56044.03</v>
      </c>
      <c r="J172" s="1">
        <v>32790</v>
      </c>
      <c r="K172" t="s">
        <v>36</v>
      </c>
      <c r="L172" s="4" t="str">
        <f>IF(RH[[#This Row],[Fecha de salida Laboral]]="","Activo","Inactivo")</f>
        <v>Activo</v>
      </c>
      <c r="M172" s="4">
        <f ca="1">INT((TODAY()-RH[[#This Row],[Fecha Nacimiento]])/365)</f>
        <v>36</v>
      </c>
      <c r="N172" s="4">
        <f ca="1">IF(RH[[#This Row],[Fecha de salida Laboral]]="",INT((TODAY()-RH[[#This Row],[Fecha de Ingreso laboral]])/365),INT((TODAY()-RH[[#This Row],[Fecha de salida Laboral]])/365))</f>
        <v>6</v>
      </c>
    </row>
    <row r="173" spans="1:14" x14ac:dyDescent="0.3">
      <c r="A173" t="s">
        <v>380</v>
      </c>
      <c r="B173" t="s">
        <v>381</v>
      </c>
      <c r="C173" s="1">
        <v>45443</v>
      </c>
      <c r="D173" s="1">
        <v>45639</v>
      </c>
      <c r="E173" t="s">
        <v>31</v>
      </c>
      <c r="F173" t="s">
        <v>14</v>
      </c>
      <c r="G173" t="s">
        <v>88</v>
      </c>
      <c r="H173" t="s">
        <v>27</v>
      </c>
      <c r="I173">
        <v>57804.37</v>
      </c>
      <c r="J173" s="1">
        <v>25757</v>
      </c>
      <c r="K173" t="s">
        <v>36</v>
      </c>
      <c r="L173" s="4" t="str">
        <f>IF(RH[[#This Row],[Fecha de salida Laboral]]="","Activo","Inactivo")</f>
        <v>Inactivo</v>
      </c>
      <c r="M173" s="4">
        <f ca="1">INT((TODAY()-RH[[#This Row],[Fecha Nacimiento]])/365)</f>
        <v>55</v>
      </c>
      <c r="N173" s="4">
        <f ca="1">IF(RH[[#This Row],[Fecha de salida Laboral]]="",INT((TODAY()-RH[[#This Row],[Fecha de Ingreso laboral]])/365),INT((TODAY()-RH[[#This Row],[Fecha de salida Laboral]])/365))</f>
        <v>1</v>
      </c>
    </row>
    <row r="174" spans="1:14" x14ac:dyDescent="0.3">
      <c r="A174" t="s">
        <v>382</v>
      </c>
      <c r="B174" t="s">
        <v>383</v>
      </c>
      <c r="C174" s="1">
        <v>45474</v>
      </c>
      <c r="D174" s="1"/>
      <c r="E174" t="s">
        <v>73</v>
      </c>
      <c r="F174" t="s">
        <v>25</v>
      </c>
      <c r="G174" t="s">
        <v>32</v>
      </c>
      <c r="H174" t="s">
        <v>16</v>
      </c>
      <c r="I174">
        <v>140123.92000000001</v>
      </c>
      <c r="J174" s="1">
        <v>27122</v>
      </c>
      <c r="K174" t="s">
        <v>28</v>
      </c>
      <c r="L174" s="4" t="str">
        <f>IF(RH[[#This Row],[Fecha de salida Laboral]]="","Activo","Inactivo")</f>
        <v>Activo</v>
      </c>
      <c r="M174" s="4">
        <f ca="1">INT((TODAY()-RH[[#This Row],[Fecha Nacimiento]])/365)</f>
        <v>51</v>
      </c>
      <c r="N174" s="4">
        <f ca="1">IF(RH[[#This Row],[Fecha de salida Laboral]]="",INT((TODAY()-RH[[#This Row],[Fecha de Ingreso laboral]])/365),INT((TODAY()-RH[[#This Row],[Fecha de salida Laboral]])/365))</f>
        <v>1</v>
      </c>
    </row>
    <row r="175" spans="1:14" x14ac:dyDescent="0.3">
      <c r="A175" t="s">
        <v>384</v>
      </c>
      <c r="B175" t="s">
        <v>385</v>
      </c>
      <c r="C175" s="1">
        <v>44221</v>
      </c>
      <c r="D175" s="1"/>
      <c r="E175" t="s">
        <v>13</v>
      </c>
      <c r="F175" t="s">
        <v>54</v>
      </c>
      <c r="G175" t="s">
        <v>26</v>
      </c>
      <c r="H175" t="s">
        <v>16</v>
      </c>
      <c r="I175">
        <v>93191.33</v>
      </c>
      <c r="J175" s="1">
        <v>25482</v>
      </c>
      <c r="K175" t="s">
        <v>36</v>
      </c>
      <c r="L175" s="4" t="str">
        <f>IF(RH[[#This Row],[Fecha de salida Laboral]]="","Activo","Inactivo")</f>
        <v>Activo</v>
      </c>
      <c r="M175" s="4">
        <f ca="1">INT((TODAY()-RH[[#This Row],[Fecha Nacimiento]])/365)</f>
        <v>56</v>
      </c>
      <c r="N175" s="4">
        <f ca="1">IF(RH[[#This Row],[Fecha de salida Laboral]]="",INT((TODAY()-RH[[#This Row],[Fecha de Ingreso laboral]])/365),INT((TODAY()-RH[[#This Row],[Fecha de salida Laboral]])/365))</f>
        <v>4</v>
      </c>
    </row>
    <row r="176" spans="1:14" x14ac:dyDescent="0.3">
      <c r="A176" t="s">
        <v>386</v>
      </c>
      <c r="B176" t="s">
        <v>387</v>
      </c>
      <c r="C176" s="1">
        <v>44755</v>
      </c>
      <c r="D176" s="1"/>
      <c r="E176" t="s">
        <v>31</v>
      </c>
      <c r="F176" t="s">
        <v>39</v>
      </c>
      <c r="G176" t="s">
        <v>32</v>
      </c>
      <c r="H176" t="s">
        <v>27</v>
      </c>
      <c r="I176">
        <v>129908.75</v>
      </c>
      <c r="J176" s="1">
        <v>34116</v>
      </c>
      <c r="K176" t="s">
        <v>36</v>
      </c>
      <c r="L176" s="4" t="str">
        <f>IF(RH[[#This Row],[Fecha de salida Laboral]]="","Activo","Inactivo")</f>
        <v>Activo</v>
      </c>
      <c r="M176" s="4">
        <f ca="1">INT((TODAY()-RH[[#This Row],[Fecha Nacimiento]])/365)</f>
        <v>32</v>
      </c>
      <c r="N176" s="4">
        <f ca="1">IF(RH[[#This Row],[Fecha de salida Laboral]]="",INT((TODAY()-RH[[#This Row],[Fecha de Ingreso laboral]])/365),INT((TODAY()-RH[[#This Row],[Fecha de salida Laboral]])/365))</f>
        <v>3</v>
      </c>
    </row>
    <row r="177" spans="1:14" x14ac:dyDescent="0.3">
      <c r="A177" t="s">
        <v>388</v>
      </c>
      <c r="B177" t="s">
        <v>389</v>
      </c>
      <c r="C177" s="1">
        <v>45491</v>
      </c>
      <c r="D177" s="1">
        <v>45417</v>
      </c>
      <c r="E177" t="s">
        <v>42</v>
      </c>
      <c r="F177" t="s">
        <v>14</v>
      </c>
      <c r="G177" t="s">
        <v>15</v>
      </c>
      <c r="H177" t="s">
        <v>27</v>
      </c>
      <c r="I177">
        <v>73851.41</v>
      </c>
      <c r="J177" s="1">
        <v>28552</v>
      </c>
      <c r="K177" t="s">
        <v>28</v>
      </c>
      <c r="L177" s="4" t="str">
        <f>IF(RH[[#This Row],[Fecha de salida Laboral]]="","Activo","Inactivo")</f>
        <v>Inactivo</v>
      </c>
      <c r="M177" s="4">
        <f ca="1">INT((TODAY()-RH[[#This Row],[Fecha Nacimiento]])/365)</f>
        <v>47</v>
      </c>
      <c r="N177" s="4">
        <f ca="1">IF(RH[[#This Row],[Fecha de salida Laboral]]="",INT((TODAY()-RH[[#This Row],[Fecha de Ingreso laboral]])/365),INT((TODAY()-RH[[#This Row],[Fecha de salida Laboral]])/365))</f>
        <v>1</v>
      </c>
    </row>
    <row r="178" spans="1:14" x14ac:dyDescent="0.3">
      <c r="A178" t="s">
        <v>390</v>
      </c>
      <c r="B178" t="s">
        <v>391</v>
      </c>
      <c r="C178" s="1">
        <v>43960</v>
      </c>
      <c r="D178" s="1"/>
      <c r="E178" t="s">
        <v>20</v>
      </c>
      <c r="F178" t="s">
        <v>39</v>
      </c>
      <c r="G178" t="s">
        <v>15</v>
      </c>
      <c r="H178" t="s">
        <v>16</v>
      </c>
      <c r="I178">
        <v>127096.33</v>
      </c>
      <c r="J178" s="1">
        <v>36162</v>
      </c>
      <c r="K178" t="s">
        <v>28</v>
      </c>
      <c r="L178" s="4" t="str">
        <f>IF(RH[[#This Row],[Fecha de salida Laboral]]="","Activo","Inactivo")</f>
        <v>Activo</v>
      </c>
      <c r="M178" s="4">
        <f ca="1">INT((TODAY()-RH[[#This Row],[Fecha Nacimiento]])/365)</f>
        <v>27</v>
      </c>
      <c r="N178" s="4">
        <f ca="1">IF(RH[[#This Row],[Fecha de salida Laboral]]="",INT((TODAY()-RH[[#This Row],[Fecha de Ingreso laboral]])/365),INT((TODAY()-RH[[#This Row],[Fecha de salida Laboral]])/365))</f>
        <v>5</v>
      </c>
    </row>
    <row r="179" spans="1:14" x14ac:dyDescent="0.3">
      <c r="A179" t="s">
        <v>392</v>
      </c>
      <c r="B179" t="s">
        <v>393</v>
      </c>
      <c r="C179" s="1">
        <v>44801</v>
      </c>
      <c r="D179" s="1">
        <v>45316</v>
      </c>
      <c r="E179" t="s">
        <v>13</v>
      </c>
      <c r="F179" t="s">
        <v>14</v>
      </c>
      <c r="G179" t="s">
        <v>74</v>
      </c>
      <c r="H179" t="s">
        <v>27</v>
      </c>
      <c r="I179">
        <v>144116.82</v>
      </c>
      <c r="J179" s="1">
        <v>35521</v>
      </c>
      <c r="K179" t="s">
        <v>36</v>
      </c>
      <c r="L179" s="4" t="str">
        <f>IF(RH[[#This Row],[Fecha de salida Laboral]]="","Activo","Inactivo")</f>
        <v>Inactivo</v>
      </c>
      <c r="M179" s="4">
        <f ca="1">INT((TODAY()-RH[[#This Row],[Fecha Nacimiento]])/365)</f>
        <v>28</v>
      </c>
      <c r="N179" s="4">
        <f ca="1">IF(RH[[#This Row],[Fecha de salida Laboral]]="",INT((TODAY()-RH[[#This Row],[Fecha de Ingreso laboral]])/365),INT((TODAY()-RH[[#This Row],[Fecha de salida Laboral]])/365))</f>
        <v>1</v>
      </c>
    </row>
    <row r="180" spans="1:14" x14ac:dyDescent="0.3">
      <c r="A180" t="s">
        <v>394</v>
      </c>
      <c r="B180" t="s">
        <v>395</v>
      </c>
      <c r="C180" s="1">
        <v>45393</v>
      </c>
      <c r="D180" s="1">
        <v>45456</v>
      </c>
      <c r="E180" t="s">
        <v>45</v>
      </c>
      <c r="F180" t="s">
        <v>59</v>
      </c>
      <c r="G180" t="s">
        <v>74</v>
      </c>
      <c r="H180" t="s">
        <v>27</v>
      </c>
      <c r="I180">
        <v>58104.57</v>
      </c>
      <c r="J180" s="1">
        <v>34285</v>
      </c>
      <c r="K180" t="s">
        <v>36</v>
      </c>
      <c r="L180" s="4" t="str">
        <f>IF(RH[[#This Row],[Fecha de salida Laboral]]="","Activo","Inactivo")</f>
        <v>Inactivo</v>
      </c>
      <c r="M180" s="4">
        <f ca="1">INT((TODAY()-RH[[#This Row],[Fecha Nacimiento]])/365)</f>
        <v>32</v>
      </c>
      <c r="N180" s="4">
        <f ca="1">IF(RH[[#This Row],[Fecha de salida Laboral]]="",INT((TODAY()-RH[[#This Row],[Fecha de Ingreso laboral]])/365),INT((TODAY()-RH[[#This Row],[Fecha de salida Laboral]])/365))</f>
        <v>1</v>
      </c>
    </row>
    <row r="181" spans="1:14" x14ac:dyDescent="0.3">
      <c r="A181" t="s">
        <v>396</v>
      </c>
      <c r="B181" t="s">
        <v>397</v>
      </c>
      <c r="C181" s="1">
        <v>43633</v>
      </c>
      <c r="D181" s="1">
        <v>45620</v>
      </c>
      <c r="E181" t="s">
        <v>13</v>
      </c>
      <c r="F181" t="s">
        <v>39</v>
      </c>
      <c r="G181" t="s">
        <v>22</v>
      </c>
      <c r="H181" t="s">
        <v>16</v>
      </c>
      <c r="I181">
        <v>63224.76</v>
      </c>
      <c r="J181" s="1">
        <v>26711</v>
      </c>
      <c r="K181" t="s">
        <v>28</v>
      </c>
      <c r="L181" s="4" t="str">
        <f>IF(RH[[#This Row],[Fecha de salida Laboral]]="","Activo","Inactivo")</f>
        <v>Inactivo</v>
      </c>
      <c r="M181" s="4">
        <f ca="1">INT((TODAY()-RH[[#This Row],[Fecha Nacimiento]])/365)</f>
        <v>52</v>
      </c>
      <c r="N181" s="4">
        <f ca="1">IF(RH[[#This Row],[Fecha de salida Laboral]]="",INT((TODAY()-RH[[#This Row],[Fecha de Ingreso laboral]])/365),INT((TODAY()-RH[[#This Row],[Fecha de salida Laboral]])/365))</f>
        <v>1</v>
      </c>
    </row>
    <row r="182" spans="1:14" x14ac:dyDescent="0.3">
      <c r="A182" t="s">
        <v>398</v>
      </c>
      <c r="B182" t="s">
        <v>399</v>
      </c>
      <c r="C182" s="1">
        <v>44529</v>
      </c>
      <c r="D182" s="1"/>
      <c r="E182" t="s">
        <v>13</v>
      </c>
      <c r="F182" t="s">
        <v>59</v>
      </c>
      <c r="G182" t="s">
        <v>103</v>
      </c>
      <c r="H182" t="s">
        <v>16</v>
      </c>
      <c r="I182">
        <v>128366.73</v>
      </c>
      <c r="J182" s="1">
        <v>38261</v>
      </c>
      <c r="K182" t="s">
        <v>17</v>
      </c>
      <c r="L182" s="4" t="str">
        <f>IF(RH[[#This Row],[Fecha de salida Laboral]]="","Activo","Inactivo")</f>
        <v>Activo</v>
      </c>
      <c r="M182" s="4">
        <f ca="1">INT((TODAY()-RH[[#This Row],[Fecha Nacimiento]])/365)</f>
        <v>21</v>
      </c>
      <c r="N182" s="4">
        <f ca="1">IF(RH[[#This Row],[Fecha de salida Laboral]]="",INT((TODAY()-RH[[#This Row],[Fecha de Ingreso laboral]])/365),INT((TODAY()-RH[[#This Row],[Fecha de salida Laboral]])/365))</f>
        <v>4</v>
      </c>
    </row>
    <row r="183" spans="1:14" x14ac:dyDescent="0.3">
      <c r="A183" t="s">
        <v>400</v>
      </c>
      <c r="B183" t="s">
        <v>401</v>
      </c>
      <c r="C183" s="1">
        <v>45374</v>
      </c>
      <c r="D183" s="1"/>
      <c r="E183" t="s">
        <v>42</v>
      </c>
      <c r="F183" t="s">
        <v>39</v>
      </c>
      <c r="G183" t="s">
        <v>15</v>
      </c>
      <c r="H183" t="s">
        <v>27</v>
      </c>
      <c r="I183">
        <v>125742.27</v>
      </c>
      <c r="J183" s="1">
        <v>32058</v>
      </c>
      <c r="K183" t="s">
        <v>17</v>
      </c>
      <c r="L183" s="4" t="str">
        <f>IF(RH[[#This Row],[Fecha de salida Laboral]]="","Activo","Inactivo")</f>
        <v>Activo</v>
      </c>
      <c r="M183" s="4">
        <f ca="1">INT((TODAY()-RH[[#This Row],[Fecha Nacimiento]])/365)</f>
        <v>38</v>
      </c>
      <c r="N183" s="4">
        <f ca="1">IF(RH[[#This Row],[Fecha de salida Laboral]]="",INT((TODAY()-RH[[#This Row],[Fecha de Ingreso laboral]])/365),INT((TODAY()-RH[[#This Row],[Fecha de salida Laboral]])/365))</f>
        <v>1</v>
      </c>
    </row>
    <row r="184" spans="1:14" x14ac:dyDescent="0.3">
      <c r="A184" t="s">
        <v>402</v>
      </c>
      <c r="B184" t="s">
        <v>403</v>
      </c>
      <c r="C184" s="1">
        <v>44495</v>
      </c>
      <c r="D184" s="1">
        <v>45569</v>
      </c>
      <c r="E184" t="s">
        <v>73</v>
      </c>
      <c r="F184" t="s">
        <v>54</v>
      </c>
      <c r="G184" t="s">
        <v>70</v>
      </c>
      <c r="H184" t="s">
        <v>16</v>
      </c>
      <c r="I184">
        <v>54576.31</v>
      </c>
      <c r="J184" s="1">
        <v>28678</v>
      </c>
      <c r="K184" t="s">
        <v>36</v>
      </c>
      <c r="L184" s="4" t="str">
        <f>IF(RH[[#This Row],[Fecha de salida Laboral]]="","Activo","Inactivo")</f>
        <v>Inactivo</v>
      </c>
      <c r="M184" s="4">
        <f ca="1">INT((TODAY()-RH[[#This Row],[Fecha Nacimiento]])/365)</f>
        <v>47</v>
      </c>
      <c r="N184" s="4">
        <f ca="1">IF(RH[[#This Row],[Fecha de salida Laboral]]="",INT((TODAY()-RH[[#This Row],[Fecha de Ingreso laboral]])/365),INT((TODAY()-RH[[#This Row],[Fecha de salida Laboral]])/365))</f>
        <v>1</v>
      </c>
    </row>
    <row r="185" spans="1:14" x14ac:dyDescent="0.3">
      <c r="A185" t="s">
        <v>404</v>
      </c>
      <c r="B185" t="s">
        <v>405</v>
      </c>
      <c r="C185" s="1">
        <v>44418</v>
      </c>
      <c r="D185" s="1">
        <v>45486</v>
      </c>
      <c r="E185" t="s">
        <v>31</v>
      </c>
      <c r="F185" t="s">
        <v>14</v>
      </c>
      <c r="G185" t="s">
        <v>103</v>
      </c>
      <c r="H185" t="s">
        <v>27</v>
      </c>
      <c r="I185">
        <v>138108.97</v>
      </c>
      <c r="J185" s="1">
        <v>35378</v>
      </c>
      <c r="K185" t="s">
        <v>28</v>
      </c>
      <c r="L185" s="4" t="str">
        <f>IF(RH[[#This Row],[Fecha de salida Laboral]]="","Activo","Inactivo")</f>
        <v>Inactivo</v>
      </c>
      <c r="M185" s="4">
        <f ca="1">INT((TODAY()-RH[[#This Row],[Fecha Nacimiento]])/365)</f>
        <v>29</v>
      </c>
      <c r="N185" s="4">
        <f ca="1">IF(RH[[#This Row],[Fecha de salida Laboral]]="",INT((TODAY()-RH[[#This Row],[Fecha de Ingreso laboral]])/365),INT((TODAY()-RH[[#This Row],[Fecha de salida Laboral]])/365))</f>
        <v>1</v>
      </c>
    </row>
    <row r="186" spans="1:14" x14ac:dyDescent="0.3">
      <c r="A186" t="s">
        <v>406</v>
      </c>
      <c r="B186" t="s">
        <v>407</v>
      </c>
      <c r="C186" s="1">
        <v>45212</v>
      </c>
      <c r="D186" s="1">
        <v>45520</v>
      </c>
      <c r="E186" t="s">
        <v>45</v>
      </c>
      <c r="F186" t="s">
        <v>21</v>
      </c>
      <c r="G186" t="s">
        <v>35</v>
      </c>
      <c r="H186" t="s">
        <v>27</v>
      </c>
      <c r="I186">
        <v>64491.839999999997</v>
      </c>
      <c r="J186" s="1">
        <v>22349</v>
      </c>
      <c r="K186" t="s">
        <v>36</v>
      </c>
      <c r="L186" s="4" t="str">
        <f>IF(RH[[#This Row],[Fecha de salida Laboral]]="","Activo","Inactivo")</f>
        <v>Inactivo</v>
      </c>
      <c r="M186" s="4">
        <f ca="1">INT((TODAY()-RH[[#This Row],[Fecha Nacimiento]])/365)</f>
        <v>64</v>
      </c>
      <c r="N186" s="4">
        <f ca="1">IF(RH[[#This Row],[Fecha de salida Laboral]]="",INT((TODAY()-RH[[#This Row],[Fecha de Ingreso laboral]])/365),INT((TODAY()-RH[[#This Row],[Fecha de salida Laboral]])/365))</f>
        <v>1</v>
      </c>
    </row>
    <row r="187" spans="1:14" x14ac:dyDescent="0.3">
      <c r="A187" t="s">
        <v>408</v>
      </c>
      <c r="B187" t="s">
        <v>409</v>
      </c>
      <c r="C187" s="1">
        <v>44480</v>
      </c>
      <c r="D187" s="1"/>
      <c r="E187" t="s">
        <v>31</v>
      </c>
      <c r="F187" t="s">
        <v>14</v>
      </c>
      <c r="G187" t="s">
        <v>22</v>
      </c>
      <c r="H187" t="s">
        <v>16</v>
      </c>
      <c r="I187">
        <v>140776.44</v>
      </c>
      <c r="J187" s="1">
        <v>22870</v>
      </c>
      <c r="K187" t="s">
        <v>17</v>
      </c>
      <c r="L187" s="4" t="str">
        <f>IF(RH[[#This Row],[Fecha de salida Laboral]]="","Activo","Inactivo")</f>
        <v>Activo</v>
      </c>
      <c r="M187" s="4">
        <f ca="1">INT((TODAY()-RH[[#This Row],[Fecha Nacimiento]])/365)</f>
        <v>63</v>
      </c>
      <c r="N187" s="4">
        <f ca="1">IF(RH[[#This Row],[Fecha de salida Laboral]]="",INT((TODAY()-RH[[#This Row],[Fecha de Ingreso laboral]])/365),INT((TODAY()-RH[[#This Row],[Fecha de salida Laboral]])/365))</f>
        <v>4</v>
      </c>
    </row>
    <row r="188" spans="1:14" x14ac:dyDescent="0.3">
      <c r="A188" t="s">
        <v>410</v>
      </c>
      <c r="B188" t="s">
        <v>411</v>
      </c>
      <c r="C188" s="1">
        <v>44851</v>
      </c>
      <c r="D188" s="1"/>
      <c r="E188" t="s">
        <v>73</v>
      </c>
      <c r="F188" t="s">
        <v>25</v>
      </c>
      <c r="G188" t="s">
        <v>26</v>
      </c>
      <c r="H188" t="s">
        <v>16</v>
      </c>
      <c r="I188">
        <v>49025.56</v>
      </c>
      <c r="J188" s="1">
        <v>32433</v>
      </c>
      <c r="K188" t="s">
        <v>28</v>
      </c>
      <c r="L188" s="4" t="str">
        <f>IF(RH[[#This Row],[Fecha de salida Laboral]]="","Activo","Inactivo")</f>
        <v>Activo</v>
      </c>
      <c r="M188" s="4">
        <f ca="1">INT((TODAY()-RH[[#This Row],[Fecha Nacimiento]])/365)</f>
        <v>37</v>
      </c>
      <c r="N188" s="4">
        <f ca="1">IF(RH[[#This Row],[Fecha de salida Laboral]]="",INT((TODAY()-RH[[#This Row],[Fecha de Ingreso laboral]])/365),INT((TODAY()-RH[[#This Row],[Fecha de salida Laboral]])/365))</f>
        <v>3</v>
      </c>
    </row>
    <row r="189" spans="1:14" x14ac:dyDescent="0.3">
      <c r="A189" t="s">
        <v>412</v>
      </c>
      <c r="B189" t="s">
        <v>413</v>
      </c>
      <c r="C189" s="1">
        <v>43438</v>
      </c>
      <c r="D189" s="1">
        <v>45526</v>
      </c>
      <c r="E189" t="s">
        <v>31</v>
      </c>
      <c r="F189" t="s">
        <v>14</v>
      </c>
      <c r="G189" t="s">
        <v>35</v>
      </c>
      <c r="H189" t="s">
        <v>27</v>
      </c>
      <c r="I189">
        <v>108609.83</v>
      </c>
      <c r="J189" s="1">
        <v>37248</v>
      </c>
      <c r="K189" t="s">
        <v>28</v>
      </c>
      <c r="L189" s="4" t="str">
        <f>IF(RH[[#This Row],[Fecha de salida Laboral]]="","Activo","Inactivo")</f>
        <v>Inactivo</v>
      </c>
      <c r="M189" s="4">
        <f ca="1">INT((TODAY()-RH[[#This Row],[Fecha Nacimiento]])/365)</f>
        <v>24</v>
      </c>
      <c r="N189" s="4">
        <f ca="1">IF(RH[[#This Row],[Fecha de salida Laboral]]="",INT((TODAY()-RH[[#This Row],[Fecha de Ingreso laboral]])/365),INT((TODAY()-RH[[#This Row],[Fecha de salida Laboral]])/365))</f>
        <v>1</v>
      </c>
    </row>
    <row r="190" spans="1:14" x14ac:dyDescent="0.3">
      <c r="A190" t="s">
        <v>414</v>
      </c>
      <c r="B190" t="s">
        <v>415</v>
      </c>
      <c r="C190" s="1">
        <v>43784</v>
      </c>
      <c r="D190" s="1"/>
      <c r="E190" t="s">
        <v>73</v>
      </c>
      <c r="F190" t="s">
        <v>39</v>
      </c>
      <c r="G190" t="s">
        <v>26</v>
      </c>
      <c r="H190" t="s">
        <v>16</v>
      </c>
      <c r="I190">
        <v>142441.07999999999</v>
      </c>
      <c r="J190" s="1">
        <v>22798</v>
      </c>
      <c r="K190" t="s">
        <v>36</v>
      </c>
      <c r="L190" s="4" t="str">
        <f>IF(RH[[#This Row],[Fecha de salida Laboral]]="","Activo","Inactivo")</f>
        <v>Activo</v>
      </c>
      <c r="M190" s="4">
        <f ca="1">INT((TODAY()-RH[[#This Row],[Fecha Nacimiento]])/365)</f>
        <v>63</v>
      </c>
      <c r="N190" s="4">
        <f ca="1">IF(RH[[#This Row],[Fecha de salida Laboral]]="",INT((TODAY()-RH[[#This Row],[Fecha de Ingreso laboral]])/365),INT((TODAY()-RH[[#This Row],[Fecha de salida Laboral]])/365))</f>
        <v>6</v>
      </c>
    </row>
    <row r="191" spans="1:14" x14ac:dyDescent="0.3">
      <c r="A191" t="s">
        <v>416</v>
      </c>
      <c r="B191" t="s">
        <v>417</v>
      </c>
      <c r="C191" s="1">
        <v>44618</v>
      </c>
      <c r="D191" s="1"/>
      <c r="E191" t="s">
        <v>13</v>
      </c>
      <c r="F191" t="s">
        <v>54</v>
      </c>
      <c r="G191" t="s">
        <v>22</v>
      </c>
      <c r="H191" t="s">
        <v>16</v>
      </c>
      <c r="I191">
        <v>119465.63</v>
      </c>
      <c r="J191" s="1">
        <v>23613</v>
      </c>
      <c r="K191" t="s">
        <v>28</v>
      </c>
      <c r="L191" s="4" t="str">
        <f>IF(RH[[#This Row],[Fecha de salida Laboral]]="","Activo","Inactivo")</f>
        <v>Activo</v>
      </c>
      <c r="M191" s="4">
        <f ca="1">INT((TODAY()-RH[[#This Row],[Fecha Nacimiento]])/365)</f>
        <v>61</v>
      </c>
      <c r="N191" s="4">
        <f ca="1">IF(RH[[#This Row],[Fecha de salida Laboral]]="",INT((TODAY()-RH[[#This Row],[Fecha de Ingreso laboral]])/365),INT((TODAY()-RH[[#This Row],[Fecha de salida Laboral]])/365))</f>
        <v>3</v>
      </c>
    </row>
    <row r="192" spans="1:14" x14ac:dyDescent="0.3">
      <c r="A192" t="s">
        <v>418</v>
      </c>
      <c r="B192" t="s">
        <v>419</v>
      </c>
      <c r="C192" s="1">
        <v>44101</v>
      </c>
      <c r="D192" s="1"/>
      <c r="E192" t="s">
        <v>31</v>
      </c>
      <c r="F192" t="s">
        <v>25</v>
      </c>
      <c r="G192" t="s">
        <v>26</v>
      </c>
      <c r="H192" t="s">
        <v>16</v>
      </c>
      <c r="I192">
        <v>39267.39</v>
      </c>
      <c r="J192" s="1">
        <v>30593</v>
      </c>
      <c r="K192" t="s">
        <v>28</v>
      </c>
      <c r="L192" s="4" t="str">
        <f>IF(RH[[#This Row],[Fecha de salida Laboral]]="","Activo","Inactivo")</f>
        <v>Activo</v>
      </c>
      <c r="M192" s="4">
        <f ca="1">INT((TODAY()-RH[[#This Row],[Fecha Nacimiento]])/365)</f>
        <v>42</v>
      </c>
      <c r="N192" s="4">
        <f ca="1">IF(RH[[#This Row],[Fecha de salida Laboral]]="",INT((TODAY()-RH[[#This Row],[Fecha de Ingreso laboral]])/365),INT((TODAY()-RH[[#This Row],[Fecha de salida Laboral]])/365))</f>
        <v>5</v>
      </c>
    </row>
    <row r="193" spans="1:14" x14ac:dyDescent="0.3">
      <c r="A193" t="s">
        <v>420</v>
      </c>
      <c r="B193" t="s">
        <v>421</v>
      </c>
      <c r="C193" s="1">
        <v>43766</v>
      </c>
      <c r="D193" s="1">
        <v>45614</v>
      </c>
      <c r="E193" t="s">
        <v>13</v>
      </c>
      <c r="F193" t="s">
        <v>21</v>
      </c>
      <c r="G193" t="s">
        <v>70</v>
      </c>
      <c r="H193" t="s">
        <v>27</v>
      </c>
      <c r="I193">
        <v>61349.599999999999</v>
      </c>
      <c r="J193" s="1">
        <v>26905</v>
      </c>
      <c r="K193" t="s">
        <v>17</v>
      </c>
      <c r="L193" s="4" t="str">
        <f>IF(RH[[#This Row],[Fecha de salida Laboral]]="","Activo","Inactivo")</f>
        <v>Inactivo</v>
      </c>
      <c r="M193" s="4">
        <f ca="1">INT((TODAY()-RH[[#This Row],[Fecha Nacimiento]])/365)</f>
        <v>52</v>
      </c>
      <c r="N193" s="4">
        <f ca="1">IF(RH[[#This Row],[Fecha de salida Laboral]]="",INT((TODAY()-RH[[#This Row],[Fecha de Ingreso laboral]])/365),INT((TODAY()-RH[[#This Row],[Fecha de salida Laboral]])/365))</f>
        <v>1</v>
      </c>
    </row>
    <row r="194" spans="1:14" x14ac:dyDescent="0.3">
      <c r="A194" t="s">
        <v>422</v>
      </c>
      <c r="B194" t="s">
        <v>423</v>
      </c>
      <c r="C194" s="1">
        <v>45245</v>
      </c>
      <c r="D194" s="1">
        <v>45517</v>
      </c>
      <c r="E194" t="s">
        <v>20</v>
      </c>
      <c r="F194" t="s">
        <v>14</v>
      </c>
      <c r="G194" t="s">
        <v>15</v>
      </c>
      <c r="H194" t="s">
        <v>16</v>
      </c>
      <c r="I194">
        <v>123042.84</v>
      </c>
      <c r="J194" s="1">
        <v>22431</v>
      </c>
      <c r="K194" t="s">
        <v>17</v>
      </c>
      <c r="L194" s="4" t="str">
        <f>IF(RH[[#This Row],[Fecha de salida Laboral]]="","Activo","Inactivo")</f>
        <v>Inactivo</v>
      </c>
      <c r="M194" s="4">
        <f ca="1">INT((TODAY()-RH[[#This Row],[Fecha Nacimiento]])/365)</f>
        <v>64</v>
      </c>
      <c r="N194" s="4">
        <f ca="1">IF(RH[[#This Row],[Fecha de salida Laboral]]="",INT((TODAY()-RH[[#This Row],[Fecha de Ingreso laboral]])/365),INT((TODAY()-RH[[#This Row],[Fecha de salida Laboral]])/365))</f>
        <v>1</v>
      </c>
    </row>
    <row r="195" spans="1:14" x14ac:dyDescent="0.3">
      <c r="A195" t="s">
        <v>424</v>
      </c>
      <c r="B195" t="s">
        <v>425</v>
      </c>
      <c r="C195" s="1">
        <v>43615</v>
      </c>
      <c r="D195" s="1"/>
      <c r="E195" t="s">
        <v>45</v>
      </c>
      <c r="F195" t="s">
        <v>14</v>
      </c>
      <c r="G195" t="s">
        <v>74</v>
      </c>
      <c r="H195" t="s">
        <v>27</v>
      </c>
      <c r="I195">
        <v>35600.39</v>
      </c>
      <c r="J195" s="1">
        <v>32562</v>
      </c>
      <c r="K195" t="s">
        <v>17</v>
      </c>
      <c r="L195" s="4" t="str">
        <f>IF(RH[[#This Row],[Fecha de salida Laboral]]="","Activo","Inactivo")</f>
        <v>Activo</v>
      </c>
      <c r="M195" s="4">
        <f ca="1">INT((TODAY()-RH[[#This Row],[Fecha Nacimiento]])/365)</f>
        <v>36</v>
      </c>
      <c r="N195" s="4">
        <f ca="1">IF(RH[[#This Row],[Fecha de salida Laboral]]="",INT((TODAY()-RH[[#This Row],[Fecha de Ingreso laboral]])/365),INT((TODAY()-RH[[#This Row],[Fecha de salida Laboral]])/365))</f>
        <v>6</v>
      </c>
    </row>
    <row r="196" spans="1:14" x14ac:dyDescent="0.3">
      <c r="A196" t="s">
        <v>426</v>
      </c>
      <c r="B196" t="s">
        <v>427</v>
      </c>
      <c r="C196" s="1">
        <v>45326</v>
      </c>
      <c r="D196" s="1">
        <v>45550</v>
      </c>
      <c r="E196" t="s">
        <v>31</v>
      </c>
      <c r="F196" t="s">
        <v>59</v>
      </c>
      <c r="G196" t="s">
        <v>88</v>
      </c>
      <c r="H196" t="s">
        <v>27</v>
      </c>
      <c r="I196">
        <v>59552.13</v>
      </c>
      <c r="J196" s="1">
        <v>36801</v>
      </c>
      <c r="K196" t="s">
        <v>28</v>
      </c>
      <c r="L196" s="4" t="str">
        <f>IF(RH[[#This Row],[Fecha de salida Laboral]]="","Activo","Inactivo")</f>
        <v>Inactivo</v>
      </c>
      <c r="M196" s="4">
        <f ca="1">INT((TODAY()-RH[[#This Row],[Fecha Nacimiento]])/365)</f>
        <v>25</v>
      </c>
      <c r="N196" s="4">
        <f ca="1">IF(RH[[#This Row],[Fecha de salida Laboral]]="",INT((TODAY()-RH[[#This Row],[Fecha de Ingreso laboral]])/365),INT((TODAY()-RH[[#This Row],[Fecha de salida Laboral]])/365))</f>
        <v>1</v>
      </c>
    </row>
    <row r="197" spans="1:14" x14ac:dyDescent="0.3">
      <c r="A197" t="s">
        <v>428</v>
      </c>
      <c r="B197" t="s">
        <v>429</v>
      </c>
      <c r="C197" s="1">
        <v>45254</v>
      </c>
      <c r="D197" s="1"/>
      <c r="E197" t="s">
        <v>73</v>
      </c>
      <c r="F197" t="s">
        <v>59</v>
      </c>
      <c r="G197" t="s">
        <v>32</v>
      </c>
      <c r="H197" t="s">
        <v>16</v>
      </c>
      <c r="I197">
        <v>121633.04</v>
      </c>
      <c r="J197" s="1">
        <v>30193</v>
      </c>
      <c r="K197" t="s">
        <v>28</v>
      </c>
      <c r="L197" s="4" t="str">
        <f>IF(RH[[#This Row],[Fecha de salida Laboral]]="","Activo","Inactivo")</f>
        <v>Activo</v>
      </c>
      <c r="M197" s="4">
        <f ca="1">INT((TODAY()-RH[[#This Row],[Fecha Nacimiento]])/365)</f>
        <v>43</v>
      </c>
      <c r="N197" s="4">
        <f ca="1">IF(RH[[#This Row],[Fecha de salida Laboral]]="",INT((TODAY()-RH[[#This Row],[Fecha de Ingreso laboral]])/365),INT((TODAY()-RH[[#This Row],[Fecha de salida Laboral]])/365))</f>
        <v>2</v>
      </c>
    </row>
    <row r="198" spans="1:14" x14ac:dyDescent="0.3">
      <c r="A198" t="s">
        <v>430</v>
      </c>
      <c r="B198" t="s">
        <v>431</v>
      </c>
      <c r="C198" s="1">
        <v>44507</v>
      </c>
      <c r="D198" s="1">
        <v>45440</v>
      </c>
      <c r="E198" t="s">
        <v>31</v>
      </c>
      <c r="F198" t="s">
        <v>39</v>
      </c>
      <c r="G198" t="s">
        <v>74</v>
      </c>
      <c r="H198" t="s">
        <v>27</v>
      </c>
      <c r="I198">
        <v>146578.78</v>
      </c>
      <c r="J198" s="1">
        <v>22789</v>
      </c>
      <c r="K198" t="s">
        <v>28</v>
      </c>
      <c r="L198" s="4" t="str">
        <f>IF(RH[[#This Row],[Fecha de salida Laboral]]="","Activo","Inactivo")</f>
        <v>Inactivo</v>
      </c>
      <c r="M198" s="4">
        <f ca="1">INT((TODAY()-RH[[#This Row],[Fecha Nacimiento]])/365)</f>
        <v>63</v>
      </c>
      <c r="N198" s="4">
        <f ca="1">IF(RH[[#This Row],[Fecha de salida Laboral]]="",INT((TODAY()-RH[[#This Row],[Fecha de Ingreso laboral]])/365),INT((TODAY()-RH[[#This Row],[Fecha de salida Laboral]])/365))</f>
        <v>1</v>
      </c>
    </row>
    <row r="199" spans="1:14" x14ac:dyDescent="0.3">
      <c r="A199" t="s">
        <v>432</v>
      </c>
      <c r="B199" t="s">
        <v>433</v>
      </c>
      <c r="C199" s="1">
        <v>43884</v>
      </c>
      <c r="D199" s="1">
        <v>45624</v>
      </c>
      <c r="E199" t="s">
        <v>45</v>
      </c>
      <c r="F199" t="s">
        <v>14</v>
      </c>
      <c r="G199" t="s">
        <v>81</v>
      </c>
      <c r="H199" t="s">
        <v>27</v>
      </c>
      <c r="I199">
        <v>83597.72</v>
      </c>
      <c r="J199" s="1">
        <v>22558</v>
      </c>
      <c r="K199" t="s">
        <v>28</v>
      </c>
      <c r="L199" s="4" t="str">
        <f>IF(RH[[#This Row],[Fecha de salida Laboral]]="","Activo","Inactivo")</f>
        <v>Inactivo</v>
      </c>
      <c r="M199" s="4">
        <f ca="1">INT((TODAY()-RH[[#This Row],[Fecha Nacimiento]])/365)</f>
        <v>64</v>
      </c>
      <c r="N199" s="4">
        <f ca="1">IF(RH[[#This Row],[Fecha de salida Laboral]]="",INT((TODAY()-RH[[#This Row],[Fecha de Ingreso laboral]])/365),INT((TODAY()-RH[[#This Row],[Fecha de salida Laboral]])/365))</f>
        <v>1</v>
      </c>
    </row>
    <row r="200" spans="1:14" x14ac:dyDescent="0.3">
      <c r="A200" t="s">
        <v>434</v>
      </c>
      <c r="B200" t="s">
        <v>435</v>
      </c>
      <c r="C200" s="1">
        <v>44247</v>
      </c>
      <c r="D200" s="1">
        <v>45386</v>
      </c>
      <c r="E200" t="s">
        <v>73</v>
      </c>
      <c r="F200" t="s">
        <v>14</v>
      </c>
      <c r="G200" t="s">
        <v>88</v>
      </c>
      <c r="H200" t="s">
        <v>16</v>
      </c>
      <c r="I200">
        <v>62118.95</v>
      </c>
      <c r="J200" s="1">
        <v>24382</v>
      </c>
      <c r="K200" t="s">
        <v>17</v>
      </c>
      <c r="L200" s="4" t="str">
        <f>IF(RH[[#This Row],[Fecha de salida Laboral]]="","Activo","Inactivo")</f>
        <v>Inactivo</v>
      </c>
      <c r="M200" s="4">
        <f ca="1">INT((TODAY()-RH[[#This Row],[Fecha Nacimiento]])/365)</f>
        <v>59</v>
      </c>
      <c r="N200" s="4">
        <f ca="1">IF(RH[[#This Row],[Fecha de salida Laboral]]="",INT((TODAY()-RH[[#This Row],[Fecha de Ingreso laboral]])/365),INT((TODAY()-RH[[#This Row],[Fecha de salida Laboral]])/365))</f>
        <v>1</v>
      </c>
    </row>
    <row r="201" spans="1:14" x14ac:dyDescent="0.3">
      <c r="A201" t="s">
        <v>436</v>
      </c>
      <c r="B201" t="s">
        <v>437</v>
      </c>
      <c r="C201" s="1">
        <v>43483</v>
      </c>
      <c r="D201" s="1">
        <v>45445</v>
      </c>
      <c r="E201" t="s">
        <v>42</v>
      </c>
      <c r="F201" t="s">
        <v>14</v>
      </c>
      <c r="G201" t="s">
        <v>26</v>
      </c>
      <c r="H201" t="s">
        <v>27</v>
      </c>
      <c r="I201">
        <v>51343.15</v>
      </c>
      <c r="J201" s="1">
        <v>36591</v>
      </c>
      <c r="K201" t="s">
        <v>17</v>
      </c>
      <c r="L201" s="4" t="str">
        <f>IF(RH[[#This Row],[Fecha de salida Laboral]]="","Activo","Inactivo")</f>
        <v>Inactivo</v>
      </c>
      <c r="M201" s="4">
        <f ca="1">INT((TODAY()-RH[[#This Row],[Fecha Nacimiento]])/365)</f>
        <v>25</v>
      </c>
      <c r="N201" s="4">
        <f ca="1">IF(RH[[#This Row],[Fecha de salida Laboral]]="",INT((TODAY()-RH[[#This Row],[Fecha de Ingreso laboral]])/365),INT((TODAY()-RH[[#This Row],[Fecha de salida Laboral]])/365))</f>
        <v>1</v>
      </c>
    </row>
    <row r="202" spans="1:14" x14ac:dyDescent="0.3">
      <c r="A202" t="s">
        <v>438</v>
      </c>
      <c r="B202" t="s">
        <v>439</v>
      </c>
      <c r="C202" s="1">
        <v>44195</v>
      </c>
      <c r="D202" s="1">
        <v>45418</v>
      </c>
      <c r="E202" t="s">
        <v>42</v>
      </c>
      <c r="F202" t="s">
        <v>14</v>
      </c>
      <c r="G202" t="s">
        <v>32</v>
      </c>
      <c r="H202" t="s">
        <v>27</v>
      </c>
      <c r="I202">
        <v>126182.29</v>
      </c>
      <c r="J202" s="1">
        <v>36740</v>
      </c>
      <c r="K202" t="s">
        <v>36</v>
      </c>
      <c r="L202" s="4" t="str">
        <f>IF(RH[[#This Row],[Fecha de salida Laboral]]="","Activo","Inactivo")</f>
        <v>Inactivo</v>
      </c>
      <c r="M202" s="4">
        <f ca="1">INT((TODAY()-RH[[#This Row],[Fecha Nacimiento]])/365)</f>
        <v>25</v>
      </c>
      <c r="N202" s="4">
        <f ca="1">IF(RH[[#This Row],[Fecha de salida Laboral]]="",INT((TODAY()-RH[[#This Row],[Fecha de Ingreso laboral]])/365),INT((TODAY()-RH[[#This Row],[Fecha de salida Laboral]])/365))</f>
        <v>1</v>
      </c>
    </row>
    <row r="203" spans="1:14" x14ac:dyDescent="0.3">
      <c r="A203" t="s">
        <v>440</v>
      </c>
      <c r="B203" t="s">
        <v>441</v>
      </c>
      <c r="C203" s="1">
        <v>44602</v>
      </c>
      <c r="D203" s="1">
        <v>45468</v>
      </c>
      <c r="E203" t="s">
        <v>13</v>
      </c>
      <c r="F203" t="s">
        <v>14</v>
      </c>
      <c r="G203" t="s">
        <v>26</v>
      </c>
      <c r="H203" t="s">
        <v>27</v>
      </c>
      <c r="I203">
        <v>137712.67000000001</v>
      </c>
      <c r="J203" s="1">
        <v>24540</v>
      </c>
      <c r="K203" t="s">
        <v>28</v>
      </c>
      <c r="L203" s="4" t="str">
        <f>IF(RH[[#This Row],[Fecha de salida Laboral]]="","Activo","Inactivo")</f>
        <v>Inactivo</v>
      </c>
      <c r="M203" s="4">
        <f ca="1">INT((TODAY()-RH[[#This Row],[Fecha Nacimiento]])/365)</f>
        <v>58</v>
      </c>
      <c r="N203" s="4">
        <f ca="1">IF(RH[[#This Row],[Fecha de salida Laboral]]="",INT((TODAY()-RH[[#This Row],[Fecha de Ingreso laboral]])/365),INT((TODAY()-RH[[#This Row],[Fecha de salida Laboral]])/365))</f>
        <v>1</v>
      </c>
    </row>
    <row r="204" spans="1:14" x14ac:dyDescent="0.3">
      <c r="A204" t="s">
        <v>442</v>
      </c>
      <c r="B204" t="s">
        <v>443</v>
      </c>
      <c r="C204" s="1">
        <v>45305</v>
      </c>
      <c r="D204" s="1">
        <v>45394</v>
      </c>
      <c r="E204" t="s">
        <v>73</v>
      </c>
      <c r="F204" t="s">
        <v>54</v>
      </c>
      <c r="G204" t="s">
        <v>88</v>
      </c>
      <c r="H204" t="s">
        <v>27</v>
      </c>
      <c r="I204">
        <v>130161.44</v>
      </c>
      <c r="J204" s="1">
        <v>21474</v>
      </c>
      <c r="K204" t="s">
        <v>28</v>
      </c>
      <c r="L204" s="4" t="str">
        <f>IF(RH[[#This Row],[Fecha de salida Laboral]]="","Activo","Inactivo")</f>
        <v>Inactivo</v>
      </c>
      <c r="M204" s="4">
        <f ca="1">INT((TODAY()-RH[[#This Row],[Fecha Nacimiento]])/365)</f>
        <v>67</v>
      </c>
      <c r="N204" s="4">
        <f ca="1">IF(RH[[#This Row],[Fecha de salida Laboral]]="",INT((TODAY()-RH[[#This Row],[Fecha de Ingreso laboral]])/365),INT((TODAY()-RH[[#This Row],[Fecha de salida Laboral]])/365))</f>
        <v>1</v>
      </c>
    </row>
    <row r="205" spans="1:14" x14ac:dyDescent="0.3">
      <c r="A205" t="s">
        <v>444</v>
      </c>
      <c r="B205" t="s">
        <v>445</v>
      </c>
      <c r="C205" s="1">
        <v>45263</v>
      </c>
      <c r="D205" s="1"/>
      <c r="E205" t="s">
        <v>73</v>
      </c>
      <c r="F205" t="s">
        <v>14</v>
      </c>
      <c r="G205" t="s">
        <v>26</v>
      </c>
      <c r="H205" t="s">
        <v>27</v>
      </c>
      <c r="I205">
        <v>98360.74</v>
      </c>
      <c r="J205" s="1">
        <v>28449</v>
      </c>
      <c r="K205" t="s">
        <v>17</v>
      </c>
      <c r="L205" s="4" t="str">
        <f>IF(RH[[#This Row],[Fecha de salida Laboral]]="","Activo","Inactivo")</f>
        <v>Activo</v>
      </c>
      <c r="M205" s="4">
        <f ca="1">INT((TODAY()-RH[[#This Row],[Fecha Nacimiento]])/365)</f>
        <v>48</v>
      </c>
      <c r="N205" s="4">
        <f ca="1">IF(RH[[#This Row],[Fecha de salida Laboral]]="",INT((TODAY()-RH[[#This Row],[Fecha de Ingreso laboral]])/365),INT((TODAY()-RH[[#This Row],[Fecha de salida Laboral]])/365))</f>
        <v>2</v>
      </c>
    </row>
    <row r="206" spans="1:14" x14ac:dyDescent="0.3">
      <c r="A206" t="s">
        <v>446</v>
      </c>
      <c r="B206" t="s">
        <v>447</v>
      </c>
      <c r="C206" s="1">
        <v>43420</v>
      </c>
      <c r="D206" s="1">
        <v>45526</v>
      </c>
      <c r="E206" t="s">
        <v>31</v>
      </c>
      <c r="F206" t="s">
        <v>14</v>
      </c>
      <c r="G206" t="s">
        <v>26</v>
      </c>
      <c r="H206" t="s">
        <v>16</v>
      </c>
      <c r="I206">
        <v>122754.7</v>
      </c>
      <c r="J206" s="1">
        <v>30364</v>
      </c>
      <c r="K206" t="s">
        <v>17</v>
      </c>
      <c r="L206" s="4" t="str">
        <f>IF(RH[[#This Row],[Fecha de salida Laboral]]="","Activo","Inactivo")</f>
        <v>Inactivo</v>
      </c>
      <c r="M206" s="4">
        <f ca="1">INT((TODAY()-RH[[#This Row],[Fecha Nacimiento]])/365)</f>
        <v>42</v>
      </c>
      <c r="N206" s="4">
        <f ca="1">IF(RH[[#This Row],[Fecha de salida Laboral]]="",INT((TODAY()-RH[[#This Row],[Fecha de Ingreso laboral]])/365),INT((TODAY()-RH[[#This Row],[Fecha de salida Laboral]])/365))</f>
        <v>1</v>
      </c>
    </row>
    <row r="207" spans="1:14" x14ac:dyDescent="0.3">
      <c r="A207" t="s">
        <v>448</v>
      </c>
      <c r="B207" t="s">
        <v>449</v>
      </c>
      <c r="C207" s="1">
        <v>43408</v>
      </c>
      <c r="D207" s="1">
        <v>45374</v>
      </c>
      <c r="E207" t="s">
        <v>31</v>
      </c>
      <c r="F207" t="s">
        <v>39</v>
      </c>
      <c r="G207" t="s">
        <v>22</v>
      </c>
      <c r="H207" t="s">
        <v>27</v>
      </c>
      <c r="I207">
        <v>31985.79</v>
      </c>
      <c r="J207" s="1">
        <v>32925</v>
      </c>
      <c r="K207" t="s">
        <v>17</v>
      </c>
      <c r="L207" s="4" t="str">
        <f>IF(RH[[#This Row],[Fecha de salida Laboral]]="","Activo","Inactivo")</f>
        <v>Inactivo</v>
      </c>
      <c r="M207" s="4">
        <f ca="1">INT((TODAY()-RH[[#This Row],[Fecha Nacimiento]])/365)</f>
        <v>35</v>
      </c>
      <c r="N207" s="4">
        <f ca="1">IF(RH[[#This Row],[Fecha de salida Laboral]]="",INT((TODAY()-RH[[#This Row],[Fecha de Ingreso laboral]])/365),INT((TODAY()-RH[[#This Row],[Fecha de salida Laboral]])/365))</f>
        <v>1</v>
      </c>
    </row>
    <row r="208" spans="1:14" x14ac:dyDescent="0.3">
      <c r="A208" t="s">
        <v>450</v>
      </c>
      <c r="B208" t="s">
        <v>451</v>
      </c>
      <c r="C208" s="1">
        <v>45257</v>
      </c>
      <c r="D208" s="1">
        <v>45401</v>
      </c>
      <c r="E208" t="s">
        <v>31</v>
      </c>
      <c r="F208" t="s">
        <v>59</v>
      </c>
      <c r="G208" t="s">
        <v>103</v>
      </c>
      <c r="H208" t="s">
        <v>27</v>
      </c>
      <c r="I208">
        <v>124492.97</v>
      </c>
      <c r="J208" s="1">
        <v>26714</v>
      </c>
      <c r="K208" t="s">
        <v>36</v>
      </c>
      <c r="L208" s="4" t="str">
        <f>IF(RH[[#This Row],[Fecha de salida Laboral]]="","Activo","Inactivo")</f>
        <v>Inactivo</v>
      </c>
      <c r="M208" s="4">
        <f ca="1">INT((TODAY()-RH[[#This Row],[Fecha Nacimiento]])/365)</f>
        <v>52</v>
      </c>
      <c r="N208" s="4">
        <f ca="1">IF(RH[[#This Row],[Fecha de salida Laboral]]="",INT((TODAY()-RH[[#This Row],[Fecha de Ingreso laboral]])/365),INT((TODAY()-RH[[#This Row],[Fecha de salida Laboral]])/365))</f>
        <v>1</v>
      </c>
    </row>
    <row r="209" spans="1:14" x14ac:dyDescent="0.3">
      <c r="A209" t="s">
        <v>452</v>
      </c>
      <c r="B209" t="s">
        <v>453</v>
      </c>
      <c r="C209" s="1">
        <v>44904</v>
      </c>
      <c r="D209" s="1"/>
      <c r="E209" t="s">
        <v>73</v>
      </c>
      <c r="F209" t="s">
        <v>54</v>
      </c>
      <c r="G209" t="s">
        <v>26</v>
      </c>
      <c r="H209" t="s">
        <v>16</v>
      </c>
      <c r="I209">
        <v>104900.75</v>
      </c>
      <c r="J209" s="1">
        <v>36058</v>
      </c>
      <c r="K209" t="s">
        <v>17</v>
      </c>
      <c r="L209" s="4" t="str">
        <f>IF(RH[[#This Row],[Fecha de salida Laboral]]="","Activo","Inactivo")</f>
        <v>Activo</v>
      </c>
      <c r="M209" s="4">
        <f ca="1">INT((TODAY()-RH[[#This Row],[Fecha Nacimiento]])/365)</f>
        <v>27</v>
      </c>
      <c r="N209" s="4">
        <f ca="1">IF(RH[[#This Row],[Fecha de salida Laboral]]="",INT((TODAY()-RH[[#This Row],[Fecha de Ingreso laboral]])/365),INT((TODAY()-RH[[#This Row],[Fecha de salida Laboral]])/365))</f>
        <v>3</v>
      </c>
    </row>
    <row r="210" spans="1:14" x14ac:dyDescent="0.3">
      <c r="A210" t="s">
        <v>454</v>
      </c>
      <c r="B210" t="s">
        <v>455</v>
      </c>
      <c r="C210" s="1">
        <v>43387</v>
      </c>
      <c r="D210" s="1">
        <v>45368</v>
      </c>
      <c r="E210" t="s">
        <v>20</v>
      </c>
      <c r="F210" t="s">
        <v>21</v>
      </c>
      <c r="G210" t="s">
        <v>81</v>
      </c>
      <c r="H210" t="s">
        <v>27</v>
      </c>
      <c r="I210">
        <v>140803.13</v>
      </c>
      <c r="J210" s="1">
        <v>28333</v>
      </c>
      <c r="K210" t="s">
        <v>17</v>
      </c>
      <c r="L210" s="4" t="str">
        <f>IF(RH[[#This Row],[Fecha de salida Laboral]]="","Activo","Inactivo")</f>
        <v>Inactivo</v>
      </c>
      <c r="M210" s="4">
        <f ca="1">INT((TODAY()-RH[[#This Row],[Fecha Nacimiento]])/365)</f>
        <v>48</v>
      </c>
      <c r="N210" s="4">
        <f ca="1">IF(RH[[#This Row],[Fecha de salida Laboral]]="",INT((TODAY()-RH[[#This Row],[Fecha de Ingreso laboral]])/365),INT((TODAY()-RH[[#This Row],[Fecha de salida Laboral]])/365))</f>
        <v>1</v>
      </c>
    </row>
    <row r="211" spans="1:14" x14ac:dyDescent="0.3">
      <c r="A211" t="s">
        <v>456</v>
      </c>
      <c r="B211" t="s">
        <v>457</v>
      </c>
      <c r="C211" s="1">
        <v>43850</v>
      </c>
      <c r="D211" s="1">
        <v>45501</v>
      </c>
      <c r="E211" t="s">
        <v>45</v>
      </c>
      <c r="F211" t="s">
        <v>14</v>
      </c>
      <c r="G211" t="s">
        <v>103</v>
      </c>
      <c r="H211" t="s">
        <v>27</v>
      </c>
      <c r="I211">
        <v>84657.7</v>
      </c>
      <c r="J211" s="1">
        <v>35359</v>
      </c>
      <c r="K211" t="s">
        <v>36</v>
      </c>
      <c r="L211" s="4" t="str">
        <f>IF(RH[[#This Row],[Fecha de salida Laboral]]="","Activo","Inactivo")</f>
        <v>Inactivo</v>
      </c>
      <c r="M211" s="4">
        <f ca="1">INT((TODAY()-RH[[#This Row],[Fecha Nacimiento]])/365)</f>
        <v>29</v>
      </c>
      <c r="N211" s="4">
        <f ca="1">IF(RH[[#This Row],[Fecha de salida Laboral]]="",INT((TODAY()-RH[[#This Row],[Fecha de Ingreso laboral]])/365),INT((TODAY()-RH[[#This Row],[Fecha de salida Laboral]])/365))</f>
        <v>1</v>
      </c>
    </row>
    <row r="212" spans="1:14" x14ac:dyDescent="0.3">
      <c r="A212" t="s">
        <v>458</v>
      </c>
      <c r="B212" t="s">
        <v>459</v>
      </c>
      <c r="C212" s="1">
        <v>45546</v>
      </c>
      <c r="D212" s="1"/>
      <c r="E212" t="s">
        <v>31</v>
      </c>
      <c r="F212" t="s">
        <v>39</v>
      </c>
      <c r="G212" t="s">
        <v>70</v>
      </c>
      <c r="H212" t="s">
        <v>27</v>
      </c>
      <c r="I212">
        <v>67501.59</v>
      </c>
      <c r="J212" s="1">
        <v>33938</v>
      </c>
      <c r="K212" t="s">
        <v>17</v>
      </c>
      <c r="L212" s="4" t="str">
        <f>IF(RH[[#This Row],[Fecha de salida Laboral]]="","Activo","Inactivo")</f>
        <v>Activo</v>
      </c>
      <c r="M212" s="4">
        <f ca="1">INT((TODAY()-RH[[#This Row],[Fecha Nacimiento]])/365)</f>
        <v>33</v>
      </c>
      <c r="N212" s="4">
        <f ca="1">IF(RH[[#This Row],[Fecha de salida Laboral]]="",INT((TODAY()-RH[[#This Row],[Fecha de Ingreso laboral]])/365),INT((TODAY()-RH[[#This Row],[Fecha de salida Laboral]])/365))</f>
        <v>1</v>
      </c>
    </row>
    <row r="213" spans="1:14" x14ac:dyDescent="0.3">
      <c r="A213" t="s">
        <v>460</v>
      </c>
      <c r="B213" t="s">
        <v>461</v>
      </c>
      <c r="C213" s="1">
        <v>45144</v>
      </c>
      <c r="D213" s="1">
        <v>45408</v>
      </c>
      <c r="E213" t="s">
        <v>45</v>
      </c>
      <c r="F213" t="s">
        <v>25</v>
      </c>
      <c r="G213" t="s">
        <v>88</v>
      </c>
      <c r="H213" t="s">
        <v>27</v>
      </c>
      <c r="I213">
        <v>139185.03</v>
      </c>
      <c r="J213" s="1">
        <v>24085</v>
      </c>
      <c r="K213" t="s">
        <v>36</v>
      </c>
      <c r="L213" s="4" t="str">
        <f>IF(RH[[#This Row],[Fecha de salida Laboral]]="","Activo","Inactivo")</f>
        <v>Inactivo</v>
      </c>
      <c r="M213" s="4">
        <f ca="1">INT((TODAY()-RH[[#This Row],[Fecha Nacimiento]])/365)</f>
        <v>60</v>
      </c>
      <c r="N213" s="4">
        <f ca="1">IF(RH[[#This Row],[Fecha de salida Laboral]]="",INT((TODAY()-RH[[#This Row],[Fecha de Ingreso laboral]])/365),INT((TODAY()-RH[[#This Row],[Fecha de salida Laboral]])/365))</f>
        <v>1</v>
      </c>
    </row>
    <row r="214" spans="1:14" x14ac:dyDescent="0.3">
      <c r="A214" t="s">
        <v>462</v>
      </c>
      <c r="B214" t="s">
        <v>463</v>
      </c>
      <c r="C214" s="1">
        <v>44071</v>
      </c>
      <c r="D214" s="1">
        <v>45355</v>
      </c>
      <c r="E214" t="s">
        <v>13</v>
      </c>
      <c r="F214" t="s">
        <v>25</v>
      </c>
      <c r="G214" t="s">
        <v>35</v>
      </c>
      <c r="H214" t="s">
        <v>27</v>
      </c>
      <c r="I214">
        <v>138107.1</v>
      </c>
      <c r="J214" s="1">
        <v>38253</v>
      </c>
      <c r="K214" t="s">
        <v>17</v>
      </c>
      <c r="L214" s="4" t="str">
        <f>IF(RH[[#This Row],[Fecha de salida Laboral]]="","Activo","Inactivo")</f>
        <v>Inactivo</v>
      </c>
      <c r="M214" s="4">
        <f ca="1">INT((TODAY()-RH[[#This Row],[Fecha Nacimiento]])/365)</f>
        <v>21</v>
      </c>
      <c r="N214" s="4">
        <f ca="1">IF(RH[[#This Row],[Fecha de salida Laboral]]="",INT((TODAY()-RH[[#This Row],[Fecha de Ingreso laboral]])/365),INT((TODAY()-RH[[#This Row],[Fecha de salida Laboral]])/365))</f>
        <v>1</v>
      </c>
    </row>
    <row r="215" spans="1:14" x14ac:dyDescent="0.3">
      <c r="A215" t="s">
        <v>464</v>
      </c>
      <c r="B215" t="s">
        <v>465</v>
      </c>
      <c r="C215" s="1">
        <v>43396</v>
      </c>
      <c r="D215" s="1">
        <v>45330</v>
      </c>
      <c r="E215" t="s">
        <v>73</v>
      </c>
      <c r="F215" t="s">
        <v>25</v>
      </c>
      <c r="G215" t="s">
        <v>15</v>
      </c>
      <c r="H215" t="s">
        <v>16</v>
      </c>
      <c r="I215">
        <v>61914.01</v>
      </c>
      <c r="J215" s="1">
        <v>23466</v>
      </c>
      <c r="K215" t="s">
        <v>36</v>
      </c>
      <c r="L215" s="4" t="str">
        <f>IF(RH[[#This Row],[Fecha de salida Laboral]]="","Activo","Inactivo")</f>
        <v>Inactivo</v>
      </c>
      <c r="M215" s="4">
        <f ca="1">INT((TODAY()-RH[[#This Row],[Fecha Nacimiento]])/365)</f>
        <v>61</v>
      </c>
      <c r="N215" s="4">
        <f ca="1">IF(RH[[#This Row],[Fecha de salida Laboral]]="",INT((TODAY()-RH[[#This Row],[Fecha de Ingreso laboral]])/365),INT((TODAY()-RH[[#This Row],[Fecha de salida Laboral]])/365))</f>
        <v>1</v>
      </c>
    </row>
    <row r="216" spans="1:14" x14ac:dyDescent="0.3">
      <c r="A216" t="s">
        <v>466</v>
      </c>
      <c r="B216" t="s">
        <v>467</v>
      </c>
      <c r="C216" s="1">
        <v>44740</v>
      </c>
      <c r="D216" s="1">
        <v>45599</v>
      </c>
      <c r="E216" t="s">
        <v>45</v>
      </c>
      <c r="F216" t="s">
        <v>14</v>
      </c>
      <c r="G216" t="s">
        <v>70</v>
      </c>
      <c r="H216" t="s">
        <v>16</v>
      </c>
      <c r="I216">
        <v>56487.69</v>
      </c>
      <c r="J216" s="1">
        <v>25631</v>
      </c>
      <c r="K216" t="s">
        <v>17</v>
      </c>
      <c r="L216" s="4" t="str">
        <f>IF(RH[[#This Row],[Fecha de salida Laboral]]="","Activo","Inactivo")</f>
        <v>Inactivo</v>
      </c>
      <c r="M216" s="4">
        <f ca="1">INT((TODAY()-RH[[#This Row],[Fecha Nacimiento]])/365)</f>
        <v>55</v>
      </c>
      <c r="N216" s="4">
        <f ca="1">IF(RH[[#This Row],[Fecha de salida Laboral]]="",INT((TODAY()-RH[[#This Row],[Fecha de Ingreso laboral]])/365),INT((TODAY()-RH[[#This Row],[Fecha de salida Laboral]])/365))</f>
        <v>1</v>
      </c>
    </row>
    <row r="217" spans="1:14" x14ac:dyDescent="0.3">
      <c r="A217" t="s">
        <v>468</v>
      </c>
      <c r="B217" t="s">
        <v>469</v>
      </c>
      <c r="C217" s="1">
        <v>45439</v>
      </c>
      <c r="D217" s="1"/>
      <c r="E217" t="s">
        <v>73</v>
      </c>
      <c r="F217" t="s">
        <v>25</v>
      </c>
      <c r="G217" t="s">
        <v>22</v>
      </c>
      <c r="H217" t="s">
        <v>16</v>
      </c>
      <c r="I217">
        <v>131248.99</v>
      </c>
      <c r="J217" s="1">
        <v>30444</v>
      </c>
      <c r="K217" t="s">
        <v>17</v>
      </c>
      <c r="L217" s="4" t="str">
        <f>IF(RH[[#This Row],[Fecha de salida Laboral]]="","Activo","Inactivo")</f>
        <v>Activo</v>
      </c>
      <c r="M217" s="4">
        <f ca="1">INT((TODAY()-RH[[#This Row],[Fecha Nacimiento]])/365)</f>
        <v>42</v>
      </c>
      <c r="N217" s="4">
        <f ca="1">IF(RH[[#This Row],[Fecha de salida Laboral]]="",INT((TODAY()-RH[[#This Row],[Fecha de Ingreso laboral]])/365),INT((TODAY()-RH[[#This Row],[Fecha de salida Laboral]])/365))</f>
        <v>1</v>
      </c>
    </row>
    <row r="218" spans="1:14" x14ac:dyDescent="0.3">
      <c r="A218" t="s">
        <v>470</v>
      </c>
      <c r="B218" t="s">
        <v>471</v>
      </c>
      <c r="C218" s="1">
        <v>43476</v>
      </c>
      <c r="D218" s="1">
        <v>45454</v>
      </c>
      <c r="E218" t="s">
        <v>45</v>
      </c>
      <c r="F218" t="s">
        <v>14</v>
      </c>
      <c r="G218" t="s">
        <v>15</v>
      </c>
      <c r="H218" t="s">
        <v>16</v>
      </c>
      <c r="I218">
        <v>66597.52</v>
      </c>
      <c r="J218" s="1">
        <v>25071</v>
      </c>
      <c r="K218" t="s">
        <v>28</v>
      </c>
      <c r="L218" s="4" t="str">
        <f>IF(RH[[#This Row],[Fecha de salida Laboral]]="","Activo","Inactivo")</f>
        <v>Inactivo</v>
      </c>
      <c r="M218" s="4">
        <f ca="1">INT((TODAY()-RH[[#This Row],[Fecha Nacimiento]])/365)</f>
        <v>57</v>
      </c>
      <c r="N218" s="4">
        <f ca="1">IF(RH[[#This Row],[Fecha de salida Laboral]]="",INT((TODAY()-RH[[#This Row],[Fecha de Ingreso laboral]])/365),INT((TODAY()-RH[[#This Row],[Fecha de salida Laboral]])/365))</f>
        <v>1</v>
      </c>
    </row>
    <row r="219" spans="1:14" x14ac:dyDescent="0.3">
      <c r="A219" t="s">
        <v>472</v>
      </c>
      <c r="B219" t="s">
        <v>473</v>
      </c>
      <c r="C219" s="1">
        <v>43394</v>
      </c>
      <c r="D219" s="1">
        <v>45554</v>
      </c>
      <c r="E219" t="s">
        <v>45</v>
      </c>
      <c r="F219" t="s">
        <v>25</v>
      </c>
      <c r="G219" t="s">
        <v>35</v>
      </c>
      <c r="H219" t="s">
        <v>27</v>
      </c>
      <c r="I219">
        <v>80250.89</v>
      </c>
      <c r="J219" s="1">
        <v>21649</v>
      </c>
      <c r="K219" t="s">
        <v>28</v>
      </c>
      <c r="L219" s="4" t="str">
        <f>IF(RH[[#This Row],[Fecha de salida Laboral]]="","Activo","Inactivo")</f>
        <v>Inactivo</v>
      </c>
      <c r="M219" s="4">
        <f ca="1">INT((TODAY()-RH[[#This Row],[Fecha Nacimiento]])/365)</f>
        <v>66</v>
      </c>
      <c r="N219" s="4">
        <f ca="1">IF(RH[[#This Row],[Fecha de salida Laboral]]="",INT((TODAY()-RH[[#This Row],[Fecha de Ingreso laboral]])/365),INT((TODAY()-RH[[#This Row],[Fecha de salida Laboral]])/365))</f>
        <v>1</v>
      </c>
    </row>
    <row r="220" spans="1:14" x14ac:dyDescent="0.3">
      <c r="A220" t="s">
        <v>474</v>
      </c>
      <c r="B220" t="s">
        <v>475</v>
      </c>
      <c r="C220" s="1">
        <v>44847</v>
      </c>
      <c r="D220" s="1">
        <v>45470</v>
      </c>
      <c r="E220" t="s">
        <v>42</v>
      </c>
      <c r="F220" t="s">
        <v>21</v>
      </c>
      <c r="G220" t="s">
        <v>70</v>
      </c>
      <c r="H220" t="s">
        <v>16</v>
      </c>
      <c r="I220">
        <v>116349.6</v>
      </c>
      <c r="J220" s="1">
        <v>23247</v>
      </c>
      <c r="K220" t="s">
        <v>17</v>
      </c>
      <c r="L220" s="4" t="str">
        <f>IF(RH[[#This Row],[Fecha de salida Laboral]]="","Activo","Inactivo")</f>
        <v>Inactivo</v>
      </c>
      <c r="M220" s="4">
        <f ca="1">INT((TODAY()-RH[[#This Row],[Fecha Nacimiento]])/365)</f>
        <v>62</v>
      </c>
      <c r="N220" s="4">
        <f ca="1">IF(RH[[#This Row],[Fecha de salida Laboral]]="",INT((TODAY()-RH[[#This Row],[Fecha de Ingreso laboral]])/365),INT((TODAY()-RH[[#This Row],[Fecha de salida Laboral]])/365))</f>
        <v>1</v>
      </c>
    </row>
    <row r="221" spans="1:14" x14ac:dyDescent="0.3">
      <c r="A221" t="s">
        <v>476</v>
      </c>
      <c r="B221" t="s">
        <v>477</v>
      </c>
      <c r="C221" s="1">
        <v>45111</v>
      </c>
      <c r="D221" s="1">
        <v>45499</v>
      </c>
      <c r="E221" t="s">
        <v>13</v>
      </c>
      <c r="F221" t="s">
        <v>21</v>
      </c>
      <c r="G221" t="s">
        <v>81</v>
      </c>
      <c r="H221" t="s">
        <v>16</v>
      </c>
      <c r="I221">
        <v>119017.76</v>
      </c>
      <c r="J221" s="1">
        <v>38012</v>
      </c>
      <c r="K221" t="s">
        <v>36</v>
      </c>
      <c r="L221" s="4" t="str">
        <f>IF(RH[[#This Row],[Fecha de salida Laboral]]="","Activo","Inactivo")</f>
        <v>Inactivo</v>
      </c>
      <c r="M221" s="4">
        <f ca="1">INT((TODAY()-RH[[#This Row],[Fecha Nacimiento]])/365)</f>
        <v>21</v>
      </c>
      <c r="N221" s="4">
        <f ca="1">IF(RH[[#This Row],[Fecha de salida Laboral]]="",INT((TODAY()-RH[[#This Row],[Fecha de Ingreso laboral]])/365),INT((TODAY()-RH[[#This Row],[Fecha de salida Laboral]])/365))</f>
        <v>1</v>
      </c>
    </row>
    <row r="222" spans="1:14" x14ac:dyDescent="0.3">
      <c r="A222" t="s">
        <v>478</v>
      </c>
      <c r="B222" t="s">
        <v>479</v>
      </c>
      <c r="C222" s="1">
        <v>44352</v>
      </c>
      <c r="D222" s="1"/>
      <c r="E222" t="s">
        <v>13</v>
      </c>
      <c r="F222" t="s">
        <v>39</v>
      </c>
      <c r="G222" t="s">
        <v>81</v>
      </c>
      <c r="H222" t="s">
        <v>16</v>
      </c>
      <c r="I222">
        <v>73507.45</v>
      </c>
      <c r="J222" s="1">
        <v>28685</v>
      </c>
      <c r="K222" t="s">
        <v>17</v>
      </c>
      <c r="L222" s="4" t="str">
        <f>IF(RH[[#This Row],[Fecha de salida Laboral]]="","Activo","Inactivo")</f>
        <v>Activo</v>
      </c>
      <c r="M222" s="4">
        <f ca="1">INT((TODAY()-RH[[#This Row],[Fecha Nacimiento]])/365)</f>
        <v>47</v>
      </c>
      <c r="N222" s="4">
        <f ca="1">IF(RH[[#This Row],[Fecha de salida Laboral]]="",INT((TODAY()-RH[[#This Row],[Fecha de Ingreso laboral]])/365),INT((TODAY()-RH[[#This Row],[Fecha de salida Laboral]])/365))</f>
        <v>4</v>
      </c>
    </row>
    <row r="223" spans="1:14" x14ac:dyDescent="0.3">
      <c r="A223" t="s">
        <v>480</v>
      </c>
      <c r="B223" t="s">
        <v>481</v>
      </c>
      <c r="C223" s="1">
        <v>45085</v>
      </c>
      <c r="D223" s="1">
        <v>45405</v>
      </c>
      <c r="E223" t="s">
        <v>42</v>
      </c>
      <c r="F223" t="s">
        <v>14</v>
      </c>
      <c r="G223" t="s">
        <v>103</v>
      </c>
      <c r="H223" t="s">
        <v>27</v>
      </c>
      <c r="I223">
        <v>70956.710000000006</v>
      </c>
      <c r="J223" s="1">
        <v>32168</v>
      </c>
      <c r="K223" t="s">
        <v>17</v>
      </c>
      <c r="L223" s="4" t="str">
        <f>IF(RH[[#This Row],[Fecha de salida Laboral]]="","Activo","Inactivo")</f>
        <v>Inactivo</v>
      </c>
      <c r="M223" s="4">
        <f ca="1">INT((TODAY()-RH[[#This Row],[Fecha Nacimiento]])/365)</f>
        <v>37</v>
      </c>
      <c r="N223" s="4">
        <f ca="1">IF(RH[[#This Row],[Fecha de salida Laboral]]="",INT((TODAY()-RH[[#This Row],[Fecha de Ingreso laboral]])/365),INT((TODAY()-RH[[#This Row],[Fecha de salida Laboral]])/365))</f>
        <v>1</v>
      </c>
    </row>
    <row r="224" spans="1:14" x14ac:dyDescent="0.3">
      <c r="A224" t="s">
        <v>482</v>
      </c>
      <c r="B224" t="s">
        <v>483</v>
      </c>
      <c r="C224" s="1">
        <v>44406</v>
      </c>
      <c r="D224" s="1">
        <v>45307</v>
      </c>
      <c r="E224" t="s">
        <v>20</v>
      </c>
      <c r="F224" t="s">
        <v>25</v>
      </c>
      <c r="G224" t="s">
        <v>35</v>
      </c>
      <c r="H224" t="s">
        <v>27</v>
      </c>
      <c r="I224">
        <v>139086.5</v>
      </c>
      <c r="J224" s="1">
        <v>38411</v>
      </c>
      <c r="K224" t="s">
        <v>36</v>
      </c>
      <c r="L224" s="4" t="str">
        <f>IF(RH[[#This Row],[Fecha de salida Laboral]]="","Activo","Inactivo")</f>
        <v>Inactivo</v>
      </c>
      <c r="M224" s="4">
        <f ca="1">INT((TODAY()-RH[[#This Row],[Fecha Nacimiento]])/365)</f>
        <v>20</v>
      </c>
      <c r="N224" s="4">
        <f ca="1">IF(RH[[#This Row],[Fecha de salida Laboral]]="",INT((TODAY()-RH[[#This Row],[Fecha de Ingreso laboral]])/365),INT((TODAY()-RH[[#This Row],[Fecha de salida Laboral]])/365))</f>
        <v>1</v>
      </c>
    </row>
    <row r="225" spans="1:14" x14ac:dyDescent="0.3">
      <c r="A225" t="s">
        <v>484</v>
      </c>
      <c r="B225" t="s">
        <v>485</v>
      </c>
      <c r="C225" s="1">
        <v>43809</v>
      </c>
      <c r="D225" s="1"/>
      <c r="E225" t="s">
        <v>20</v>
      </c>
      <c r="F225" t="s">
        <v>14</v>
      </c>
      <c r="G225" t="s">
        <v>26</v>
      </c>
      <c r="H225" t="s">
        <v>27</v>
      </c>
      <c r="I225">
        <v>66827.34</v>
      </c>
      <c r="J225" s="1">
        <v>26401</v>
      </c>
      <c r="K225" t="s">
        <v>36</v>
      </c>
      <c r="L225" s="4" t="str">
        <f>IF(RH[[#This Row],[Fecha de salida Laboral]]="","Activo","Inactivo")</f>
        <v>Activo</v>
      </c>
      <c r="M225" s="4">
        <f ca="1">INT((TODAY()-RH[[#This Row],[Fecha Nacimiento]])/365)</f>
        <v>53</v>
      </c>
      <c r="N225" s="4">
        <f ca="1">IF(RH[[#This Row],[Fecha de salida Laboral]]="",INT((TODAY()-RH[[#This Row],[Fecha de Ingreso laboral]])/365),INT((TODAY()-RH[[#This Row],[Fecha de salida Laboral]])/365))</f>
        <v>6</v>
      </c>
    </row>
    <row r="226" spans="1:14" x14ac:dyDescent="0.3">
      <c r="A226" t="s">
        <v>486</v>
      </c>
      <c r="B226" t="s">
        <v>487</v>
      </c>
      <c r="C226" s="1">
        <v>45499</v>
      </c>
      <c r="D226" s="1">
        <v>45463</v>
      </c>
      <c r="E226" t="s">
        <v>45</v>
      </c>
      <c r="F226" t="s">
        <v>39</v>
      </c>
      <c r="G226" t="s">
        <v>74</v>
      </c>
      <c r="H226" t="s">
        <v>27</v>
      </c>
      <c r="I226">
        <v>100237.21</v>
      </c>
      <c r="J226" s="1">
        <v>27214</v>
      </c>
      <c r="K226" t="s">
        <v>17</v>
      </c>
      <c r="L226" s="4" t="str">
        <f>IF(RH[[#This Row],[Fecha de salida Laboral]]="","Activo","Inactivo")</f>
        <v>Inactivo</v>
      </c>
      <c r="M226" s="4">
        <f ca="1">INT((TODAY()-RH[[#This Row],[Fecha Nacimiento]])/365)</f>
        <v>51</v>
      </c>
      <c r="N226" s="4">
        <f ca="1">IF(RH[[#This Row],[Fecha de salida Laboral]]="",INT((TODAY()-RH[[#This Row],[Fecha de Ingreso laboral]])/365),INT((TODAY()-RH[[#This Row],[Fecha de salida Laboral]])/365))</f>
        <v>1</v>
      </c>
    </row>
    <row r="227" spans="1:14" x14ac:dyDescent="0.3">
      <c r="A227" t="s">
        <v>488</v>
      </c>
      <c r="B227" t="s">
        <v>489</v>
      </c>
      <c r="C227" s="1">
        <v>44599</v>
      </c>
      <c r="D227" s="1"/>
      <c r="E227" t="s">
        <v>45</v>
      </c>
      <c r="F227" t="s">
        <v>59</v>
      </c>
      <c r="G227" t="s">
        <v>103</v>
      </c>
      <c r="H227" t="s">
        <v>16</v>
      </c>
      <c r="I227">
        <v>132989.28</v>
      </c>
      <c r="J227" s="1">
        <v>22445</v>
      </c>
      <c r="K227" t="s">
        <v>36</v>
      </c>
      <c r="L227" s="4" t="str">
        <f>IF(RH[[#This Row],[Fecha de salida Laboral]]="","Activo","Inactivo")</f>
        <v>Activo</v>
      </c>
      <c r="M227" s="4">
        <f ca="1">INT((TODAY()-RH[[#This Row],[Fecha Nacimiento]])/365)</f>
        <v>64</v>
      </c>
      <c r="N227" s="4">
        <f ca="1">IF(RH[[#This Row],[Fecha de salida Laboral]]="",INT((TODAY()-RH[[#This Row],[Fecha de Ingreso laboral]])/365),INT((TODAY()-RH[[#This Row],[Fecha de salida Laboral]])/365))</f>
        <v>3</v>
      </c>
    </row>
    <row r="228" spans="1:14" x14ac:dyDescent="0.3">
      <c r="A228" t="s">
        <v>490</v>
      </c>
      <c r="B228" t="s">
        <v>491</v>
      </c>
      <c r="C228" s="1">
        <v>45267</v>
      </c>
      <c r="D228" s="1"/>
      <c r="E228" t="s">
        <v>13</v>
      </c>
      <c r="F228" t="s">
        <v>14</v>
      </c>
      <c r="G228" t="s">
        <v>22</v>
      </c>
      <c r="H228" t="s">
        <v>27</v>
      </c>
      <c r="I228">
        <v>118432.68</v>
      </c>
      <c r="J228" s="1">
        <v>34866</v>
      </c>
      <c r="K228" t="s">
        <v>36</v>
      </c>
      <c r="L228" s="4" t="str">
        <f>IF(RH[[#This Row],[Fecha de salida Laboral]]="","Activo","Inactivo")</f>
        <v>Activo</v>
      </c>
      <c r="M228" s="4">
        <f ca="1">INT((TODAY()-RH[[#This Row],[Fecha Nacimiento]])/365)</f>
        <v>30</v>
      </c>
      <c r="N228" s="4">
        <f ca="1">IF(RH[[#This Row],[Fecha de salida Laboral]]="",INT((TODAY()-RH[[#This Row],[Fecha de Ingreso laboral]])/365),INT((TODAY()-RH[[#This Row],[Fecha de salida Laboral]])/365))</f>
        <v>2</v>
      </c>
    </row>
    <row r="229" spans="1:14" x14ac:dyDescent="0.3">
      <c r="A229" t="s">
        <v>492</v>
      </c>
      <c r="B229" t="s">
        <v>493</v>
      </c>
      <c r="C229" s="1">
        <v>43518</v>
      </c>
      <c r="D229" s="1"/>
      <c r="E229" t="s">
        <v>42</v>
      </c>
      <c r="F229" t="s">
        <v>25</v>
      </c>
      <c r="G229" t="s">
        <v>32</v>
      </c>
      <c r="H229" t="s">
        <v>27</v>
      </c>
      <c r="I229">
        <v>90838.26</v>
      </c>
      <c r="J229" s="1">
        <v>38333</v>
      </c>
      <c r="K229" t="s">
        <v>28</v>
      </c>
      <c r="L229" s="4" t="str">
        <f>IF(RH[[#This Row],[Fecha de salida Laboral]]="","Activo","Inactivo")</f>
        <v>Activo</v>
      </c>
      <c r="M229" s="4">
        <f ca="1">INT((TODAY()-RH[[#This Row],[Fecha Nacimiento]])/365)</f>
        <v>21</v>
      </c>
      <c r="N229" s="4">
        <f ca="1">IF(RH[[#This Row],[Fecha de salida Laboral]]="",INT((TODAY()-RH[[#This Row],[Fecha de Ingreso laboral]])/365),INT((TODAY()-RH[[#This Row],[Fecha de salida Laboral]])/365))</f>
        <v>6</v>
      </c>
    </row>
    <row r="230" spans="1:14" x14ac:dyDescent="0.3">
      <c r="A230" t="s">
        <v>494</v>
      </c>
      <c r="B230" t="s">
        <v>495</v>
      </c>
      <c r="C230" s="1">
        <v>43480</v>
      </c>
      <c r="D230" s="1"/>
      <c r="E230" t="s">
        <v>20</v>
      </c>
      <c r="F230" t="s">
        <v>59</v>
      </c>
      <c r="G230" t="s">
        <v>26</v>
      </c>
      <c r="H230" t="s">
        <v>27</v>
      </c>
      <c r="I230">
        <v>91697.27</v>
      </c>
      <c r="J230" s="1">
        <v>33908</v>
      </c>
      <c r="K230" t="s">
        <v>28</v>
      </c>
      <c r="L230" s="4" t="str">
        <f>IF(RH[[#This Row],[Fecha de salida Laboral]]="","Activo","Inactivo")</f>
        <v>Activo</v>
      </c>
      <c r="M230" s="4">
        <f ca="1">INT((TODAY()-RH[[#This Row],[Fecha Nacimiento]])/365)</f>
        <v>33</v>
      </c>
      <c r="N230" s="4">
        <f ca="1">IF(RH[[#This Row],[Fecha de salida Laboral]]="",INT((TODAY()-RH[[#This Row],[Fecha de Ingreso laboral]])/365),INT((TODAY()-RH[[#This Row],[Fecha de salida Laboral]])/365))</f>
        <v>6</v>
      </c>
    </row>
    <row r="231" spans="1:14" x14ac:dyDescent="0.3">
      <c r="A231" t="s">
        <v>496</v>
      </c>
      <c r="B231" t="s">
        <v>497</v>
      </c>
      <c r="C231" s="1">
        <v>45017</v>
      </c>
      <c r="D231" s="1">
        <v>45528</v>
      </c>
      <c r="E231" t="s">
        <v>20</v>
      </c>
      <c r="F231" t="s">
        <v>14</v>
      </c>
      <c r="G231" t="s">
        <v>26</v>
      </c>
      <c r="H231" t="s">
        <v>16</v>
      </c>
      <c r="I231">
        <v>62559.03</v>
      </c>
      <c r="J231" s="1">
        <v>26826</v>
      </c>
      <c r="K231" t="s">
        <v>17</v>
      </c>
      <c r="L231" s="4" t="str">
        <f>IF(RH[[#This Row],[Fecha de salida Laboral]]="","Activo","Inactivo")</f>
        <v>Inactivo</v>
      </c>
      <c r="M231" s="4">
        <f ca="1">INT((TODAY()-RH[[#This Row],[Fecha Nacimiento]])/365)</f>
        <v>52</v>
      </c>
      <c r="N231" s="4">
        <f ca="1">IF(RH[[#This Row],[Fecha de salida Laboral]]="",INT((TODAY()-RH[[#This Row],[Fecha de Ingreso laboral]])/365),INT((TODAY()-RH[[#This Row],[Fecha de salida Laboral]])/365))</f>
        <v>1</v>
      </c>
    </row>
    <row r="232" spans="1:14" x14ac:dyDescent="0.3">
      <c r="A232" t="s">
        <v>498</v>
      </c>
      <c r="B232" t="s">
        <v>499</v>
      </c>
      <c r="C232" s="1">
        <v>43740</v>
      </c>
      <c r="D232" s="1">
        <v>45496</v>
      </c>
      <c r="E232" t="s">
        <v>42</v>
      </c>
      <c r="F232" t="s">
        <v>21</v>
      </c>
      <c r="G232" t="s">
        <v>22</v>
      </c>
      <c r="H232" t="s">
        <v>16</v>
      </c>
      <c r="I232">
        <v>51256.52</v>
      </c>
      <c r="J232" s="1">
        <v>22060</v>
      </c>
      <c r="K232" t="s">
        <v>28</v>
      </c>
      <c r="L232" s="4" t="str">
        <f>IF(RH[[#This Row],[Fecha de salida Laboral]]="","Activo","Inactivo")</f>
        <v>Inactivo</v>
      </c>
      <c r="M232" s="4">
        <f ca="1">INT((TODAY()-RH[[#This Row],[Fecha Nacimiento]])/365)</f>
        <v>65</v>
      </c>
      <c r="N232" s="4">
        <f ca="1">IF(RH[[#This Row],[Fecha de salida Laboral]]="",INT((TODAY()-RH[[#This Row],[Fecha de Ingreso laboral]])/365),INT((TODAY()-RH[[#This Row],[Fecha de salida Laboral]])/365))</f>
        <v>1</v>
      </c>
    </row>
    <row r="233" spans="1:14" x14ac:dyDescent="0.3">
      <c r="A233" t="s">
        <v>500</v>
      </c>
      <c r="B233" t="s">
        <v>501</v>
      </c>
      <c r="C233" s="1">
        <v>45027</v>
      </c>
      <c r="D233" s="1"/>
      <c r="E233" t="s">
        <v>73</v>
      </c>
      <c r="F233" t="s">
        <v>39</v>
      </c>
      <c r="G233" t="s">
        <v>15</v>
      </c>
      <c r="H233" t="s">
        <v>27</v>
      </c>
      <c r="I233">
        <v>130682.5</v>
      </c>
      <c r="J233" s="1">
        <v>33921</v>
      </c>
      <c r="K233" t="s">
        <v>17</v>
      </c>
      <c r="L233" s="4" t="str">
        <f>IF(RH[[#This Row],[Fecha de salida Laboral]]="","Activo","Inactivo")</f>
        <v>Activo</v>
      </c>
      <c r="M233" s="4">
        <f ca="1">INT((TODAY()-RH[[#This Row],[Fecha Nacimiento]])/365)</f>
        <v>33</v>
      </c>
      <c r="N233" s="4">
        <f ca="1">IF(RH[[#This Row],[Fecha de salida Laboral]]="",INT((TODAY()-RH[[#This Row],[Fecha de Ingreso laboral]])/365),INT((TODAY()-RH[[#This Row],[Fecha de salida Laboral]])/365))</f>
        <v>2</v>
      </c>
    </row>
    <row r="234" spans="1:14" x14ac:dyDescent="0.3">
      <c r="A234" t="s">
        <v>502</v>
      </c>
      <c r="B234" t="s">
        <v>503</v>
      </c>
      <c r="C234" s="1">
        <v>45229</v>
      </c>
      <c r="D234" s="1"/>
      <c r="E234" t="s">
        <v>42</v>
      </c>
      <c r="F234" t="s">
        <v>39</v>
      </c>
      <c r="G234" t="s">
        <v>70</v>
      </c>
      <c r="H234" t="s">
        <v>27</v>
      </c>
      <c r="I234">
        <v>139811.99</v>
      </c>
      <c r="J234" s="1">
        <v>36057</v>
      </c>
      <c r="K234" t="s">
        <v>28</v>
      </c>
      <c r="L234" s="4" t="str">
        <f>IF(RH[[#This Row],[Fecha de salida Laboral]]="","Activo","Inactivo")</f>
        <v>Activo</v>
      </c>
      <c r="M234" s="4">
        <f ca="1">INT((TODAY()-RH[[#This Row],[Fecha Nacimiento]])/365)</f>
        <v>27</v>
      </c>
      <c r="N234" s="4">
        <f ca="1">IF(RH[[#This Row],[Fecha de salida Laboral]]="",INT((TODAY()-RH[[#This Row],[Fecha de Ingreso laboral]])/365),INT((TODAY()-RH[[#This Row],[Fecha de salida Laboral]])/365))</f>
        <v>2</v>
      </c>
    </row>
    <row r="235" spans="1:14" x14ac:dyDescent="0.3">
      <c r="A235" t="s">
        <v>504</v>
      </c>
      <c r="B235" t="s">
        <v>505</v>
      </c>
      <c r="C235" s="1">
        <v>43568</v>
      </c>
      <c r="D235" s="1"/>
      <c r="E235" t="s">
        <v>42</v>
      </c>
      <c r="F235" t="s">
        <v>25</v>
      </c>
      <c r="G235" t="s">
        <v>74</v>
      </c>
      <c r="H235" t="s">
        <v>16</v>
      </c>
      <c r="I235">
        <v>91114.27</v>
      </c>
      <c r="J235" s="1">
        <v>37410</v>
      </c>
      <c r="K235" t="s">
        <v>28</v>
      </c>
      <c r="L235" s="4" t="str">
        <f>IF(RH[[#This Row],[Fecha de salida Laboral]]="","Activo","Inactivo")</f>
        <v>Activo</v>
      </c>
      <c r="M235" s="4">
        <f ca="1">INT((TODAY()-RH[[#This Row],[Fecha Nacimiento]])/365)</f>
        <v>23</v>
      </c>
      <c r="N235" s="4">
        <f ca="1">IF(RH[[#This Row],[Fecha de salida Laboral]]="",INT((TODAY()-RH[[#This Row],[Fecha de Ingreso laboral]])/365),INT((TODAY()-RH[[#This Row],[Fecha de salida Laboral]])/365))</f>
        <v>6</v>
      </c>
    </row>
    <row r="236" spans="1:14" x14ac:dyDescent="0.3">
      <c r="A236" t="s">
        <v>506</v>
      </c>
      <c r="B236" t="s">
        <v>507</v>
      </c>
      <c r="C236" s="1">
        <v>43690</v>
      </c>
      <c r="D236" s="1"/>
      <c r="E236" t="s">
        <v>31</v>
      </c>
      <c r="F236" t="s">
        <v>25</v>
      </c>
      <c r="G236" t="s">
        <v>22</v>
      </c>
      <c r="H236" t="s">
        <v>16</v>
      </c>
      <c r="I236">
        <v>133418.56</v>
      </c>
      <c r="J236" s="1">
        <v>37794</v>
      </c>
      <c r="K236" t="s">
        <v>28</v>
      </c>
      <c r="L236" s="4" t="str">
        <f>IF(RH[[#This Row],[Fecha de salida Laboral]]="","Activo","Inactivo")</f>
        <v>Activo</v>
      </c>
      <c r="M236" s="4">
        <f ca="1">INT((TODAY()-RH[[#This Row],[Fecha Nacimiento]])/365)</f>
        <v>22</v>
      </c>
      <c r="N236" s="4">
        <f ca="1">IF(RH[[#This Row],[Fecha de salida Laboral]]="",INT((TODAY()-RH[[#This Row],[Fecha de Ingreso laboral]])/365),INT((TODAY()-RH[[#This Row],[Fecha de salida Laboral]])/365))</f>
        <v>6</v>
      </c>
    </row>
    <row r="237" spans="1:14" x14ac:dyDescent="0.3">
      <c r="A237" t="s">
        <v>508</v>
      </c>
      <c r="B237" t="s">
        <v>509</v>
      </c>
      <c r="C237" s="1">
        <v>44682</v>
      </c>
      <c r="D237" s="1"/>
      <c r="E237" t="s">
        <v>45</v>
      </c>
      <c r="F237" t="s">
        <v>59</v>
      </c>
      <c r="G237" t="s">
        <v>103</v>
      </c>
      <c r="H237" t="s">
        <v>27</v>
      </c>
      <c r="I237">
        <v>32543.37</v>
      </c>
      <c r="J237" s="1">
        <v>32718</v>
      </c>
      <c r="K237" t="s">
        <v>17</v>
      </c>
      <c r="L237" s="4" t="str">
        <f>IF(RH[[#This Row],[Fecha de salida Laboral]]="","Activo","Inactivo")</f>
        <v>Activo</v>
      </c>
      <c r="M237" s="4">
        <f ca="1">INT((TODAY()-RH[[#This Row],[Fecha Nacimiento]])/365)</f>
        <v>36</v>
      </c>
      <c r="N237" s="4">
        <f ca="1">IF(RH[[#This Row],[Fecha de salida Laboral]]="",INT((TODAY()-RH[[#This Row],[Fecha de Ingreso laboral]])/365),INT((TODAY()-RH[[#This Row],[Fecha de salida Laboral]])/365))</f>
        <v>3</v>
      </c>
    </row>
    <row r="238" spans="1:14" x14ac:dyDescent="0.3">
      <c r="A238" t="s">
        <v>510</v>
      </c>
      <c r="B238" t="s">
        <v>511</v>
      </c>
      <c r="C238" s="1">
        <v>44211</v>
      </c>
      <c r="D238" s="1"/>
      <c r="E238" t="s">
        <v>31</v>
      </c>
      <c r="F238" t="s">
        <v>21</v>
      </c>
      <c r="G238" t="s">
        <v>74</v>
      </c>
      <c r="H238" t="s">
        <v>27</v>
      </c>
      <c r="I238">
        <v>136470.91</v>
      </c>
      <c r="J238" s="1">
        <v>35863</v>
      </c>
      <c r="K238" t="s">
        <v>17</v>
      </c>
      <c r="L238" s="4" t="str">
        <f>IF(RH[[#This Row],[Fecha de salida Laboral]]="","Activo","Inactivo")</f>
        <v>Activo</v>
      </c>
      <c r="M238" s="4">
        <f ca="1">INT((TODAY()-RH[[#This Row],[Fecha Nacimiento]])/365)</f>
        <v>27</v>
      </c>
      <c r="N238" s="4">
        <f ca="1">IF(RH[[#This Row],[Fecha de salida Laboral]]="",INT((TODAY()-RH[[#This Row],[Fecha de Ingreso laboral]])/365),INT((TODAY()-RH[[#This Row],[Fecha de salida Laboral]])/365))</f>
        <v>4</v>
      </c>
    </row>
    <row r="239" spans="1:14" x14ac:dyDescent="0.3">
      <c r="A239" t="s">
        <v>512</v>
      </c>
      <c r="B239" t="s">
        <v>513</v>
      </c>
      <c r="C239" s="1">
        <v>44874</v>
      </c>
      <c r="D239" s="1">
        <v>45605</v>
      </c>
      <c r="E239" t="s">
        <v>73</v>
      </c>
      <c r="F239" t="s">
        <v>39</v>
      </c>
      <c r="G239" t="s">
        <v>32</v>
      </c>
      <c r="H239" t="s">
        <v>27</v>
      </c>
      <c r="I239">
        <v>119879.59</v>
      </c>
      <c r="J239" s="1">
        <v>30506</v>
      </c>
      <c r="K239" t="s">
        <v>17</v>
      </c>
      <c r="L239" s="4" t="str">
        <f>IF(RH[[#This Row],[Fecha de salida Laboral]]="","Activo","Inactivo")</f>
        <v>Inactivo</v>
      </c>
      <c r="M239" s="4">
        <f ca="1">INT((TODAY()-RH[[#This Row],[Fecha Nacimiento]])/365)</f>
        <v>42</v>
      </c>
      <c r="N239" s="4">
        <f ca="1">IF(RH[[#This Row],[Fecha de salida Laboral]]="",INT((TODAY()-RH[[#This Row],[Fecha de Ingreso laboral]])/365),INT((TODAY()-RH[[#This Row],[Fecha de salida Laboral]])/365))</f>
        <v>1</v>
      </c>
    </row>
    <row r="240" spans="1:14" x14ac:dyDescent="0.3">
      <c r="A240" t="s">
        <v>514</v>
      </c>
      <c r="B240" t="s">
        <v>515</v>
      </c>
      <c r="C240" s="1">
        <v>43963</v>
      </c>
      <c r="D240" s="1">
        <v>45412</v>
      </c>
      <c r="E240" t="s">
        <v>20</v>
      </c>
      <c r="F240" t="s">
        <v>54</v>
      </c>
      <c r="G240" t="s">
        <v>81</v>
      </c>
      <c r="H240" t="s">
        <v>16</v>
      </c>
      <c r="I240">
        <v>136113.16</v>
      </c>
      <c r="J240" s="1">
        <v>38663</v>
      </c>
      <c r="K240" t="s">
        <v>28</v>
      </c>
      <c r="L240" s="4" t="str">
        <f>IF(RH[[#This Row],[Fecha de salida Laboral]]="","Activo","Inactivo")</f>
        <v>Inactivo</v>
      </c>
      <c r="M240" s="4">
        <f ca="1">INT((TODAY()-RH[[#This Row],[Fecha Nacimiento]])/365)</f>
        <v>20</v>
      </c>
      <c r="N240" s="4">
        <f ca="1">IF(RH[[#This Row],[Fecha de salida Laboral]]="",INT((TODAY()-RH[[#This Row],[Fecha de Ingreso laboral]])/365),INT((TODAY()-RH[[#This Row],[Fecha de salida Laboral]])/365))</f>
        <v>1</v>
      </c>
    </row>
    <row r="241" spans="1:14" x14ac:dyDescent="0.3">
      <c r="A241" t="s">
        <v>516</v>
      </c>
      <c r="B241" t="s">
        <v>517</v>
      </c>
      <c r="C241" s="1">
        <v>44042</v>
      </c>
      <c r="D241" s="1"/>
      <c r="E241" t="s">
        <v>73</v>
      </c>
      <c r="F241" t="s">
        <v>14</v>
      </c>
      <c r="G241" t="s">
        <v>15</v>
      </c>
      <c r="H241" t="s">
        <v>27</v>
      </c>
      <c r="I241">
        <v>30746.6</v>
      </c>
      <c r="J241" s="1">
        <v>27199</v>
      </c>
      <c r="K241" t="s">
        <v>36</v>
      </c>
      <c r="L241" s="4" t="str">
        <f>IF(RH[[#This Row],[Fecha de salida Laboral]]="","Activo","Inactivo")</f>
        <v>Activo</v>
      </c>
      <c r="M241" s="4">
        <f ca="1">INT((TODAY()-RH[[#This Row],[Fecha Nacimiento]])/365)</f>
        <v>51</v>
      </c>
      <c r="N241" s="4">
        <f ca="1">IF(RH[[#This Row],[Fecha de salida Laboral]]="",INT((TODAY()-RH[[#This Row],[Fecha de Ingreso laboral]])/365),INT((TODAY()-RH[[#This Row],[Fecha de salida Laboral]])/365))</f>
        <v>5</v>
      </c>
    </row>
    <row r="242" spans="1:14" x14ac:dyDescent="0.3">
      <c r="A242" t="s">
        <v>518</v>
      </c>
      <c r="B242" t="s">
        <v>519</v>
      </c>
      <c r="C242" s="1">
        <v>44007</v>
      </c>
      <c r="D242" s="1"/>
      <c r="E242" t="s">
        <v>31</v>
      </c>
      <c r="F242" t="s">
        <v>59</v>
      </c>
      <c r="G242" t="s">
        <v>15</v>
      </c>
      <c r="H242" t="s">
        <v>27</v>
      </c>
      <c r="I242">
        <v>76354.720000000001</v>
      </c>
      <c r="J242" s="1">
        <v>25274</v>
      </c>
      <c r="K242" t="s">
        <v>36</v>
      </c>
      <c r="L242" s="4" t="str">
        <f>IF(RH[[#This Row],[Fecha de salida Laboral]]="","Activo","Inactivo")</f>
        <v>Activo</v>
      </c>
      <c r="M242" s="4">
        <f ca="1">INT((TODAY()-RH[[#This Row],[Fecha Nacimiento]])/365)</f>
        <v>56</v>
      </c>
      <c r="N242" s="4">
        <f ca="1">IF(RH[[#This Row],[Fecha de salida Laboral]]="",INT((TODAY()-RH[[#This Row],[Fecha de Ingreso laboral]])/365),INT((TODAY()-RH[[#This Row],[Fecha de salida Laboral]])/365))</f>
        <v>5</v>
      </c>
    </row>
    <row r="243" spans="1:14" x14ac:dyDescent="0.3">
      <c r="A243" t="s">
        <v>520</v>
      </c>
      <c r="B243" t="s">
        <v>521</v>
      </c>
      <c r="C243" s="1">
        <v>44692</v>
      </c>
      <c r="D243" s="1"/>
      <c r="E243" t="s">
        <v>42</v>
      </c>
      <c r="F243" t="s">
        <v>54</v>
      </c>
      <c r="G243" t="s">
        <v>26</v>
      </c>
      <c r="H243" t="s">
        <v>27</v>
      </c>
      <c r="I243">
        <v>30279.17</v>
      </c>
      <c r="J243" s="1">
        <v>34209</v>
      </c>
      <c r="K243" t="s">
        <v>36</v>
      </c>
      <c r="L243" s="4" t="str">
        <f>IF(RH[[#This Row],[Fecha de salida Laboral]]="","Activo","Inactivo")</f>
        <v>Activo</v>
      </c>
      <c r="M243" s="4">
        <f ca="1">INT((TODAY()-RH[[#This Row],[Fecha Nacimiento]])/365)</f>
        <v>32</v>
      </c>
      <c r="N243" s="4">
        <f ca="1">IF(RH[[#This Row],[Fecha de salida Laboral]]="",INT((TODAY()-RH[[#This Row],[Fecha de Ingreso laboral]])/365),INT((TODAY()-RH[[#This Row],[Fecha de salida Laboral]])/365))</f>
        <v>3</v>
      </c>
    </row>
    <row r="244" spans="1:14" x14ac:dyDescent="0.3">
      <c r="A244" t="s">
        <v>522</v>
      </c>
      <c r="B244" t="s">
        <v>523</v>
      </c>
      <c r="C244" s="1">
        <v>43433</v>
      </c>
      <c r="D244" s="1"/>
      <c r="E244" t="s">
        <v>45</v>
      </c>
      <c r="F244" t="s">
        <v>25</v>
      </c>
      <c r="G244" t="s">
        <v>22</v>
      </c>
      <c r="H244" t="s">
        <v>27</v>
      </c>
      <c r="I244">
        <v>112092.44</v>
      </c>
      <c r="J244" s="1">
        <v>28689</v>
      </c>
      <c r="K244" t="s">
        <v>36</v>
      </c>
      <c r="L244" s="4" t="str">
        <f>IF(RH[[#This Row],[Fecha de salida Laboral]]="","Activo","Inactivo")</f>
        <v>Activo</v>
      </c>
      <c r="M244" s="4">
        <f ca="1">INT((TODAY()-RH[[#This Row],[Fecha Nacimiento]])/365)</f>
        <v>47</v>
      </c>
      <c r="N244" s="4">
        <f ca="1">IF(RH[[#This Row],[Fecha de salida Laboral]]="",INT((TODAY()-RH[[#This Row],[Fecha de Ingreso laboral]])/365),INT((TODAY()-RH[[#This Row],[Fecha de salida Laboral]])/365))</f>
        <v>7</v>
      </c>
    </row>
    <row r="245" spans="1:14" x14ac:dyDescent="0.3">
      <c r="A245" t="s">
        <v>524</v>
      </c>
      <c r="B245" t="s">
        <v>525</v>
      </c>
      <c r="C245" s="1">
        <v>43510</v>
      </c>
      <c r="D245" s="1"/>
      <c r="E245" t="s">
        <v>73</v>
      </c>
      <c r="F245" t="s">
        <v>14</v>
      </c>
      <c r="G245" t="s">
        <v>15</v>
      </c>
      <c r="H245" t="s">
        <v>16</v>
      </c>
      <c r="I245">
        <v>64245.97</v>
      </c>
      <c r="J245" s="1">
        <v>35905</v>
      </c>
      <c r="K245" t="s">
        <v>36</v>
      </c>
      <c r="L245" s="4" t="str">
        <f>IF(RH[[#This Row],[Fecha de salida Laboral]]="","Activo","Inactivo")</f>
        <v>Activo</v>
      </c>
      <c r="M245" s="4">
        <f ca="1">INT((TODAY()-RH[[#This Row],[Fecha Nacimiento]])/365)</f>
        <v>27</v>
      </c>
      <c r="N245" s="4">
        <f ca="1">IF(RH[[#This Row],[Fecha de salida Laboral]]="",INT((TODAY()-RH[[#This Row],[Fecha de Ingreso laboral]])/365),INT((TODAY()-RH[[#This Row],[Fecha de salida Laboral]])/365))</f>
        <v>6</v>
      </c>
    </row>
    <row r="246" spans="1:14" x14ac:dyDescent="0.3">
      <c r="A246" t="s">
        <v>526</v>
      </c>
      <c r="B246" t="s">
        <v>527</v>
      </c>
      <c r="C246" s="1">
        <v>45129</v>
      </c>
      <c r="D246" s="1"/>
      <c r="E246" t="s">
        <v>42</v>
      </c>
      <c r="F246" t="s">
        <v>25</v>
      </c>
      <c r="G246" t="s">
        <v>103</v>
      </c>
      <c r="H246" t="s">
        <v>27</v>
      </c>
      <c r="I246">
        <v>62968.32</v>
      </c>
      <c r="J246" s="1">
        <v>25000</v>
      </c>
      <c r="K246" t="s">
        <v>28</v>
      </c>
      <c r="L246" s="4" t="str">
        <f>IF(RH[[#This Row],[Fecha de salida Laboral]]="","Activo","Inactivo")</f>
        <v>Activo</v>
      </c>
      <c r="M246" s="4">
        <f ca="1">INT((TODAY()-RH[[#This Row],[Fecha Nacimiento]])/365)</f>
        <v>57</v>
      </c>
      <c r="N246" s="4">
        <f ca="1">IF(RH[[#This Row],[Fecha de salida Laboral]]="",INT((TODAY()-RH[[#This Row],[Fecha de Ingreso laboral]])/365),INT((TODAY()-RH[[#This Row],[Fecha de salida Laboral]])/365))</f>
        <v>2</v>
      </c>
    </row>
    <row r="247" spans="1:14" x14ac:dyDescent="0.3">
      <c r="A247" t="s">
        <v>528</v>
      </c>
      <c r="B247" t="s">
        <v>529</v>
      </c>
      <c r="C247" s="1">
        <v>45134</v>
      </c>
      <c r="D247" s="1">
        <v>45579</v>
      </c>
      <c r="E247" t="s">
        <v>20</v>
      </c>
      <c r="F247" t="s">
        <v>25</v>
      </c>
      <c r="G247" t="s">
        <v>26</v>
      </c>
      <c r="H247" t="s">
        <v>27</v>
      </c>
      <c r="I247">
        <v>148245.20000000001</v>
      </c>
      <c r="J247" s="1">
        <v>36396</v>
      </c>
      <c r="K247" t="s">
        <v>36</v>
      </c>
      <c r="L247" s="4" t="str">
        <f>IF(RH[[#This Row],[Fecha de salida Laboral]]="","Activo","Inactivo")</f>
        <v>Inactivo</v>
      </c>
      <c r="M247" s="4">
        <f ca="1">INT((TODAY()-RH[[#This Row],[Fecha Nacimiento]])/365)</f>
        <v>26</v>
      </c>
      <c r="N247" s="4">
        <f ca="1">IF(RH[[#This Row],[Fecha de salida Laboral]]="",INT((TODAY()-RH[[#This Row],[Fecha de Ingreso laboral]])/365),INT((TODAY()-RH[[#This Row],[Fecha de salida Laboral]])/365))</f>
        <v>1</v>
      </c>
    </row>
    <row r="248" spans="1:14" x14ac:dyDescent="0.3">
      <c r="A248" t="s">
        <v>530</v>
      </c>
      <c r="B248" t="s">
        <v>531</v>
      </c>
      <c r="C248" s="1">
        <v>44363</v>
      </c>
      <c r="D248" s="1"/>
      <c r="E248" t="s">
        <v>73</v>
      </c>
      <c r="F248" t="s">
        <v>14</v>
      </c>
      <c r="G248" t="s">
        <v>22</v>
      </c>
      <c r="H248" t="s">
        <v>16</v>
      </c>
      <c r="I248">
        <v>134290.93</v>
      </c>
      <c r="J248" s="1">
        <v>35231</v>
      </c>
      <c r="K248" t="s">
        <v>17</v>
      </c>
      <c r="L248" s="4" t="str">
        <f>IF(RH[[#This Row],[Fecha de salida Laboral]]="","Activo","Inactivo")</f>
        <v>Activo</v>
      </c>
      <c r="M248" s="4">
        <f ca="1">INT((TODAY()-RH[[#This Row],[Fecha Nacimiento]])/365)</f>
        <v>29</v>
      </c>
      <c r="N248" s="4">
        <f ca="1">IF(RH[[#This Row],[Fecha de salida Laboral]]="",INT((TODAY()-RH[[#This Row],[Fecha de Ingreso laboral]])/365),INT((TODAY()-RH[[#This Row],[Fecha de salida Laboral]])/365))</f>
        <v>4</v>
      </c>
    </row>
    <row r="249" spans="1:14" x14ac:dyDescent="0.3">
      <c r="A249" t="s">
        <v>532</v>
      </c>
      <c r="B249" t="s">
        <v>533</v>
      </c>
      <c r="C249" s="1">
        <v>43544</v>
      </c>
      <c r="D249" s="1">
        <v>45468</v>
      </c>
      <c r="E249" t="s">
        <v>42</v>
      </c>
      <c r="F249" t="s">
        <v>39</v>
      </c>
      <c r="G249" t="s">
        <v>74</v>
      </c>
      <c r="H249" t="s">
        <v>27</v>
      </c>
      <c r="I249">
        <v>50195.87</v>
      </c>
      <c r="J249" s="1">
        <v>29322</v>
      </c>
      <c r="K249" t="s">
        <v>36</v>
      </c>
      <c r="L249" s="4" t="str">
        <f>IF(RH[[#This Row],[Fecha de salida Laboral]]="","Activo","Inactivo")</f>
        <v>Inactivo</v>
      </c>
      <c r="M249" s="4">
        <f ca="1">INT((TODAY()-RH[[#This Row],[Fecha Nacimiento]])/365)</f>
        <v>45</v>
      </c>
      <c r="N249" s="4">
        <f ca="1">IF(RH[[#This Row],[Fecha de salida Laboral]]="",INT((TODAY()-RH[[#This Row],[Fecha de Ingreso laboral]])/365),INT((TODAY()-RH[[#This Row],[Fecha de salida Laboral]])/365))</f>
        <v>1</v>
      </c>
    </row>
    <row r="250" spans="1:14" x14ac:dyDescent="0.3">
      <c r="A250" t="s">
        <v>534</v>
      </c>
      <c r="B250" t="s">
        <v>535</v>
      </c>
      <c r="C250" s="1">
        <v>43710</v>
      </c>
      <c r="D250" s="1"/>
      <c r="E250" t="s">
        <v>73</v>
      </c>
      <c r="F250" t="s">
        <v>54</v>
      </c>
      <c r="G250" t="s">
        <v>81</v>
      </c>
      <c r="H250" t="s">
        <v>16</v>
      </c>
      <c r="I250">
        <v>50021.23</v>
      </c>
      <c r="J250" s="1">
        <v>29936</v>
      </c>
      <c r="K250" t="s">
        <v>28</v>
      </c>
      <c r="L250" s="4" t="str">
        <f>IF(RH[[#This Row],[Fecha de salida Laboral]]="","Activo","Inactivo")</f>
        <v>Activo</v>
      </c>
      <c r="M250" s="4">
        <f ca="1">INT((TODAY()-RH[[#This Row],[Fecha Nacimiento]])/365)</f>
        <v>44</v>
      </c>
      <c r="N250" s="4">
        <f ca="1">IF(RH[[#This Row],[Fecha de salida Laboral]]="",INT((TODAY()-RH[[#This Row],[Fecha de Ingreso laboral]])/365),INT((TODAY()-RH[[#This Row],[Fecha de salida Laboral]])/365))</f>
        <v>6</v>
      </c>
    </row>
    <row r="251" spans="1:14" x14ac:dyDescent="0.3">
      <c r="A251" t="s">
        <v>536</v>
      </c>
      <c r="B251" t="s">
        <v>537</v>
      </c>
      <c r="C251" s="1">
        <v>45460</v>
      </c>
      <c r="D251" s="1"/>
      <c r="E251" t="s">
        <v>31</v>
      </c>
      <c r="F251" t="s">
        <v>54</v>
      </c>
      <c r="G251" t="s">
        <v>15</v>
      </c>
      <c r="H251" t="s">
        <v>27</v>
      </c>
      <c r="I251">
        <v>81137.960000000006</v>
      </c>
      <c r="J251" s="1">
        <v>31571</v>
      </c>
      <c r="K251" t="s">
        <v>36</v>
      </c>
      <c r="L251" s="4" t="str">
        <f>IF(RH[[#This Row],[Fecha de salida Laboral]]="","Activo","Inactivo")</f>
        <v>Activo</v>
      </c>
      <c r="M251" s="4">
        <f ca="1">INT((TODAY()-RH[[#This Row],[Fecha Nacimiento]])/365)</f>
        <v>39</v>
      </c>
      <c r="N251" s="4">
        <f ca="1">IF(RH[[#This Row],[Fecha de salida Laboral]]="",INT((TODAY()-RH[[#This Row],[Fecha de Ingreso laboral]])/365),INT((TODAY()-RH[[#This Row],[Fecha de salida Laboral]])/365))</f>
        <v>1</v>
      </c>
    </row>
    <row r="252" spans="1:14" x14ac:dyDescent="0.3">
      <c r="A252" t="s">
        <v>538</v>
      </c>
      <c r="B252" t="s">
        <v>539</v>
      </c>
      <c r="C252" s="1">
        <v>44584</v>
      </c>
      <c r="D252" s="1">
        <v>45419</v>
      </c>
      <c r="E252" t="s">
        <v>13</v>
      </c>
      <c r="F252" t="s">
        <v>39</v>
      </c>
      <c r="G252" t="s">
        <v>26</v>
      </c>
      <c r="H252" t="s">
        <v>16</v>
      </c>
      <c r="I252">
        <v>130115.39</v>
      </c>
      <c r="J252" s="1">
        <v>22942</v>
      </c>
      <c r="K252" t="s">
        <v>28</v>
      </c>
      <c r="L252" s="4" t="str">
        <f>IF(RH[[#This Row],[Fecha de salida Laboral]]="","Activo","Inactivo")</f>
        <v>Inactivo</v>
      </c>
      <c r="M252" s="4">
        <f ca="1">INT((TODAY()-RH[[#This Row],[Fecha Nacimiento]])/365)</f>
        <v>63</v>
      </c>
      <c r="N252" s="4">
        <f ca="1">IF(RH[[#This Row],[Fecha de salida Laboral]]="",INT((TODAY()-RH[[#This Row],[Fecha de Ingreso laboral]])/365),INT((TODAY()-RH[[#This Row],[Fecha de salida Laboral]])/365))</f>
        <v>1</v>
      </c>
    </row>
    <row r="253" spans="1:14" x14ac:dyDescent="0.3">
      <c r="A253" t="s">
        <v>540</v>
      </c>
      <c r="B253" t="s">
        <v>541</v>
      </c>
      <c r="C253" s="1">
        <v>44055</v>
      </c>
      <c r="D253" s="1">
        <v>45358</v>
      </c>
      <c r="E253" t="s">
        <v>42</v>
      </c>
      <c r="F253" t="s">
        <v>54</v>
      </c>
      <c r="G253" t="s">
        <v>74</v>
      </c>
      <c r="H253" t="s">
        <v>27</v>
      </c>
      <c r="I253">
        <v>67989.03</v>
      </c>
      <c r="J253" s="1">
        <v>22871</v>
      </c>
      <c r="K253" t="s">
        <v>36</v>
      </c>
      <c r="L253" s="4" t="str">
        <f>IF(RH[[#This Row],[Fecha de salida Laboral]]="","Activo","Inactivo")</f>
        <v>Inactivo</v>
      </c>
      <c r="M253" s="4">
        <f ca="1">INT((TODAY()-RH[[#This Row],[Fecha Nacimiento]])/365)</f>
        <v>63</v>
      </c>
      <c r="N253" s="4">
        <f ca="1">IF(RH[[#This Row],[Fecha de salida Laboral]]="",INT((TODAY()-RH[[#This Row],[Fecha de Ingreso laboral]])/365),INT((TODAY()-RH[[#This Row],[Fecha de salida Laboral]])/365))</f>
        <v>1</v>
      </c>
    </row>
    <row r="254" spans="1:14" x14ac:dyDescent="0.3">
      <c r="A254" t="s">
        <v>542</v>
      </c>
      <c r="B254" t="s">
        <v>543</v>
      </c>
      <c r="C254" s="1">
        <v>44036</v>
      </c>
      <c r="D254" s="1"/>
      <c r="E254" t="s">
        <v>45</v>
      </c>
      <c r="F254" t="s">
        <v>39</v>
      </c>
      <c r="G254" t="s">
        <v>26</v>
      </c>
      <c r="H254" t="s">
        <v>27</v>
      </c>
      <c r="I254">
        <v>82933.62</v>
      </c>
      <c r="J254" s="1">
        <v>38500</v>
      </c>
      <c r="K254" t="s">
        <v>28</v>
      </c>
      <c r="L254" s="4" t="str">
        <f>IF(RH[[#This Row],[Fecha de salida Laboral]]="","Activo","Inactivo")</f>
        <v>Activo</v>
      </c>
      <c r="M254" s="4">
        <f ca="1">INT((TODAY()-RH[[#This Row],[Fecha Nacimiento]])/365)</f>
        <v>20</v>
      </c>
      <c r="N254" s="4">
        <f ca="1">IF(RH[[#This Row],[Fecha de salida Laboral]]="",INT((TODAY()-RH[[#This Row],[Fecha de Ingreso laboral]])/365),INT((TODAY()-RH[[#This Row],[Fecha de salida Laboral]])/365))</f>
        <v>5</v>
      </c>
    </row>
    <row r="255" spans="1:14" x14ac:dyDescent="0.3">
      <c r="A255" t="s">
        <v>544</v>
      </c>
      <c r="B255" t="s">
        <v>545</v>
      </c>
      <c r="C255" s="1">
        <v>44418</v>
      </c>
      <c r="D255" s="1"/>
      <c r="E255" t="s">
        <v>13</v>
      </c>
      <c r="F255" t="s">
        <v>14</v>
      </c>
      <c r="G255" t="s">
        <v>15</v>
      </c>
      <c r="H255" t="s">
        <v>27</v>
      </c>
      <c r="I255">
        <v>70471.42</v>
      </c>
      <c r="J255" s="1">
        <v>34976</v>
      </c>
      <c r="K255" t="s">
        <v>28</v>
      </c>
      <c r="L255" s="4" t="str">
        <f>IF(RH[[#This Row],[Fecha de salida Laboral]]="","Activo","Inactivo")</f>
        <v>Activo</v>
      </c>
      <c r="M255" s="4">
        <f ca="1">INT((TODAY()-RH[[#This Row],[Fecha Nacimiento]])/365)</f>
        <v>30</v>
      </c>
      <c r="N255" s="4">
        <f ca="1">IF(RH[[#This Row],[Fecha de salida Laboral]]="",INT((TODAY()-RH[[#This Row],[Fecha de Ingreso laboral]])/365),INT((TODAY()-RH[[#This Row],[Fecha de salida Laboral]])/365))</f>
        <v>4</v>
      </c>
    </row>
    <row r="256" spans="1:14" x14ac:dyDescent="0.3">
      <c r="A256" t="s">
        <v>546</v>
      </c>
      <c r="B256" t="s">
        <v>547</v>
      </c>
      <c r="C256" s="1">
        <v>44542</v>
      </c>
      <c r="D256" s="1"/>
      <c r="E256" t="s">
        <v>45</v>
      </c>
      <c r="F256" t="s">
        <v>25</v>
      </c>
      <c r="G256" t="s">
        <v>103</v>
      </c>
      <c r="H256" t="s">
        <v>16</v>
      </c>
      <c r="I256">
        <v>57049.21</v>
      </c>
      <c r="J256" s="1">
        <v>28122</v>
      </c>
      <c r="K256" t="s">
        <v>36</v>
      </c>
      <c r="L256" s="4" t="str">
        <f>IF(RH[[#This Row],[Fecha de salida Laboral]]="","Activo","Inactivo")</f>
        <v>Activo</v>
      </c>
      <c r="M256" s="4">
        <f ca="1">INT((TODAY()-RH[[#This Row],[Fecha Nacimiento]])/365)</f>
        <v>49</v>
      </c>
      <c r="N256" s="4">
        <f ca="1">IF(RH[[#This Row],[Fecha de salida Laboral]]="",INT((TODAY()-RH[[#This Row],[Fecha de Ingreso laboral]])/365),INT((TODAY()-RH[[#This Row],[Fecha de salida Laboral]])/365))</f>
        <v>4</v>
      </c>
    </row>
    <row r="257" spans="1:14" x14ac:dyDescent="0.3">
      <c r="A257" t="s">
        <v>548</v>
      </c>
      <c r="B257" t="s">
        <v>549</v>
      </c>
      <c r="C257" s="1">
        <v>44630</v>
      </c>
      <c r="D257" s="1">
        <v>45302</v>
      </c>
      <c r="E257" t="s">
        <v>13</v>
      </c>
      <c r="F257" t="s">
        <v>21</v>
      </c>
      <c r="G257" t="s">
        <v>15</v>
      </c>
      <c r="H257" t="s">
        <v>27</v>
      </c>
      <c r="I257">
        <v>85963.69</v>
      </c>
      <c r="J257" s="1">
        <v>29513</v>
      </c>
      <c r="K257" t="s">
        <v>36</v>
      </c>
      <c r="L257" s="4" t="str">
        <f>IF(RH[[#This Row],[Fecha de salida Laboral]]="","Activo","Inactivo")</f>
        <v>Inactivo</v>
      </c>
      <c r="M257" s="4">
        <f ca="1">INT((TODAY()-RH[[#This Row],[Fecha Nacimiento]])/365)</f>
        <v>45</v>
      </c>
      <c r="N257" s="4">
        <f ca="1">IF(RH[[#This Row],[Fecha de salida Laboral]]="",INT((TODAY()-RH[[#This Row],[Fecha de Ingreso laboral]])/365),INT((TODAY()-RH[[#This Row],[Fecha de salida Laboral]])/365))</f>
        <v>1</v>
      </c>
    </row>
    <row r="258" spans="1:14" x14ac:dyDescent="0.3">
      <c r="A258" t="s">
        <v>550</v>
      </c>
      <c r="B258" t="s">
        <v>551</v>
      </c>
      <c r="C258" s="1">
        <v>44844</v>
      </c>
      <c r="D258" s="1"/>
      <c r="E258" t="s">
        <v>42</v>
      </c>
      <c r="F258" t="s">
        <v>25</v>
      </c>
      <c r="G258" t="s">
        <v>103</v>
      </c>
      <c r="H258" t="s">
        <v>27</v>
      </c>
      <c r="I258">
        <v>91630.29</v>
      </c>
      <c r="J258" s="1">
        <v>25016</v>
      </c>
      <c r="K258" t="s">
        <v>36</v>
      </c>
      <c r="L258" s="4" t="str">
        <f>IF(RH[[#This Row],[Fecha de salida Laboral]]="","Activo","Inactivo")</f>
        <v>Activo</v>
      </c>
      <c r="M258" s="4">
        <f ca="1">INT((TODAY()-RH[[#This Row],[Fecha Nacimiento]])/365)</f>
        <v>57</v>
      </c>
      <c r="N258" s="4">
        <f ca="1">IF(RH[[#This Row],[Fecha de salida Laboral]]="",INT((TODAY()-RH[[#This Row],[Fecha de Ingreso laboral]])/365),INT((TODAY()-RH[[#This Row],[Fecha de salida Laboral]])/365))</f>
        <v>3</v>
      </c>
    </row>
    <row r="259" spans="1:14" x14ac:dyDescent="0.3">
      <c r="A259" t="s">
        <v>552</v>
      </c>
      <c r="B259" t="s">
        <v>553</v>
      </c>
      <c r="C259" s="1">
        <v>45222</v>
      </c>
      <c r="D259" s="1">
        <v>45477</v>
      </c>
      <c r="E259" t="s">
        <v>73</v>
      </c>
      <c r="F259" t="s">
        <v>25</v>
      </c>
      <c r="G259" t="s">
        <v>26</v>
      </c>
      <c r="H259" t="s">
        <v>16</v>
      </c>
      <c r="I259">
        <v>60034.21</v>
      </c>
      <c r="J259" s="1">
        <v>35349</v>
      </c>
      <c r="K259" t="s">
        <v>17</v>
      </c>
      <c r="L259" s="4" t="str">
        <f>IF(RH[[#This Row],[Fecha de salida Laboral]]="","Activo","Inactivo")</f>
        <v>Inactivo</v>
      </c>
      <c r="M259" s="4">
        <f ca="1">INT((TODAY()-RH[[#This Row],[Fecha Nacimiento]])/365)</f>
        <v>29</v>
      </c>
      <c r="N259" s="4">
        <f ca="1">IF(RH[[#This Row],[Fecha de salida Laboral]]="",INT((TODAY()-RH[[#This Row],[Fecha de Ingreso laboral]])/365),INT((TODAY()-RH[[#This Row],[Fecha de salida Laboral]])/365))</f>
        <v>1</v>
      </c>
    </row>
    <row r="260" spans="1:14" x14ac:dyDescent="0.3">
      <c r="A260" t="s">
        <v>554</v>
      </c>
      <c r="B260" t="s">
        <v>555</v>
      </c>
      <c r="C260" s="1">
        <v>44179</v>
      </c>
      <c r="D260" s="1">
        <v>45618</v>
      </c>
      <c r="E260" t="s">
        <v>73</v>
      </c>
      <c r="F260" t="s">
        <v>25</v>
      </c>
      <c r="G260" t="s">
        <v>88</v>
      </c>
      <c r="H260" t="s">
        <v>27</v>
      </c>
      <c r="I260">
        <v>52032.01</v>
      </c>
      <c r="J260" s="1">
        <v>28213</v>
      </c>
      <c r="K260" t="s">
        <v>17</v>
      </c>
      <c r="L260" s="4" t="str">
        <f>IF(RH[[#This Row],[Fecha de salida Laboral]]="","Activo","Inactivo")</f>
        <v>Inactivo</v>
      </c>
      <c r="M260" s="4">
        <f ca="1">INT((TODAY()-RH[[#This Row],[Fecha Nacimiento]])/365)</f>
        <v>48</v>
      </c>
      <c r="N260" s="4">
        <f ca="1">IF(RH[[#This Row],[Fecha de salida Laboral]]="",INT((TODAY()-RH[[#This Row],[Fecha de Ingreso laboral]])/365),INT((TODAY()-RH[[#This Row],[Fecha de salida Laboral]])/365))</f>
        <v>1</v>
      </c>
    </row>
    <row r="261" spans="1:14" x14ac:dyDescent="0.3">
      <c r="A261" t="s">
        <v>556</v>
      </c>
      <c r="B261" t="s">
        <v>557</v>
      </c>
      <c r="C261" s="1">
        <v>43421</v>
      </c>
      <c r="D261" s="1">
        <v>45620</v>
      </c>
      <c r="E261" t="s">
        <v>13</v>
      </c>
      <c r="F261" t="s">
        <v>21</v>
      </c>
      <c r="G261" t="s">
        <v>35</v>
      </c>
      <c r="H261" t="s">
        <v>16</v>
      </c>
      <c r="I261">
        <v>97287.05</v>
      </c>
      <c r="J261" s="1">
        <v>21697</v>
      </c>
      <c r="K261" t="s">
        <v>36</v>
      </c>
      <c r="L261" s="4" t="str">
        <f>IF(RH[[#This Row],[Fecha de salida Laboral]]="","Activo","Inactivo")</f>
        <v>Inactivo</v>
      </c>
      <c r="M261" s="4">
        <f ca="1">INT((TODAY()-RH[[#This Row],[Fecha Nacimiento]])/365)</f>
        <v>66</v>
      </c>
      <c r="N261" s="4">
        <f ca="1">IF(RH[[#This Row],[Fecha de salida Laboral]]="",INT((TODAY()-RH[[#This Row],[Fecha de Ingreso laboral]])/365),INT((TODAY()-RH[[#This Row],[Fecha de salida Laboral]])/365))</f>
        <v>1</v>
      </c>
    </row>
    <row r="262" spans="1:14" x14ac:dyDescent="0.3">
      <c r="A262" t="s">
        <v>558</v>
      </c>
      <c r="B262" t="s">
        <v>559</v>
      </c>
      <c r="C262" s="1">
        <v>44532</v>
      </c>
      <c r="D262" s="1"/>
      <c r="E262" t="s">
        <v>20</v>
      </c>
      <c r="F262" t="s">
        <v>14</v>
      </c>
      <c r="G262" t="s">
        <v>22</v>
      </c>
      <c r="H262" t="s">
        <v>27</v>
      </c>
      <c r="I262">
        <v>118925.53</v>
      </c>
      <c r="J262" s="1">
        <v>25514</v>
      </c>
      <c r="K262" t="s">
        <v>28</v>
      </c>
      <c r="L262" s="4" t="str">
        <f>IF(RH[[#This Row],[Fecha de salida Laboral]]="","Activo","Inactivo")</f>
        <v>Activo</v>
      </c>
      <c r="M262" s="4">
        <f ca="1">INT((TODAY()-RH[[#This Row],[Fecha Nacimiento]])/365)</f>
        <v>56</v>
      </c>
      <c r="N262" s="4">
        <f ca="1">IF(RH[[#This Row],[Fecha de salida Laboral]]="",INT((TODAY()-RH[[#This Row],[Fecha de Ingreso laboral]])/365),INT((TODAY()-RH[[#This Row],[Fecha de salida Laboral]])/365))</f>
        <v>4</v>
      </c>
    </row>
    <row r="263" spans="1:14" x14ac:dyDescent="0.3">
      <c r="A263" t="s">
        <v>560</v>
      </c>
      <c r="B263" t="s">
        <v>561</v>
      </c>
      <c r="C263" s="1">
        <v>43424</v>
      </c>
      <c r="D263" s="1">
        <v>45452</v>
      </c>
      <c r="E263" t="s">
        <v>13</v>
      </c>
      <c r="F263" t="s">
        <v>25</v>
      </c>
      <c r="G263" t="s">
        <v>26</v>
      </c>
      <c r="H263" t="s">
        <v>27</v>
      </c>
      <c r="I263">
        <v>32677.93</v>
      </c>
      <c r="J263" s="1">
        <v>26173</v>
      </c>
      <c r="K263" t="s">
        <v>28</v>
      </c>
      <c r="L263" s="4" t="str">
        <f>IF(RH[[#This Row],[Fecha de salida Laboral]]="","Activo","Inactivo")</f>
        <v>Inactivo</v>
      </c>
      <c r="M263" s="4">
        <f ca="1">INT((TODAY()-RH[[#This Row],[Fecha Nacimiento]])/365)</f>
        <v>54</v>
      </c>
      <c r="N263" s="4">
        <f ca="1">IF(RH[[#This Row],[Fecha de salida Laboral]]="",INT((TODAY()-RH[[#This Row],[Fecha de Ingreso laboral]])/365),INT((TODAY()-RH[[#This Row],[Fecha de salida Laboral]])/365))</f>
        <v>1</v>
      </c>
    </row>
    <row r="264" spans="1:14" x14ac:dyDescent="0.3">
      <c r="A264" t="s">
        <v>562</v>
      </c>
      <c r="B264" t="s">
        <v>563</v>
      </c>
      <c r="C264" s="1">
        <v>45396</v>
      </c>
      <c r="D264" s="1">
        <v>45618</v>
      </c>
      <c r="E264" t="s">
        <v>45</v>
      </c>
      <c r="F264" t="s">
        <v>14</v>
      </c>
      <c r="G264" t="s">
        <v>35</v>
      </c>
      <c r="H264" t="s">
        <v>27</v>
      </c>
      <c r="I264">
        <v>30123.13</v>
      </c>
      <c r="J264" s="1">
        <v>31041</v>
      </c>
      <c r="K264" t="s">
        <v>17</v>
      </c>
      <c r="L264" s="4" t="str">
        <f>IF(RH[[#This Row],[Fecha de salida Laboral]]="","Activo","Inactivo")</f>
        <v>Inactivo</v>
      </c>
      <c r="M264" s="4">
        <f ca="1">INT((TODAY()-RH[[#This Row],[Fecha Nacimiento]])/365)</f>
        <v>41</v>
      </c>
      <c r="N264" s="4">
        <f ca="1">IF(RH[[#This Row],[Fecha de salida Laboral]]="",INT((TODAY()-RH[[#This Row],[Fecha de Ingreso laboral]])/365),INT((TODAY()-RH[[#This Row],[Fecha de salida Laboral]])/365))</f>
        <v>1</v>
      </c>
    </row>
    <row r="265" spans="1:14" x14ac:dyDescent="0.3">
      <c r="A265" t="s">
        <v>564</v>
      </c>
      <c r="B265" t="s">
        <v>565</v>
      </c>
      <c r="C265" s="1">
        <v>43451</v>
      </c>
      <c r="D265" s="1"/>
      <c r="E265" t="s">
        <v>31</v>
      </c>
      <c r="F265" t="s">
        <v>14</v>
      </c>
      <c r="G265" t="s">
        <v>15</v>
      </c>
      <c r="H265" t="s">
        <v>27</v>
      </c>
      <c r="I265">
        <v>122622.84</v>
      </c>
      <c r="J265" s="1">
        <v>33756</v>
      </c>
      <c r="K265" t="s">
        <v>17</v>
      </c>
      <c r="L265" s="4" t="str">
        <f>IF(RH[[#This Row],[Fecha de salida Laboral]]="","Activo","Inactivo")</f>
        <v>Activo</v>
      </c>
      <c r="M265" s="4">
        <f ca="1">INT((TODAY()-RH[[#This Row],[Fecha Nacimiento]])/365)</f>
        <v>33</v>
      </c>
      <c r="N265" s="4">
        <f ca="1">IF(RH[[#This Row],[Fecha de salida Laboral]]="",INT((TODAY()-RH[[#This Row],[Fecha de Ingreso laboral]])/365),INT((TODAY()-RH[[#This Row],[Fecha de salida Laboral]])/365))</f>
        <v>7</v>
      </c>
    </row>
    <row r="266" spans="1:14" x14ac:dyDescent="0.3">
      <c r="A266" t="s">
        <v>566</v>
      </c>
      <c r="B266" t="s">
        <v>567</v>
      </c>
      <c r="C266" s="1">
        <v>44221</v>
      </c>
      <c r="D266" s="1"/>
      <c r="E266" t="s">
        <v>13</v>
      </c>
      <c r="F266" t="s">
        <v>25</v>
      </c>
      <c r="G266" t="s">
        <v>74</v>
      </c>
      <c r="H266" t="s">
        <v>27</v>
      </c>
      <c r="I266">
        <v>48807.14</v>
      </c>
      <c r="J266" s="1">
        <v>37854</v>
      </c>
      <c r="K266" t="s">
        <v>17</v>
      </c>
      <c r="L266" s="4" t="str">
        <f>IF(RH[[#This Row],[Fecha de salida Laboral]]="","Activo","Inactivo")</f>
        <v>Activo</v>
      </c>
      <c r="M266" s="4">
        <f ca="1">INT((TODAY()-RH[[#This Row],[Fecha Nacimiento]])/365)</f>
        <v>22</v>
      </c>
      <c r="N266" s="4">
        <f ca="1">IF(RH[[#This Row],[Fecha de salida Laboral]]="",INT((TODAY()-RH[[#This Row],[Fecha de Ingreso laboral]])/365),INT((TODAY()-RH[[#This Row],[Fecha de salida Laboral]])/365))</f>
        <v>4</v>
      </c>
    </row>
    <row r="267" spans="1:14" x14ac:dyDescent="0.3">
      <c r="A267" t="s">
        <v>568</v>
      </c>
      <c r="B267" t="s">
        <v>569</v>
      </c>
      <c r="C267" s="1">
        <v>45173</v>
      </c>
      <c r="D267" s="1">
        <v>45415</v>
      </c>
      <c r="E267" t="s">
        <v>13</v>
      </c>
      <c r="F267" t="s">
        <v>54</v>
      </c>
      <c r="G267" t="s">
        <v>70</v>
      </c>
      <c r="H267" t="s">
        <v>16</v>
      </c>
      <c r="I267">
        <v>56329.93</v>
      </c>
      <c r="J267" s="1">
        <v>38358</v>
      </c>
      <c r="K267" t="s">
        <v>36</v>
      </c>
      <c r="L267" s="4" t="str">
        <f>IF(RH[[#This Row],[Fecha de salida Laboral]]="","Activo","Inactivo")</f>
        <v>Inactivo</v>
      </c>
      <c r="M267" s="4">
        <f ca="1">INT((TODAY()-RH[[#This Row],[Fecha Nacimiento]])/365)</f>
        <v>20</v>
      </c>
      <c r="N267" s="4">
        <f ca="1">IF(RH[[#This Row],[Fecha de salida Laboral]]="",INT((TODAY()-RH[[#This Row],[Fecha de Ingreso laboral]])/365),INT((TODAY()-RH[[#This Row],[Fecha de salida Laboral]])/365))</f>
        <v>1</v>
      </c>
    </row>
    <row r="268" spans="1:14" x14ac:dyDescent="0.3">
      <c r="A268" t="s">
        <v>570</v>
      </c>
      <c r="B268" t="s">
        <v>571</v>
      </c>
      <c r="C268" s="1">
        <v>44471</v>
      </c>
      <c r="D268" s="1">
        <v>45638</v>
      </c>
      <c r="E268" t="s">
        <v>73</v>
      </c>
      <c r="F268" t="s">
        <v>54</v>
      </c>
      <c r="G268" t="s">
        <v>15</v>
      </c>
      <c r="H268" t="s">
        <v>16</v>
      </c>
      <c r="I268">
        <v>127904.8</v>
      </c>
      <c r="J268" s="1">
        <v>36642</v>
      </c>
      <c r="K268" t="s">
        <v>28</v>
      </c>
      <c r="L268" s="4" t="str">
        <f>IF(RH[[#This Row],[Fecha de salida Laboral]]="","Activo","Inactivo")</f>
        <v>Inactivo</v>
      </c>
      <c r="M268" s="4">
        <f ca="1">INT((TODAY()-RH[[#This Row],[Fecha Nacimiento]])/365)</f>
        <v>25</v>
      </c>
      <c r="N268" s="4">
        <f ca="1">IF(RH[[#This Row],[Fecha de salida Laboral]]="",INT((TODAY()-RH[[#This Row],[Fecha de Ingreso laboral]])/365),INT((TODAY()-RH[[#This Row],[Fecha de salida Laboral]])/365))</f>
        <v>1</v>
      </c>
    </row>
    <row r="269" spans="1:14" x14ac:dyDescent="0.3">
      <c r="A269" t="s">
        <v>572</v>
      </c>
      <c r="B269" t="s">
        <v>573</v>
      </c>
      <c r="C269" s="1">
        <v>45149</v>
      </c>
      <c r="D269" s="1">
        <v>45358</v>
      </c>
      <c r="E269" t="s">
        <v>45</v>
      </c>
      <c r="F269" t="s">
        <v>39</v>
      </c>
      <c r="G269" t="s">
        <v>103</v>
      </c>
      <c r="H269" t="s">
        <v>27</v>
      </c>
      <c r="I269">
        <v>36713.019999999997</v>
      </c>
      <c r="J269" s="1">
        <v>21532</v>
      </c>
      <c r="K269" t="s">
        <v>17</v>
      </c>
      <c r="L269" s="4" t="str">
        <f>IF(RH[[#This Row],[Fecha de salida Laboral]]="","Activo","Inactivo")</f>
        <v>Inactivo</v>
      </c>
      <c r="M269" s="4">
        <f ca="1">INT((TODAY()-RH[[#This Row],[Fecha Nacimiento]])/365)</f>
        <v>67</v>
      </c>
      <c r="N269" s="4">
        <f ca="1">IF(RH[[#This Row],[Fecha de salida Laboral]]="",INT((TODAY()-RH[[#This Row],[Fecha de Ingreso laboral]])/365),INT((TODAY()-RH[[#This Row],[Fecha de salida Laboral]])/365))</f>
        <v>1</v>
      </c>
    </row>
    <row r="270" spans="1:14" x14ac:dyDescent="0.3">
      <c r="A270" t="s">
        <v>574</v>
      </c>
      <c r="B270" t="s">
        <v>575</v>
      </c>
      <c r="C270" s="1">
        <v>44319</v>
      </c>
      <c r="D270" s="1"/>
      <c r="E270" t="s">
        <v>42</v>
      </c>
      <c r="F270" t="s">
        <v>59</v>
      </c>
      <c r="G270" t="s">
        <v>81</v>
      </c>
      <c r="H270" t="s">
        <v>16</v>
      </c>
      <c r="I270">
        <v>147679.46</v>
      </c>
      <c r="J270" s="1">
        <v>24723</v>
      </c>
      <c r="K270" t="s">
        <v>17</v>
      </c>
      <c r="L270" s="4" t="str">
        <f>IF(RH[[#This Row],[Fecha de salida Laboral]]="","Activo","Inactivo")</f>
        <v>Activo</v>
      </c>
      <c r="M270" s="4">
        <f ca="1">INT((TODAY()-RH[[#This Row],[Fecha Nacimiento]])/365)</f>
        <v>58</v>
      </c>
      <c r="N270" s="4">
        <f ca="1">IF(RH[[#This Row],[Fecha de salida Laboral]]="",INT((TODAY()-RH[[#This Row],[Fecha de Ingreso laboral]])/365),INT((TODAY()-RH[[#This Row],[Fecha de salida Laboral]])/365))</f>
        <v>4</v>
      </c>
    </row>
    <row r="271" spans="1:14" x14ac:dyDescent="0.3">
      <c r="A271" t="s">
        <v>576</v>
      </c>
      <c r="B271" t="s">
        <v>577</v>
      </c>
      <c r="C271" s="1">
        <v>44882</v>
      </c>
      <c r="D271" s="1"/>
      <c r="E271" t="s">
        <v>31</v>
      </c>
      <c r="F271" t="s">
        <v>59</v>
      </c>
      <c r="G271" t="s">
        <v>103</v>
      </c>
      <c r="H271" t="s">
        <v>27</v>
      </c>
      <c r="I271">
        <v>93471.8</v>
      </c>
      <c r="J271" s="1">
        <v>37470</v>
      </c>
      <c r="K271" t="s">
        <v>28</v>
      </c>
      <c r="L271" s="4" t="str">
        <f>IF(RH[[#This Row],[Fecha de salida Laboral]]="","Activo","Inactivo")</f>
        <v>Activo</v>
      </c>
      <c r="M271" s="4">
        <f ca="1">INT((TODAY()-RH[[#This Row],[Fecha Nacimiento]])/365)</f>
        <v>23</v>
      </c>
      <c r="N271" s="4">
        <f ca="1">IF(RH[[#This Row],[Fecha de salida Laboral]]="",INT((TODAY()-RH[[#This Row],[Fecha de Ingreso laboral]])/365),INT((TODAY()-RH[[#This Row],[Fecha de salida Laboral]])/365))</f>
        <v>3</v>
      </c>
    </row>
    <row r="272" spans="1:14" x14ac:dyDescent="0.3">
      <c r="A272" t="s">
        <v>578</v>
      </c>
      <c r="B272" t="s">
        <v>579</v>
      </c>
      <c r="C272" s="1">
        <v>44839</v>
      </c>
      <c r="D272" s="1">
        <v>45375</v>
      </c>
      <c r="E272" t="s">
        <v>73</v>
      </c>
      <c r="F272" t="s">
        <v>14</v>
      </c>
      <c r="G272" t="s">
        <v>22</v>
      </c>
      <c r="H272" t="s">
        <v>16</v>
      </c>
      <c r="I272">
        <v>47253.760000000002</v>
      </c>
      <c r="J272" s="1">
        <v>27693</v>
      </c>
      <c r="K272" t="s">
        <v>28</v>
      </c>
      <c r="L272" s="4" t="str">
        <f>IF(RH[[#This Row],[Fecha de salida Laboral]]="","Activo","Inactivo")</f>
        <v>Inactivo</v>
      </c>
      <c r="M272" s="4">
        <f ca="1">INT((TODAY()-RH[[#This Row],[Fecha Nacimiento]])/365)</f>
        <v>50</v>
      </c>
      <c r="N272" s="4">
        <f ca="1">IF(RH[[#This Row],[Fecha de salida Laboral]]="",INT((TODAY()-RH[[#This Row],[Fecha de Ingreso laboral]])/365),INT((TODAY()-RH[[#This Row],[Fecha de salida Laboral]])/365))</f>
        <v>1</v>
      </c>
    </row>
    <row r="273" spans="1:14" x14ac:dyDescent="0.3">
      <c r="A273" t="s">
        <v>580</v>
      </c>
      <c r="B273" t="s">
        <v>581</v>
      </c>
      <c r="C273" s="1">
        <v>45433</v>
      </c>
      <c r="D273" s="1"/>
      <c r="E273" t="s">
        <v>13</v>
      </c>
      <c r="F273" t="s">
        <v>21</v>
      </c>
      <c r="G273" t="s">
        <v>32</v>
      </c>
      <c r="H273" t="s">
        <v>27</v>
      </c>
      <c r="I273">
        <v>97377.03</v>
      </c>
      <c r="J273" s="1">
        <v>32433</v>
      </c>
      <c r="K273" t="s">
        <v>36</v>
      </c>
      <c r="L273" s="4" t="str">
        <f>IF(RH[[#This Row],[Fecha de salida Laboral]]="","Activo","Inactivo")</f>
        <v>Activo</v>
      </c>
      <c r="M273" s="4">
        <f ca="1">INT((TODAY()-RH[[#This Row],[Fecha Nacimiento]])/365)</f>
        <v>37</v>
      </c>
      <c r="N273" s="4">
        <f ca="1">IF(RH[[#This Row],[Fecha de salida Laboral]]="",INT((TODAY()-RH[[#This Row],[Fecha de Ingreso laboral]])/365),INT((TODAY()-RH[[#This Row],[Fecha de salida Laboral]])/365))</f>
        <v>1</v>
      </c>
    </row>
    <row r="274" spans="1:14" x14ac:dyDescent="0.3">
      <c r="A274" t="s">
        <v>582</v>
      </c>
      <c r="B274" t="s">
        <v>583</v>
      </c>
      <c r="C274" s="1">
        <v>44256</v>
      </c>
      <c r="D274" s="1"/>
      <c r="E274" t="s">
        <v>31</v>
      </c>
      <c r="F274" t="s">
        <v>54</v>
      </c>
      <c r="G274" t="s">
        <v>70</v>
      </c>
      <c r="H274" t="s">
        <v>16</v>
      </c>
      <c r="I274">
        <v>87604.62</v>
      </c>
      <c r="J274" s="1">
        <v>35755</v>
      </c>
      <c r="K274" t="s">
        <v>28</v>
      </c>
      <c r="L274" s="4" t="str">
        <f>IF(RH[[#This Row],[Fecha de salida Laboral]]="","Activo","Inactivo")</f>
        <v>Activo</v>
      </c>
      <c r="M274" s="4">
        <f ca="1">INT((TODAY()-RH[[#This Row],[Fecha Nacimiento]])/365)</f>
        <v>28</v>
      </c>
      <c r="N274" s="4">
        <f ca="1">IF(RH[[#This Row],[Fecha de salida Laboral]]="",INT((TODAY()-RH[[#This Row],[Fecha de Ingreso laboral]])/365),INT((TODAY()-RH[[#This Row],[Fecha de salida Laboral]])/365))</f>
        <v>4</v>
      </c>
    </row>
    <row r="275" spans="1:14" x14ac:dyDescent="0.3">
      <c r="A275" t="s">
        <v>584</v>
      </c>
      <c r="B275" t="s">
        <v>585</v>
      </c>
      <c r="C275" s="1">
        <v>44909</v>
      </c>
      <c r="D275" s="1"/>
      <c r="E275" t="s">
        <v>73</v>
      </c>
      <c r="F275" t="s">
        <v>21</v>
      </c>
      <c r="G275" t="s">
        <v>15</v>
      </c>
      <c r="H275" t="s">
        <v>27</v>
      </c>
      <c r="I275">
        <v>34515.629999999997</v>
      </c>
      <c r="J275" s="1">
        <v>35035</v>
      </c>
      <c r="K275" t="s">
        <v>28</v>
      </c>
      <c r="L275" s="4" t="str">
        <f>IF(RH[[#This Row],[Fecha de salida Laboral]]="","Activo","Inactivo")</f>
        <v>Activo</v>
      </c>
      <c r="M275" s="4">
        <f ca="1">INT((TODAY()-RH[[#This Row],[Fecha Nacimiento]])/365)</f>
        <v>30</v>
      </c>
      <c r="N275" s="4">
        <f ca="1">IF(RH[[#This Row],[Fecha de salida Laboral]]="",INT((TODAY()-RH[[#This Row],[Fecha de Ingreso laboral]])/365),INT((TODAY()-RH[[#This Row],[Fecha de salida Laboral]])/365))</f>
        <v>3</v>
      </c>
    </row>
    <row r="276" spans="1:14" x14ac:dyDescent="0.3">
      <c r="A276" t="s">
        <v>586</v>
      </c>
      <c r="B276" t="s">
        <v>587</v>
      </c>
      <c r="C276" s="1">
        <v>43910</v>
      </c>
      <c r="D276" s="1"/>
      <c r="E276" t="s">
        <v>20</v>
      </c>
      <c r="F276" t="s">
        <v>54</v>
      </c>
      <c r="G276" t="s">
        <v>15</v>
      </c>
      <c r="H276" t="s">
        <v>27</v>
      </c>
      <c r="I276">
        <v>122380.56</v>
      </c>
      <c r="J276" s="1">
        <v>27747</v>
      </c>
      <c r="K276" t="s">
        <v>28</v>
      </c>
      <c r="L276" s="4" t="str">
        <f>IF(RH[[#This Row],[Fecha de salida Laboral]]="","Activo","Inactivo")</f>
        <v>Activo</v>
      </c>
      <c r="M276" s="4">
        <f ca="1">INT((TODAY()-RH[[#This Row],[Fecha Nacimiento]])/365)</f>
        <v>50</v>
      </c>
      <c r="N276" s="4">
        <f ca="1">IF(RH[[#This Row],[Fecha de salida Laboral]]="",INT((TODAY()-RH[[#This Row],[Fecha de Ingreso laboral]])/365),INT((TODAY()-RH[[#This Row],[Fecha de salida Laboral]])/365))</f>
        <v>5</v>
      </c>
    </row>
    <row r="277" spans="1:14" x14ac:dyDescent="0.3">
      <c r="A277" t="s">
        <v>588</v>
      </c>
      <c r="B277" t="s">
        <v>589</v>
      </c>
      <c r="C277" s="1">
        <v>44248</v>
      </c>
      <c r="D277" s="1"/>
      <c r="E277" t="s">
        <v>13</v>
      </c>
      <c r="F277" t="s">
        <v>25</v>
      </c>
      <c r="G277" t="s">
        <v>103</v>
      </c>
      <c r="H277" t="s">
        <v>27</v>
      </c>
      <c r="I277">
        <v>140312</v>
      </c>
      <c r="J277" s="1">
        <v>27414</v>
      </c>
      <c r="K277" t="s">
        <v>36</v>
      </c>
      <c r="L277" s="4" t="str">
        <f>IF(RH[[#This Row],[Fecha de salida Laboral]]="","Activo","Inactivo")</f>
        <v>Activo</v>
      </c>
      <c r="M277" s="4">
        <f ca="1">INT((TODAY()-RH[[#This Row],[Fecha Nacimiento]])/365)</f>
        <v>50</v>
      </c>
      <c r="N277" s="4">
        <f ca="1">IF(RH[[#This Row],[Fecha de salida Laboral]]="",INT((TODAY()-RH[[#This Row],[Fecha de Ingreso laboral]])/365),INT((TODAY()-RH[[#This Row],[Fecha de salida Laboral]])/365))</f>
        <v>4</v>
      </c>
    </row>
    <row r="278" spans="1:14" x14ac:dyDescent="0.3">
      <c r="A278" t="s">
        <v>590</v>
      </c>
      <c r="B278" t="s">
        <v>591</v>
      </c>
      <c r="C278" s="1">
        <v>43968</v>
      </c>
      <c r="D278" s="1"/>
      <c r="E278" t="s">
        <v>45</v>
      </c>
      <c r="F278" t="s">
        <v>21</v>
      </c>
      <c r="G278" t="s">
        <v>81</v>
      </c>
      <c r="H278" t="s">
        <v>27</v>
      </c>
      <c r="I278">
        <v>145370.76999999999</v>
      </c>
      <c r="J278" s="1">
        <v>36658</v>
      </c>
      <c r="K278" t="s">
        <v>17</v>
      </c>
      <c r="L278" s="4" t="str">
        <f>IF(RH[[#This Row],[Fecha de salida Laboral]]="","Activo","Inactivo")</f>
        <v>Activo</v>
      </c>
      <c r="M278" s="4">
        <f ca="1">INT((TODAY()-RH[[#This Row],[Fecha Nacimiento]])/365)</f>
        <v>25</v>
      </c>
      <c r="N278" s="4">
        <f ca="1">IF(RH[[#This Row],[Fecha de salida Laboral]]="",INT((TODAY()-RH[[#This Row],[Fecha de Ingreso laboral]])/365),INT((TODAY()-RH[[#This Row],[Fecha de salida Laboral]])/365))</f>
        <v>5</v>
      </c>
    </row>
    <row r="279" spans="1:14" x14ac:dyDescent="0.3">
      <c r="A279" t="s">
        <v>592</v>
      </c>
      <c r="B279" t="s">
        <v>593</v>
      </c>
      <c r="C279" s="1">
        <v>45327</v>
      </c>
      <c r="D279" s="1">
        <v>45433</v>
      </c>
      <c r="E279" t="s">
        <v>45</v>
      </c>
      <c r="F279" t="s">
        <v>14</v>
      </c>
      <c r="G279" t="s">
        <v>103</v>
      </c>
      <c r="H279" t="s">
        <v>16</v>
      </c>
      <c r="I279">
        <v>125282.17</v>
      </c>
      <c r="J279" s="1">
        <v>37001</v>
      </c>
      <c r="K279" t="s">
        <v>17</v>
      </c>
      <c r="L279" s="4" t="str">
        <f>IF(RH[[#This Row],[Fecha de salida Laboral]]="","Activo","Inactivo")</f>
        <v>Inactivo</v>
      </c>
      <c r="M279" s="4">
        <f ca="1">INT((TODAY()-RH[[#This Row],[Fecha Nacimiento]])/365)</f>
        <v>24</v>
      </c>
      <c r="N279" s="4">
        <f ca="1">IF(RH[[#This Row],[Fecha de salida Laboral]]="",INT((TODAY()-RH[[#This Row],[Fecha de Ingreso laboral]])/365),INT((TODAY()-RH[[#This Row],[Fecha de salida Laboral]])/365))</f>
        <v>1</v>
      </c>
    </row>
    <row r="280" spans="1:14" x14ac:dyDescent="0.3">
      <c r="A280" t="s">
        <v>594</v>
      </c>
      <c r="B280" t="s">
        <v>595</v>
      </c>
      <c r="C280" s="1">
        <v>44211</v>
      </c>
      <c r="D280" s="1"/>
      <c r="E280" t="s">
        <v>45</v>
      </c>
      <c r="F280" t="s">
        <v>14</v>
      </c>
      <c r="G280" t="s">
        <v>88</v>
      </c>
      <c r="H280" t="s">
        <v>27</v>
      </c>
      <c r="I280">
        <v>139713.98000000001</v>
      </c>
      <c r="J280" s="1">
        <v>36844</v>
      </c>
      <c r="K280" t="s">
        <v>28</v>
      </c>
      <c r="L280" s="4" t="str">
        <f>IF(RH[[#This Row],[Fecha de salida Laboral]]="","Activo","Inactivo")</f>
        <v>Activo</v>
      </c>
      <c r="M280" s="4">
        <f ca="1">INT((TODAY()-RH[[#This Row],[Fecha Nacimiento]])/365)</f>
        <v>25</v>
      </c>
      <c r="N280" s="4">
        <f ca="1">IF(RH[[#This Row],[Fecha de salida Laboral]]="",INT((TODAY()-RH[[#This Row],[Fecha de Ingreso laboral]])/365),INT((TODAY()-RH[[#This Row],[Fecha de salida Laboral]])/365))</f>
        <v>4</v>
      </c>
    </row>
    <row r="281" spans="1:14" x14ac:dyDescent="0.3">
      <c r="A281" t="s">
        <v>596</v>
      </c>
      <c r="B281" t="s">
        <v>597</v>
      </c>
      <c r="C281" s="1">
        <v>45500</v>
      </c>
      <c r="D281" s="1"/>
      <c r="E281" t="s">
        <v>31</v>
      </c>
      <c r="F281" t="s">
        <v>59</v>
      </c>
      <c r="G281" t="s">
        <v>74</v>
      </c>
      <c r="H281" t="s">
        <v>27</v>
      </c>
      <c r="I281">
        <v>80351.649999999994</v>
      </c>
      <c r="J281" s="1">
        <v>34060</v>
      </c>
      <c r="K281" t="s">
        <v>17</v>
      </c>
      <c r="L281" s="4" t="str">
        <f>IF(RH[[#This Row],[Fecha de salida Laboral]]="","Activo","Inactivo")</f>
        <v>Activo</v>
      </c>
      <c r="M281" s="4">
        <f ca="1">INT((TODAY()-RH[[#This Row],[Fecha Nacimiento]])/365)</f>
        <v>32</v>
      </c>
      <c r="N281" s="4">
        <f ca="1">IF(RH[[#This Row],[Fecha de salida Laboral]]="",INT((TODAY()-RH[[#This Row],[Fecha de Ingreso laboral]])/365),INT((TODAY()-RH[[#This Row],[Fecha de salida Laboral]])/365))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584A9-A36E-4A81-BCBC-7E0C3A0296AE}">
  <dimension ref="A1:K92"/>
  <sheetViews>
    <sheetView tabSelected="1" topLeftCell="A10" zoomScale="136" zoomScaleNormal="136" workbookViewId="0">
      <selection activeCell="N23" sqref="N23"/>
    </sheetView>
  </sheetViews>
  <sheetFormatPr baseColWidth="10" defaultRowHeight="14.4" x14ac:dyDescent="0.3"/>
  <cols>
    <col min="1" max="1" width="16.5546875" bestFit="1" customWidth="1"/>
    <col min="2" max="2" width="8.6640625" bestFit="1" customWidth="1"/>
    <col min="3" max="3" width="16.77734375" bestFit="1" customWidth="1"/>
    <col min="4" max="4" width="8.77734375" bestFit="1" customWidth="1"/>
    <col min="5" max="5" width="3.88671875" bestFit="1" customWidth="1"/>
    <col min="6" max="6" width="4.33203125" bestFit="1" customWidth="1"/>
    <col min="7" max="7" width="3.6640625" bestFit="1" customWidth="1"/>
    <col min="8" max="8" width="3.21875" bestFit="1" customWidth="1"/>
    <col min="9" max="9" width="4.109375" bestFit="1" customWidth="1"/>
    <col min="10" max="10" width="3.77734375" bestFit="1" customWidth="1"/>
    <col min="11" max="11" width="11.88671875" bestFit="1" customWidth="1"/>
    <col min="12" max="12" width="4.21875" bestFit="1" customWidth="1"/>
    <col min="13" max="13" width="3.77734375" bestFit="1" customWidth="1"/>
    <col min="14" max="14" width="11.88671875" bestFit="1" customWidth="1"/>
    <col min="15" max="15" width="13.77734375" bestFit="1" customWidth="1"/>
    <col min="16" max="16" width="25.5546875" bestFit="1" customWidth="1"/>
    <col min="17" max="17" width="13.77734375" bestFit="1" customWidth="1"/>
    <col min="18" max="18" width="25.5546875" bestFit="1" customWidth="1"/>
    <col min="19" max="19" width="13.77734375" bestFit="1" customWidth="1"/>
    <col min="20" max="20" width="30.21875" bestFit="1" customWidth="1"/>
    <col min="21" max="21" width="18.44140625" bestFit="1" customWidth="1"/>
    <col min="22" max="22" width="25.5546875" bestFit="1" customWidth="1"/>
    <col min="23" max="23" width="30.77734375" bestFit="1" customWidth="1"/>
    <col min="24" max="24" width="25.5546875" bestFit="1" customWidth="1"/>
    <col min="25" max="25" width="30.77734375" bestFit="1" customWidth="1"/>
    <col min="26" max="26" width="30.21875" bestFit="1" customWidth="1"/>
    <col min="27" max="27" width="35.44140625" bestFit="1" customWidth="1"/>
    <col min="28" max="28" width="10.88671875" bestFit="1" customWidth="1"/>
    <col min="29" max="29" width="9.88671875" bestFit="1" customWidth="1"/>
    <col min="30" max="36" width="10.88671875" bestFit="1" customWidth="1"/>
    <col min="37" max="37" width="9.88671875" bestFit="1" customWidth="1"/>
    <col min="38" max="38" width="10.88671875" bestFit="1" customWidth="1"/>
    <col min="39" max="39" width="11.88671875" bestFit="1" customWidth="1"/>
  </cols>
  <sheetData>
    <row r="1" spans="1:4" x14ac:dyDescent="0.3">
      <c r="A1" s="5" t="s">
        <v>598</v>
      </c>
      <c r="B1" s="5"/>
      <c r="C1" s="5"/>
      <c r="D1" s="5"/>
    </row>
    <row r="5" spans="1:4" x14ac:dyDescent="0.3">
      <c r="A5" s="7" t="s">
        <v>609</v>
      </c>
      <c r="B5" t="s">
        <v>613</v>
      </c>
      <c r="C5" t="s">
        <v>612</v>
      </c>
      <c r="D5" t="s">
        <v>611</v>
      </c>
    </row>
    <row r="6" spans="1:4" x14ac:dyDescent="0.3">
      <c r="A6" s="8" t="s">
        <v>16</v>
      </c>
      <c r="B6" s="4">
        <v>94</v>
      </c>
      <c r="C6" s="9">
        <v>8738772.4299999978</v>
      </c>
      <c r="D6" s="6">
        <v>0.33813195166819593</v>
      </c>
    </row>
    <row r="7" spans="1:4" x14ac:dyDescent="0.3">
      <c r="A7" s="8" t="s">
        <v>27</v>
      </c>
      <c r="B7" s="4">
        <v>186</v>
      </c>
      <c r="C7" s="9">
        <v>17105494.539999995</v>
      </c>
      <c r="D7" s="6">
        <v>0.66186804833180313</v>
      </c>
    </row>
    <row r="8" spans="1:4" x14ac:dyDescent="0.3">
      <c r="A8" s="8" t="s">
        <v>610</v>
      </c>
      <c r="B8" s="4">
        <v>280</v>
      </c>
      <c r="C8" s="9">
        <v>25844266.970000017</v>
      </c>
      <c r="D8" s="6">
        <v>1</v>
      </c>
    </row>
    <row r="13" spans="1:4" x14ac:dyDescent="0.3">
      <c r="A13" s="5" t="s">
        <v>599</v>
      </c>
      <c r="B13" s="5"/>
      <c r="C13" s="5"/>
      <c r="D13" s="5"/>
    </row>
    <row r="16" spans="1:4" x14ac:dyDescent="0.3">
      <c r="A16" s="7" t="s">
        <v>609</v>
      </c>
      <c r="B16" t="s">
        <v>613</v>
      </c>
    </row>
    <row r="17" spans="1:7" x14ac:dyDescent="0.3">
      <c r="A17" s="8" t="s">
        <v>614</v>
      </c>
      <c r="B17" s="4">
        <v>133</v>
      </c>
    </row>
    <row r="18" spans="1:7" x14ac:dyDescent="0.3">
      <c r="A18" s="8" t="s">
        <v>615</v>
      </c>
      <c r="B18" s="4">
        <v>147</v>
      </c>
    </row>
    <row r="19" spans="1:7" x14ac:dyDescent="0.3">
      <c r="A19" s="8" t="s">
        <v>610</v>
      </c>
      <c r="B19" s="4">
        <v>280</v>
      </c>
    </row>
    <row r="22" spans="1:7" x14ac:dyDescent="0.3">
      <c r="A22" s="5" t="s">
        <v>600</v>
      </c>
      <c r="B22" s="5"/>
      <c r="C22" s="5"/>
      <c r="D22" s="5"/>
    </row>
    <row r="25" spans="1:7" x14ac:dyDescent="0.3">
      <c r="A25" s="7" t="s">
        <v>609</v>
      </c>
      <c r="B25" t="s">
        <v>612</v>
      </c>
    </row>
    <row r="26" spans="1:7" x14ac:dyDescent="0.3">
      <c r="A26" s="8" t="s">
        <v>13</v>
      </c>
      <c r="B26" s="9">
        <v>5083484.879999999</v>
      </c>
      <c r="G26" s="10"/>
    </row>
    <row r="27" spans="1:7" x14ac:dyDescent="0.3">
      <c r="A27" s="8" t="s">
        <v>42</v>
      </c>
      <c r="B27" s="9">
        <v>3970014.77</v>
      </c>
    </row>
    <row r="28" spans="1:7" x14ac:dyDescent="0.3">
      <c r="A28" s="8" t="s">
        <v>45</v>
      </c>
      <c r="B28" s="9">
        <v>5315557.63</v>
      </c>
    </row>
    <row r="29" spans="1:7" x14ac:dyDescent="0.3">
      <c r="A29" s="8" t="s">
        <v>31</v>
      </c>
      <c r="B29" s="9">
        <v>4110285.87</v>
      </c>
    </row>
    <row r="30" spans="1:7" x14ac:dyDescent="0.3">
      <c r="A30" s="8" t="s">
        <v>20</v>
      </c>
      <c r="B30" s="9">
        <v>3160493.6999999997</v>
      </c>
    </row>
    <row r="31" spans="1:7" x14ac:dyDescent="0.3">
      <c r="A31" s="8" t="s">
        <v>73</v>
      </c>
      <c r="B31" s="9">
        <v>4204430.12</v>
      </c>
    </row>
    <row r="32" spans="1:7" x14ac:dyDescent="0.3">
      <c r="A32" s="8" t="s">
        <v>610</v>
      </c>
      <c r="B32" s="9">
        <v>25844266.969999999</v>
      </c>
    </row>
    <row r="36" spans="1:4" x14ac:dyDescent="0.3">
      <c r="A36" s="5" t="s">
        <v>601</v>
      </c>
      <c r="B36" s="5"/>
      <c r="C36" s="5"/>
      <c r="D36" s="5"/>
    </row>
    <row r="39" spans="1:4" x14ac:dyDescent="0.3">
      <c r="A39" s="7" t="s">
        <v>609</v>
      </c>
      <c r="B39" t="s">
        <v>612</v>
      </c>
    </row>
    <row r="40" spans="1:4" x14ac:dyDescent="0.3">
      <c r="A40" s="8" t="s">
        <v>26</v>
      </c>
      <c r="B40" s="9">
        <v>2675121.4200000004</v>
      </c>
    </row>
    <row r="41" spans="1:4" x14ac:dyDescent="0.3">
      <c r="A41" s="8" t="s">
        <v>103</v>
      </c>
      <c r="B41" s="9">
        <v>2961286.3899999997</v>
      </c>
    </row>
    <row r="42" spans="1:4" x14ac:dyDescent="0.3">
      <c r="A42" s="8" t="s">
        <v>74</v>
      </c>
      <c r="B42" s="9">
        <v>2235980.96</v>
      </c>
    </row>
    <row r="43" spans="1:4" x14ac:dyDescent="0.3">
      <c r="A43" s="8" t="s">
        <v>35</v>
      </c>
      <c r="B43" s="9">
        <v>2169109.7400000002</v>
      </c>
    </row>
    <row r="44" spans="1:4" x14ac:dyDescent="0.3">
      <c r="A44" s="8" t="s">
        <v>70</v>
      </c>
      <c r="B44" s="9">
        <v>1646874</v>
      </c>
    </row>
    <row r="45" spans="1:4" x14ac:dyDescent="0.3">
      <c r="A45" s="8" t="s">
        <v>15</v>
      </c>
      <c r="B45" s="9">
        <v>3469520.2799999993</v>
      </c>
    </row>
    <row r="46" spans="1:4" x14ac:dyDescent="0.3">
      <c r="A46" s="8" t="s">
        <v>88</v>
      </c>
      <c r="B46" s="9">
        <v>2904734.17</v>
      </c>
    </row>
    <row r="47" spans="1:4" x14ac:dyDescent="0.3">
      <c r="A47" s="8" t="s">
        <v>81</v>
      </c>
      <c r="B47" s="9">
        <v>2288431.4899999998</v>
      </c>
    </row>
    <row r="48" spans="1:4" x14ac:dyDescent="0.3">
      <c r="A48" s="8" t="s">
        <v>32</v>
      </c>
      <c r="B48" s="9">
        <v>3046542.5399999996</v>
      </c>
    </row>
    <row r="49" spans="1:11" x14ac:dyDescent="0.3">
      <c r="A49" s="8" t="s">
        <v>22</v>
      </c>
      <c r="B49" s="9">
        <v>2446665.9799999995</v>
      </c>
    </row>
    <row r="50" spans="1:11" x14ac:dyDescent="0.3">
      <c r="A50" s="8" t="s">
        <v>610</v>
      </c>
      <c r="B50" s="9">
        <v>25844266.969999999</v>
      </c>
    </row>
    <row r="53" spans="1:11" x14ac:dyDescent="0.3">
      <c r="A53" s="5" t="s">
        <v>602</v>
      </c>
      <c r="B53" s="5"/>
      <c r="C53" s="5"/>
      <c r="D53" s="5"/>
    </row>
    <row r="54" spans="1:11" x14ac:dyDescent="0.3">
      <c r="A54" s="7" t="s">
        <v>618</v>
      </c>
      <c r="B54" t="s">
        <v>617</v>
      </c>
    </row>
    <row r="56" spans="1:11" x14ac:dyDescent="0.3">
      <c r="A56" s="7" t="s">
        <v>616</v>
      </c>
      <c r="B56" s="7" t="s">
        <v>619</v>
      </c>
    </row>
    <row r="57" spans="1:11" x14ac:dyDescent="0.3">
      <c r="A57" s="7" t="s">
        <v>609</v>
      </c>
      <c r="B57" s="11" t="s">
        <v>620</v>
      </c>
      <c r="C57" s="11" t="s">
        <v>621</v>
      </c>
      <c r="D57" s="11" t="s">
        <v>622</v>
      </c>
      <c r="E57" t="s">
        <v>623</v>
      </c>
      <c r="F57" t="s">
        <v>624</v>
      </c>
      <c r="G57" t="s">
        <v>625</v>
      </c>
      <c r="H57" t="s">
        <v>626</v>
      </c>
      <c r="I57" t="s">
        <v>627</v>
      </c>
      <c r="J57" t="s">
        <v>628</v>
      </c>
      <c r="K57" t="s">
        <v>610</v>
      </c>
    </row>
    <row r="58" spans="1:11" x14ac:dyDescent="0.3">
      <c r="A58" s="8" t="s">
        <v>614</v>
      </c>
      <c r="B58" s="4">
        <v>1</v>
      </c>
      <c r="C58" s="4"/>
      <c r="D58" s="4">
        <v>2</v>
      </c>
      <c r="E58" s="4">
        <v>3</v>
      </c>
      <c r="F58" s="4">
        <v>2</v>
      </c>
      <c r="G58" s="4">
        <v>2</v>
      </c>
      <c r="H58" s="4">
        <v>2</v>
      </c>
      <c r="I58" s="4">
        <v>3</v>
      </c>
      <c r="J58" s="4">
        <v>1</v>
      </c>
      <c r="K58" s="4">
        <v>16</v>
      </c>
    </row>
    <row r="59" spans="1:11" x14ac:dyDescent="0.3">
      <c r="A59" s="8" t="s">
        <v>615</v>
      </c>
      <c r="B59" s="4">
        <v>3</v>
      </c>
      <c r="C59" s="4">
        <v>4</v>
      </c>
      <c r="D59" s="4">
        <v>3</v>
      </c>
      <c r="E59" s="4">
        <v>2</v>
      </c>
      <c r="F59" s="4">
        <v>6</v>
      </c>
      <c r="G59" s="4"/>
      <c r="H59" s="4">
        <v>3</v>
      </c>
      <c r="I59" s="4"/>
      <c r="J59" s="4">
        <v>1</v>
      </c>
      <c r="K59" s="4">
        <v>22</v>
      </c>
    </row>
    <row r="60" spans="1:11" x14ac:dyDescent="0.3">
      <c r="A60" s="8" t="s">
        <v>610</v>
      </c>
      <c r="B60" s="4">
        <v>4</v>
      </c>
      <c r="C60" s="4">
        <v>4</v>
      </c>
      <c r="D60" s="4">
        <v>5</v>
      </c>
      <c r="E60" s="4">
        <v>5</v>
      </c>
      <c r="F60" s="4">
        <v>8</v>
      </c>
      <c r="G60" s="4">
        <v>2</v>
      </c>
      <c r="H60" s="4">
        <v>5</v>
      </c>
      <c r="I60" s="4">
        <v>3</v>
      </c>
      <c r="J60" s="4">
        <v>2</v>
      </c>
      <c r="K60" s="4">
        <v>38</v>
      </c>
    </row>
    <row r="69" spans="1:4" x14ac:dyDescent="0.3">
      <c r="A69" s="5" t="s">
        <v>603</v>
      </c>
      <c r="B69" s="5"/>
      <c r="C69" s="5"/>
      <c r="D69" s="5"/>
    </row>
    <row r="71" spans="1:4" x14ac:dyDescent="0.3">
      <c r="A71" s="7" t="s">
        <v>609</v>
      </c>
      <c r="B71" t="s">
        <v>613</v>
      </c>
    </row>
    <row r="72" spans="1:4" x14ac:dyDescent="0.3">
      <c r="A72" s="8" t="s">
        <v>629</v>
      </c>
      <c r="B72" s="4">
        <v>72</v>
      </c>
    </row>
    <row r="73" spans="1:4" x14ac:dyDescent="0.3">
      <c r="A73" s="8" t="s">
        <v>630</v>
      </c>
      <c r="B73" s="4">
        <v>56</v>
      </c>
    </row>
    <row r="74" spans="1:4" x14ac:dyDescent="0.3">
      <c r="A74" s="8" t="s">
        <v>631</v>
      </c>
      <c r="B74" s="4">
        <v>49</v>
      </c>
    </row>
    <row r="75" spans="1:4" x14ac:dyDescent="0.3">
      <c r="A75" s="8" t="s">
        <v>632</v>
      </c>
      <c r="B75" s="4">
        <v>57</v>
      </c>
    </row>
    <row r="76" spans="1:4" x14ac:dyDescent="0.3">
      <c r="A76" s="8" t="s">
        <v>633</v>
      </c>
      <c r="B76" s="4">
        <v>46</v>
      </c>
    </row>
    <row r="77" spans="1:4" x14ac:dyDescent="0.3">
      <c r="A77" s="8" t="s">
        <v>610</v>
      </c>
      <c r="B77" s="4">
        <v>280</v>
      </c>
    </row>
    <row r="82" spans="1:4" x14ac:dyDescent="0.3">
      <c r="A82" s="5" t="s">
        <v>604</v>
      </c>
      <c r="B82" s="5"/>
      <c r="C82" s="5"/>
      <c r="D82" s="5"/>
    </row>
    <row r="84" spans="1:4" x14ac:dyDescent="0.3">
      <c r="A84" s="7" t="s">
        <v>609</v>
      </c>
      <c r="B84" t="s">
        <v>634</v>
      </c>
    </row>
    <row r="85" spans="1:4" x14ac:dyDescent="0.3">
      <c r="A85" s="8">
        <v>1</v>
      </c>
      <c r="B85" s="4">
        <v>163</v>
      </c>
    </row>
    <row r="86" spans="1:4" x14ac:dyDescent="0.3">
      <c r="A86" s="8">
        <v>2</v>
      </c>
      <c r="B86" s="4">
        <v>14</v>
      </c>
    </row>
    <row r="87" spans="1:4" x14ac:dyDescent="0.3">
      <c r="A87" s="8">
        <v>3</v>
      </c>
      <c r="B87" s="4">
        <v>22</v>
      </c>
    </row>
    <row r="88" spans="1:4" x14ac:dyDescent="0.3">
      <c r="A88" s="8">
        <v>4</v>
      </c>
      <c r="B88" s="4">
        <v>27</v>
      </c>
    </row>
    <row r="89" spans="1:4" x14ac:dyDescent="0.3">
      <c r="A89" s="8">
        <v>5</v>
      </c>
      <c r="B89" s="4">
        <v>25</v>
      </c>
    </row>
    <row r="90" spans="1:4" x14ac:dyDescent="0.3">
      <c r="A90" s="8">
        <v>6</v>
      </c>
      <c r="B90" s="4">
        <v>24</v>
      </c>
    </row>
    <row r="91" spans="1:4" x14ac:dyDescent="0.3">
      <c r="A91" s="8">
        <v>7</v>
      </c>
      <c r="B91" s="4">
        <v>5</v>
      </c>
    </row>
    <row r="92" spans="1:4" x14ac:dyDescent="0.3">
      <c r="A92" s="8" t="s">
        <v>610</v>
      </c>
      <c r="B92" s="4">
        <v>280</v>
      </c>
    </row>
  </sheetData>
  <mergeCells count="7">
    <mergeCell ref="A69:D69"/>
    <mergeCell ref="A82:D82"/>
    <mergeCell ref="A1:D1"/>
    <mergeCell ref="A13:D13"/>
    <mergeCell ref="A22:D22"/>
    <mergeCell ref="A36:D36"/>
    <mergeCell ref="A53:D53"/>
  </mergeCells>
  <pageMargins left="0.7" right="0.7" top="0.75" bottom="0.75" header="0.3" footer="0.3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878298-D8C7-4801-9674-C160D1C7144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Indicadores Solicitados</vt:lpstr>
      <vt:lpstr>Datos</vt:lpstr>
      <vt:lpstr>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2024-09-16T18:27:07Z</dcterms:created>
  <dcterms:modified xsi:type="dcterms:W3CDTF">2025-12-27T13:47:19Z</dcterms:modified>
</cp:coreProperties>
</file>