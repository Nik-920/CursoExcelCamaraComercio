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b\Nik Denilson\Cursos\EXCEL\NivelIntermedio\"/>
    </mc:Choice>
  </mc:AlternateContent>
  <xr:revisionPtr revIDLastSave="0" documentId="13_ncr:1_{260F28FD-79AA-4F5F-805C-4D1C4130EDA6}" xr6:coauthVersionLast="47" xr6:coauthVersionMax="47" xr10:uidLastSave="{00000000-0000-0000-0000-000000000000}"/>
  <bookViews>
    <workbookView xWindow="-108" yWindow="-108" windowWidth="23256" windowHeight="12456" firstSheet="6" activeTab="8" xr2:uid="{00000000-000D-0000-FFFF-FFFF00000000}"/>
  </bookViews>
  <sheets>
    <sheet name="Empleados" sheetId="1" r:id="rId1"/>
    <sheet name="Encontrar-Hallar-Extrae-Largo" sheetId="2" r:id="rId2"/>
    <sheet name="DividirTexto" sheetId="4" r:id="rId3"/>
    <sheet name="Concat - Unircadenas" sheetId="7" r:id="rId4"/>
    <sheet name="minusculas - MAYUSCULAS - NomPr" sheetId="6" r:id="rId5"/>
    <sheet name="Texto Antes &amp; Despues" sheetId="8" r:id="rId6"/>
    <sheet name="DERECHA-IZQUIERDA EXTRAE" sheetId="9" r:id="rId7"/>
    <sheet name="Limpiar Texto" sheetId="13" r:id="rId8"/>
    <sheet name="TRADUCIR-DETECTAR IDIOMA" sheetId="14" r:id="rId9"/>
    <sheet name="Relleno Rapido" sheetId="11" r:id="rId10"/>
    <sheet name="Texto" sheetId="12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8" i="13" l="1"/>
  <c r="P9" i="13"/>
  <c r="P10" i="13"/>
  <c r="P11" i="13"/>
  <c r="P12" i="13"/>
  <c r="P13" i="13"/>
  <c r="P14" i="13"/>
  <c r="P15" i="13"/>
  <c r="P16" i="13"/>
  <c r="P17" i="13"/>
  <c r="P18" i="13"/>
  <c r="P19" i="13"/>
  <c r="P20" i="13"/>
  <c r="P21" i="13"/>
  <c r="P22" i="13"/>
  <c r="P23" i="13"/>
  <c r="P24" i="13"/>
  <c r="P25" i="13"/>
  <c r="P26" i="13"/>
  <c r="P27" i="13"/>
  <c r="P28" i="13"/>
  <c r="P29" i="13"/>
  <c r="P30" i="13"/>
  <c r="P31" i="13"/>
  <c r="P32" i="13"/>
  <c r="P33" i="13"/>
  <c r="P34" i="13"/>
  <c r="P35" i="13"/>
  <c r="P36" i="13"/>
  <c r="P37" i="13"/>
  <c r="P38" i="13"/>
  <c r="P7" i="13"/>
  <c r="I19" i="13"/>
  <c r="I20" i="13"/>
  <c r="I21" i="13"/>
  <c r="I18" i="13"/>
  <c r="B21" i="13"/>
  <c r="B20" i="13"/>
  <c r="B19" i="13"/>
  <c r="B18" i="13"/>
  <c r="K8" i="13"/>
  <c r="K9" i="13"/>
  <c r="K10" i="13"/>
  <c r="K7" i="13"/>
  <c r="J8" i="13"/>
  <c r="J9" i="13"/>
  <c r="J10" i="13"/>
  <c r="J7" i="13"/>
  <c r="I8" i="13"/>
  <c r="I9" i="13"/>
  <c r="I10" i="13"/>
  <c r="I7" i="13"/>
  <c r="D8" i="13"/>
  <c r="D9" i="13"/>
  <c r="D10" i="13"/>
  <c r="D7" i="13"/>
  <c r="C8" i="13"/>
  <c r="C9" i="13"/>
  <c r="C10" i="13"/>
  <c r="C7" i="13"/>
  <c r="B8" i="13"/>
  <c r="B9" i="13"/>
  <c r="B10" i="13"/>
  <c r="B7" i="13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6" i="9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6" i="6"/>
  <c r="Q7" i="7"/>
  <c r="Q8" i="7"/>
  <c r="Q9" i="7"/>
  <c r="Q10" i="7"/>
  <c r="Q11" i="7"/>
  <c r="Q12" i="7"/>
  <c r="Q13" i="7"/>
  <c r="Q14" i="7"/>
  <c r="Q15" i="7"/>
  <c r="Q16" i="7"/>
  <c r="Q17" i="7"/>
  <c r="Q18" i="7"/>
  <c r="Q19" i="7"/>
  <c r="Q20" i="7"/>
  <c r="Q6" i="7"/>
  <c r="O7" i="7"/>
  <c r="O8" i="7"/>
  <c r="O9" i="7"/>
  <c r="O10" i="7"/>
  <c r="O11" i="7"/>
  <c r="O12" i="7"/>
  <c r="O13" i="7"/>
  <c r="O14" i="7"/>
  <c r="O15" i="7"/>
  <c r="O16" i="7"/>
  <c r="O17" i="7"/>
  <c r="O18" i="7"/>
  <c r="O19" i="7"/>
  <c r="O20" i="7"/>
  <c r="O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6" i="7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6" i="2"/>
  <c r="M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K6" i="2"/>
  <c r="J6" i="2"/>
  <c r="I6" i="2"/>
  <c r="I6" i="1"/>
  <c r="M6" i="1"/>
  <c r="J6" i="1" s="1"/>
  <c r="N6" i="1"/>
  <c r="K6" i="1" s="1"/>
  <c r="O6" i="1"/>
  <c r="I7" i="1"/>
  <c r="M7" i="1"/>
  <c r="O7" i="1"/>
  <c r="I8" i="1"/>
  <c r="M8" i="1"/>
  <c r="J8" i="1" s="1"/>
  <c r="N8" i="1"/>
  <c r="K8" i="1" s="1"/>
  <c r="O8" i="1"/>
  <c r="I9" i="1"/>
  <c r="M9" i="1"/>
  <c r="O9" i="1"/>
  <c r="I10" i="1"/>
  <c r="M10" i="1"/>
  <c r="O10" i="1"/>
  <c r="I11" i="1"/>
  <c r="M11" i="1"/>
  <c r="O11" i="1"/>
  <c r="I12" i="1"/>
  <c r="M12" i="1"/>
  <c r="O12" i="1"/>
  <c r="I13" i="1"/>
  <c r="M13" i="1"/>
  <c r="O13" i="1"/>
  <c r="I14" i="1"/>
  <c r="M14" i="1"/>
  <c r="O14" i="1"/>
  <c r="I15" i="1"/>
  <c r="M15" i="1"/>
  <c r="O15" i="1"/>
  <c r="I16" i="1"/>
  <c r="M16" i="1"/>
  <c r="O16" i="1"/>
  <c r="I17" i="1"/>
  <c r="M17" i="1"/>
  <c r="O17" i="1"/>
  <c r="I18" i="1"/>
  <c r="M18" i="1"/>
  <c r="O18" i="1"/>
  <c r="I19" i="1"/>
  <c r="M19" i="1"/>
  <c r="O19" i="1"/>
  <c r="I20" i="1"/>
  <c r="M20" i="1"/>
  <c r="O20" i="1"/>
  <c r="H7" i="13"/>
  <c r="H10" i="13"/>
  <c r="H9" i="13"/>
  <c r="H8" i="13"/>
  <c r="Q7" i="13" a="1"/>
  <c r="Q7" i="13" s="1"/>
  <c r="I20" i="7" a="1"/>
  <c r="I19" i="7" a="1"/>
  <c r="I18" i="7" a="1"/>
  <c r="I17" i="7" a="1"/>
  <c r="I16" i="7" a="1"/>
  <c r="I15" i="7" a="1"/>
  <c r="I14" i="7" a="1"/>
  <c r="I13" i="7" a="1"/>
  <c r="I12" i="7" a="1"/>
  <c r="I11" i="7" a="1"/>
  <c r="I10" i="7" a="1"/>
  <c r="I10" i="7" s="1"/>
  <c r="I9" i="7" a="1"/>
  <c r="I8" i="7" a="1"/>
  <c r="I7" i="7" a="1"/>
  <c r="I6" i="7" a="1"/>
  <c r="I20" i="6" a="1"/>
  <c r="I19" i="6" a="1"/>
  <c r="I18" i="6" a="1"/>
  <c r="I17" i="6" a="1"/>
  <c r="I16" i="6" a="1"/>
  <c r="I15" i="6" a="1"/>
  <c r="I14" i="6" a="1"/>
  <c r="I13" i="6" a="1"/>
  <c r="I12" i="6" a="1"/>
  <c r="I11" i="6" a="1"/>
  <c r="I10" i="6" a="1"/>
  <c r="I9" i="6" a="1"/>
  <c r="I8" i="6" a="1"/>
  <c r="I7" i="6" a="1"/>
  <c r="I6" i="6" a="1"/>
  <c r="N7" i="1" l="1"/>
  <c r="N9" i="1"/>
  <c r="N10" i="1"/>
  <c r="K10" i="1" s="1"/>
  <c r="J10" i="1"/>
  <c r="N11" i="1"/>
  <c r="K11" i="1" s="1"/>
  <c r="J11" i="1"/>
  <c r="N12" i="1"/>
  <c r="N13" i="1"/>
  <c r="N14" i="1"/>
  <c r="N15" i="1"/>
  <c r="K15" i="1" s="1"/>
  <c r="J15" i="1"/>
  <c r="N16" i="1"/>
  <c r="K16" i="1" s="1"/>
  <c r="J16" i="1"/>
  <c r="N17" i="1"/>
  <c r="N18" i="1"/>
  <c r="N19" i="1"/>
  <c r="K19" i="1" s="1"/>
  <c r="J19" i="1"/>
  <c r="N20" i="1"/>
  <c r="I12" i="7"/>
  <c r="I20" i="7"/>
  <c r="I19" i="7"/>
  <c r="I18" i="7"/>
  <c r="I17" i="7"/>
  <c r="I16" i="7"/>
  <c r="I15" i="7"/>
  <c r="I14" i="7"/>
  <c r="I13" i="7"/>
  <c r="I11" i="7"/>
  <c r="I9" i="7"/>
  <c r="I8" i="7"/>
  <c r="I7" i="7"/>
  <c r="I6" i="7"/>
  <c r="I20" i="6"/>
  <c r="M20" i="6" s="1"/>
  <c r="I19" i="6"/>
  <c r="M19" i="6" s="1"/>
  <c r="I18" i="6"/>
  <c r="I17" i="6"/>
  <c r="I16" i="6"/>
  <c r="I15" i="6"/>
  <c r="I14" i="6"/>
  <c r="M14" i="6" s="1"/>
  <c r="I13" i="6"/>
  <c r="M13" i="6" s="1"/>
  <c r="I12" i="6"/>
  <c r="I11" i="6"/>
  <c r="I10" i="6"/>
  <c r="I9" i="6"/>
  <c r="M9" i="6" s="1"/>
  <c r="I8" i="6"/>
  <c r="I7" i="6"/>
  <c r="I6" i="6"/>
  <c r="M6" i="6" s="1"/>
  <c r="K7" i="1" l="1"/>
  <c r="J7" i="1"/>
  <c r="K9" i="1"/>
  <c r="J9" i="1"/>
  <c r="K12" i="1"/>
  <c r="J12" i="1"/>
  <c r="K13" i="1"/>
  <c r="J13" i="1"/>
  <c r="K14" i="1"/>
  <c r="J14" i="1"/>
  <c r="K17" i="1"/>
  <c r="J17" i="1"/>
  <c r="K18" i="1"/>
  <c r="J18" i="1"/>
  <c r="K20" i="1"/>
  <c r="J20" i="1"/>
  <c r="M18" i="6"/>
  <c r="M16" i="6"/>
  <c r="M11" i="6"/>
  <c r="M12" i="6"/>
  <c r="M15" i="6"/>
  <c r="M7" i="6"/>
  <c r="M17" i="6"/>
  <c r="M10" i="6"/>
  <c r="M8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<sst xmlns="http://schemas.openxmlformats.org/spreadsheetml/2006/main" count="977" uniqueCount="310">
  <si>
    <t>Nombre Completo</t>
  </si>
  <si>
    <t>Email</t>
  </si>
  <si>
    <t>Fecha Ingreso Laboral</t>
  </si>
  <si>
    <t>Sueldo</t>
  </si>
  <si>
    <t>Puesto</t>
  </si>
  <si>
    <t>Ciudad</t>
  </si>
  <si>
    <t>RUT</t>
  </si>
  <si>
    <t>Juan Pérez Rodríguez</t>
  </si>
  <si>
    <t>María Gómez Sánchez</t>
  </si>
  <si>
    <t>Luis Torres Quispe</t>
  </si>
  <si>
    <t>Carla Fernández Huamán</t>
  </si>
  <si>
    <t>Pedro Ramos Vargas</t>
  </si>
  <si>
    <t>Ana Castillo López</t>
  </si>
  <si>
    <t>Martín Flores Ortiz</t>
  </si>
  <si>
    <t>Sofía Rojas Delgado</t>
  </si>
  <si>
    <t>Diego Salazar Pérez</t>
  </si>
  <si>
    <t>Rosa Vargas Chuquihuanca</t>
  </si>
  <si>
    <t>Javier López Ramírez</t>
  </si>
  <si>
    <t>Daniela Sánchez Vega</t>
  </si>
  <si>
    <t>Francisco Aguilar Mendoza</t>
  </si>
  <si>
    <t>Elena Huerta Córdova</t>
  </si>
  <si>
    <t>Ricardo Quispe Gutiérrez</t>
  </si>
  <si>
    <t>juan.perez@miempresa.pe</t>
  </si>
  <si>
    <t>maria.gomez@miempresa.pe</t>
  </si>
  <si>
    <t>luis.torres@miempresa.pe</t>
  </si>
  <si>
    <t>carla.fernandez@miempresa.pe</t>
  </si>
  <si>
    <t>pedro.ramos@miempresa.pe</t>
  </si>
  <si>
    <t>ana.castillo@miempresa.pe</t>
  </si>
  <si>
    <t>martin.flores@miempresa.pe</t>
  </si>
  <si>
    <t>sofia.rojas@miempresa.pe</t>
  </si>
  <si>
    <t>diego.salazar@miempresa.pe</t>
  </si>
  <si>
    <t>rosa.vargas@miempresa.pe</t>
  </si>
  <si>
    <t>javier.lopez@miempresa.pe</t>
  </si>
  <si>
    <t>daniela.sanchez@miempresa.pe</t>
  </si>
  <si>
    <t>francisco.aguilar@miempresa.pe</t>
  </si>
  <si>
    <t>elena.huerta@miempresa.pe</t>
  </si>
  <si>
    <t>ricardo.quispe@miempresa.pe</t>
  </si>
  <si>
    <t>S/ 4,500</t>
  </si>
  <si>
    <t>S/ 3,800</t>
  </si>
  <si>
    <t>S/ 6,200</t>
  </si>
  <si>
    <t>S/ 4,100</t>
  </si>
  <si>
    <t>S/ 2,900</t>
  </si>
  <si>
    <t>S/ 5,500</t>
  </si>
  <si>
    <t>S/ 3,200</t>
  </si>
  <si>
    <t>S/ 4,700</t>
  </si>
  <si>
    <t>S/ 6,800</t>
  </si>
  <si>
    <t>S/ 3,500</t>
  </si>
  <si>
    <t>S/ 4,200</t>
  </si>
  <si>
    <t>S/ 3,600</t>
  </si>
  <si>
    <t>S/ 5,000</t>
  </si>
  <si>
    <t>S/ 3,900</t>
  </si>
  <si>
    <t>S/ 4,800</t>
  </si>
  <si>
    <t>Analista de Datos</t>
  </si>
  <si>
    <t>Asistente Administrativa</t>
  </si>
  <si>
    <t>Gerente de Proyectos</t>
  </si>
  <si>
    <t>Contadora</t>
  </si>
  <si>
    <t>Auxiliar de Almacén</t>
  </si>
  <si>
    <t>Ingeniera de Sistemas</t>
  </si>
  <si>
    <t>Técnico de Soporte</t>
  </si>
  <si>
    <t>Ejecutiva de Ventas</t>
  </si>
  <si>
    <t>Director Financiero</t>
  </si>
  <si>
    <t>Coordinadora de RRHH</t>
  </si>
  <si>
    <t>Jefe de Marketing</t>
  </si>
  <si>
    <t>Diseñadora Gráfica</t>
  </si>
  <si>
    <t>Consultor Legal</t>
  </si>
  <si>
    <t>Administradora</t>
  </si>
  <si>
    <t>Auditor Interno</t>
  </si>
  <si>
    <t>Lima</t>
  </si>
  <si>
    <t>Arequipa</t>
  </si>
  <si>
    <t>Trujillo</t>
  </si>
  <si>
    <t>Cusco</t>
  </si>
  <si>
    <t>Piura</t>
  </si>
  <si>
    <t>Chiclayo</t>
  </si>
  <si>
    <t>Huancayo</t>
  </si>
  <si>
    <t>Iquitos</t>
  </si>
  <si>
    <t>Puno</t>
  </si>
  <si>
    <t>Tacna</t>
  </si>
  <si>
    <t>1023456789</t>
  </si>
  <si>
    <t>1034567890</t>
  </si>
  <si>
    <t>1045678901</t>
  </si>
  <si>
    <t>1056789012</t>
  </si>
  <si>
    <t>1067890123</t>
  </si>
  <si>
    <t>1078901234</t>
  </si>
  <si>
    <t>1089012345</t>
  </si>
  <si>
    <t>1090123456</t>
  </si>
  <si>
    <t>1101234567</t>
  </si>
  <si>
    <t>1112345678</t>
  </si>
  <si>
    <t>1123456789</t>
  </si>
  <si>
    <t>1134567890</t>
  </si>
  <si>
    <t>1145678901</t>
  </si>
  <si>
    <t>1156789012</t>
  </si>
  <si>
    <t>1167890123</t>
  </si>
  <si>
    <t>Funciones de Texto</t>
  </si>
  <si>
    <t>Nombre</t>
  </si>
  <si>
    <t>Apellido Paterno</t>
  </si>
  <si>
    <t>Apellido Materno</t>
  </si>
  <si>
    <t>1er Espacio</t>
  </si>
  <si>
    <t>2do Espacio</t>
  </si>
  <si>
    <t>Longitud</t>
  </si>
  <si>
    <t>.</t>
  </si>
  <si>
    <t>*</t>
  </si>
  <si>
    <t>CONCAT</t>
  </si>
  <si>
    <t>UNIRCADENAS</t>
  </si>
  <si>
    <t>&amp;</t>
  </si>
  <si>
    <t>minusculas</t>
  </si>
  <si>
    <t>MAYUSCULAS</t>
  </si>
  <si>
    <t>Nompropio</t>
  </si>
  <si>
    <t>Usuario</t>
  </si>
  <si>
    <t>Dominio</t>
  </si>
  <si>
    <t>Producto</t>
  </si>
  <si>
    <t>Detalles</t>
  </si>
  <si>
    <t>Camiseta Básica</t>
  </si>
  <si>
    <t>SKU-001-PR-20240601</t>
  </si>
  <si>
    <t>Pantalón Casual</t>
  </si>
  <si>
    <t>SKU-002-PR-20240602</t>
  </si>
  <si>
    <t>Sudadera Deportiva</t>
  </si>
  <si>
    <t>SKU-003-PR-20240603</t>
  </si>
  <si>
    <t>Vestido Veraniego</t>
  </si>
  <si>
    <t>SKU-004-PR-20240604</t>
  </si>
  <si>
    <t>Chaqueta Ligera</t>
  </si>
  <si>
    <t>SKU-005-PR-20240605</t>
  </si>
  <si>
    <t>Zapatos Deportivos</t>
  </si>
  <si>
    <t>SKU-006-VR-20240606</t>
  </si>
  <si>
    <t>Sandalias Playeras</t>
  </si>
  <si>
    <t>SKU-007-VR-20240607</t>
  </si>
  <si>
    <t>Gorra Casual</t>
  </si>
  <si>
    <t>SKU-008-VR-20240608</t>
  </si>
  <si>
    <t>Shorts de Verano</t>
  </si>
  <si>
    <t>SKU-009-VR-20240609</t>
  </si>
  <si>
    <t>Traje de Baño</t>
  </si>
  <si>
    <t>SKU-010-VR-20240610</t>
  </si>
  <si>
    <t>Bufanda de Lana</t>
  </si>
  <si>
    <t>SKU-011-OT-20240611</t>
  </si>
  <si>
    <t>Guantes de Invierno</t>
  </si>
  <si>
    <t>SKU-012-OT-20240612</t>
  </si>
  <si>
    <t>Gorro de Invierno</t>
  </si>
  <si>
    <t>SKU-013-OT-20240613</t>
  </si>
  <si>
    <t>Abrigo de Lana</t>
  </si>
  <si>
    <t>SKU-014-OT-20240614</t>
  </si>
  <si>
    <t>Botas de Nieve</t>
  </si>
  <si>
    <t>SKU-015-OT-20240615</t>
  </si>
  <si>
    <t>Numero Producto</t>
  </si>
  <si>
    <t>Fecha</t>
  </si>
  <si>
    <t>Temporada</t>
  </si>
  <si>
    <t>Relleno Rapido</t>
  </si>
  <si>
    <t>usuario</t>
  </si>
  <si>
    <t>Dato Original</t>
  </si>
  <si>
    <t>Descripción</t>
  </si>
  <si>
    <t>Número decimal</t>
  </si>
  <si>
    <t>Número decimal (porcentaje)</t>
  </si>
  <si>
    <t>Número entero</t>
  </si>
  <si>
    <t>Número decimal (hora)</t>
  </si>
  <si>
    <t>Número entero (código)</t>
  </si>
  <si>
    <t>Texto</t>
  </si>
  <si>
    <t>=TEXTO(valor;formato)</t>
  </si>
  <si>
    <t>Valor</t>
  </si>
  <si>
    <t>123-456-7890</t>
  </si>
  <si>
    <t>Texto Original</t>
  </si>
  <si>
    <t>Traducción de Textos en Excel</t>
  </si>
  <si>
    <t>https://insider.microsoft365.com/en-us/blog/new-translation-functions-in-excel-translate-and-detectlanguage</t>
  </si>
  <si>
    <t>https://prod.support.services.microsoft.com/es-es/office/translate-function-d34f71c7-2ffe-409a-9a63-5eb5e91aa3dd</t>
  </si>
  <si>
    <t>https://learn.microsoft.com/es-es/azure/ai-services/Translator/language-support</t>
  </si>
  <si>
    <t>Codigo de Idioma</t>
  </si>
  <si>
    <t>en</t>
  </si>
  <si>
    <t>es</t>
  </si>
  <si>
    <t>de</t>
  </si>
  <si>
    <t>ID</t>
  </si>
  <si>
    <t>País</t>
  </si>
  <si>
    <t>Idioma</t>
  </si>
  <si>
    <t>Comentario</t>
  </si>
  <si>
    <t>Detectar Idioma</t>
  </si>
  <si>
    <t>Traducción</t>
  </si>
  <si>
    <t>Ana López Pérez</t>
  </si>
  <si>
    <t>España</t>
  </si>
  <si>
    <t>Español</t>
  </si>
  <si>
    <t>Excelente servicio, muy contenta con la compra.</t>
  </si>
  <si>
    <t>Juan García Fernández</t>
  </si>
  <si>
    <t>México</t>
  </si>
  <si>
    <t>Muy buen producto, llegó rápido y en perfectas condiciones.</t>
  </si>
  <si>
    <t>Maria Rossi</t>
  </si>
  <si>
    <t>Italia</t>
  </si>
  <si>
    <t>Italiano</t>
  </si>
  <si>
    <t>Ottimo prodotto, servizio eccellente.</t>
  </si>
  <si>
    <t>John Smith</t>
  </si>
  <si>
    <t>Estados Unidos</t>
  </si>
  <si>
    <t>Inglés</t>
  </si>
  <si>
    <t>Great product, fast delivery!</t>
  </si>
  <si>
    <t>Maria González Ruiz</t>
  </si>
  <si>
    <t>Argentina</t>
  </si>
  <si>
    <t>El producto superó mis expectativas.</t>
  </si>
  <si>
    <t>Lúcia Santos</t>
  </si>
  <si>
    <t>Brasil</t>
  </si>
  <si>
    <t>Portugués</t>
  </si>
  <si>
    <t>Produto excelente, entrega rápida.</t>
  </si>
  <si>
    <t>Pierre Dupont</t>
  </si>
  <si>
    <t>Francia</t>
  </si>
  <si>
    <t>Francés</t>
  </si>
  <si>
    <t>Produit de qualité, livraison rapide.</t>
  </si>
  <si>
    <t>Li Wei</t>
  </si>
  <si>
    <t>China</t>
  </si>
  <si>
    <t>Chino</t>
  </si>
  <si>
    <t>产品很好，物流很快。</t>
  </si>
  <si>
    <t>Olga Ivanova</t>
  </si>
  <si>
    <t>Rusia</t>
  </si>
  <si>
    <t>Ruso</t>
  </si>
  <si>
    <t>Отличный продукт, быстрая доставка.</t>
  </si>
  <si>
    <t>Yuki Yamamoto</t>
  </si>
  <si>
    <t>Japón</t>
  </si>
  <si>
    <t>Japonés</t>
  </si>
  <si>
    <t>素晴らしい製品、迅速な配達。</t>
  </si>
  <si>
    <t>Sophia Müller</t>
  </si>
  <si>
    <t>Alemania</t>
  </si>
  <si>
    <t>Alemán</t>
  </si>
  <si>
    <t>Tolles Produkt, schnelle Lieferung.</t>
  </si>
  <si>
    <t>Ahmed Hassan</t>
  </si>
  <si>
    <t>Egipto</t>
  </si>
  <si>
    <t>Árabe</t>
  </si>
  <si>
    <t>منتج رائع، تسليم سريع.</t>
  </si>
  <si>
    <t>Carlos Rodríguez</t>
  </si>
  <si>
    <t>Colombia</t>
  </si>
  <si>
    <t>Muy satisfecho con la compra, recomiendo.</t>
  </si>
  <si>
    <t>Hanna Nielsen</t>
  </si>
  <si>
    <t>Dinamarca</t>
  </si>
  <si>
    <t>Danés</t>
  </si>
  <si>
    <t>Fremragende produkt, hurtig levering.</t>
  </si>
  <si>
    <t>George Brown</t>
  </si>
  <si>
    <t>Reino Unido</t>
  </si>
  <si>
    <t>Very happy with the purchase, excellent service.</t>
  </si>
  <si>
    <t>Lucia Fernández Torres</t>
  </si>
  <si>
    <t>Perú</t>
  </si>
  <si>
    <t>Buen producto, calidad garantizada.</t>
  </si>
  <si>
    <t>Miguel Ángel Ramírez</t>
  </si>
  <si>
    <t>Venezuela</t>
  </si>
  <si>
    <t>Todo llegó en perfecto estado, muy satisfecho.</t>
  </si>
  <si>
    <t>Daniela Pérez Ortiz</t>
  </si>
  <si>
    <t>Chile</t>
  </si>
  <si>
    <t>La entrega fue más rápida de lo esperado, excelente.</t>
  </si>
  <si>
    <t>Santiago López Jiménez</t>
  </si>
  <si>
    <t>Uruguay</t>
  </si>
  <si>
    <t>Producto de alta calidad, muy recomendable.</t>
  </si>
  <si>
    <t>Valentina Morales Ríos</t>
  </si>
  <si>
    <t>Bolivia</t>
  </si>
  <si>
    <t>El mejor servicio al cliente que he recibido.</t>
  </si>
  <si>
    <t>Alejandro Díaz Romero</t>
  </si>
  <si>
    <t>Guatemala</t>
  </si>
  <si>
    <t>Todo perfecto, volveré a comprar.</t>
  </si>
  <si>
    <t>Fernanda Gutiérrez Vega</t>
  </si>
  <si>
    <t>Costa Rica</t>
  </si>
  <si>
    <t>Excelente relación calidad-precio.</t>
  </si>
  <si>
    <t>Jorge Martín Mendoza</t>
  </si>
  <si>
    <t>Panamá</t>
  </si>
  <si>
    <t>Muy buen producto y atención rápida.</t>
  </si>
  <si>
    <t>Camila Suárez Castillo</t>
  </si>
  <si>
    <t>Paraguay</t>
  </si>
  <si>
    <t>El envío llegó antes de lo esperado.</t>
  </si>
  <si>
    <t>Martín Rodríguez</t>
  </si>
  <si>
    <t>Calidad superior, muy satisfecho.</t>
  </si>
  <si>
    <t>Sofía Pérez Álvarez</t>
  </si>
  <si>
    <t>Honduras</t>
  </si>
  <si>
    <t>Recomiendo ampliamente este producto.</t>
  </si>
  <si>
    <t>Mateo Ruiz Sánchez</t>
  </si>
  <si>
    <t>El Salvador</t>
  </si>
  <si>
    <t>Muy buena experiencia de compra.</t>
  </si>
  <si>
    <t>Juliana Torres González</t>
  </si>
  <si>
    <t>Nicaragua</t>
  </si>
  <si>
    <t>El producto llegó en buen estado, lo recomiendo.</t>
  </si>
  <si>
    <t>Sebastián Jiménez</t>
  </si>
  <si>
    <t>República Dominicana</t>
  </si>
  <si>
    <t>Excelente atención al cliente y buen producto.</t>
  </si>
  <si>
    <t>Julia Müller</t>
  </si>
  <si>
    <t>Suiza</t>
  </si>
  <si>
    <t>Sehr zufrieden mit dem Kauf.</t>
  </si>
  <si>
    <t>Emma Svensson</t>
  </si>
  <si>
    <t>Suecia</t>
  </si>
  <si>
    <t>Sueco</t>
  </si>
  <si>
    <t>Utmärkt produkt, snabb leverans.</t>
  </si>
  <si>
    <t>Pedro Sánchez Márquez</t>
  </si>
  <si>
    <t>Portugal</t>
  </si>
  <si>
    <t>Produto de alta qualidade, recomendo.</t>
  </si>
  <si>
    <t>Laura Martínez Gómez</t>
  </si>
  <si>
    <t>Ecuador</t>
  </si>
  <si>
    <t>El mejor producto que he comprado online.</t>
  </si>
  <si>
    <t>Carlos Pérez</t>
  </si>
  <si>
    <t>Gran calidad, entrega rápida.</t>
  </si>
  <si>
    <t>Natasha Ivanov</t>
  </si>
  <si>
    <t>Ucrania</t>
  </si>
  <si>
    <t>Ucraniano</t>
  </si>
  <si>
    <t>Чудовий продукт, швидка доставка.</t>
  </si>
  <si>
    <t xml:space="preserve">    Mike      Ramirez</t>
  </si>
  <si>
    <t xml:space="preserve">Mike    Ramirez    </t>
  </si>
  <si>
    <t xml:space="preserve">Mike Ramirez         </t>
  </si>
  <si>
    <t xml:space="preserve"> Mike  Ramirez     </t>
  </si>
  <si>
    <t>Texto Final</t>
  </si>
  <si>
    <t>Longitud Inicial</t>
  </si>
  <si>
    <t>Longitud Final</t>
  </si>
  <si>
    <t>=ESPACIOS(texto)</t>
  </si>
  <si>
    <t>Elimina los espacios extras entre palabras, dejando solo un espacio simple.</t>
  </si>
  <si>
    <t>=LIMPIAR(texto)</t>
  </si>
  <si>
    <t>Quita todos los carateres no imprimibles</t>
  </si>
  <si>
    <t>=SUSTITUIR(texto;texto_original;texto_nuevo;núm_de_repeticiones)</t>
  </si>
  <si>
    <t>123.456.789</t>
  </si>
  <si>
    <t>Hola mundo</t>
  </si>
  <si>
    <t>Texto Nuevo</t>
  </si>
  <si>
    <t>Sustituye una cadena de texto específica con otra dentro de una celda</t>
  </si>
  <si>
    <t>=REEMPLAZAR(texto_original;núm_inicial;núm_de_caracteres;texto_nuevo)</t>
  </si>
  <si>
    <t>Reemplaza una parte del texto en una posición específica con una nueva cadena de caracteres.</t>
  </si>
  <si>
    <t>abcdef</t>
  </si>
  <si>
    <t>LIMPIEZA DE TEXTOS</t>
  </si>
  <si>
    <t>mike@ramirez@cce.pe</t>
  </si>
  <si>
    <t>123-456-7891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</si>
</sst>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-* #,##0.00_-;\-* #,##0.00_-;_-* &quot;-&quot;??_-;_-@_-"/>
    <numFmt numFmtId="164" formatCode="_-* #,##0.00000_-;\-* #,##0.00000_-;_-* &quot;-&quot;??_-;_-@_-"/>
  </numFmts>
  <fonts count="20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6"/>
      <color rgb="FF006600"/>
      <name val="Calibri"/>
      <family val="2"/>
      <scheme val="minor"/>
    </font>
    <font>
      <b/>
      <sz val="11"/>
      <color rgb="FF0066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0"/>
      <color rgb="FF006600"/>
      <name val="Calibri"/>
      <family val="2"/>
      <scheme val="minor"/>
    </font>
    <font>
      <sz val="10"/>
      <color theme="1"/>
      <name val="Arial Unicode MS"/>
    </font>
    <font>
      <b/>
      <sz val="22"/>
      <color theme="9" tint="-0.499984740745262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sz val="14"/>
      <color theme="9" tint="-0.499984740745262"/>
      <name val="Calibri"/>
      <family val="2"/>
      <scheme val="minor"/>
    </font>
    <font>
      <sz val="12"/>
      <color rgb="FF000000"/>
      <name val="Segoe UI"/>
      <family val="2"/>
    </font>
    <font>
      <b/>
      <sz val="11"/>
      <color theme="7"/>
      <name val="Calibri"/>
      <family val="2"/>
      <scheme val="minor"/>
    </font>
    <font>
      <b/>
      <sz val="11"/>
      <color rgb="FF00610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6"/>
      <color theme="6" tint="-0.499984740745262"/>
      <name val="Calibri"/>
      <family val="2"/>
      <scheme val="minor"/>
    </font>
    <font>
      <i/>
      <sz val="11"/>
      <color theme="6" tint="-0.499984740745262"/>
      <name val="Calibri"/>
      <family val="2"/>
      <scheme val="minor"/>
    </font>
    <font>
      <b/>
      <sz val="24"/>
      <color theme="6" tint="-0.499984740745262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30">
    <xf numFmtId="0" fontId="0" fillId="0" borderId="0" xfId="0"/>
    <xf numFmtId="14" fontId="0" fillId="0" borderId="0" xfId="0" applyNumberFormat="1" applyAlignment="1">
      <alignment horizontal="right"/>
    </xf>
    <xf numFmtId="0" fontId="0" fillId="3" borderId="0" xfId="0" applyFill="1"/>
    <xf numFmtId="0" fontId="2" fillId="3" borderId="0" xfId="0" applyFont="1" applyFill="1" applyAlignment="1">
      <alignment horizontal="center"/>
    </xf>
    <xf numFmtId="0" fontId="1" fillId="2" borderId="1" xfId="1" applyBorder="1" applyAlignment="1">
      <alignment horizontal="center" vertical="top"/>
    </xf>
    <xf numFmtId="0" fontId="1" fillId="2" borderId="2" xfId="1" applyBorder="1" applyAlignment="1">
      <alignment horizontal="center" vertical="top"/>
    </xf>
    <xf numFmtId="0" fontId="1" fillId="2" borderId="3" xfId="1" applyBorder="1" applyAlignment="1">
      <alignment horizontal="center" vertical="top"/>
    </xf>
    <xf numFmtId="0" fontId="1" fillId="2" borderId="0" xfId="1" applyBorder="1" applyAlignment="1">
      <alignment horizontal="center" vertical="top"/>
    </xf>
    <xf numFmtId="0" fontId="3" fillId="0" borderId="0" xfId="0" applyFont="1" applyAlignment="1">
      <alignment horizontal="center"/>
    </xf>
    <xf numFmtId="14" fontId="0" fillId="0" borderId="0" xfId="0" applyNumberFormat="1"/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64" fontId="0" fillId="0" borderId="0" xfId="2" applyNumberFormat="1" applyFont="1" applyAlignment="1">
      <alignment vertical="center" wrapText="1"/>
    </xf>
    <xf numFmtId="0" fontId="7" fillId="0" borderId="0" xfId="0" quotePrefix="1" applyFont="1"/>
    <xf numFmtId="0" fontId="0" fillId="0" borderId="0" xfId="3" applyNumberFormat="1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6" fillId="0" borderId="0" xfId="4" applyAlignment="1">
      <alignment vertical="center" wrapText="1"/>
    </xf>
    <xf numFmtId="0" fontId="6" fillId="0" borderId="0" xfId="4"/>
    <xf numFmtId="0" fontId="10" fillId="0" borderId="0" xfId="0" applyFont="1"/>
    <xf numFmtId="0" fontId="11" fillId="0" borderId="0" xfId="0" applyFont="1" applyAlignment="1">
      <alignment horizontal="center"/>
    </xf>
    <xf numFmtId="0" fontId="10" fillId="2" borderId="1" xfId="1" applyFont="1" applyBorder="1" applyAlignment="1">
      <alignment horizontal="center" vertical="top"/>
    </xf>
    <xf numFmtId="0" fontId="12" fillId="0" borderId="0" xfId="0" applyFont="1"/>
    <xf numFmtId="0" fontId="14" fillId="2" borderId="1" xfId="1" applyFont="1" applyBorder="1" applyAlignment="1">
      <alignment horizontal="center"/>
    </xf>
    <xf numFmtId="0" fontId="13" fillId="2" borderId="1" xfId="1" applyFont="1" applyBorder="1" applyAlignment="1">
      <alignment horizontal="center"/>
    </xf>
    <xf numFmtId="0" fontId="15" fillId="0" borderId="0" xfId="0" applyFont="1"/>
    <xf numFmtId="0" fontId="16" fillId="0" borderId="0" xfId="0" quotePrefix="1" applyFont="1"/>
    <xf numFmtId="0" fontId="17" fillId="0" borderId="0" xfId="0" applyFont="1"/>
    <xf numFmtId="0" fontId="2" fillId="3" borderId="0" xfId="0" applyFont="1" applyFill="1" applyAlignment="1">
      <alignment horizontal="center"/>
    </xf>
    <xf numFmtId="0" fontId="18" fillId="0" borderId="0" xfId="0" applyFont="1" applyAlignment="1">
      <alignment horizontal="center"/>
    </xf>
    <xf numFmtId="0" fontId="9" fillId="3" borderId="0" xfId="0" applyFont="1" applyFill="1" applyAlignment="1">
      <alignment horizontal="center"/>
    </xf>
  </cellXfs>
  <cellStyles count="5">
    <cellStyle name="Bueno" xfId="1" builtinId="26"/>
    <cellStyle name="Hipervínculo" xfId="4" builtinId="8"/>
    <cellStyle name="Millares" xfId="2" builtinId="3"/>
    <cellStyle name="Normal" xfId="0" builtinId="0"/>
    <cellStyle name="Porcentaje" xfId="3" builtinId="5"/>
  </cellStyles>
  <dxfs count="0"/>
  <tableStyles count="1" defaultTableStyle="TableStyleMedium9" defaultPivotStyle="PivotStyleLight16">
    <tableStyle name="Invisible" pivot="0" table="0" count="0" xr9:uid="{096A1ACF-1EE3-41FF-8167-102557B9195C}"/>
  </tableStyles>
  <colors>
    <mruColors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mailto:mike.ramirez@cce.pe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hyperlink" Target="https://prod.support.services.microsoft.com/es-es/office/translate-function-d34f71c7-2ffe-409a-9a63-5eb5e91aa3dd" TargetMode="External"/><Relationship Id="rId1" Type="http://schemas.openxmlformats.org/officeDocument/2006/relationships/hyperlink" Target="https://insider.microsoft365.com/en-us/blog/new-translation-functions-in-excel-translate-and-detectlanguag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"/>
  <sheetViews>
    <sheetView zoomScale="120" zoomScaleNormal="120" workbookViewId="0"/>
  </sheetViews>
  <sheetFormatPr baseColWidth="10" defaultColWidth="8.88671875" defaultRowHeight="14.4" outlineLevelCol="1"/>
  <cols>
    <col min="1" max="1" width="23.88671875" bestFit="1" customWidth="1"/>
    <col min="2" max="2" width="29.109375" bestFit="1" customWidth="1"/>
    <col min="3" max="3" width="19.33203125" bestFit="1" customWidth="1"/>
    <col min="4" max="4" width="7.6640625" bestFit="1" customWidth="1"/>
    <col min="5" max="5" width="21.5546875" bestFit="1" customWidth="1"/>
    <col min="6" max="6" width="9.33203125" bestFit="1" customWidth="1"/>
    <col min="7" max="7" width="11" bestFit="1" customWidth="1"/>
    <col min="9" max="9" width="10.5546875" customWidth="1" outlineLevel="1"/>
    <col min="10" max="10" width="14.88671875" customWidth="1" outlineLevel="1"/>
    <col min="11" max="11" width="15.6640625" customWidth="1" outlineLevel="1"/>
    <col min="12" max="12" width="8.88671875" customWidth="1" outlineLevel="1"/>
    <col min="13" max="13" width="10.44140625" customWidth="1" outlineLevel="1"/>
    <col min="14" max="14" width="11" customWidth="1" outlineLevel="1"/>
    <col min="15" max="15" width="8.88671875" customWidth="1" outlineLevel="1"/>
  </cols>
  <sheetData>
    <row r="1" spans="1:1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5" ht="21">
      <c r="A2" s="2"/>
      <c r="B2" s="27" t="s">
        <v>92</v>
      </c>
      <c r="C2" s="27"/>
      <c r="D2" s="27"/>
      <c r="E2" s="27"/>
      <c r="F2" s="27"/>
      <c r="G2" s="27"/>
      <c r="H2" s="27"/>
      <c r="I2" s="27"/>
      <c r="J2" s="27"/>
      <c r="K2" s="2"/>
      <c r="L2" s="2"/>
      <c r="M2" s="2"/>
      <c r="N2" s="2"/>
    </row>
    <row r="3" spans="1:1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5" spans="1:15">
      <c r="A5" s="4" t="s">
        <v>0</v>
      </c>
      <c r="B5" s="4" t="s">
        <v>1</v>
      </c>
      <c r="C5" s="4" t="s">
        <v>2</v>
      </c>
      <c r="D5" s="4" t="s">
        <v>3</v>
      </c>
      <c r="E5" s="4" t="s">
        <v>4</v>
      </c>
      <c r="F5" s="4" t="s">
        <v>5</v>
      </c>
      <c r="G5" s="4" t="s">
        <v>6</v>
      </c>
      <c r="I5" s="4" t="s">
        <v>93</v>
      </c>
      <c r="J5" s="4" t="s">
        <v>94</v>
      </c>
      <c r="K5" s="4" t="s">
        <v>95</v>
      </c>
      <c r="M5" s="5" t="s">
        <v>96</v>
      </c>
      <c r="N5" s="5" t="s">
        <v>97</v>
      </c>
      <c r="O5" s="5" t="s">
        <v>98</v>
      </c>
    </row>
    <row r="6" spans="1:15">
      <c r="A6" t="s">
        <v>7</v>
      </c>
      <c r="B6" t="s">
        <v>22</v>
      </c>
      <c r="C6" s="1">
        <v>44635</v>
      </c>
      <c r="D6" t="s">
        <v>37</v>
      </c>
      <c r="E6" t="s">
        <v>52</v>
      </c>
      <c r="F6" t="s">
        <v>67</v>
      </c>
      <c r="G6" t="s">
        <v>77</v>
      </c>
      <c r="I6" t="str">
        <f>MID(A6,1,SEARCH(" ",A6,1)-1)</f>
        <v>Juan</v>
      </c>
      <c r="J6" t="str">
        <f>MID(A6,M6+1,N6-M6-1)</f>
        <v>Pérez</v>
      </c>
      <c r="K6" t="str">
        <f>MID(A6,N6+1,O6-N6)</f>
        <v>Rodríguez</v>
      </c>
      <c r="M6">
        <f>SEARCH(" ",A6,1)</f>
        <v>5</v>
      </c>
      <c r="N6">
        <f>FIND(" ",A6,M6+1)</f>
        <v>11</v>
      </c>
      <c r="O6">
        <f>LEN(A6)</f>
        <v>20</v>
      </c>
    </row>
    <row r="7" spans="1:15">
      <c r="A7" t="s">
        <v>8</v>
      </c>
      <c r="B7" t="s">
        <v>23</v>
      </c>
      <c r="C7" s="1">
        <v>44035</v>
      </c>
      <c r="D7" t="s">
        <v>38</v>
      </c>
      <c r="E7" t="s">
        <v>53</v>
      </c>
      <c r="F7" t="s">
        <v>68</v>
      </c>
      <c r="G7" t="s">
        <v>78</v>
      </c>
      <c r="I7" t="str">
        <f t="shared" ref="I7:I20" si="0">MID(A7,1,SEARCH(" ",A7,1)-1)</f>
        <v>María</v>
      </c>
      <c r="J7" t="str">
        <f t="shared" ref="J7:J20" si="1">MID(A7,M7+1,N7-M7-1)</f>
        <v>Gómez</v>
      </c>
      <c r="K7" t="str">
        <f t="shared" ref="K7:K20" si="2">MID(A7,N7+1,O7-N7)</f>
        <v>Sánchez</v>
      </c>
      <c r="M7">
        <f t="shared" ref="M7:M20" si="3">SEARCH(" ",A7,1)</f>
        <v>6</v>
      </c>
      <c r="N7">
        <f t="shared" ref="N7:N20" si="4">FIND(" ",A7,M7+1)</f>
        <v>12</v>
      </c>
      <c r="O7">
        <f t="shared" ref="O7:O20" si="5">LEN(A7)</f>
        <v>19</v>
      </c>
    </row>
    <row r="8" spans="1:15">
      <c r="A8" t="s">
        <v>9</v>
      </c>
      <c r="B8" t="s">
        <v>24</v>
      </c>
      <c r="C8" s="1">
        <v>43770</v>
      </c>
      <c r="D8" t="s">
        <v>39</v>
      </c>
      <c r="E8" t="s">
        <v>54</v>
      </c>
      <c r="F8" t="s">
        <v>69</v>
      </c>
      <c r="G8" t="s">
        <v>79</v>
      </c>
      <c r="I8" t="str">
        <f t="shared" si="0"/>
        <v>Luis</v>
      </c>
      <c r="J8" t="str">
        <f t="shared" si="1"/>
        <v>Torres</v>
      </c>
      <c r="K8" t="str">
        <f t="shared" si="2"/>
        <v>Quispe</v>
      </c>
      <c r="M8">
        <f t="shared" si="3"/>
        <v>5</v>
      </c>
      <c r="N8">
        <f t="shared" si="4"/>
        <v>12</v>
      </c>
      <c r="O8">
        <f t="shared" si="5"/>
        <v>18</v>
      </c>
    </row>
    <row r="9" spans="1:15">
      <c r="A9" t="s">
        <v>10</v>
      </c>
      <c r="B9" t="s">
        <v>25</v>
      </c>
      <c r="C9" s="1">
        <v>44359</v>
      </c>
      <c r="D9" t="s">
        <v>40</v>
      </c>
      <c r="E9" t="s">
        <v>55</v>
      </c>
      <c r="F9" t="s">
        <v>70</v>
      </c>
      <c r="G9" t="s">
        <v>80</v>
      </c>
      <c r="I9" t="str">
        <f t="shared" si="0"/>
        <v>Carla</v>
      </c>
      <c r="J9" t="str">
        <f t="shared" si="1"/>
        <v>Fernández</v>
      </c>
      <c r="K9" t="str">
        <f t="shared" si="2"/>
        <v>Huamán</v>
      </c>
      <c r="M9">
        <f t="shared" si="3"/>
        <v>6</v>
      </c>
      <c r="N9">
        <f t="shared" si="4"/>
        <v>16</v>
      </c>
      <c r="O9">
        <f t="shared" si="5"/>
        <v>22</v>
      </c>
    </row>
    <row r="10" spans="1:15">
      <c r="A10" t="s">
        <v>11</v>
      </c>
      <c r="B10" t="s">
        <v>26</v>
      </c>
      <c r="C10" s="1">
        <v>44931</v>
      </c>
      <c r="D10" t="s">
        <v>41</v>
      </c>
      <c r="E10" t="s">
        <v>56</v>
      </c>
      <c r="F10" t="s">
        <v>71</v>
      </c>
      <c r="G10" t="s">
        <v>81</v>
      </c>
      <c r="I10" t="str">
        <f t="shared" si="0"/>
        <v>Pedro</v>
      </c>
      <c r="J10" t="str">
        <f t="shared" si="1"/>
        <v>Ramos</v>
      </c>
      <c r="K10" t="str">
        <f t="shared" si="2"/>
        <v>Vargas</v>
      </c>
      <c r="M10">
        <f t="shared" si="3"/>
        <v>6</v>
      </c>
      <c r="N10">
        <f t="shared" si="4"/>
        <v>12</v>
      </c>
      <c r="O10">
        <f t="shared" si="5"/>
        <v>18</v>
      </c>
    </row>
    <row r="11" spans="1:15">
      <c r="A11" t="s">
        <v>12</v>
      </c>
      <c r="B11" t="s">
        <v>27</v>
      </c>
      <c r="C11" s="1">
        <v>44834</v>
      </c>
      <c r="D11" t="s">
        <v>42</v>
      </c>
      <c r="E11" t="s">
        <v>57</v>
      </c>
      <c r="F11" t="s">
        <v>72</v>
      </c>
      <c r="G11" t="s">
        <v>82</v>
      </c>
      <c r="I11" t="str">
        <f t="shared" si="0"/>
        <v>Ana</v>
      </c>
      <c r="J11" t="str">
        <f t="shared" si="1"/>
        <v>Castillo</v>
      </c>
      <c r="K11" t="str">
        <f t="shared" si="2"/>
        <v>López</v>
      </c>
      <c r="M11">
        <f t="shared" si="3"/>
        <v>4</v>
      </c>
      <c r="N11">
        <f t="shared" si="4"/>
        <v>13</v>
      </c>
      <c r="O11">
        <f t="shared" si="5"/>
        <v>18</v>
      </c>
    </row>
    <row r="12" spans="1:15">
      <c r="A12" t="s">
        <v>13</v>
      </c>
      <c r="B12" t="s">
        <v>28</v>
      </c>
      <c r="C12" s="1">
        <v>44544</v>
      </c>
      <c r="D12" t="s">
        <v>43</v>
      </c>
      <c r="E12" t="s">
        <v>58</v>
      </c>
      <c r="F12" t="s">
        <v>73</v>
      </c>
      <c r="G12" t="s">
        <v>83</v>
      </c>
      <c r="I12" t="str">
        <f t="shared" si="0"/>
        <v>Martín</v>
      </c>
      <c r="J12" t="str">
        <f t="shared" si="1"/>
        <v>Flores</v>
      </c>
      <c r="K12" t="str">
        <f t="shared" si="2"/>
        <v>Ortiz</v>
      </c>
      <c r="M12">
        <f t="shared" si="3"/>
        <v>7</v>
      </c>
      <c r="N12">
        <f t="shared" si="4"/>
        <v>14</v>
      </c>
      <c r="O12">
        <f t="shared" si="5"/>
        <v>19</v>
      </c>
    </row>
    <row r="13" spans="1:15">
      <c r="A13" t="s">
        <v>14</v>
      </c>
      <c r="B13" t="s">
        <v>29</v>
      </c>
      <c r="C13" s="1">
        <v>43880</v>
      </c>
      <c r="D13" t="s">
        <v>44</v>
      </c>
      <c r="E13" t="s">
        <v>59</v>
      </c>
      <c r="F13" t="s">
        <v>74</v>
      </c>
      <c r="G13" t="s">
        <v>84</v>
      </c>
      <c r="I13" t="str">
        <f t="shared" si="0"/>
        <v>Sofía</v>
      </c>
      <c r="J13" t="str">
        <f t="shared" si="1"/>
        <v>Rojas</v>
      </c>
      <c r="K13" t="str">
        <f t="shared" si="2"/>
        <v>Delgado</v>
      </c>
      <c r="M13">
        <f t="shared" si="3"/>
        <v>6</v>
      </c>
      <c r="N13">
        <f t="shared" si="4"/>
        <v>12</v>
      </c>
      <c r="O13">
        <f t="shared" si="5"/>
        <v>19</v>
      </c>
    </row>
    <row r="14" spans="1:15">
      <c r="A14" t="s">
        <v>15</v>
      </c>
      <c r="B14" t="s">
        <v>30</v>
      </c>
      <c r="C14" s="1">
        <v>43685</v>
      </c>
      <c r="D14" t="s">
        <v>45</v>
      </c>
      <c r="E14" t="s">
        <v>60</v>
      </c>
      <c r="F14" t="s">
        <v>67</v>
      </c>
      <c r="G14" t="s">
        <v>85</v>
      </c>
      <c r="I14" t="str">
        <f t="shared" si="0"/>
        <v>Diego</v>
      </c>
      <c r="J14" t="str">
        <f t="shared" si="1"/>
        <v>Salazar</v>
      </c>
      <c r="K14" t="str">
        <f t="shared" si="2"/>
        <v>Pérez</v>
      </c>
      <c r="M14">
        <f t="shared" si="3"/>
        <v>6</v>
      </c>
      <c r="N14">
        <f t="shared" si="4"/>
        <v>14</v>
      </c>
      <c r="O14">
        <f t="shared" si="5"/>
        <v>19</v>
      </c>
    </row>
    <row r="15" spans="1:15">
      <c r="A15" t="s">
        <v>16</v>
      </c>
      <c r="B15" t="s">
        <v>31</v>
      </c>
      <c r="C15" s="1">
        <v>44496</v>
      </c>
      <c r="D15" t="s">
        <v>46</v>
      </c>
      <c r="E15" t="s">
        <v>61</v>
      </c>
      <c r="F15" t="s">
        <v>75</v>
      </c>
      <c r="G15" t="s">
        <v>86</v>
      </c>
      <c r="I15" t="str">
        <f t="shared" si="0"/>
        <v>Rosa</v>
      </c>
      <c r="J15" t="str">
        <f t="shared" si="1"/>
        <v>Vargas</v>
      </c>
      <c r="K15" t="str">
        <f t="shared" si="2"/>
        <v>Chuquihuanca</v>
      </c>
      <c r="M15">
        <f t="shared" si="3"/>
        <v>5</v>
      </c>
      <c r="N15">
        <f t="shared" si="4"/>
        <v>12</v>
      </c>
      <c r="O15">
        <f t="shared" si="5"/>
        <v>24</v>
      </c>
    </row>
    <row r="16" spans="1:15">
      <c r="A16" t="s">
        <v>17</v>
      </c>
      <c r="B16" t="s">
        <v>32</v>
      </c>
      <c r="C16" s="1">
        <v>44667</v>
      </c>
      <c r="D16" t="s">
        <v>47</v>
      </c>
      <c r="E16" t="s">
        <v>62</v>
      </c>
      <c r="F16" t="s">
        <v>76</v>
      </c>
      <c r="G16" t="s">
        <v>87</v>
      </c>
      <c r="I16" t="str">
        <f t="shared" si="0"/>
        <v>Javier</v>
      </c>
      <c r="J16" t="str">
        <f t="shared" si="1"/>
        <v>López</v>
      </c>
      <c r="K16" t="str">
        <f t="shared" si="2"/>
        <v>Ramírez</v>
      </c>
      <c r="M16">
        <f t="shared" si="3"/>
        <v>7</v>
      </c>
      <c r="N16">
        <f t="shared" si="4"/>
        <v>13</v>
      </c>
      <c r="O16">
        <f t="shared" si="5"/>
        <v>20</v>
      </c>
    </row>
    <row r="17" spans="1:15">
      <c r="A17" t="s">
        <v>18</v>
      </c>
      <c r="B17" t="s">
        <v>33</v>
      </c>
      <c r="C17" s="1">
        <v>44986</v>
      </c>
      <c r="D17" t="s">
        <v>48</v>
      </c>
      <c r="E17" t="s">
        <v>63</v>
      </c>
      <c r="F17" t="s">
        <v>68</v>
      </c>
      <c r="G17" t="s">
        <v>88</v>
      </c>
      <c r="I17" t="str">
        <f t="shared" si="0"/>
        <v>Daniela</v>
      </c>
      <c r="J17" t="str">
        <f t="shared" si="1"/>
        <v>Sánchez</v>
      </c>
      <c r="K17" t="str">
        <f t="shared" si="2"/>
        <v>Vega</v>
      </c>
      <c r="M17">
        <f t="shared" si="3"/>
        <v>8</v>
      </c>
      <c r="N17">
        <f t="shared" si="4"/>
        <v>16</v>
      </c>
      <c r="O17">
        <f t="shared" si="5"/>
        <v>20</v>
      </c>
    </row>
    <row r="18" spans="1:15">
      <c r="A18" t="s">
        <v>19</v>
      </c>
      <c r="B18" t="s">
        <v>34</v>
      </c>
      <c r="C18" s="1">
        <v>43993</v>
      </c>
      <c r="D18" t="s">
        <v>49</v>
      </c>
      <c r="E18" t="s">
        <v>64</v>
      </c>
      <c r="F18" t="s">
        <v>70</v>
      </c>
      <c r="G18" t="s">
        <v>89</v>
      </c>
      <c r="I18" t="str">
        <f t="shared" si="0"/>
        <v>Francisco</v>
      </c>
      <c r="J18" t="str">
        <f t="shared" si="1"/>
        <v>Aguilar</v>
      </c>
      <c r="K18" t="str">
        <f t="shared" si="2"/>
        <v>Mendoza</v>
      </c>
      <c r="M18">
        <f t="shared" si="3"/>
        <v>10</v>
      </c>
      <c r="N18">
        <f t="shared" si="4"/>
        <v>18</v>
      </c>
      <c r="O18">
        <f t="shared" si="5"/>
        <v>25</v>
      </c>
    </row>
    <row r="19" spans="1:15">
      <c r="A19" t="s">
        <v>20</v>
      </c>
      <c r="B19" t="s">
        <v>35</v>
      </c>
      <c r="C19" s="1">
        <v>44428</v>
      </c>
      <c r="D19" t="s">
        <v>50</v>
      </c>
      <c r="E19" t="s">
        <v>65</v>
      </c>
      <c r="F19" t="s">
        <v>69</v>
      </c>
      <c r="G19" t="s">
        <v>90</v>
      </c>
      <c r="I19" t="str">
        <f t="shared" si="0"/>
        <v>Elena</v>
      </c>
      <c r="J19" t="str">
        <f t="shared" si="1"/>
        <v>Huerta</v>
      </c>
      <c r="K19" t="str">
        <f t="shared" si="2"/>
        <v>Córdova</v>
      </c>
      <c r="M19">
        <f t="shared" si="3"/>
        <v>6</v>
      </c>
      <c r="N19">
        <f t="shared" si="4"/>
        <v>13</v>
      </c>
      <c r="O19">
        <f t="shared" si="5"/>
        <v>20</v>
      </c>
    </row>
    <row r="20" spans="1:15">
      <c r="A20" t="s">
        <v>21</v>
      </c>
      <c r="B20" t="s">
        <v>36</v>
      </c>
      <c r="C20" s="1">
        <v>43763</v>
      </c>
      <c r="D20" t="s">
        <v>51</v>
      </c>
      <c r="E20" t="s">
        <v>66</v>
      </c>
      <c r="F20" t="s">
        <v>67</v>
      </c>
      <c r="G20" t="s">
        <v>91</v>
      </c>
      <c r="I20" t="str">
        <f t="shared" si="0"/>
        <v>Ricardo</v>
      </c>
      <c r="J20" t="str">
        <f t="shared" si="1"/>
        <v>Quispe</v>
      </c>
      <c r="K20" t="str">
        <f t="shared" si="2"/>
        <v>Gutiérrez</v>
      </c>
      <c r="M20">
        <f t="shared" si="3"/>
        <v>8</v>
      </c>
      <c r="N20">
        <f t="shared" si="4"/>
        <v>15</v>
      </c>
      <c r="O20">
        <f t="shared" si="5"/>
        <v>24</v>
      </c>
    </row>
  </sheetData>
  <mergeCells count="1">
    <mergeCell ref="B2:J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6C1F8-9D3F-484E-8DC5-74FDE053894B}">
  <dimension ref="A1:P20"/>
  <sheetViews>
    <sheetView zoomScale="120" zoomScaleNormal="120" workbookViewId="0">
      <selection activeCell="O6" sqref="O6:O20"/>
    </sheetView>
  </sheetViews>
  <sheetFormatPr baseColWidth="10" defaultColWidth="8.88671875" defaultRowHeight="14.4"/>
  <cols>
    <col min="1" max="1" width="23.88671875" bestFit="1" customWidth="1"/>
    <col min="2" max="2" width="29.109375" bestFit="1" customWidth="1"/>
    <col min="3" max="3" width="19.33203125" bestFit="1" customWidth="1"/>
    <col min="4" max="4" width="7.6640625" bestFit="1" customWidth="1"/>
    <col min="5" max="5" width="21.5546875" bestFit="1" customWidth="1"/>
    <col min="6" max="6" width="9.33203125" bestFit="1" customWidth="1"/>
    <col min="7" max="7" width="11" bestFit="1" customWidth="1"/>
    <col min="9" max="9" width="10.44140625" bestFit="1" customWidth="1"/>
    <col min="10" max="10" width="11" bestFit="1" customWidth="1"/>
    <col min="11" max="11" width="11" customWidth="1"/>
    <col min="14" max="14" width="14.88671875" bestFit="1" customWidth="1"/>
    <col min="15" max="15" width="15.6640625" bestFit="1" customWidth="1"/>
  </cols>
  <sheetData>
    <row r="1" spans="1:16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ht="21">
      <c r="A2" s="2"/>
      <c r="B2" s="27" t="s">
        <v>92</v>
      </c>
      <c r="C2" s="27"/>
      <c r="D2" s="27"/>
      <c r="E2" s="27"/>
      <c r="F2" s="27"/>
      <c r="G2" s="27"/>
      <c r="H2" s="27"/>
      <c r="I2" s="3"/>
      <c r="J2" s="3"/>
      <c r="K2" s="3"/>
      <c r="L2" s="3"/>
      <c r="M2" s="2"/>
      <c r="N2" s="2"/>
      <c r="O2" s="2"/>
      <c r="P2" s="2"/>
    </row>
    <row r="3" spans="1:1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5" spans="1:16">
      <c r="A5" s="4" t="s">
        <v>0</v>
      </c>
      <c r="B5" s="4" t="s">
        <v>1</v>
      </c>
      <c r="C5" s="4" t="s">
        <v>2</v>
      </c>
      <c r="D5" s="4" t="s">
        <v>3</v>
      </c>
      <c r="E5" s="4" t="s">
        <v>4</v>
      </c>
      <c r="F5" s="4" t="s">
        <v>5</v>
      </c>
      <c r="G5" s="4" t="s">
        <v>6</v>
      </c>
      <c r="H5" s="6" t="s">
        <v>99</v>
      </c>
      <c r="I5" s="5" t="s">
        <v>96</v>
      </c>
      <c r="J5" s="5" t="s">
        <v>97</v>
      </c>
      <c r="K5" s="7" t="s">
        <v>98</v>
      </c>
      <c r="M5" s="5" t="s">
        <v>93</v>
      </c>
      <c r="N5" s="5" t="s">
        <v>94</v>
      </c>
      <c r="O5" s="5" t="s">
        <v>95</v>
      </c>
    </row>
    <row r="6" spans="1:16">
      <c r="A6" t="s">
        <v>7</v>
      </c>
      <c r="B6" t="s">
        <v>22</v>
      </c>
      <c r="C6" s="1">
        <v>44635</v>
      </c>
      <c r="D6" t="s">
        <v>37</v>
      </c>
      <c r="E6" t="s">
        <v>52</v>
      </c>
      <c r="F6" t="s">
        <v>67</v>
      </c>
      <c r="G6" t="s">
        <v>77</v>
      </c>
      <c r="I6">
        <f>FIND(" ",$A6)</f>
        <v>5</v>
      </c>
      <c r="J6">
        <f>FIND(" ",$A6,I6+1)</f>
        <v>11</v>
      </c>
      <c r="K6">
        <f>LEN(A6)</f>
        <v>20</v>
      </c>
      <c r="L6" t="s">
        <v>100</v>
      </c>
      <c r="M6" t="str">
        <f>MID($A6,1,I6-1)</f>
        <v>Juan</v>
      </c>
      <c r="N6" t="str">
        <f>MID($A6,I6+1,J6-I6)</f>
        <v xml:space="preserve">Pérez </v>
      </c>
      <c r="O6" t="str">
        <f>MID($A6,J6+1,K6-J6)</f>
        <v>Rodríguez</v>
      </c>
    </row>
    <row r="7" spans="1:16">
      <c r="A7" t="s">
        <v>8</v>
      </c>
      <c r="B7" t="s">
        <v>23</v>
      </c>
      <c r="C7" s="1">
        <v>44035</v>
      </c>
      <c r="D7" t="s">
        <v>38</v>
      </c>
      <c r="E7" t="s">
        <v>53</v>
      </c>
      <c r="F7" t="s">
        <v>68</v>
      </c>
      <c r="G7" t="s">
        <v>78</v>
      </c>
      <c r="I7">
        <f t="shared" ref="I7:I20" si="0">FIND(" ",$A7)</f>
        <v>6</v>
      </c>
      <c r="J7">
        <f t="shared" ref="J7:J20" si="1">FIND(" ",$A7,I7+1)</f>
        <v>12</v>
      </c>
      <c r="K7">
        <f t="shared" ref="K7:K20" si="2">LEN(A7)</f>
        <v>19</v>
      </c>
      <c r="M7" t="str">
        <f t="shared" ref="M7:M20" si="3">MID($A7,1,I7-1)</f>
        <v>María</v>
      </c>
      <c r="N7" t="str">
        <f t="shared" ref="N7:N20" si="4">MID($A7,I7+1,J7-I7)</f>
        <v xml:space="preserve">Gómez </v>
      </c>
      <c r="O7" t="str">
        <f t="shared" ref="O7:O20" si="5">MID($A7,J7+1,K7-J7)</f>
        <v>Sánchez</v>
      </c>
    </row>
    <row r="8" spans="1:16">
      <c r="A8" t="s">
        <v>9</v>
      </c>
      <c r="B8" t="s">
        <v>24</v>
      </c>
      <c r="C8" s="1">
        <v>43770</v>
      </c>
      <c r="D8" t="s">
        <v>39</v>
      </c>
      <c r="E8" t="s">
        <v>54</v>
      </c>
      <c r="F8" t="s">
        <v>69</v>
      </c>
      <c r="G8" t="s">
        <v>79</v>
      </c>
      <c r="I8">
        <f t="shared" si="0"/>
        <v>5</v>
      </c>
      <c r="J8">
        <f t="shared" si="1"/>
        <v>12</v>
      </c>
      <c r="K8">
        <f t="shared" si="2"/>
        <v>18</v>
      </c>
      <c r="M8" t="str">
        <f t="shared" si="3"/>
        <v>Luis</v>
      </c>
      <c r="N8" t="str">
        <f t="shared" si="4"/>
        <v xml:space="preserve">Torres </v>
      </c>
      <c r="O8" t="str">
        <f t="shared" si="5"/>
        <v>Quispe</v>
      </c>
    </row>
    <row r="9" spans="1:16">
      <c r="A9" t="s">
        <v>10</v>
      </c>
      <c r="B9" t="s">
        <v>25</v>
      </c>
      <c r="C9" s="1">
        <v>44359</v>
      </c>
      <c r="D9" t="s">
        <v>40</v>
      </c>
      <c r="E9" t="s">
        <v>55</v>
      </c>
      <c r="F9" t="s">
        <v>70</v>
      </c>
      <c r="G9" t="s">
        <v>80</v>
      </c>
      <c r="I9">
        <f t="shared" si="0"/>
        <v>6</v>
      </c>
      <c r="J9">
        <f t="shared" si="1"/>
        <v>16</v>
      </c>
      <c r="K9">
        <f t="shared" si="2"/>
        <v>22</v>
      </c>
      <c r="M9" t="str">
        <f t="shared" si="3"/>
        <v>Carla</v>
      </c>
      <c r="N9" t="str">
        <f t="shared" si="4"/>
        <v xml:space="preserve">Fernández </v>
      </c>
      <c r="O9" t="str">
        <f t="shared" si="5"/>
        <v>Huamán</v>
      </c>
    </row>
    <row r="10" spans="1:16">
      <c r="A10" t="s">
        <v>11</v>
      </c>
      <c r="B10" t="s">
        <v>26</v>
      </c>
      <c r="C10" s="1">
        <v>44931</v>
      </c>
      <c r="D10" t="s">
        <v>41</v>
      </c>
      <c r="E10" t="s">
        <v>56</v>
      </c>
      <c r="F10" t="s">
        <v>71</v>
      </c>
      <c r="G10" t="s">
        <v>81</v>
      </c>
      <c r="I10">
        <f t="shared" si="0"/>
        <v>6</v>
      </c>
      <c r="J10">
        <f t="shared" si="1"/>
        <v>12</v>
      </c>
      <c r="K10">
        <f t="shared" si="2"/>
        <v>18</v>
      </c>
      <c r="M10" t="str">
        <f t="shared" si="3"/>
        <v>Pedro</v>
      </c>
      <c r="N10" t="str">
        <f t="shared" si="4"/>
        <v xml:space="preserve">Ramos </v>
      </c>
      <c r="O10" t="str">
        <f t="shared" si="5"/>
        <v>Vargas</v>
      </c>
    </row>
    <row r="11" spans="1:16">
      <c r="A11" t="s">
        <v>12</v>
      </c>
      <c r="B11" t="s">
        <v>27</v>
      </c>
      <c r="C11" s="1">
        <v>44834</v>
      </c>
      <c r="D11" t="s">
        <v>42</v>
      </c>
      <c r="E11" t="s">
        <v>57</v>
      </c>
      <c r="F11" t="s">
        <v>72</v>
      </c>
      <c r="G11" t="s">
        <v>82</v>
      </c>
      <c r="I11">
        <f t="shared" si="0"/>
        <v>4</v>
      </c>
      <c r="J11">
        <f t="shared" si="1"/>
        <v>13</v>
      </c>
      <c r="K11">
        <f t="shared" si="2"/>
        <v>18</v>
      </c>
      <c r="M11" t="str">
        <f t="shared" si="3"/>
        <v>Ana</v>
      </c>
      <c r="N11" t="str">
        <f t="shared" si="4"/>
        <v xml:space="preserve">Castillo </v>
      </c>
      <c r="O11" t="str">
        <f t="shared" si="5"/>
        <v>López</v>
      </c>
    </row>
    <row r="12" spans="1:16">
      <c r="A12" t="s">
        <v>13</v>
      </c>
      <c r="B12" t="s">
        <v>28</v>
      </c>
      <c r="C12" s="1">
        <v>44544</v>
      </c>
      <c r="D12" t="s">
        <v>43</v>
      </c>
      <c r="E12" t="s">
        <v>58</v>
      </c>
      <c r="F12" t="s">
        <v>73</v>
      </c>
      <c r="G12" t="s">
        <v>83</v>
      </c>
      <c r="I12">
        <f t="shared" si="0"/>
        <v>7</v>
      </c>
      <c r="J12">
        <f t="shared" si="1"/>
        <v>14</v>
      </c>
      <c r="K12">
        <f t="shared" si="2"/>
        <v>19</v>
      </c>
      <c r="M12" t="str">
        <f t="shared" si="3"/>
        <v>Martín</v>
      </c>
      <c r="N12" t="str">
        <f t="shared" si="4"/>
        <v xml:space="preserve">Flores </v>
      </c>
      <c r="O12" t="str">
        <f t="shared" si="5"/>
        <v>Ortiz</v>
      </c>
    </row>
    <row r="13" spans="1:16">
      <c r="A13" t="s">
        <v>14</v>
      </c>
      <c r="B13" t="s">
        <v>29</v>
      </c>
      <c r="C13" s="1">
        <v>43880</v>
      </c>
      <c r="D13" t="s">
        <v>44</v>
      </c>
      <c r="E13" t="s">
        <v>59</v>
      </c>
      <c r="F13" t="s">
        <v>74</v>
      </c>
      <c r="G13" t="s">
        <v>84</v>
      </c>
      <c r="I13">
        <f t="shared" si="0"/>
        <v>6</v>
      </c>
      <c r="J13">
        <f t="shared" si="1"/>
        <v>12</v>
      </c>
      <c r="K13">
        <f t="shared" si="2"/>
        <v>19</v>
      </c>
      <c r="M13" t="str">
        <f t="shared" si="3"/>
        <v>Sofía</v>
      </c>
      <c r="N13" t="str">
        <f t="shared" si="4"/>
        <v xml:space="preserve">Rojas </v>
      </c>
      <c r="O13" t="str">
        <f t="shared" si="5"/>
        <v>Delgado</v>
      </c>
    </row>
    <row r="14" spans="1:16">
      <c r="A14" t="s">
        <v>15</v>
      </c>
      <c r="B14" t="s">
        <v>30</v>
      </c>
      <c r="C14" s="1">
        <v>43685</v>
      </c>
      <c r="D14" t="s">
        <v>45</v>
      </c>
      <c r="E14" t="s">
        <v>60</v>
      </c>
      <c r="F14" t="s">
        <v>67</v>
      </c>
      <c r="G14" t="s">
        <v>85</v>
      </c>
      <c r="I14">
        <f t="shared" si="0"/>
        <v>6</v>
      </c>
      <c r="J14">
        <f t="shared" si="1"/>
        <v>14</v>
      </c>
      <c r="K14">
        <f t="shared" si="2"/>
        <v>19</v>
      </c>
      <c r="M14" t="str">
        <f t="shared" si="3"/>
        <v>Diego</v>
      </c>
      <c r="N14" t="str">
        <f t="shared" si="4"/>
        <v xml:space="preserve">Salazar </v>
      </c>
      <c r="O14" t="str">
        <f t="shared" si="5"/>
        <v>Pérez</v>
      </c>
    </row>
    <row r="15" spans="1:16">
      <c r="A15" t="s">
        <v>16</v>
      </c>
      <c r="B15" t="s">
        <v>31</v>
      </c>
      <c r="C15" s="1">
        <v>44496</v>
      </c>
      <c r="D15" t="s">
        <v>46</v>
      </c>
      <c r="E15" t="s">
        <v>61</v>
      </c>
      <c r="F15" t="s">
        <v>75</v>
      </c>
      <c r="G15" t="s">
        <v>86</v>
      </c>
      <c r="I15">
        <f t="shared" si="0"/>
        <v>5</v>
      </c>
      <c r="J15">
        <f t="shared" si="1"/>
        <v>12</v>
      </c>
      <c r="K15">
        <f t="shared" si="2"/>
        <v>24</v>
      </c>
      <c r="M15" t="str">
        <f t="shared" si="3"/>
        <v>Rosa</v>
      </c>
      <c r="N15" t="str">
        <f t="shared" si="4"/>
        <v xml:space="preserve">Vargas </v>
      </c>
      <c r="O15" t="str">
        <f t="shared" si="5"/>
        <v>Chuquihuanca</v>
      </c>
    </row>
    <row r="16" spans="1:16">
      <c r="A16" t="s">
        <v>17</v>
      </c>
      <c r="B16" t="s">
        <v>32</v>
      </c>
      <c r="C16" s="1">
        <v>44667</v>
      </c>
      <c r="D16" t="s">
        <v>47</v>
      </c>
      <c r="E16" t="s">
        <v>62</v>
      </c>
      <c r="F16" t="s">
        <v>76</v>
      </c>
      <c r="G16" t="s">
        <v>87</v>
      </c>
      <c r="I16">
        <f t="shared" si="0"/>
        <v>7</v>
      </c>
      <c r="J16">
        <f t="shared" si="1"/>
        <v>13</v>
      </c>
      <c r="K16">
        <f t="shared" si="2"/>
        <v>20</v>
      </c>
      <c r="M16" t="str">
        <f t="shared" si="3"/>
        <v>Javier</v>
      </c>
      <c r="N16" t="str">
        <f t="shared" si="4"/>
        <v xml:space="preserve">López </v>
      </c>
      <c r="O16" t="str">
        <f t="shared" si="5"/>
        <v>Ramírez</v>
      </c>
    </row>
    <row r="17" spans="1:15">
      <c r="A17" t="s">
        <v>18</v>
      </c>
      <c r="B17" t="s">
        <v>33</v>
      </c>
      <c r="C17" s="1">
        <v>44986</v>
      </c>
      <c r="D17" t="s">
        <v>48</v>
      </c>
      <c r="E17" t="s">
        <v>63</v>
      </c>
      <c r="F17" t="s">
        <v>68</v>
      </c>
      <c r="G17" t="s">
        <v>88</v>
      </c>
      <c r="I17">
        <f t="shared" si="0"/>
        <v>8</v>
      </c>
      <c r="J17">
        <f t="shared" si="1"/>
        <v>16</v>
      </c>
      <c r="K17">
        <f t="shared" si="2"/>
        <v>20</v>
      </c>
      <c r="M17" t="str">
        <f t="shared" si="3"/>
        <v>Daniela</v>
      </c>
      <c r="N17" t="str">
        <f t="shared" si="4"/>
        <v xml:space="preserve">Sánchez </v>
      </c>
      <c r="O17" t="str">
        <f t="shared" si="5"/>
        <v>Vega</v>
      </c>
    </row>
    <row r="18" spans="1:15">
      <c r="A18" t="s">
        <v>19</v>
      </c>
      <c r="B18" t="s">
        <v>34</v>
      </c>
      <c r="C18" s="1">
        <v>43993</v>
      </c>
      <c r="D18" t="s">
        <v>49</v>
      </c>
      <c r="E18" t="s">
        <v>64</v>
      </c>
      <c r="F18" t="s">
        <v>70</v>
      </c>
      <c r="G18" t="s">
        <v>89</v>
      </c>
      <c r="I18">
        <f t="shared" si="0"/>
        <v>10</v>
      </c>
      <c r="J18">
        <f t="shared" si="1"/>
        <v>18</v>
      </c>
      <c r="K18">
        <f t="shared" si="2"/>
        <v>25</v>
      </c>
      <c r="M18" t="str">
        <f t="shared" si="3"/>
        <v>Francisco</v>
      </c>
      <c r="N18" t="str">
        <f t="shared" si="4"/>
        <v xml:space="preserve">Aguilar </v>
      </c>
      <c r="O18" t="str">
        <f t="shared" si="5"/>
        <v>Mendoza</v>
      </c>
    </row>
    <row r="19" spans="1:15">
      <c r="A19" t="s">
        <v>20</v>
      </c>
      <c r="B19" t="s">
        <v>35</v>
      </c>
      <c r="C19" s="1">
        <v>44428</v>
      </c>
      <c r="D19" t="s">
        <v>50</v>
      </c>
      <c r="E19" t="s">
        <v>65</v>
      </c>
      <c r="F19" t="s">
        <v>69</v>
      </c>
      <c r="G19" t="s">
        <v>90</v>
      </c>
      <c r="I19">
        <f t="shared" si="0"/>
        <v>6</v>
      </c>
      <c r="J19">
        <f t="shared" si="1"/>
        <v>13</v>
      </c>
      <c r="K19">
        <f t="shared" si="2"/>
        <v>20</v>
      </c>
      <c r="M19" t="str">
        <f t="shared" si="3"/>
        <v>Elena</v>
      </c>
      <c r="N19" t="str">
        <f t="shared" si="4"/>
        <v xml:space="preserve">Huerta </v>
      </c>
      <c r="O19" t="str">
        <f t="shared" si="5"/>
        <v>Córdova</v>
      </c>
    </row>
    <row r="20" spans="1:15">
      <c r="A20" t="s">
        <v>21</v>
      </c>
      <c r="B20" t="s">
        <v>36</v>
      </c>
      <c r="C20" s="1">
        <v>43763</v>
      </c>
      <c r="D20" t="s">
        <v>51</v>
      </c>
      <c r="E20" t="s">
        <v>66</v>
      </c>
      <c r="F20" t="s">
        <v>67</v>
      </c>
      <c r="G20" t="s">
        <v>91</v>
      </c>
      <c r="I20">
        <f t="shared" si="0"/>
        <v>8</v>
      </c>
      <c r="J20">
        <f t="shared" si="1"/>
        <v>15</v>
      </c>
      <c r="K20">
        <f t="shared" si="2"/>
        <v>24</v>
      </c>
      <c r="M20" t="str">
        <f t="shared" si="3"/>
        <v>Ricardo</v>
      </c>
      <c r="N20" t="str">
        <f t="shared" si="4"/>
        <v xml:space="preserve">Quispe </v>
      </c>
      <c r="O20" t="str">
        <f t="shared" si="5"/>
        <v>Gutiérrez</v>
      </c>
    </row>
  </sheetData>
  <mergeCells count="1">
    <mergeCell ref="B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B3C58-973B-4D6F-8D91-1BE42DD19D72}">
  <dimension ref="A1:K20"/>
  <sheetViews>
    <sheetView topLeftCell="A2" zoomScale="120" zoomScaleNormal="120" workbookViewId="0">
      <selection activeCell="I6" sqref="I6"/>
    </sheetView>
  </sheetViews>
  <sheetFormatPr baseColWidth="10" defaultColWidth="8.88671875" defaultRowHeight="14.4"/>
  <cols>
    <col min="1" max="1" width="23.88671875" bestFit="1" customWidth="1"/>
    <col min="2" max="2" width="29.109375" bestFit="1" customWidth="1"/>
    <col min="3" max="3" width="19.33203125" bestFit="1" customWidth="1"/>
    <col min="4" max="4" width="7.6640625" bestFit="1" customWidth="1"/>
    <col min="5" max="5" width="21.5546875" bestFit="1" customWidth="1"/>
    <col min="6" max="6" width="9.33203125" bestFit="1" customWidth="1"/>
    <col min="7" max="7" width="11" bestFit="1" customWidth="1"/>
    <col min="9" max="9" width="10.5546875" customWidth="1"/>
    <col min="10" max="10" width="14.88671875" customWidth="1"/>
    <col min="11" max="11" width="15.6640625" customWidth="1"/>
  </cols>
  <sheetData>
    <row r="1" spans="1:11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21">
      <c r="A2" s="2"/>
      <c r="B2" s="27" t="s">
        <v>92</v>
      </c>
      <c r="C2" s="27"/>
      <c r="D2" s="27"/>
      <c r="E2" s="27"/>
      <c r="F2" s="27"/>
      <c r="G2" s="27"/>
      <c r="H2" s="27"/>
      <c r="I2" s="27"/>
      <c r="J2" s="27"/>
      <c r="K2" s="2"/>
    </row>
    <row r="3" spans="1:11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5" spans="1:11">
      <c r="A5" s="4" t="s">
        <v>0</v>
      </c>
      <c r="B5" s="4" t="s">
        <v>1</v>
      </c>
      <c r="C5" s="4" t="s">
        <v>2</v>
      </c>
      <c r="D5" s="4" t="s">
        <v>3</v>
      </c>
      <c r="E5" s="4" t="s">
        <v>4</v>
      </c>
      <c r="F5" s="4" t="s">
        <v>5</v>
      </c>
      <c r="G5" s="4" t="s">
        <v>6</v>
      </c>
      <c r="I5" s="4" t="s">
        <v>93</v>
      </c>
      <c r="J5" s="4" t="s">
        <v>94</v>
      </c>
      <c r="K5" s="4" t="s">
        <v>95</v>
      </c>
    </row>
    <row r="6" spans="1:11">
      <c r="A6" t="s">
        <v>7</v>
      </c>
      <c r="B6" t="s">
        <v>22</v>
      </c>
      <c r="C6" s="1">
        <v>44635</v>
      </c>
      <c r="D6" t="s">
        <v>37</v>
      </c>
      <c r="E6" t="s">
        <v>52</v>
      </c>
      <c r="F6" t="s">
        <v>67</v>
      </c>
      <c r="G6" t="s">
        <v>77</v>
      </c>
      <c r="H6" t="s">
        <v>100</v>
      </c>
    </row>
    <row r="7" spans="1:11">
      <c r="A7" t="s">
        <v>8</v>
      </c>
      <c r="B7" t="s">
        <v>23</v>
      </c>
      <c r="C7" s="1">
        <v>44035</v>
      </c>
      <c r="D7" t="s">
        <v>38</v>
      </c>
      <c r="E7" t="s">
        <v>53</v>
      </c>
      <c r="F7" t="s">
        <v>68</v>
      </c>
      <c r="G7" t="s">
        <v>78</v>
      </c>
    </row>
    <row r="8" spans="1:11">
      <c r="A8" t="s">
        <v>9</v>
      </c>
      <c r="B8" t="s">
        <v>24</v>
      </c>
      <c r="C8" s="1">
        <v>43770</v>
      </c>
      <c r="D8" t="s">
        <v>39</v>
      </c>
      <c r="E8" t="s">
        <v>54</v>
      </c>
      <c r="F8" t="s">
        <v>69</v>
      </c>
      <c r="G8" t="s">
        <v>79</v>
      </c>
    </row>
    <row r="9" spans="1:11">
      <c r="A9" t="s">
        <v>10</v>
      </c>
      <c r="B9" t="s">
        <v>25</v>
      </c>
      <c r="C9" s="1">
        <v>44359</v>
      </c>
      <c r="D9" t="s">
        <v>40</v>
      </c>
      <c r="E9" t="s">
        <v>55</v>
      </c>
      <c r="F9" t="s">
        <v>70</v>
      </c>
      <c r="G9" t="s">
        <v>80</v>
      </c>
    </row>
    <row r="10" spans="1:11">
      <c r="A10" t="s">
        <v>11</v>
      </c>
      <c r="B10" t="s">
        <v>26</v>
      </c>
      <c r="C10" s="1">
        <v>44931</v>
      </c>
      <c r="D10" t="s">
        <v>41</v>
      </c>
      <c r="E10" t="s">
        <v>56</v>
      </c>
      <c r="F10" t="s">
        <v>71</v>
      </c>
      <c r="G10" t="s">
        <v>81</v>
      </c>
    </row>
    <row r="11" spans="1:11">
      <c r="A11" t="s">
        <v>12</v>
      </c>
      <c r="B11" t="s">
        <v>27</v>
      </c>
      <c r="C11" s="1">
        <v>44834</v>
      </c>
      <c r="D11" t="s">
        <v>42</v>
      </c>
      <c r="E11" t="s">
        <v>57</v>
      </c>
      <c r="F11" t="s">
        <v>72</v>
      </c>
      <c r="G11" t="s">
        <v>82</v>
      </c>
    </row>
    <row r="12" spans="1:11">
      <c r="A12" t="s">
        <v>13</v>
      </c>
      <c r="B12" t="s">
        <v>28</v>
      </c>
      <c r="C12" s="1">
        <v>44544</v>
      </c>
      <c r="D12" t="s">
        <v>43</v>
      </c>
      <c r="E12" t="s">
        <v>58</v>
      </c>
      <c r="F12" t="s">
        <v>73</v>
      </c>
      <c r="G12" t="s">
        <v>83</v>
      </c>
    </row>
    <row r="13" spans="1:11">
      <c r="A13" t="s">
        <v>14</v>
      </c>
      <c r="B13" t="s">
        <v>29</v>
      </c>
      <c r="C13" s="1">
        <v>43880</v>
      </c>
      <c r="D13" t="s">
        <v>44</v>
      </c>
      <c r="E13" t="s">
        <v>59</v>
      </c>
      <c r="F13" t="s">
        <v>74</v>
      </c>
      <c r="G13" t="s">
        <v>84</v>
      </c>
    </row>
    <row r="14" spans="1:11">
      <c r="A14" t="s">
        <v>15</v>
      </c>
      <c r="B14" t="s">
        <v>30</v>
      </c>
      <c r="C14" s="1">
        <v>43685</v>
      </c>
      <c r="D14" t="s">
        <v>45</v>
      </c>
      <c r="E14" t="s">
        <v>60</v>
      </c>
      <c r="F14" t="s">
        <v>67</v>
      </c>
      <c r="G14" t="s">
        <v>85</v>
      </c>
    </row>
    <row r="15" spans="1:11">
      <c r="A15" t="s">
        <v>16</v>
      </c>
      <c r="B15" t="s">
        <v>31</v>
      </c>
      <c r="C15" s="1">
        <v>44496</v>
      </c>
      <c r="D15" t="s">
        <v>46</v>
      </c>
      <c r="E15" t="s">
        <v>61</v>
      </c>
      <c r="F15" t="s">
        <v>75</v>
      </c>
      <c r="G15" t="s">
        <v>86</v>
      </c>
    </row>
    <row r="16" spans="1:11">
      <c r="A16" t="s">
        <v>17</v>
      </c>
      <c r="B16" t="s">
        <v>32</v>
      </c>
      <c r="C16" s="1">
        <v>44667</v>
      </c>
      <c r="D16" t="s">
        <v>47</v>
      </c>
      <c r="E16" t="s">
        <v>62</v>
      </c>
      <c r="F16" t="s">
        <v>76</v>
      </c>
      <c r="G16" t="s">
        <v>87</v>
      </c>
    </row>
    <row r="17" spans="1:7">
      <c r="A17" t="s">
        <v>18</v>
      </c>
      <c r="B17" t="s">
        <v>33</v>
      </c>
      <c r="C17" s="1">
        <v>44986</v>
      </c>
      <c r="D17" t="s">
        <v>48</v>
      </c>
      <c r="E17" t="s">
        <v>63</v>
      </c>
      <c r="F17" t="s">
        <v>68</v>
      </c>
      <c r="G17" t="s">
        <v>88</v>
      </c>
    </row>
    <row r="18" spans="1:7">
      <c r="A18" t="s">
        <v>19</v>
      </c>
      <c r="B18" t="s">
        <v>34</v>
      </c>
      <c r="C18" s="1">
        <v>43993</v>
      </c>
      <c r="D18" t="s">
        <v>49</v>
      </c>
      <c r="E18" t="s">
        <v>64</v>
      </c>
      <c r="F18" t="s">
        <v>70</v>
      </c>
      <c r="G18" t="s">
        <v>89</v>
      </c>
    </row>
    <row r="19" spans="1:7">
      <c r="A19" t="s">
        <v>20</v>
      </c>
      <c r="B19" t="s">
        <v>35</v>
      </c>
      <c r="C19" s="1">
        <v>44428</v>
      </c>
      <c r="D19" t="s">
        <v>50</v>
      </c>
      <c r="E19" t="s">
        <v>65</v>
      </c>
      <c r="F19" t="s">
        <v>69</v>
      </c>
      <c r="G19" t="s">
        <v>90</v>
      </c>
    </row>
    <row r="20" spans="1:7">
      <c r="A20" t="s">
        <v>21</v>
      </c>
      <c r="B20" t="s">
        <v>36</v>
      </c>
      <c r="C20" s="1">
        <v>43763</v>
      </c>
      <c r="D20" t="s">
        <v>51</v>
      </c>
      <c r="E20" t="s">
        <v>66</v>
      </c>
      <c r="F20" t="s">
        <v>67</v>
      </c>
      <c r="G20" t="s">
        <v>91</v>
      </c>
    </row>
  </sheetData>
  <mergeCells count="1">
    <mergeCell ref="B2:J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473C2-F7E8-4B46-ADD9-11C8B16B1DAF}">
  <dimension ref="A1:Q20"/>
  <sheetViews>
    <sheetView topLeftCell="F2" zoomScale="120" zoomScaleNormal="120" workbookViewId="0">
      <selection activeCell="P12" sqref="P12"/>
    </sheetView>
  </sheetViews>
  <sheetFormatPr baseColWidth="10" defaultColWidth="8.88671875" defaultRowHeight="14.4"/>
  <cols>
    <col min="1" max="1" width="23.88671875" bestFit="1" customWidth="1"/>
    <col min="2" max="2" width="29.109375" bestFit="1" customWidth="1"/>
    <col min="3" max="3" width="19.33203125" bestFit="1" customWidth="1"/>
    <col min="4" max="4" width="7.6640625" bestFit="1" customWidth="1"/>
    <col min="5" max="5" width="21.5546875" bestFit="1" customWidth="1"/>
    <col min="6" max="6" width="9.33203125" bestFit="1" customWidth="1"/>
    <col min="7" max="7" width="11" bestFit="1" customWidth="1"/>
    <col min="9" max="9" width="10.5546875" customWidth="1"/>
    <col min="10" max="10" width="14.88671875" customWidth="1"/>
    <col min="11" max="11" width="15.6640625" customWidth="1"/>
    <col min="13" max="13" width="23.88671875" bestFit="1" customWidth="1"/>
    <col min="15" max="15" width="24.88671875" bestFit="1" customWidth="1"/>
    <col min="17" max="17" width="23.88671875" bestFit="1" customWidth="1"/>
  </cols>
  <sheetData>
    <row r="1" spans="1:17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  <row r="2" spans="1:17" ht="21">
      <c r="A2" s="2"/>
      <c r="B2" s="27" t="s">
        <v>92</v>
      </c>
      <c r="C2" s="27"/>
      <c r="D2" s="27"/>
      <c r="E2" s="27"/>
      <c r="F2" s="27"/>
      <c r="G2" s="27"/>
      <c r="H2" s="27"/>
      <c r="I2" s="27"/>
      <c r="J2" s="27"/>
      <c r="K2" s="2"/>
    </row>
    <row r="3" spans="1:17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7">
      <c r="M4" s="8" t="s">
        <v>101</v>
      </c>
      <c r="O4" s="8" t="s">
        <v>102</v>
      </c>
    </row>
    <row r="5" spans="1:17">
      <c r="A5" s="4" t="s">
        <v>0</v>
      </c>
      <c r="B5" s="4" t="s">
        <v>1</v>
      </c>
      <c r="C5" s="4" t="s">
        <v>2</v>
      </c>
      <c r="D5" s="4" t="s">
        <v>3</v>
      </c>
      <c r="E5" s="4" t="s">
        <v>4</v>
      </c>
      <c r="F5" s="4" t="s">
        <v>5</v>
      </c>
      <c r="G5" s="4" t="s">
        <v>6</v>
      </c>
      <c r="I5" s="4" t="s">
        <v>93</v>
      </c>
      <c r="J5" s="4" t="s">
        <v>94</v>
      </c>
      <c r="K5" s="4" t="s">
        <v>95</v>
      </c>
      <c r="M5" s="4" t="s">
        <v>0</v>
      </c>
      <c r="O5" s="4" t="s">
        <v>102</v>
      </c>
      <c r="Q5" s="4" t="s">
        <v>103</v>
      </c>
    </row>
    <row r="6" spans="1:17">
      <c r="A6" t="s">
        <v>7</v>
      </c>
      <c r="B6" t="s">
        <v>22</v>
      </c>
      <c r="C6" s="1">
        <v>44635</v>
      </c>
      <c r="D6" t="s">
        <v>37</v>
      </c>
      <c r="E6" t="s">
        <v>52</v>
      </c>
      <c r="F6" t="s">
        <v>67</v>
      </c>
      <c r="G6" t="s">
        <v>77</v>
      </c>
      <c r="H6" t="s">
        <v>100</v>
      </c>
      <c r="I6" t="str" cm="1">
        <f t="array" ref="I6:K6">_xlfn.TEXTSPLIT(A6," ")</f>
        <v>Juan</v>
      </c>
      <c r="J6" t="str">
        <v>Pérez</v>
      </c>
      <c r="K6" t="str">
        <v>Rodríguez</v>
      </c>
      <c r="L6" t="s">
        <v>100</v>
      </c>
      <c r="M6" t="str">
        <f>_xlfn.CONCAT(I6," ",J6," ",K6)</f>
        <v>Juan Pérez Rodríguez</v>
      </c>
      <c r="N6" t="s">
        <v>100</v>
      </c>
      <c r="O6" t="str">
        <f>_xlfn.TEXTJOIN(" ",,I6,J6,K6)</f>
        <v>Juan Pérez Rodríguez</v>
      </c>
      <c r="P6" t="s">
        <v>99</v>
      </c>
      <c r="Q6" t="str">
        <f>I6&amp;" "&amp;J6&amp;" "&amp;K6</f>
        <v>Juan Pérez Rodríguez</v>
      </c>
    </row>
    <row r="7" spans="1:17">
      <c r="A7" t="s">
        <v>8</v>
      </c>
      <c r="B7" t="s">
        <v>23</v>
      </c>
      <c r="C7" s="1">
        <v>44035</v>
      </c>
      <c r="D7" t="s">
        <v>38</v>
      </c>
      <c r="E7" t="s">
        <v>53</v>
      </c>
      <c r="F7" t="s">
        <v>68</v>
      </c>
      <c r="G7" t="s">
        <v>78</v>
      </c>
      <c r="I7" t="str" cm="1">
        <f t="array" ref="I7:K7">_xlfn.TEXTSPLIT(A7," ")</f>
        <v>María</v>
      </c>
      <c r="J7" t="str">
        <v>Gómez</v>
      </c>
      <c r="K7" t="str">
        <v>Sánchez</v>
      </c>
      <c r="M7" t="str">
        <f t="shared" ref="M7:M20" si="0">_xlfn.CONCAT(I7," ",J7," ",K7)</f>
        <v>María Gómez Sánchez</v>
      </c>
      <c r="O7" t="str">
        <f t="shared" ref="O7:O20" si="1">_xlfn.TEXTJOIN(" ",,I7,J7,K7)</f>
        <v>María Gómez Sánchez</v>
      </c>
      <c r="Q7" t="str">
        <f t="shared" ref="Q7:Q20" si="2">I7&amp;" "&amp;J7&amp;" "&amp;K7</f>
        <v>María Gómez Sánchez</v>
      </c>
    </row>
    <row r="8" spans="1:17">
      <c r="A8" t="s">
        <v>9</v>
      </c>
      <c r="B8" t="s">
        <v>24</v>
      </c>
      <c r="C8" s="1">
        <v>43770</v>
      </c>
      <c r="D8" t="s">
        <v>39</v>
      </c>
      <c r="E8" t="s">
        <v>54</v>
      </c>
      <c r="F8" t="s">
        <v>69</v>
      </c>
      <c r="G8" t="s">
        <v>79</v>
      </c>
      <c r="I8" t="str" cm="1">
        <f t="array" ref="I8:K8">_xlfn.TEXTSPLIT(A8," ")</f>
        <v>Luis</v>
      </c>
      <c r="J8" t="str">
        <v>Torres</v>
      </c>
      <c r="K8" t="str">
        <v>Quispe</v>
      </c>
      <c r="M8" t="str">
        <f t="shared" si="0"/>
        <v>Luis Torres Quispe</v>
      </c>
      <c r="O8" t="str">
        <f t="shared" si="1"/>
        <v>Luis Torres Quispe</v>
      </c>
      <c r="Q8" t="str">
        <f t="shared" si="2"/>
        <v>Luis Torres Quispe</v>
      </c>
    </row>
    <row r="9" spans="1:17">
      <c r="A9" t="s">
        <v>10</v>
      </c>
      <c r="B9" t="s">
        <v>25</v>
      </c>
      <c r="C9" s="1">
        <v>44359</v>
      </c>
      <c r="D9" t="s">
        <v>40</v>
      </c>
      <c r="E9" t="s">
        <v>55</v>
      </c>
      <c r="F9" t="s">
        <v>70</v>
      </c>
      <c r="G9" t="s">
        <v>80</v>
      </c>
      <c r="I9" t="str" cm="1">
        <f t="array" ref="I9:K9">_xlfn.TEXTSPLIT(A9," ")</f>
        <v>Carla</v>
      </c>
      <c r="J9" t="str">
        <v>Fernández</v>
      </c>
      <c r="K9" t="str">
        <v>Huamán</v>
      </c>
      <c r="M9" t="str">
        <f t="shared" si="0"/>
        <v>Carla Fernández Huamán</v>
      </c>
      <c r="O9" t="str">
        <f t="shared" si="1"/>
        <v>Carla Fernández Huamán</v>
      </c>
      <c r="Q9" t="str">
        <f t="shared" si="2"/>
        <v>Carla Fernández Huamán</v>
      </c>
    </row>
    <row r="10" spans="1:17">
      <c r="A10" t="s">
        <v>11</v>
      </c>
      <c r="B10" t="s">
        <v>26</v>
      </c>
      <c r="C10" s="1">
        <v>44931</v>
      </c>
      <c r="D10" t="s">
        <v>41</v>
      </c>
      <c r="E10" t="s">
        <v>56</v>
      </c>
      <c r="F10" t="s">
        <v>71</v>
      </c>
      <c r="G10" t="s">
        <v>81</v>
      </c>
      <c r="I10" t="str" cm="1">
        <f t="array" ref="I10:K10">_xlfn.TEXTSPLIT(A10," ")</f>
        <v>Pedro</v>
      </c>
      <c r="J10" t="str">
        <v>Ramos</v>
      </c>
      <c r="K10" t="str">
        <v>Vargas</v>
      </c>
      <c r="M10" t="str">
        <f t="shared" si="0"/>
        <v>Pedro Ramos Vargas</v>
      </c>
      <c r="O10" t="str">
        <f t="shared" si="1"/>
        <v>Pedro Ramos Vargas</v>
      </c>
      <c r="Q10" t="str">
        <f t="shared" si="2"/>
        <v>Pedro Ramos Vargas</v>
      </c>
    </row>
    <row r="11" spans="1:17">
      <c r="A11" t="s">
        <v>12</v>
      </c>
      <c r="B11" t="s">
        <v>27</v>
      </c>
      <c r="C11" s="1">
        <v>44834</v>
      </c>
      <c r="D11" t="s">
        <v>42</v>
      </c>
      <c r="E11" t="s">
        <v>57</v>
      </c>
      <c r="F11" t="s">
        <v>72</v>
      </c>
      <c r="G11" t="s">
        <v>82</v>
      </c>
      <c r="I11" t="str" cm="1">
        <f t="array" ref="I11:K11">_xlfn.TEXTSPLIT(A11," ")</f>
        <v>Ana</v>
      </c>
      <c r="J11" t="str">
        <v>Castillo</v>
      </c>
      <c r="K11" t="str">
        <v>López</v>
      </c>
      <c r="M11" t="str">
        <f t="shared" si="0"/>
        <v>Ana Castillo López</v>
      </c>
      <c r="O11" t="str">
        <f t="shared" si="1"/>
        <v>Ana Castillo López</v>
      </c>
      <c r="Q11" t="str">
        <f t="shared" si="2"/>
        <v>Ana Castillo López</v>
      </c>
    </row>
    <row r="12" spans="1:17">
      <c r="A12" t="s">
        <v>13</v>
      </c>
      <c r="B12" t="s">
        <v>28</v>
      </c>
      <c r="C12" s="1">
        <v>44544</v>
      </c>
      <c r="D12" t="s">
        <v>43</v>
      </c>
      <c r="E12" t="s">
        <v>58</v>
      </c>
      <c r="F12" t="s">
        <v>73</v>
      </c>
      <c r="G12" t="s">
        <v>83</v>
      </c>
      <c r="I12" t="str" cm="1">
        <f t="array" ref="I12:K12">_xlfn.TEXTSPLIT(A12," ")</f>
        <v>Martín</v>
      </c>
      <c r="J12" t="str">
        <v>Flores</v>
      </c>
      <c r="K12" t="str">
        <v>Ortiz</v>
      </c>
      <c r="M12" t="str">
        <f t="shared" si="0"/>
        <v>Martín Flores Ortiz</v>
      </c>
      <c r="O12" t="str">
        <f t="shared" si="1"/>
        <v>Martín Flores Ortiz</v>
      </c>
      <c r="Q12" t="str">
        <f t="shared" si="2"/>
        <v>Martín Flores Ortiz</v>
      </c>
    </row>
    <row r="13" spans="1:17">
      <c r="A13" t="s">
        <v>14</v>
      </c>
      <c r="B13" t="s">
        <v>29</v>
      </c>
      <c r="C13" s="1">
        <v>43880</v>
      </c>
      <c r="D13" t="s">
        <v>44</v>
      </c>
      <c r="E13" t="s">
        <v>59</v>
      </c>
      <c r="F13" t="s">
        <v>74</v>
      </c>
      <c r="G13" t="s">
        <v>84</v>
      </c>
      <c r="I13" t="str" cm="1">
        <f t="array" ref="I13:K13">_xlfn.TEXTSPLIT(A13," ")</f>
        <v>Sofía</v>
      </c>
      <c r="J13" t="str">
        <v>Rojas</v>
      </c>
      <c r="K13" t="str">
        <v>Delgado</v>
      </c>
      <c r="M13" t="str">
        <f t="shared" si="0"/>
        <v>Sofía Rojas Delgado</v>
      </c>
      <c r="O13" t="str">
        <f t="shared" si="1"/>
        <v>Sofía Rojas Delgado</v>
      </c>
      <c r="Q13" t="str">
        <f t="shared" si="2"/>
        <v>Sofía Rojas Delgado</v>
      </c>
    </row>
    <row r="14" spans="1:17">
      <c r="A14" t="s">
        <v>15</v>
      </c>
      <c r="B14" t="s">
        <v>30</v>
      </c>
      <c r="C14" s="1">
        <v>43685</v>
      </c>
      <c r="D14" t="s">
        <v>45</v>
      </c>
      <c r="E14" t="s">
        <v>60</v>
      </c>
      <c r="F14" t="s">
        <v>67</v>
      </c>
      <c r="G14" t="s">
        <v>85</v>
      </c>
      <c r="I14" t="str" cm="1">
        <f t="array" ref="I14:K14">_xlfn.TEXTSPLIT(A14," ")</f>
        <v>Diego</v>
      </c>
      <c r="J14" t="str">
        <v>Salazar</v>
      </c>
      <c r="K14" t="str">
        <v>Pérez</v>
      </c>
      <c r="M14" t="str">
        <f t="shared" si="0"/>
        <v>Diego Salazar Pérez</v>
      </c>
      <c r="O14" t="str">
        <f t="shared" si="1"/>
        <v>Diego Salazar Pérez</v>
      </c>
      <c r="Q14" t="str">
        <f t="shared" si="2"/>
        <v>Diego Salazar Pérez</v>
      </c>
    </row>
    <row r="15" spans="1:17">
      <c r="A15" t="s">
        <v>16</v>
      </c>
      <c r="B15" t="s">
        <v>31</v>
      </c>
      <c r="C15" s="1">
        <v>44496</v>
      </c>
      <c r="D15" t="s">
        <v>46</v>
      </c>
      <c r="E15" t="s">
        <v>61</v>
      </c>
      <c r="F15" t="s">
        <v>75</v>
      </c>
      <c r="G15" t="s">
        <v>86</v>
      </c>
      <c r="I15" t="str" cm="1">
        <f t="array" ref="I15:K15">_xlfn.TEXTSPLIT(A15," ")</f>
        <v>Rosa</v>
      </c>
      <c r="J15" t="str">
        <v>Vargas</v>
      </c>
      <c r="K15" t="str">
        <v>Chuquihuanca</v>
      </c>
      <c r="M15" t="str">
        <f t="shared" si="0"/>
        <v>Rosa Vargas Chuquihuanca</v>
      </c>
      <c r="O15" t="str">
        <f t="shared" si="1"/>
        <v>Rosa Vargas Chuquihuanca</v>
      </c>
      <c r="Q15" t="str">
        <f t="shared" si="2"/>
        <v>Rosa Vargas Chuquihuanca</v>
      </c>
    </row>
    <row r="16" spans="1:17">
      <c r="A16" t="s">
        <v>17</v>
      </c>
      <c r="B16" t="s">
        <v>32</v>
      </c>
      <c r="C16" s="1">
        <v>44667</v>
      </c>
      <c r="D16" t="s">
        <v>47</v>
      </c>
      <c r="E16" t="s">
        <v>62</v>
      </c>
      <c r="F16" t="s">
        <v>76</v>
      </c>
      <c r="G16" t="s">
        <v>87</v>
      </c>
      <c r="I16" t="str" cm="1">
        <f t="array" ref="I16:K16">_xlfn.TEXTSPLIT(A16," ")</f>
        <v>Javier</v>
      </c>
      <c r="J16" t="str">
        <v>López</v>
      </c>
      <c r="K16" t="str">
        <v>Ramírez</v>
      </c>
      <c r="M16" t="str">
        <f t="shared" si="0"/>
        <v>Javier López Ramírez</v>
      </c>
      <c r="O16" t="str">
        <f t="shared" si="1"/>
        <v>Javier López Ramírez</v>
      </c>
      <c r="Q16" t="str">
        <f t="shared" si="2"/>
        <v>Javier López Ramírez</v>
      </c>
    </row>
    <row r="17" spans="1:17">
      <c r="A17" t="s">
        <v>18</v>
      </c>
      <c r="B17" t="s">
        <v>33</v>
      </c>
      <c r="C17" s="1">
        <v>44986</v>
      </c>
      <c r="D17" t="s">
        <v>48</v>
      </c>
      <c r="E17" t="s">
        <v>63</v>
      </c>
      <c r="F17" t="s">
        <v>68</v>
      </c>
      <c r="G17" t="s">
        <v>88</v>
      </c>
      <c r="I17" t="str" cm="1">
        <f t="array" ref="I17:K17">_xlfn.TEXTSPLIT(A17," ")</f>
        <v>Daniela</v>
      </c>
      <c r="J17" t="str">
        <v>Sánchez</v>
      </c>
      <c r="K17" t="str">
        <v>Vega</v>
      </c>
      <c r="M17" t="str">
        <f t="shared" si="0"/>
        <v>Daniela Sánchez Vega</v>
      </c>
      <c r="O17" t="str">
        <f t="shared" si="1"/>
        <v>Daniela Sánchez Vega</v>
      </c>
      <c r="Q17" t="str">
        <f t="shared" si="2"/>
        <v>Daniela Sánchez Vega</v>
      </c>
    </row>
    <row r="18" spans="1:17">
      <c r="A18" t="s">
        <v>19</v>
      </c>
      <c r="B18" t="s">
        <v>34</v>
      </c>
      <c r="C18" s="1">
        <v>43993</v>
      </c>
      <c r="D18" t="s">
        <v>49</v>
      </c>
      <c r="E18" t="s">
        <v>64</v>
      </c>
      <c r="F18" t="s">
        <v>70</v>
      </c>
      <c r="G18" t="s">
        <v>89</v>
      </c>
      <c r="I18" t="str" cm="1">
        <f t="array" ref="I18:K18">_xlfn.TEXTSPLIT(A18," ")</f>
        <v>Francisco</v>
      </c>
      <c r="J18" t="str">
        <v>Aguilar</v>
      </c>
      <c r="K18" t="str">
        <v>Mendoza</v>
      </c>
      <c r="M18" t="str">
        <f t="shared" si="0"/>
        <v>Francisco Aguilar Mendoza</v>
      </c>
      <c r="O18" t="str">
        <f t="shared" si="1"/>
        <v>Francisco Aguilar Mendoza</v>
      </c>
      <c r="Q18" t="str">
        <f t="shared" si="2"/>
        <v>Francisco Aguilar Mendoza</v>
      </c>
    </row>
    <row r="19" spans="1:17">
      <c r="A19" t="s">
        <v>20</v>
      </c>
      <c r="B19" t="s">
        <v>35</v>
      </c>
      <c r="C19" s="1">
        <v>44428</v>
      </c>
      <c r="D19" t="s">
        <v>50</v>
      </c>
      <c r="E19" t="s">
        <v>65</v>
      </c>
      <c r="F19" t="s">
        <v>69</v>
      </c>
      <c r="G19" t="s">
        <v>90</v>
      </c>
      <c r="I19" t="str" cm="1">
        <f t="array" ref="I19:K19">_xlfn.TEXTSPLIT(A19," ")</f>
        <v>Elena</v>
      </c>
      <c r="J19" t="str">
        <v>Huerta</v>
      </c>
      <c r="K19" t="str">
        <v>Córdova</v>
      </c>
      <c r="M19" t="str">
        <f t="shared" si="0"/>
        <v>Elena Huerta Córdova</v>
      </c>
      <c r="O19" t="str">
        <f t="shared" si="1"/>
        <v>Elena Huerta Córdova</v>
      </c>
      <c r="Q19" t="str">
        <f t="shared" si="2"/>
        <v>Elena Huerta Córdova</v>
      </c>
    </row>
    <row r="20" spans="1:17">
      <c r="A20" t="s">
        <v>21</v>
      </c>
      <c r="B20" t="s">
        <v>36</v>
      </c>
      <c r="C20" s="1">
        <v>43763</v>
      </c>
      <c r="D20" t="s">
        <v>51</v>
      </c>
      <c r="E20" t="s">
        <v>66</v>
      </c>
      <c r="F20" t="s">
        <v>67</v>
      </c>
      <c r="G20" t="s">
        <v>91</v>
      </c>
      <c r="I20" t="str" cm="1">
        <f t="array" ref="I20:K20">_xlfn.TEXTSPLIT(A20," ")</f>
        <v>Ricardo</v>
      </c>
      <c r="J20" t="str">
        <v>Quispe</v>
      </c>
      <c r="K20" t="str">
        <v>Gutiérrez</v>
      </c>
      <c r="M20" t="str">
        <f t="shared" si="0"/>
        <v>Ricardo Quispe Gutiérrez</v>
      </c>
      <c r="O20" t="str">
        <f t="shared" si="1"/>
        <v>Ricardo Quispe Gutiérrez</v>
      </c>
      <c r="Q20" t="str">
        <f t="shared" si="2"/>
        <v>Ricardo Quispe Gutiérrez</v>
      </c>
    </row>
  </sheetData>
  <mergeCells count="1">
    <mergeCell ref="B2:J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0BD31-D5F0-4496-830F-C89616E03B17}">
  <dimension ref="A1:S20"/>
  <sheetViews>
    <sheetView topLeftCell="J2" zoomScale="120" zoomScaleNormal="120" workbookViewId="0">
      <selection activeCell="Q18" sqref="Q18"/>
    </sheetView>
  </sheetViews>
  <sheetFormatPr baseColWidth="10" defaultColWidth="8.88671875" defaultRowHeight="14.4"/>
  <cols>
    <col min="1" max="1" width="23.88671875" bestFit="1" customWidth="1"/>
    <col min="2" max="2" width="29.109375" bestFit="1" customWidth="1"/>
    <col min="3" max="3" width="19.33203125" bestFit="1" customWidth="1"/>
    <col min="4" max="4" width="7.6640625" bestFit="1" customWidth="1"/>
    <col min="5" max="5" width="21.5546875" bestFit="1" customWidth="1"/>
    <col min="6" max="6" width="9.33203125" bestFit="1" customWidth="1"/>
    <col min="7" max="7" width="11" bestFit="1" customWidth="1"/>
    <col min="9" max="9" width="10.5546875" customWidth="1"/>
    <col min="10" max="10" width="14.88671875" customWidth="1"/>
    <col min="11" max="11" width="15.6640625" customWidth="1"/>
    <col min="13" max="13" width="23.88671875" bestFit="1" customWidth="1"/>
    <col min="15" max="15" width="23.21875" bestFit="1" customWidth="1"/>
    <col min="17" max="17" width="28.109375" bestFit="1" customWidth="1"/>
    <col min="19" max="19" width="23.88671875" bestFit="1" customWidth="1"/>
  </cols>
  <sheetData>
    <row r="1" spans="1:19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  <row r="2" spans="1:19" ht="21">
      <c r="A2" s="2"/>
      <c r="B2" s="27" t="s">
        <v>92</v>
      </c>
      <c r="C2" s="27"/>
      <c r="D2" s="27"/>
      <c r="E2" s="27"/>
      <c r="F2" s="27"/>
      <c r="G2" s="27"/>
      <c r="H2" s="27"/>
      <c r="I2" s="27"/>
      <c r="J2" s="27"/>
      <c r="K2" s="2"/>
    </row>
    <row r="3" spans="1:19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9">
      <c r="M4" s="8" t="s">
        <v>101</v>
      </c>
    </row>
    <row r="5" spans="1:19">
      <c r="A5" s="4" t="s">
        <v>0</v>
      </c>
      <c r="B5" s="4" t="s">
        <v>1</v>
      </c>
      <c r="C5" s="4" t="s">
        <v>2</v>
      </c>
      <c r="D5" s="4" t="s">
        <v>3</v>
      </c>
      <c r="E5" s="4" t="s">
        <v>4</v>
      </c>
      <c r="F5" s="4" t="s">
        <v>5</v>
      </c>
      <c r="G5" s="4" t="s">
        <v>6</v>
      </c>
      <c r="I5" s="4" t="s">
        <v>93</v>
      </c>
      <c r="J5" s="4" t="s">
        <v>94</v>
      </c>
      <c r="K5" s="4" t="s">
        <v>95</v>
      </c>
      <c r="M5" s="4" t="s">
        <v>0</v>
      </c>
      <c r="O5" s="4" t="s">
        <v>104</v>
      </c>
      <c r="Q5" s="4" t="s">
        <v>105</v>
      </c>
      <c r="S5" s="4" t="s">
        <v>106</v>
      </c>
    </row>
    <row r="6" spans="1:19">
      <c r="A6" t="s">
        <v>7</v>
      </c>
      <c r="B6" t="s">
        <v>22</v>
      </c>
      <c r="C6" s="1">
        <v>44635</v>
      </c>
      <c r="D6" t="s">
        <v>37</v>
      </c>
      <c r="E6" t="s">
        <v>52</v>
      </c>
      <c r="F6" t="s">
        <v>67</v>
      </c>
      <c r="G6" t="s">
        <v>77</v>
      </c>
      <c r="H6" t="s">
        <v>100</v>
      </c>
      <c r="I6" t="str" cm="1">
        <f t="array" ref="I6:K6">_xlfn.TEXTSPLIT(A6," ")</f>
        <v>Juan</v>
      </c>
      <c r="J6" t="str">
        <v>Pérez</v>
      </c>
      <c r="K6" t="str">
        <v>Rodríguez</v>
      </c>
      <c r="L6" t="s">
        <v>100</v>
      </c>
      <c r="M6" t="str">
        <f>_xlfn.CONCAT(J6," ",K6," ",I6)</f>
        <v>Pérez Rodríguez Juan</v>
      </c>
      <c r="N6" t="s">
        <v>100</v>
      </c>
      <c r="O6" t="str">
        <f>LOWER(M6)</f>
        <v>pérez rodríguez juan</v>
      </c>
      <c r="P6" t="s">
        <v>100</v>
      </c>
      <c r="Q6" t="str">
        <f>UPPER(M6)</f>
        <v>PÉREZ RODRÍGUEZ JUAN</v>
      </c>
      <c r="R6" t="s">
        <v>100</v>
      </c>
      <c r="S6" t="str">
        <f>PROPER(O6)</f>
        <v>Pérez Rodríguez Juan</v>
      </c>
    </row>
    <row r="7" spans="1:19">
      <c r="A7" t="s">
        <v>8</v>
      </c>
      <c r="B7" t="s">
        <v>23</v>
      </c>
      <c r="C7" s="1">
        <v>44035</v>
      </c>
      <c r="D7" t="s">
        <v>38</v>
      </c>
      <c r="E7" t="s">
        <v>53</v>
      </c>
      <c r="F7" t="s">
        <v>68</v>
      </c>
      <c r="G7" t="s">
        <v>78</v>
      </c>
      <c r="I7" t="str" cm="1">
        <f t="array" ref="I7:K7">_xlfn.TEXTSPLIT(A7," ")</f>
        <v>María</v>
      </c>
      <c r="J7" t="str">
        <v>Gómez</v>
      </c>
      <c r="K7" t="str">
        <v>Sánchez</v>
      </c>
      <c r="M7" t="str">
        <f t="shared" ref="M7:M20" si="0">_xlfn.CONCAT(J7," ",K7," ",I7)</f>
        <v>Gómez Sánchez María</v>
      </c>
      <c r="O7" t="str">
        <f t="shared" ref="O7:O20" si="1">LOWER(M7)</f>
        <v>gómez sánchez maría</v>
      </c>
      <c r="Q7" t="str">
        <f t="shared" ref="Q7:Q20" si="2">UPPER(M7)</f>
        <v>GÓMEZ SÁNCHEZ MARÍA</v>
      </c>
      <c r="S7" t="str">
        <f t="shared" ref="S7:S20" si="3">PROPER(O7)</f>
        <v>Gómez Sánchez María</v>
      </c>
    </row>
    <row r="8" spans="1:19">
      <c r="A8" t="s">
        <v>9</v>
      </c>
      <c r="B8" t="s">
        <v>24</v>
      </c>
      <c r="C8" s="1">
        <v>43770</v>
      </c>
      <c r="D8" t="s">
        <v>39</v>
      </c>
      <c r="E8" t="s">
        <v>54</v>
      </c>
      <c r="F8" t="s">
        <v>69</v>
      </c>
      <c r="G8" t="s">
        <v>79</v>
      </c>
      <c r="I8" t="str" cm="1">
        <f t="array" ref="I8:K8">_xlfn.TEXTSPLIT(A8," ")</f>
        <v>Luis</v>
      </c>
      <c r="J8" t="str">
        <v>Torres</v>
      </c>
      <c r="K8" t="str">
        <v>Quispe</v>
      </c>
      <c r="M8" t="str">
        <f t="shared" si="0"/>
        <v>Torres Quispe Luis</v>
      </c>
      <c r="O8" t="str">
        <f t="shared" si="1"/>
        <v>torres quispe luis</v>
      </c>
      <c r="Q8" t="str">
        <f t="shared" si="2"/>
        <v>TORRES QUISPE LUIS</v>
      </c>
      <c r="S8" t="str">
        <f t="shared" si="3"/>
        <v>Torres Quispe Luis</v>
      </c>
    </row>
    <row r="9" spans="1:19">
      <c r="A9" t="s">
        <v>10</v>
      </c>
      <c r="B9" t="s">
        <v>25</v>
      </c>
      <c r="C9" s="1">
        <v>44359</v>
      </c>
      <c r="D9" t="s">
        <v>40</v>
      </c>
      <c r="E9" t="s">
        <v>55</v>
      </c>
      <c r="F9" t="s">
        <v>70</v>
      </c>
      <c r="G9" t="s">
        <v>80</v>
      </c>
      <c r="I9" t="str" cm="1">
        <f t="array" ref="I9:K9">_xlfn.TEXTSPLIT(A9," ")</f>
        <v>Carla</v>
      </c>
      <c r="J9" t="str">
        <v>Fernández</v>
      </c>
      <c r="K9" t="str">
        <v>Huamán</v>
      </c>
      <c r="M9" t="str">
        <f t="shared" si="0"/>
        <v>Fernández Huamán Carla</v>
      </c>
      <c r="O9" t="str">
        <f t="shared" si="1"/>
        <v>fernández huamán carla</v>
      </c>
      <c r="Q9" t="str">
        <f t="shared" si="2"/>
        <v>FERNÁNDEZ HUAMÁN CARLA</v>
      </c>
      <c r="S9" t="str">
        <f t="shared" si="3"/>
        <v>Fernández Huamán Carla</v>
      </c>
    </row>
    <row r="10" spans="1:19">
      <c r="A10" t="s">
        <v>11</v>
      </c>
      <c r="B10" t="s">
        <v>26</v>
      </c>
      <c r="C10" s="1">
        <v>44931</v>
      </c>
      <c r="D10" t="s">
        <v>41</v>
      </c>
      <c r="E10" t="s">
        <v>56</v>
      </c>
      <c r="F10" t="s">
        <v>71</v>
      </c>
      <c r="G10" t="s">
        <v>81</v>
      </c>
      <c r="I10" t="str" cm="1">
        <f t="array" ref="I10:K10">_xlfn.TEXTSPLIT(A10," ")</f>
        <v>Pedro</v>
      </c>
      <c r="J10" t="str">
        <v>Ramos</v>
      </c>
      <c r="K10" t="str">
        <v>Vargas</v>
      </c>
      <c r="M10" t="str">
        <f t="shared" si="0"/>
        <v>Ramos Vargas Pedro</v>
      </c>
      <c r="O10" t="str">
        <f t="shared" si="1"/>
        <v>ramos vargas pedro</v>
      </c>
      <c r="Q10" t="str">
        <f t="shared" si="2"/>
        <v>RAMOS VARGAS PEDRO</v>
      </c>
      <c r="S10" t="str">
        <f t="shared" si="3"/>
        <v>Ramos Vargas Pedro</v>
      </c>
    </row>
    <row r="11" spans="1:19">
      <c r="A11" t="s">
        <v>12</v>
      </c>
      <c r="B11" t="s">
        <v>27</v>
      </c>
      <c r="C11" s="1">
        <v>44834</v>
      </c>
      <c r="D11" t="s">
        <v>42</v>
      </c>
      <c r="E11" t="s">
        <v>57</v>
      </c>
      <c r="F11" t="s">
        <v>72</v>
      </c>
      <c r="G11" t="s">
        <v>82</v>
      </c>
      <c r="I11" t="str" cm="1">
        <f t="array" ref="I11:K11">_xlfn.TEXTSPLIT(A11," ")</f>
        <v>Ana</v>
      </c>
      <c r="J11" t="str">
        <v>Castillo</v>
      </c>
      <c r="K11" t="str">
        <v>López</v>
      </c>
      <c r="M11" t="str">
        <f t="shared" si="0"/>
        <v>Castillo López Ana</v>
      </c>
      <c r="O11" t="str">
        <f t="shared" si="1"/>
        <v>castillo lópez ana</v>
      </c>
      <c r="Q11" t="str">
        <f t="shared" si="2"/>
        <v>CASTILLO LÓPEZ ANA</v>
      </c>
      <c r="S11" t="str">
        <f t="shared" si="3"/>
        <v>Castillo López Ana</v>
      </c>
    </row>
    <row r="12" spans="1:19">
      <c r="A12" t="s">
        <v>13</v>
      </c>
      <c r="B12" t="s">
        <v>28</v>
      </c>
      <c r="C12" s="1">
        <v>44544</v>
      </c>
      <c r="D12" t="s">
        <v>43</v>
      </c>
      <c r="E12" t="s">
        <v>58</v>
      </c>
      <c r="F12" t="s">
        <v>73</v>
      </c>
      <c r="G12" t="s">
        <v>83</v>
      </c>
      <c r="I12" t="str" cm="1">
        <f t="array" ref="I12:K12">_xlfn.TEXTSPLIT(A12," ")</f>
        <v>Martín</v>
      </c>
      <c r="J12" t="str">
        <v>Flores</v>
      </c>
      <c r="K12" t="str">
        <v>Ortiz</v>
      </c>
      <c r="M12" t="str">
        <f t="shared" si="0"/>
        <v>Flores Ortiz Martín</v>
      </c>
      <c r="O12" t="str">
        <f t="shared" si="1"/>
        <v>flores ortiz martín</v>
      </c>
      <c r="Q12" t="str">
        <f t="shared" si="2"/>
        <v>FLORES ORTIZ MARTÍN</v>
      </c>
      <c r="S12" t="str">
        <f t="shared" si="3"/>
        <v>Flores Ortiz Martín</v>
      </c>
    </row>
    <row r="13" spans="1:19">
      <c r="A13" t="s">
        <v>14</v>
      </c>
      <c r="B13" t="s">
        <v>29</v>
      </c>
      <c r="C13" s="1">
        <v>43880</v>
      </c>
      <c r="D13" t="s">
        <v>44</v>
      </c>
      <c r="E13" t="s">
        <v>59</v>
      </c>
      <c r="F13" t="s">
        <v>74</v>
      </c>
      <c r="G13" t="s">
        <v>84</v>
      </c>
      <c r="I13" t="str" cm="1">
        <f t="array" ref="I13:K13">_xlfn.TEXTSPLIT(A13," ")</f>
        <v>Sofía</v>
      </c>
      <c r="J13" t="str">
        <v>Rojas</v>
      </c>
      <c r="K13" t="str">
        <v>Delgado</v>
      </c>
      <c r="M13" t="str">
        <f t="shared" si="0"/>
        <v>Rojas Delgado Sofía</v>
      </c>
      <c r="O13" t="str">
        <f t="shared" si="1"/>
        <v>rojas delgado sofía</v>
      </c>
      <c r="Q13" t="str">
        <f t="shared" si="2"/>
        <v>ROJAS DELGADO SOFÍA</v>
      </c>
      <c r="S13" t="str">
        <f t="shared" si="3"/>
        <v>Rojas Delgado Sofía</v>
      </c>
    </row>
    <row r="14" spans="1:19">
      <c r="A14" t="s">
        <v>15</v>
      </c>
      <c r="B14" t="s">
        <v>30</v>
      </c>
      <c r="C14" s="1">
        <v>43685</v>
      </c>
      <c r="D14" t="s">
        <v>45</v>
      </c>
      <c r="E14" t="s">
        <v>60</v>
      </c>
      <c r="F14" t="s">
        <v>67</v>
      </c>
      <c r="G14" t="s">
        <v>85</v>
      </c>
      <c r="I14" t="str" cm="1">
        <f t="array" ref="I14:K14">_xlfn.TEXTSPLIT(A14," ")</f>
        <v>Diego</v>
      </c>
      <c r="J14" t="str">
        <v>Salazar</v>
      </c>
      <c r="K14" t="str">
        <v>Pérez</v>
      </c>
      <c r="M14" t="str">
        <f t="shared" si="0"/>
        <v>Salazar Pérez Diego</v>
      </c>
      <c r="O14" t="str">
        <f t="shared" si="1"/>
        <v>salazar pérez diego</v>
      </c>
      <c r="Q14" t="str">
        <f t="shared" si="2"/>
        <v>SALAZAR PÉREZ DIEGO</v>
      </c>
      <c r="S14" t="str">
        <f t="shared" si="3"/>
        <v>Salazar Pérez Diego</v>
      </c>
    </row>
    <row r="15" spans="1:19">
      <c r="A15" t="s">
        <v>16</v>
      </c>
      <c r="B15" t="s">
        <v>31</v>
      </c>
      <c r="C15" s="1">
        <v>44496</v>
      </c>
      <c r="D15" t="s">
        <v>46</v>
      </c>
      <c r="E15" t="s">
        <v>61</v>
      </c>
      <c r="F15" t="s">
        <v>75</v>
      </c>
      <c r="G15" t="s">
        <v>86</v>
      </c>
      <c r="I15" t="str" cm="1">
        <f t="array" ref="I15:K15">_xlfn.TEXTSPLIT(A15," ")</f>
        <v>Rosa</v>
      </c>
      <c r="J15" t="str">
        <v>Vargas</v>
      </c>
      <c r="K15" t="str">
        <v>Chuquihuanca</v>
      </c>
      <c r="M15" t="str">
        <f t="shared" si="0"/>
        <v>Vargas Chuquihuanca Rosa</v>
      </c>
      <c r="O15" t="str">
        <f t="shared" si="1"/>
        <v>vargas chuquihuanca rosa</v>
      </c>
      <c r="Q15" t="str">
        <f t="shared" si="2"/>
        <v>VARGAS CHUQUIHUANCA ROSA</v>
      </c>
      <c r="S15" t="str">
        <f t="shared" si="3"/>
        <v>Vargas Chuquihuanca Rosa</v>
      </c>
    </row>
    <row r="16" spans="1:19">
      <c r="A16" t="s">
        <v>17</v>
      </c>
      <c r="B16" t="s">
        <v>32</v>
      </c>
      <c r="C16" s="1">
        <v>44667</v>
      </c>
      <c r="D16" t="s">
        <v>47</v>
      </c>
      <c r="E16" t="s">
        <v>62</v>
      </c>
      <c r="F16" t="s">
        <v>76</v>
      </c>
      <c r="G16" t="s">
        <v>87</v>
      </c>
      <c r="I16" t="str" cm="1">
        <f t="array" ref="I16:K16">_xlfn.TEXTSPLIT(A16," ")</f>
        <v>Javier</v>
      </c>
      <c r="J16" t="str">
        <v>López</v>
      </c>
      <c r="K16" t="str">
        <v>Ramírez</v>
      </c>
      <c r="M16" t="str">
        <f t="shared" si="0"/>
        <v>López Ramírez Javier</v>
      </c>
      <c r="O16" t="str">
        <f t="shared" si="1"/>
        <v>lópez ramírez javier</v>
      </c>
      <c r="Q16" t="str">
        <f t="shared" si="2"/>
        <v>LÓPEZ RAMÍREZ JAVIER</v>
      </c>
      <c r="S16" t="str">
        <f t="shared" si="3"/>
        <v>López Ramírez Javier</v>
      </c>
    </row>
    <row r="17" spans="1:19">
      <c r="A17" t="s">
        <v>18</v>
      </c>
      <c r="B17" t="s">
        <v>33</v>
      </c>
      <c r="C17" s="1">
        <v>44986</v>
      </c>
      <c r="D17" t="s">
        <v>48</v>
      </c>
      <c r="E17" t="s">
        <v>63</v>
      </c>
      <c r="F17" t="s">
        <v>68</v>
      </c>
      <c r="G17" t="s">
        <v>88</v>
      </c>
      <c r="I17" t="str" cm="1">
        <f t="array" ref="I17:K17">_xlfn.TEXTSPLIT(A17," ")</f>
        <v>Daniela</v>
      </c>
      <c r="J17" t="str">
        <v>Sánchez</v>
      </c>
      <c r="K17" t="str">
        <v>Vega</v>
      </c>
      <c r="M17" t="str">
        <f t="shared" si="0"/>
        <v>Sánchez Vega Daniela</v>
      </c>
      <c r="O17" t="str">
        <f t="shared" si="1"/>
        <v>sánchez vega daniela</v>
      </c>
      <c r="Q17" t="str">
        <f t="shared" si="2"/>
        <v>SÁNCHEZ VEGA DANIELA</v>
      </c>
      <c r="S17" t="str">
        <f t="shared" si="3"/>
        <v>Sánchez Vega Daniela</v>
      </c>
    </row>
    <row r="18" spans="1:19">
      <c r="A18" t="s">
        <v>19</v>
      </c>
      <c r="B18" t="s">
        <v>34</v>
      </c>
      <c r="C18" s="1">
        <v>43993</v>
      </c>
      <c r="D18" t="s">
        <v>49</v>
      </c>
      <c r="E18" t="s">
        <v>64</v>
      </c>
      <c r="F18" t="s">
        <v>70</v>
      </c>
      <c r="G18" t="s">
        <v>89</v>
      </c>
      <c r="I18" t="str" cm="1">
        <f t="array" ref="I18:K18">_xlfn.TEXTSPLIT(A18," ")</f>
        <v>Francisco</v>
      </c>
      <c r="J18" t="str">
        <v>Aguilar</v>
      </c>
      <c r="K18" t="str">
        <v>Mendoza</v>
      </c>
      <c r="M18" t="str">
        <f t="shared" si="0"/>
        <v>Aguilar Mendoza Francisco</v>
      </c>
      <c r="O18" t="str">
        <f t="shared" si="1"/>
        <v>aguilar mendoza francisco</v>
      </c>
      <c r="Q18" t="str">
        <f t="shared" si="2"/>
        <v>AGUILAR MENDOZA FRANCISCO</v>
      </c>
      <c r="S18" t="str">
        <f t="shared" si="3"/>
        <v>Aguilar Mendoza Francisco</v>
      </c>
    </row>
    <row r="19" spans="1:19">
      <c r="A19" t="s">
        <v>20</v>
      </c>
      <c r="B19" t="s">
        <v>35</v>
      </c>
      <c r="C19" s="1">
        <v>44428</v>
      </c>
      <c r="D19" t="s">
        <v>50</v>
      </c>
      <c r="E19" t="s">
        <v>65</v>
      </c>
      <c r="F19" t="s">
        <v>69</v>
      </c>
      <c r="G19" t="s">
        <v>90</v>
      </c>
      <c r="I19" t="str" cm="1">
        <f t="array" ref="I19:K19">_xlfn.TEXTSPLIT(A19," ")</f>
        <v>Elena</v>
      </c>
      <c r="J19" t="str">
        <v>Huerta</v>
      </c>
      <c r="K19" t="str">
        <v>Córdova</v>
      </c>
      <c r="M19" t="str">
        <f t="shared" si="0"/>
        <v>Huerta Córdova Elena</v>
      </c>
      <c r="O19" t="str">
        <f t="shared" si="1"/>
        <v>huerta córdova elena</v>
      </c>
      <c r="Q19" t="str">
        <f t="shared" si="2"/>
        <v>HUERTA CÓRDOVA ELENA</v>
      </c>
      <c r="S19" t="str">
        <f t="shared" si="3"/>
        <v>Huerta Córdova Elena</v>
      </c>
    </row>
    <row r="20" spans="1:19">
      <c r="A20" t="s">
        <v>21</v>
      </c>
      <c r="B20" t="s">
        <v>36</v>
      </c>
      <c r="C20" s="1">
        <v>43763</v>
      </c>
      <c r="D20" t="s">
        <v>51</v>
      </c>
      <c r="E20" t="s">
        <v>66</v>
      </c>
      <c r="F20" t="s">
        <v>67</v>
      </c>
      <c r="G20" t="s">
        <v>91</v>
      </c>
      <c r="I20" t="str" cm="1">
        <f t="array" ref="I20:K20">_xlfn.TEXTSPLIT(A20," ")</f>
        <v>Ricardo</v>
      </c>
      <c r="J20" t="str">
        <v>Quispe</v>
      </c>
      <c r="K20" t="str">
        <v>Gutiérrez</v>
      </c>
      <c r="M20" t="str">
        <f t="shared" si="0"/>
        <v>Quispe Gutiérrez Ricardo</v>
      </c>
      <c r="O20" t="str">
        <f t="shared" si="1"/>
        <v>quispe gutiérrez ricardo</v>
      </c>
      <c r="Q20" t="str">
        <f t="shared" si="2"/>
        <v>QUISPE GUTIÉRREZ RICARDO</v>
      </c>
      <c r="S20" t="str">
        <f t="shared" si="3"/>
        <v>Quispe Gutiérrez Ricardo</v>
      </c>
    </row>
  </sheetData>
  <mergeCells count="1">
    <mergeCell ref="B2:J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6C4B0-B2CC-4AA2-A546-F0E72BCC51DA}">
  <dimension ref="A1:N20"/>
  <sheetViews>
    <sheetView topLeftCell="C1" zoomScale="110" zoomScaleNormal="110" workbookViewId="0">
      <selection activeCell="M6" sqref="M6"/>
    </sheetView>
  </sheetViews>
  <sheetFormatPr baseColWidth="10" defaultColWidth="8.88671875" defaultRowHeight="14.4"/>
  <cols>
    <col min="1" max="1" width="23.88671875" bestFit="1" customWidth="1"/>
    <col min="2" max="2" width="29.109375" bestFit="1" customWidth="1"/>
    <col min="3" max="3" width="19.33203125" bestFit="1" customWidth="1"/>
    <col min="4" max="4" width="7.6640625" bestFit="1" customWidth="1"/>
    <col min="5" max="5" width="21.5546875" bestFit="1" customWidth="1"/>
    <col min="6" max="6" width="9.33203125" bestFit="1" customWidth="1"/>
    <col min="7" max="7" width="11" bestFit="1" customWidth="1"/>
    <col min="9" max="11" width="24.6640625" customWidth="1"/>
    <col min="13" max="13" width="14.77734375" bestFit="1" customWidth="1"/>
    <col min="14" max="14" width="13.109375" bestFit="1" customWidth="1"/>
  </cols>
  <sheetData>
    <row r="1" spans="1:14">
      <c r="A1" s="2"/>
      <c r="B1" s="2"/>
      <c r="C1" s="2"/>
      <c r="D1" s="2"/>
      <c r="E1" s="2"/>
      <c r="F1" s="2"/>
      <c r="G1" s="2"/>
      <c r="H1" s="2"/>
    </row>
    <row r="2" spans="1:14" ht="21">
      <c r="A2" s="2"/>
      <c r="B2" s="27" t="s">
        <v>92</v>
      </c>
      <c r="C2" s="27"/>
      <c r="D2" s="27"/>
      <c r="E2" s="27"/>
      <c r="F2" s="27"/>
      <c r="G2" s="27"/>
      <c r="H2" s="2"/>
    </row>
    <row r="3" spans="1:14">
      <c r="A3" s="2"/>
      <c r="B3" s="2"/>
      <c r="C3" s="2"/>
      <c r="D3" s="2"/>
      <c r="E3" s="2"/>
      <c r="F3" s="2"/>
      <c r="G3" s="2"/>
      <c r="H3" s="2"/>
    </row>
    <row r="5" spans="1:14">
      <c r="A5" s="4" t="s">
        <v>0</v>
      </c>
      <c r="B5" s="4" t="s">
        <v>1</v>
      </c>
      <c r="C5" s="4" t="s">
        <v>2</v>
      </c>
      <c r="D5" s="4" t="s">
        <v>3</v>
      </c>
      <c r="E5" s="4" t="s">
        <v>4</v>
      </c>
      <c r="F5" s="4" t="s">
        <v>5</v>
      </c>
      <c r="G5" s="4" t="s">
        <v>6</v>
      </c>
      <c r="I5" s="5" t="s">
        <v>93</v>
      </c>
      <c r="J5" s="5" t="s">
        <v>94</v>
      </c>
      <c r="K5" s="5" t="s">
        <v>95</v>
      </c>
      <c r="M5" s="7" t="s">
        <v>107</v>
      </c>
      <c r="N5" s="7" t="s">
        <v>108</v>
      </c>
    </row>
    <row r="6" spans="1:14">
      <c r="A6" t="s">
        <v>7</v>
      </c>
      <c r="B6" t="s">
        <v>22</v>
      </c>
      <c r="C6" s="1">
        <v>44635</v>
      </c>
      <c r="D6" t="s">
        <v>37</v>
      </c>
      <c r="E6" t="s">
        <v>52</v>
      </c>
      <c r="F6" t="s">
        <v>67</v>
      </c>
      <c r="G6" t="s">
        <v>77</v>
      </c>
      <c r="H6" t="s">
        <v>99</v>
      </c>
    </row>
    <row r="7" spans="1:14">
      <c r="A7" t="s">
        <v>8</v>
      </c>
      <c r="B7" t="s">
        <v>23</v>
      </c>
      <c r="C7" s="1">
        <v>44035</v>
      </c>
      <c r="D7" t="s">
        <v>38</v>
      </c>
      <c r="E7" t="s">
        <v>53</v>
      </c>
      <c r="F7" t="s">
        <v>68</v>
      </c>
      <c r="G7" t="s">
        <v>78</v>
      </c>
    </row>
    <row r="8" spans="1:14">
      <c r="A8" t="s">
        <v>9</v>
      </c>
      <c r="B8" t="s">
        <v>24</v>
      </c>
      <c r="C8" s="1">
        <v>43770</v>
      </c>
      <c r="D8" t="s">
        <v>39</v>
      </c>
      <c r="E8" t="s">
        <v>54</v>
      </c>
      <c r="F8" t="s">
        <v>69</v>
      </c>
      <c r="G8" t="s">
        <v>79</v>
      </c>
    </row>
    <row r="9" spans="1:14">
      <c r="A9" t="s">
        <v>10</v>
      </c>
      <c r="B9" t="s">
        <v>25</v>
      </c>
      <c r="C9" s="1">
        <v>44359</v>
      </c>
      <c r="D9" t="s">
        <v>40</v>
      </c>
      <c r="E9" t="s">
        <v>55</v>
      </c>
      <c r="F9" t="s">
        <v>70</v>
      </c>
      <c r="G9" t="s">
        <v>80</v>
      </c>
    </row>
    <row r="10" spans="1:14">
      <c r="A10" t="s">
        <v>11</v>
      </c>
      <c r="B10" t="s">
        <v>26</v>
      </c>
      <c r="C10" s="1">
        <v>44931</v>
      </c>
      <c r="D10" t="s">
        <v>41</v>
      </c>
      <c r="E10" t="s">
        <v>56</v>
      </c>
      <c r="F10" t="s">
        <v>71</v>
      </c>
      <c r="G10" t="s">
        <v>81</v>
      </c>
    </row>
    <row r="11" spans="1:14">
      <c r="A11" t="s">
        <v>12</v>
      </c>
      <c r="B11" t="s">
        <v>27</v>
      </c>
      <c r="C11" s="1">
        <v>44834</v>
      </c>
      <c r="D11" t="s">
        <v>42</v>
      </c>
      <c r="E11" t="s">
        <v>57</v>
      </c>
      <c r="F11" t="s">
        <v>72</v>
      </c>
      <c r="G11" t="s">
        <v>82</v>
      </c>
    </row>
    <row r="12" spans="1:14">
      <c r="A12" t="s">
        <v>13</v>
      </c>
      <c r="B12" t="s">
        <v>28</v>
      </c>
      <c r="C12" s="1">
        <v>44544</v>
      </c>
      <c r="D12" t="s">
        <v>43</v>
      </c>
      <c r="E12" t="s">
        <v>58</v>
      </c>
      <c r="F12" t="s">
        <v>73</v>
      </c>
      <c r="G12" t="s">
        <v>83</v>
      </c>
    </row>
    <row r="13" spans="1:14">
      <c r="A13" t="s">
        <v>14</v>
      </c>
      <c r="B13" t="s">
        <v>29</v>
      </c>
      <c r="C13" s="1">
        <v>43880</v>
      </c>
      <c r="D13" t="s">
        <v>44</v>
      </c>
      <c r="E13" t="s">
        <v>59</v>
      </c>
      <c r="F13" t="s">
        <v>74</v>
      </c>
      <c r="G13" t="s">
        <v>84</v>
      </c>
    </row>
    <row r="14" spans="1:14">
      <c r="A14" t="s">
        <v>15</v>
      </c>
      <c r="B14" t="s">
        <v>30</v>
      </c>
      <c r="C14" s="1">
        <v>43685</v>
      </c>
      <c r="D14" t="s">
        <v>45</v>
      </c>
      <c r="E14" t="s">
        <v>60</v>
      </c>
      <c r="F14" t="s">
        <v>67</v>
      </c>
      <c r="G14" t="s">
        <v>85</v>
      </c>
    </row>
    <row r="15" spans="1:14">
      <c r="A15" t="s">
        <v>16</v>
      </c>
      <c r="B15" t="s">
        <v>31</v>
      </c>
      <c r="C15" s="1">
        <v>44496</v>
      </c>
      <c r="D15" t="s">
        <v>46</v>
      </c>
      <c r="E15" t="s">
        <v>61</v>
      </c>
      <c r="F15" t="s">
        <v>75</v>
      </c>
      <c r="G15" t="s">
        <v>86</v>
      </c>
    </row>
    <row r="16" spans="1:14">
      <c r="A16" t="s">
        <v>17</v>
      </c>
      <c r="B16" t="s">
        <v>32</v>
      </c>
      <c r="C16" s="1">
        <v>44667</v>
      </c>
      <c r="D16" t="s">
        <v>47</v>
      </c>
      <c r="E16" t="s">
        <v>62</v>
      </c>
      <c r="F16" t="s">
        <v>76</v>
      </c>
      <c r="G16" t="s">
        <v>87</v>
      </c>
    </row>
    <row r="17" spans="1:7">
      <c r="A17" t="s">
        <v>18</v>
      </c>
      <c r="B17" t="s">
        <v>33</v>
      </c>
      <c r="C17" s="1">
        <v>44986</v>
      </c>
      <c r="D17" t="s">
        <v>48</v>
      </c>
      <c r="E17" t="s">
        <v>63</v>
      </c>
      <c r="F17" t="s">
        <v>68</v>
      </c>
      <c r="G17" t="s">
        <v>88</v>
      </c>
    </row>
    <row r="18" spans="1:7">
      <c r="A18" t="s">
        <v>19</v>
      </c>
      <c r="B18" t="s">
        <v>34</v>
      </c>
      <c r="C18" s="1">
        <v>43993</v>
      </c>
      <c r="D18" t="s">
        <v>49</v>
      </c>
      <c r="E18" t="s">
        <v>64</v>
      </c>
      <c r="F18" t="s">
        <v>70</v>
      </c>
      <c r="G18" t="s">
        <v>89</v>
      </c>
    </row>
    <row r="19" spans="1:7">
      <c r="A19" t="s">
        <v>20</v>
      </c>
      <c r="B19" t="s">
        <v>35</v>
      </c>
      <c r="C19" s="1">
        <v>44428</v>
      </c>
      <c r="D19" t="s">
        <v>50</v>
      </c>
      <c r="E19" t="s">
        <v>65</v>
      </c>
      <c r="F19" t="s">
        <v>69</v>
      </c>
      <c r="G19" t="s">
        <v>90</v>
      </c>
    </row>
    <row r="20" spans="1:7">
      <c r="A20" t="s">
        <v>21</v>
      </c>
      <c r="B20" t="s">
        <v>36</v>
      </c>
      <c r="C20" s="1">
        <v>43763</v>
      </c>
      <c r="D20" t="s">
        <v>51</v>
      </c>
      <c r="E20" t="s">
        <v>66</v>
      </c>
      <c r="F20" t="s">
        <v>67</v>
      </c>
      <c r="G20" t="s">
        <v>91</v>
      </c>
    </row>
  </sheetData>
  <mergeCells count="1">
    <mergeCell ref="B2:G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B5813-9841-42C6-9A54-35344C44BDF7}">
  <dimension ref="A1:H20"/>
  <sheetViews>
    <sheetView topLeftCell="A4" zoomScale="150" zoomScaleNormal="150" workbookViewId="0">
      <selection activeCell="I12" sqref="I12"/>
    </sheetView>
  </sheetViews>
  <sheetFormatPr baseColWidth="10" defaultRowHeight="14.4"/>
  <cols>
    <col min="1" max="1" width="18" bestFit="1" customWidth="1"/>
    <col min="2" max="2" width="19.77734375" bestFit="1" customWidth="1"/>
    <col min="4" max="4" width="16" bestFit="1" customWidth="1"/>
    <col min="5" max="5" width="11.5546875" customWidth="1"/>
  </cols>
  <sheetData>
    <row r="1" spans="1:8">
      <c r="A1" s="2"/>
      <c r="B1" s="2"/>
      <c r="C1" s="2"/>
      <c r="D1" s="2"/>
      <c r="E1" s="2"/>
      <c r="F1" s="2"/>
      <c r="G1" s="2"/>
    </row>
    <row r="2" spans="1:8" ht="21">
      <c r="A2" s="2"/>
      <c r="B2" s="27" t="s">
        <v>92</v>
      </c>
      <c r="C2" s="27"/>
      <c r="D2" s="27"/>
      <c r="E2" s="27"/>
      <c r="F2" s="27"/>
      <c r="G2" s="27"/>
    </row>
    <row r="3" spans="1:8">
      <c r="A3" s="2"/>
      <c r="B3" s="2"/>
      <c r="C3" s="2"/>
      <c r="D3" s="2"/>
      <c r="E3" s="2"/>
      <c r="F3" s="2"/>
      <c r="G3" s="2"/>
    </row>
    <row r="5" spans="1:8">
      <c r="A5" s="4" t="s">
        <v>109</v>
      </c>
      <c r="B5" s="4" t="s">
        <v>110</v>
      </c>
      <c r="D5" s="4" t="s">
        <v>141</v>
      </c>
      <c r="E5" s="4" t="s">
        <v>142</v>
      </c>
      <c r="F5" s="4" t="s">
        <v>143</v>
      </c>
      <c r="H5" s="4" t="s">
        <v>142</v>
      </c>
    </row>
    <row r="6" spans="1:8">
      <c r="A6" t="s">
        <v>111</v>
      </c>
      <c r="B6" t="s">
        <v>112</v>
      </c>
      <c r="C6" t="s">
        <v>99</v>
      </c>
      <c r="D6" t="str">
        <f>LEFT(B6,7)</f>
        <v>SKU-001</v>
      </c>
      <c r="E6" t="str">
        <f>RIGHT(B6,8)</f>
        <v>20240601</v>
      </c>
      <c r="F6" t="str">
        <f>MID(B6,9,2)</f>
        <v>PR</v>
      </c>
      <c r="H6" s="9">
        <v>45444</v>
      </c>
    </row>
    <row r="7" spans="1:8">
      <c r="A7" t="s">
        <v>113</v>
      </c>
      <c r="B7" t="s">
        <v>114</v>
      </c>
      <c r="D7" t="str">
        <f t="shared" ref="D7:D20" si="0">LEFT(B7,7)</f>
        <v>SKU-002</v>
      </c>
      <c r="E7" t="str">
        <f t="shared" ref="E7:E20" si="1">RIGHT(B7,8)</f>
        <v>20240602</v>
      </c>
      <c r="F7" t="str">
        <f t="shared" ref="F7:F20" si="2">MID(B7,9,2)</f>
        <v>PR</v>
      </c>
      <c r="H7" s="9">
        <v>45445</v>
      </c>
    </row>
    <row r="8" spans="1:8">
      <c r="A8" t="s">
        <v>115</v>
      </c>
      <c r="B8" t="s">
        <v>116</v>
      </c>
      <c r="D8" t="str">
        <f t="shared" si="0"/>
        <v>SKU-003</v>
      </c>
      <c r="E8" t="str">
        <f t="shared" si="1"/>
        <v>20240603</v>
      </c>
      <c r="F8" t="str">
        <f t="shared" si="2"/>
        <v>PR</v>
      </c>
      <c r="H8" s="9">
        <v>45446</v>
      </c>
    </row>
    <row r="9" spans="1:8">
      <c r="A9" t="s">
        <v>117</v>
      </c>
      <c r="B9" t="s">
        <v>118</v>
      </c>
      <c r="D9" t="str">
        <f t="shared" si="0"/>
        <v>SKU-004</v>
      </c>
      <c r="E9" t="str">
        <f t="shared" si="1"/>
        <v>20240604</v>
      </c>
      <c r="F9" t="str">
        <f t="shared" si="2"/>
        <v>PR</v>
      </c>
      <c r="H9" s="9">
        <v>45447</v>
      </c>
    </row>
    <row r="10" spans="1:8">
      <c r="A10" t="s">
        <v>119</v>
      </c>
      <c r="B10" t="s">
        <v>120</v>
      </c>
      <c r="D10" t="str">
        <f t="shared" si="0"/>
        <v>SKU-005</v>
      </c>
      <c r="E10" t="str">
        <f t="shared" si="1"/>
        <v>20240605</v>
      </c>
      <c r="F10" t="str">
        <f t="shared" si="2"/>
        <v>PR</v>
      </c>
      <c r="H10" s="9">
        <v>45448</v>
      </c>
    </row>
    <row r="11" spans="1:8">
      <c r="A11" t="s">
        <v>121</v>
      </c>
      <c r="B11" t="s">
        <v>122</v>
      </c>
      <c r="D11" t="str">
        <f t="shared" si="0"/>
        <v>SKU-006</v>
      </c>
      <c r="E11" t="str">
        <f t="shared" si="1"/>
        <v>20240606</v>
      </c>
      <c r="F11" t="str">
        <f t="shared" si="2"/>
        <v>VR</v>
      </c>
      <c r="H11" s="9">
        <v>45449</v>
      </c>
    </row>
    <row r="12" spans="1:8">
      <c r="A12" t="s">
        <v>123</v>
      </c>
      <c r="B12" t="s">
        <v>124</v>
      </c>
      <c r="D12" t="str">
        <f t="shared" si="0"/>
        <v>SKU-007</v>
      </c>
      <c r="E12" t="str">
        <f t="shared" si="1"/>
        <v>20240607</v>
      </c>
      <c r="F12" t="str">
        <f t="shared" si="2"/>
        <v>VR</v>
      </c>
      <c r="H12" s="9">
        <v>45450</v>
      </c>
    </row>
    <row r="13" spans="1:8">
      <c r="A13" t="s">
        <v>125</v>
      </c>
      <c r="B13" t="s">
        <v>126</v>
      </c>
      <c r="D13" t="str">
        <f t="shared" si="0"/>
        <v>SKU-008</v>
      </c>
      <c r="E13" t="str">
        <f t="shared" si="1"/>
        <v>20240608</v>
      </c>
      <c r="F13" t="str">
        <f t="shared" si="2"/>
        <v>VR</v>
      </c>
      <c r="H13" s="9">
        <v>45451</v>
      </c>
    </row>
    <row r="14" spans="1:8">
      <c r="A14" t="s">
        <v>127</v>
      </c>
      <c r="B14" t="s">
        <v>128</v>
      </c>
      <c r="D14" t="str">
        <f t="shared" si="0"/>
        <v>SKU-009</v>
      </c>
      <c r="E14" t="str">
        <f t="shared" si="1"/>
        <v>20240609</v>
      </c>
      <c r="F14" t="str">
        <f t="shared" si="2"/>
        <v>VR</v>
      </c>
      <c r="H14" s="9">
        <v>45452</v>
      </c>
    </row>
    <row r="15" spans="1:8">
      <c r="A15" t="s">
        <v>129</v>
      </c>
      <c r="B15" t="s">
        <v>130</v>
      </c>
      <c r="D15" t="str">
        <f t="shared" si="0"/>
        <v>SKU-010</v>
      </c>
      <c r="E15" t="str">
        <f t="shared" si="1"/>
        <v>20240610</v>
      </c>
      <c r="F15" t="str">
        <f t="shared" si="2"/>
        <v>VR</v>
      </c>
      <c r="H15" s="9">
        <v>45453</v>
      </c>
    </row>
    <row r="16" spans="1:8">
      <c r="A16" t="s">
        <v>131</v>
      </c>
      <c r="B16" t="s">
        <v>132</v>
      </c>
      <c r="D16" t="str">
        <f t="shared" si="0"/>
        <v>SKU-011</v>
      </c>
      <c r="E16" t="str">
        <f t="shared" si="1"/>
        <v>20240611</v>
      </c>
      <c r="F16" t="str">
        <f t="shared" si="2"/>
        <v>OT</v>
      </c>
      <c r="H16" s="9">
        <v>45454</v>
      </c>
    </row>
    <row r="17" spans="1:8">
      <c r="A17" t="s">
        <v>133</v>
      </c>
      <c r="B17" t="s">
        <v>134</v>
      </c>
      <c r="D17" t="str">
        <f t="shared" si="0"/>
        <v>SKU-012</v>
      </c>
      <c r="E17" t="str">
        <f t="shared" si="1"/>
        <v>20240612</v>
      </c>
      <c r="F17" t="str">
        <f t="shared" si="2"/>
        <v>OT</v>
      </c>
      <c r="H17" s="9">
        <v>45455</v>
      </c>
    </row>
    <row r="18" spans="1:8">
      <c r="A18" t="s">
        <v>135</v>
      </c>
      <c r="B18" t="s">
        <v>136</v>
      </c>
      <c r="D18" t="str">
        <f t="shared" si="0"/>
        <v>SKU-013</v>
      </c>
      <c r="E18" t="str">
        <f t="shared" si="1"/>
        <v>20240613</v>
      </c>
      <c r="F18" t="str">
        <f t="shared" si="2"/>
        <v>OT</v>
      </c>
      <c r="H18" s="9">
        <v>45456</v>
      </c>
    </row>
    <row r="19" spans="1:8">
      <c r="A19" t="s">
        <v>137</v>
      </c>
      <c r="B19" t="s">
        <v>138</v>
      </c>
      <c r="D19" t="str">
        <f t="shared" si="0"/>
        <v>SKU-014</v>
      </c>
      <c r="E19" t="str">
        <f t="shared" si="1"/>
        <v>20240614</v>
      </c>
      <c r="F19" t="str">
        <f t="shared" si="2"/>
        <v>OT</v>
      </c>
      <c r="H19" s="9">
        <v>45457</v>
      </c>
    </row>
    <row r="20" spans="1:8">
      <c r="A20" t="s">
        <v>139</v>
      </c>
      <c r="B20" t="s">
        <v>140</v>
      </c>
      <c r="D20" t="str">
        <f t="shared" si="0"/>
        <v>SKU-015</v>
      </c>
      <c r="E20" t="str">
        <f t="shared" si="1"/>
        <v>20240615</v>
      </c>
      <c r="F20" t="str">
        <f t="shared" si="2"/>
        <v>OT</v>
      </c>
      <c r="H20" s="9">
        <v>45458</v>
      </c>
    </row>
  </sheetData>
  <mergeCells count="1">
    <mergeCell ref="B2:G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6CDDD-9A5F-4227-A022-80002554E144}">
  <dimension ref="A1:Q38"/>
  <sheetViews>
    <sheetView topLeftCell="B1" workbookViewId="0">
      <selection activeCell="O17" sqref="O17"/>
    </sheetView>
  </sheetViews>
  <sheetFormatPr baseColWidth="10" defaultRowHeight="14.4"/>
  <cols>
    <col min="1" max="1" width="20.44140625" bestFit="1" customWidth="1"/>
    <col min="2" max="2" width="13.77734375" bestFit="1" customWidth="1"/>
    <col min="3" max="3" width="11.88671875" customWidth="1"/>
    <col min="4" max="4" width="12.77734375" bestFit="1" customWidth="1"/>
    <col min="8" max="8" width="15.44140625" customWidth="1"/>
    <col min="9" max="9" width="13.77734375" bestFit="1" customWidth="1"/>
    <col min="11" max="11" width="12.77734375" bestFit="1" customWidth="1"/>
  </cols>
  <sheetData>
    <row r="1" spans="1:17" ht="31.2">
      <c r="B1" s="28" t="s">
        <v>307</v>
      </c>
      <c r="C1" s="28"/>
      <c r="D1" s="28"/>
      <c r="E1" s="28"/>
      <c r="F1" s="28"/>
      <c r="G1" s="28"/>
      <c r="H1" s="28"/>
      <c r="I1" s="28"/>
      <c r="J1" s="28"/>
      <c r="K1" s="28"/>
      <c r="L1" s="28"/>
    </row>
    <row r="3" spans="1:17" ht="21">
      <c r="A3" s="25" t="s">
        <v>295</v>
      </c>
      <c r="H3" s="25" t="s">
        <v>297</v>
      </c>
    </row>
    <row r="4" spans="1:17">
      <c r="A4" s="26" t="s">
        <v>296</v>
      </c>
      <c r="H4" s="26" t="s">
        <v>298</v>
      </c>
    </row>
    <row r="6" spans="1:17">
      <c r="A6" s="22" t="s">
        <v>157</v>
      </c>
      <c r="B6" s="22" t="s">
        <v>293</v>
      </c>
      <c r="C6" s="23" t="s">
        <v>292</v>
      </c>
      <c r="D6" s="23" t="s">
        <v>294</v>
      </c>
      <c r="H6" s="22" t="s">
        <v>157</v>
      </c>
      <c r="I6" s="22" t="s">
        <v>293</v>
      </c>
      <c r="J6" s="23" t="s">
        <v>292</v>
      </c>
      <c r="K6" s="23" t="s">
        <v>294</v>
      </c>
    </row>
    <row r="7" spans="1:17" ht="26.4">
      <c r="A7" s="24" t="s">
        <v>288</v>
      </c>
      <c r="B7">
        <f>LEN(A7)</f>
        <v>21</v>
      </c>
      <c r="C7" t="str">
        <f>TRIM(A7)</f>
        <v>Mike Ramirez</v>
      </c>
      <c r="D7">
        <f>LEN(C7)</f>
        <v>12</v>
      </c>
      <c r="H7" s="15" t="str">
        <f>"Hola"&amp;CHAR(10)&amp;"Mundo"</f>
        <v>Hola
Mundo</v>
      </c>
      <c r="I7">
        <f>LEN(H7)</f>
        <v>10</v>
      </c>
      <c r="J7" t="str">
        <f>CLEAN(H7)</f>
        <v>HolaMundo</v>
      </c>
      <c r="K7">
        <f>LEN(J7)</f>
        <v>9</v>
      </c>
      <c r="P7" t="str">
        <f>CLEAN(Q7)</f>
        <v>1</v>
      </c>
      <c r="Q7" t="str" cm="1">
        <f t="array" ref="Q7:Q38">_xlfn.SEQUENCE(32)&amp;CHAR(_xlfn.SEQUENCE(32))</f>
        <v>1_x0001_</v>
      </c>
    </row>
    <row r="8" spans="1:17">
      <c r="A8" s="24" t="s">
        <v>289</v>
      </c>
      <c r="B8">
        <f t="shared" ref="B8:B10" si="0">LEN(A8)</f>
        <v>19</v>
      </c>
      <c r="C8" t="str">
        <f t="shared" ref="C8:C10" si="1">TRIM(A8)</f>
        <v>Mike Ramirez</v>
      </c>
      <c r="D8">
        <f t="shared" ref="D8:D10" si="2">LEN(C8)</f>
        <v>12</v>
      </c>
      <c r="H8" s="15" t="str">
        <f>"Hola"&amp;CHAR(12)&amp;"Mundo"</f>
        <v>Hola_x000C_Mundo</v>
      </c>
      <c r="I8">
        <f t="shared" ref="I8:I10" si="3">LEN(H8)</f>
        <v>10</v>
      </c>
      <c r="J8" t="str">
        <f t="shared" ref="J8:J10" si="4">CLEAN(H8)</f>
        <v>HolaMundo</v>
      </c>
      <c r="K8">
        <f t="shared" ref="K8:K10" si="5">LEN(J8)</f>
        <v>9</v>
      </c>
      <c r="P8" t="str">
        <f t="shared" ref="P8:P38" si="6">CLEAN(Q8)</f>
        <v>2</v>
      </c>
      <c r="Q8" t="str">
        <v>2_x0002_</v>
      </c>
    </row>
    <row r="9" spans="1:17">
      <c r="A9" s="24" t="s">
        <v>290</v>
      </c>
      <c r="B9">
        <f t="shared" si="0"/>
        <v>21</v>
      </c>
      <c r="C9" t="str">
        <f t="shared" si="1"/>
        <v>Mike Ramirez</v>
      </c>
      <c r="D9">
        <f t="shared" si="2"/>
        <v>12</v>
      </c>
      <c r="H9" s="15" t="str">
        <f>"Hola"&amp;CHAR(14)&amp;"Mundo"</f>
        <v>Hola_x000E_Mundo</v>
      </c>
      <c r="I9">
        <f t="shared" si="3"/>
        <v>10</v>
      </c>
      <c r="J9" t="str">
        <f t="shared" si="4"/>
        <v>HolaMundo</v>
      </c>
      <c r="K9">
        <f t="shared" si="5"/>
        <v>9</v>
      </c>
      <c r="P9" t="str">
        <f t="shared" si="6"/>
        <v>3</v>
      </c>
      <c r="Q9" t="str">
        <v>3_x0003_</v>
      </c>
    </row>
    <row r="10" spans="1:17">
      <c r="A10" s="24" t="s">
        <v>291</v>
      </c>
      <c r="B10">
        <f t="shared" si="0"/>
        <v>19</v>
      </c>
      <c r="C10" t="str">
        <f t="shared" si="1"/>
        <v>Mike Ramirez</v>
      </c>
      <c r="D10">
        <f t="shared" si="2"/>
        <v>12</v>
      </c>
      <c r="H10" s="15" t="str">
        <f>"Hola "&amp;CHAR(9)&amp;"Mundo"</f>
        <v>Hola 	Mundo</v>
      </c>
      <c r="I10">
        <f t="shared" si="3"/>
        <v>11</v>
      </c>
      <c r="J10" t="str">
        <f t="shared" si="4"/>
        <v>Hola Mundo</v>
      </c>
      <c r="K10">
        <f t="shared" si="5"/>
        <v>10</v>
      </c>
      <c r="P10" t="str">
        <f t="shared" si="6"/>
        <v>4</v>
      </c>
      <c r="Q10" t="str">
        <v>4_x0004_</v>
      </c>
    </row>
    <row r="11" spans="1:17">
      <c r="P11" t="str">
        <f t="shared" si="6"/>
        <v>5</v>
      </c>
      <c r="Q11" t="str">
        <v>5_x0005_</v>
      </c>
    </row>
    <row r="12" spans="1:17">
      <c r="P12" t="str">
        <f t="shared" si="6"/>
        <v>6</v>
      </c>
      <c r="Q12" t="str">
        <v>6_x0006_</v>
      </c>
    </row>
    <row r="13" spans="1:17">
      <c r="P13" t="str">
        <f t="shared" si="6"/>
        <v>7</v>
      </c>
      <c r="Q13" t="str">
        <v>7_x0007_</v>
      </c>
    </row>
    <row r="14" spans="1:17" ht="21">
      <c r="A14" s="25" t="s">
        <v>299</v>
      </c>
      <c r="H14" s="25" t="s">
        <v>304</v>
      </c>
      <c r="P14" t="str">
        <f t="shared" si="6"/>
        <v>8</v>
      </c>
      <c r="Q14" t="str">
        <v>8_x0008_</v>
      </c>
    </row>
    <row r="15" spans="1:17">
      <c r="A15" s="26" t="s">
        <v>303</v>
      </c>
      <c r="H15" s="26" t="s">
        <v>305</v>
      </c>
      <c r="P15" t="str">
        <f t="shared" si="6"/>
        <v>9</v>
      </c>
      <c r="Q15" t="str">
        <v xml:space="preserve">9	</v>
      </c>
    </row>
    <row r="16" spans="1:17">
      <c r="P16" t="str">
        <f t="shared" si="6"/>
        <v>10</v>
      </c>
      <c r="Q16" t="str">
        <v xml:space="preserve">10
</v>
      </c>
    </row>
    <row r="17" spans="1:17">
      <c r="A17" s="22" t="s">
        <v>157</v>
      </c>
      <c r="B17" s="23" t="s">
        <v>302</v>
      </c>
      <c r="H17" s="22" t="s">
        <v>157</v>
      </c>
      <c r="I17" s="23" t="s">
        <v>302</v>
      </c>
      <c r="P17" t="str">
        <f t="shared" si="6"/>
        <v>11</v>
      </c>
      <c r="Q17" t="str">
        <v>11_x000B_</v>
      </c>
    </row>
    <row r="18" spans="1:17">
      <c r="A18" t="s">
        <v>300</v>
      </c>
      <c r="B18" t="str">
        <f>SUBSTITUTE(A18,".","-")</f>
        <v>123-456-789</v>
      </c>
      <c r="H18" t="s">
        <v>156</v>
      </c>
      <c r="I18" t="str">
        <f>REPLACE(H18,5,3,"***")</f>
        <v>123-***-7890</v>
      </c>
      <c r="P18" t="str">
        <f t="shared" si="6"/>
        <v>12</v>
      </c>
      <c r="Q18" t="str">
        <v>12_x000C_</v>
      </c>
    </row>
    <row r="19" spans="1:17">
      <c r="A19" s="15" t="s">
        <v>156</v>
      </c>
      <c r="B19" t="str">
        <f>SUBSTITUTE(A19,"-"," ")</f>
        <v>123 456 7890</v>
      </c>
      <c r="H19" t="s">
        <v>306</v>
      </c>
      <c r="I19" t="str">
        <f t="shared" ref="I19:I21" si="7">REPLACE(H19,5,3,"***")</f>
        <v>abcd***</v>
      </c>
      <c r="P19" t="str">
        <f t="shared" si="6"/>
        <v>13</v>
      </c>
      <c r="Q19" t="str">
        <v>13_x000D_</v>
      </c>
    </row>
    <row r="20" spans="1:17">
      <c r="A20" s="15" t="s">
        <v>309</v>
      </c>
      <c r="B20" t="str">
        <f>SUBSTITUTE(A20,"-"," ")</f>
        <v>123 456 7891</v>
      </c>
      <c r="H20" s="15" t="s">
        <v>156</v>
      </c>
      <c r="I20" t="str">
        <f t="shared" si="7"/>
        <v>123-***-7890</v>
      </c>
      <c r="P20" t="str">
        <f t="shared" si="6"/>
        <v>14</v>
      </c>
      <c r="Q20" t="str">
        <v>14_x000E_</v>
      </c>
    </row>
    <row r="21" spans="1:17">
      <c r="A21" s="16" t="s">
        <v>308</v>
      </c>
      <c r="B21" t="str">
        <f>SUBSTITUTE(A21,"@",".",2)</f>
        <v>mike@ramirez.cce.pe</v>
      </c>
      <c r="H21" t="s">
        <v>301</v>
      </c>
      <c r="I21" t="str">
        <f t="shared" si="7"/>
        <v>Hola***ndo</v>
      </c>
      <c r="P21" t="str">
        <f t="shared" si="6"/>
        <v>15</v>
      </c>
      <c r="Q21" t="str">
        <v>15_x000F_</v>
      </c>
    </row>
    <row r="22" spans="1:17">
      <c r="P22" t="str">
        <f t="shared" si="6"/>
        <v>16</v>
      </c>
      <c r="Q22" t="str">
        <v>16_x0010_</v>
      </c>
    </row>
    <row r="23" spans="1:17">
      <c r="P23" t="str">
        <f t="shared" si="6"/>
        <v>17</v>
      </c>
      <c r="Q23" t="str">
        <v>17_x0011_</v>
      </c>
    </row>
    <row r="24" spans="1:17">
      <c r="P24" t="str">
        <f t="shared" si="6"/>
        <v>18</v>
      </c>
      <c r="Q24" t="str">
        <v>18_x0012_</v>
      </c>
    </row>
    <row r="25" spans="1:17">
      <c r="P25" t="str">
        <f t="shared" si="6"/>
        <v>19</v>
      </c>
      <c r="Q25" t="str">
        <v>19_x0013_</v>
      </c>
    </row>
    <row r="26" spans="1:17">
      <c r="P26" t="str">
        <f t="shared" si="6"/>
        <v>20</v>
      </c>
      <c r="Q26" t="str">
        <v>20_x0014_</v>
      </c>
    </row>
    <row r="27" spans="1:17">
      <c r="P27" t="str">
        <f t="shared" si="6"/>
        <v>21</v>
      </c>
      <c r="Q27" t="str">
        <v>21_x0015_</v>
      </c>
    </row>
    <row r="28" spans="1:17">
      <c r="P28" t="str">
        <f t="shared" si="6"/>
        <v>22</v>
      </c>
      <c r="Q28" t="str">
        <v>22_x0016_</v>
      </c>
    </row>
    <row r="29" spans="1:17">
      <c r="P29" t="str">
        <f t="shared" si="6"/>
        <v>23</v>
      </c>
      <c r="Q29" t="str">
        <v>23_x0017_</v>
      </c>
    </row>
    <row r="30" spans="1:17">
      <c r="P30" t="str">
        <f t="shared" si="6"/>
        <v>24</v>
      </c>
      <c r="Q30" t="str">
        <v>24_x0018_</v>
      </c>
    </row>
    <row r="31" spans="1:17">
      <c r="P31" t="str">
        <f t="shared" si="6"/>
        <v>25</v>
      </c>
      <c r="Q31" t="str">
        <v>25_x0019_</v>
      </c>
    </row>
    <row r="32" spans="1:17">
      <c r="P32" t="str">
        <f t="shared" si="6"/>
        <v>26</v>
      </c>
      <c r="Q32" t="str">
        <v>26_x001A_</v>
      </c>
    </row>
    <row r="33" spans="16:17">
      <c r="P33" t="str">
        <f t="shared" si="6"/>
        <v>27</v>
      </c>
      <c r="Q33" t="str">
        <v>27_x001B_</v>
      </c>
    </row>
    <row r="34" spans="16:17">
      <c r="P34" t="str">
        <f t="shared" si="6"/>
        <v>28</v>
      </c>
      <c r="Q34" t="str">
        <v>28_x001C_</v>
      </c>
    </row>
    <row r="35" spans="16:17">
      <c r="P35" t="str">
        <f t="shared" si="6"/>
        <v>29</v>
      </c>
      <c r="Q35" t="str">
        <v>29_x001D_</v>
      </c>
    </row>
    <row r="36" spans="16:17">
      <c r="P36" t="str">
        <f t="shared" si="6"/>
        <v>30</v>
      </c>
      <c r="Q36" t="str">
        <v>30_x001E_</v>
      </c>
    </row>
    <row r="37" spans="16:17">
      <c r="P37" t="str">
        <f t="shared" si="6"/>
        <v>31</v>
      </c>
      <c r="Q37" t="str">
        <v>31_x001F_</v>
      </c>
    </row>
    <row r="38" spans="16:17">
      <c r="P38" t="str">
        <f t="shared" si="6"/>
        <v xml:space="preserve">32 </v>
      </c>
      <c r="Q38" t="str">
        <v xml:space="preserve">32 </v>
      </c>
    </row>
  </sheetData>
  <mergeCells count="1">
    <mergeCell ref="B1:L1"/>
  </mergeCells>
  <phoneticPr fontId="19" type="noConversion"/>
  <hyperlinks>
    <hyperlink ref="A21" r:id="rId1" display="mike.ramirez@cce.pe" xr:uid="{22B8A881-F265-46A6-8D9C-A63B9CD7E8F7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CEA0F-BA46-407F-ACBE-AF4F3FB35D30}">
  <dimension ref="A1:I44"/>
  <sheetViews>
    <sheetView tabSelected="1" zoomScaleNormal="100" workbookViewId="0">
      <selection activeCell="G16" sqref="G16"/>
    </sheetView>
  </sheetViews>
  <sheetFormatPr baseColWidth="10" defaultRowHeight="14.4"/>
  <cols>
    <col min="1" max="1" width="2.77734375" bestFit="1" customWidth="1"/>
    <col min="2" max="2" width="20.77734375" bestFit="1" customWidth="1"/>
    <col min="3" max="3" width="19" bestFit="1" customWidth="1"/>
    <col min="4" max="4" width="9.21875" bestFit="1" customWidth="1"/>
    <col min="5" max="5" width="49.21875" bestFit="1" customWidth="1"/>
    <col min="6" max="6" width="15.33203125" bestFit="1" customWidth="1"/>
    <col min="7" max="7" width="60" bestFit="1" customWidth="1"/>
    <col min="8" max="8" width="54.33203125" bestFit="1" customWidth="1"/>
    <col min="9" max="9" width="59.5546875" bestFit="1" customWidth="1"/>
  </cols>
  <sheetData>
    <row r="1" spans="1:9" s="2" customFormat="1"/>
    <row r="2" spans="1:9" s="2" customFormat="1" ht="28.8">
      <c r="B2" s="29" t="s">
        <v>158</v>
      </c>
      <c r="C2" s="29"/>
      <c r="D2" s="29"/>
      <c r="E2" s="29"/>
      <c r="F2" s="29"/>
      <c r="G2" s="29"/>
    </row>
    <row r="3" spans="1:9" s="2" customFormat="1"/>
    <row r="5" spans="1:9">
      <c r="C5" s="17" t="s">
        <v>159</v>
      </c>
    </row>
    <row r="6" spans="1:9">
      <c r="C6" s="17" t="s">
        <v>160</v>
      </c>
    </row>
    <row r="7" spans="1:9">
      <c r="C7" t="s">
        <v>161</v>
      </c>
    </row>
    <row r="8" spans="1:9" ht="18">
      <c r="F8" s="18" t="s">
        <v>162</v>
      </c>
      <c r="G8" s="19" t="s">
        <v>163</v>
      </c>
      <c r="H8" s="19" t="s">
        <v>164</v>
      </c>
      <c r="I8" s="19" t="s">
        <v>165</v>
      </c>
    </row>
    <row r="9" spans="1:9">
      <c r="A9" s="20" t="s">
        <v>166</v>
      </c>
      <c r="B9" s="20" t="s">
        <v>0</v>
      </c>
      <c r="C9" s="20" t="s">
        <v>167</v>
      </c>
      <c r="D9" s="20" t="s">
        <v>168</v>
      </c>
      <c r="E9" s="20" t="s">
        <v>169</v>
      </c>
      <c r="F9" s="20" t="s">
        <v>170</v>
      </c>
      <c r="G9" s="20" t="s">
        <v>171</v>
      </c>
      <c r="H9" s="20" t="s">
        <v>171</v>
      </c>
      <c r="I9" s="20" t="s">
        <v>171</v>
      </c>
    </row>
    <row r="10" spans="1:9" ht="19.2">
      <c r="A10">
        <v>1</v>
      </c>
      <c r="B10" t="s">
        <v>172</v>
      </c>
      <c r="C10" t="s">
        <v>173</v>
      </c>
      <c r="D10" t="s">
        <v>174</v>
      </c>
      <c r="E10" t="s">
        <v>175</v>
      </c>
      <c r="G10" s="21"/>
    </row>
    <row r="11" spans="1:9" ht="19.2">
      <c r="A11">
        <v>2</v>
      </c>
      <c r="B11" t="s">
        <v>176</v>
      </c>
      <c r="C11" t="s">
        <v>177</v>
      </c>
      <c r="D11" t="s">
        <v>174</v>
      </c>
      <c r="E11" t="s">
        <v>178</v>
      </c>
      <c r="G11" s="21"/>
    </row>
    <row r="12" spans="1:9" ht="19.2">
      <c r="A12">
        <v>3</v>
      </c>
      <c r="B12" t="s">
        <v>179</v>
      </c>
      <c r="C12" t="s">
        <v>180</v>
      </c>
      <c r="D12" t="s">
        <v>181</v>
      </c>
      <c r="E12" t="s">
        <v>182</v>
      </c>
      <c r="G12" s="21"/>
    </row>
    <row r="13" spans="1:9" ht="19.2">
      <c r="A13">
        <v>4</v>
      </c>
      <c r="B13" t="s">
        <v>183</v>
      </c>
      <c r="C13" t="s">
        <v>184</v>
      </c>
      <c r="D13" t="s">
        <v>185</v>
      </c>
      <c r="E13" t="s">
        <v>186</v>
      </c>
      <c r="G13" s="21"/>
    </row>
    <row r="14" spans="1:9" ht="19.2">
      <c r="A14">
        <v>5</v>
      </c>
      <c r="B14" t="s">
        <v>187</v>
      </c>
      <c r="C14" t="s">
        <v>188</v>
      </c>
      <c r="D14" t="s">
        <v>174</v>
      </c>
      <c r="E14" t="s">
        <v>189</v>
      </c>
      <c r="G14" s="21"/>
    </row>
    <row r="15" spans="1:9" ht="19.2">
      <c r="A15">
        <v>6</v>
      </c>
      <c r="B15" t="s">
        <v>190</v>
      </c>
      <c r="C15" t="s">
        <v>191</v>
      </c>
      <c r="D15" t="s">
        <v>192</v>
      </c>
      <c r="E15" t="s">
        <v>193</v>
      </c>
      <c r="G15" s="21"/>
    </row>
    <row r="16" spans="1:9" ht="19.2">
      <c r="A16">
        <v>7</v>
      </c>
      <c r="B16" t="s">
        <v>194</v>
      </c>
      <c r="C16" t="s">
        <v>195</v>
      </c>
      <c r="D16" t="s">
        <v>196</v>
      </c>
      <c r="E16" t="s">
        <v>197</v>
      </c>
      <c r="G16" s="21"/>
    </row>
    <row r="17" spans="1:7" ht="19.2">
      <c r="A17">
        <v>8</v>
      </c>
      <c r="B17" t="s">
        <v>198</v>
      </c>
      <c r="C17" t="s">
        <v>199</v>
      </c>
      <c r="D17" t="s">
        <v>200</v>
      </c>
      <c r="E17" t="s">
        <v>201</v>
      </c>
      <c r="G17" s="21"/>
    </row>
    <row r="18" spans="1:7" ht="19.2">
      <c r="A18">
        <v>9</v>
      </c>
      <c r="B18" t="s">
        <v>202</v>
      </c>
      <c r="C18" t="s">
        <v>203</v>
      </c>
      <c r="D18" t="s">
        <v>204</v>
      </c>
      <c r="E18" t="s">
        <v>205</v>
      </c>
      <c r="G18" s="21"/>
    </row>
    <row r="19" spans="1:7" ht="19.2">
      <c r="A19">
        <v>10</v>
      </c>
      <c r="B19" t="s">
        <v>206</v>
      </c>
      <c r="C19" t="s">
        <v>207</v>
      </c>
      <c r="D19" t="s">
        <v>208</v>
      </c>
      <c r="E19" t="s">
        <v>209</v>
      </c>
      <c r="G19" s="21"/>
    </row>
    <row r="20" spans="1:7" ht="19.2">
      <c r="A20">
        <v>11</v>
      </c>
      <c r="B20" t="s">
        <v>210</v>
      </c>
      <c r="C20" t="s">
        <v>211</v>
      </c>
      <c r="D20" t="s">
        <v>212</v>
      </c>
      <c r="E20" t="s">
        <v>213</v>
      </c>
      <c r="G20" s="21"/>
    </row>
    <row r="21" spans="1:7" ht="19.2">
      <c r="A21">
        <v>12</v>
      </c>
      <c r="B21" t="s">
        <v>214</v>
      </c>
      <c r="C21" t="s">
        <v>215</v>
      </c>
      <c r="D21" t="s">
        <v>216</v>
      </c>
      <c r="E21" t="s">
        <v>217</v>
      </c>
      <c r="G21" s="21"/>
    </row>
    <row r="22" spans="1:7" ht="19.2">
      <c r="A22">
        <v>13</v>
      </c>
      <c r="B22" t="s">
        <v>218</v>
      </c>
      <c r="C22" t="s">
        <v>219</v>
      </c>
      <c r="D22" t="s">
        <v>174</v>
      </c>
      <c r="E22" t="s">
        <v>220</v>
      </c>
      <c r="G22" s="21"/>
    </row>
    <row r="23" spans="1:7" ht="19.2">
      <c r="A23">
        <v>14</v>
      </c>
      <c r="B23" t="s">
        <v>221</v>
      </c>
      <c r="C23" t="s">
        <v>222</v>
      </c>
      <c r="D23" t="s">
        <v>223</v>
      </c>
      <c r="E23" t="s">
        <v>224</v>
      </c>
      <c r="G23" s="21"/>
    </row>
    <row r="24" spans="1:7" ht="19.2">
      <c r="A24">
        <v>15</v>
      </c>
      <c r="B24" t="s">
        <v>225</v>
      </c>
      <c r="C24" t="s">
        <v>226</v>
      </c>
      <c r="D24" t="s">
        <v>185</v>
      </c>
      <c r="E24" t="s">
        <v>227</v>
      </c>
      <c r="G24" s="21"/>
    </row>
    <row r="25" spans="1:7" ht="19.2">
      <c r="A25">
        <v>16</v>
      </c>
      <c r="B25" t="s">
        <v>228</v>
      </c>
      <c r="C25" t="s">
        <v>229</v>
      </c>
      <c r="D25" t="s">
        <v>174</v>
      </c>
      <c r="E25" t="s">
        <v>230</v>
      </c>
      <c r="G25" s="21"/>
    </row>
    <row r="26" spans="1:7" ht="19.2">
      <c r="A26">
        <v>17</v>
      </c>
      <c r="B26" t="s">
        <v>231</v>
      </c>
      <c r="C26" t="s">
        <v>232</v>
      </c>
      <c r="D26" t="s">
        <v>174</v>
      </c>
      <c r="E26" t="s">
        <v>233</v>
      </c>
      <c r="G26" s="21"/>
    </row>
    <row r="27" spans="1:7" ht="19.2">
      <c r="A27">
        <v>18</v>
      </c>
      <c r="B27" t="s">
        <v>234</v>
      </c>
      <c r="C27" t="s">
        <v>235</v>
      </c>
      <c r="D27" t="s">
        <v>174</v>
      </c>
      <c r="E27" t="s">
        <v>236</v>
      </c>
      <c r="G27" s="21"/>
    </row>
    <row r="28" spans="1:7" ht="19.2">
      <c r="A28">
        <v>19</v>
      </c>
      <c r="B28" t="s">
        <v>237</v>
      </c>
      <c r="C28" t="s">
        <v>238</v>
      </c>
      <c r="D28" t="s">
        <v>174</v>
      </c>
      <c r="E28" t="s">
        <v>239</v>
      </c>
      <c r="G28" s="21"/>
    </row>
    <row r="29" spans="1:7" ht="19.2">
      <c r="A29">
        <v>20</v>
      </c>
      <c r="B29" t="s">
        <v>240</v>
      </c>
      <c r="C29" t="s">
        <v>241</v>
      </c>
      <c r="D29" t="s">
        <v>174</v>
      </c>
      <c r="E29" t="s">
        <v>242</v>
      </c>
      <c r="G29" s="21"/>
    </row>
    <row r="30" spans="1:7" ht="19.2">
      <c r="A30">
        <v>21</v>
      </c>
      <c r="B30" t="s">
        <v>243</v>
      </c>
      <c r="C30" t="s">
        <v>244</v>
      </c>
      <c r="D30" t="s">
        <v>174</v>
      </c>
      <c r="E30" t="s">
        <v>245</v>
      </c>
      <c r="G30" s="21"/>
    </row>
    <row r="31" spans="1:7" ht="19.2">
      <c r="A31">
        <v>22</v>
      </c>
      <c r="B31" t="s">
        <v>246</v>
      </c>
      <c r="C31" t="s">
        <v>247</v>
      </c>
      <c r="D31" t="s">
        <v>174</v>
      </c>
      <c r="E31" t="s">
        <v>248</v>
      </c>
      <c r="G31" s="21"/>
    </row>
    <row r="32" spans="1:7" ht="19.2">
      <c r="A32">
        <v>23</v>
      </c>
      <c r="B32" t="s">
        <v>249</v>
      </c>
      <c r="C32" t="s">
        <v>250</v>
      </c>
      <c r="D32" t="s">
        <v>174</v>
      </c>
      <c r="E32" t="s">
        <v>251</v>
      </c>
      <c r="G32" s="21"/>
    </row>
    <row r="33" spans="1:7" ht="19.2">
      <c r="A33">
        <v>24</v>
      </c>
      <c r="B33" t="s">
        <v>252</v>
      </c>
      <c r="C33" t="s">
        <v>253</v>
      </c>
      <c r="D33" t="s">
        <v>174</v>
      </c>
      <c r="E33" t="s">
        <v>254</v>
      </c>
      <c r="G33" s="21"/>
    </row>
    <row r="34" spans="1:7" ht="19.2">
      <c r="A34">
        <v>25</v>
      </c>
      <c r="B34" t="s">
        <v>255</v>
      </c>
      <c r="C34" t="s">
        <v>238</v>
      </c>
      <c r="D34" t="s">
        <v>174</v>
      </c>
      <c r="E34" t="s">
        <v>256</v>
      </c>
      <c r="G34" s="21"/>
    </row>
    <row r="35" spans="1:7" ht="19.2">
      <c r="A35">
        <v>26</v>
      </c>
      <c r="B35" t="s">
        <v>257</v>
      </c>
      <c r="C35" t="s">
        <v>258</v>
      </c>
      <c r="D35" t="s">
        <v>174</v>
      </c>
      <c r="E35" t="s">
        <v>259</v>
      </c>
      <c r="G35" s="21"/>
    </row>
    <row r="36" spans="1:7" ht="19.2">
      <c r="A36">
        <v>27</v>
      </c>
      <c r="B36" t="s">
        <v>260</v>
      </c>
      <c r="C36" t="s">
        <v>261</v>
      </c>
      <c r="D36" t="s">
        <v>174</v>
      </c>
      <c r="E36" t="s">
        <v>262</v>
      </c>
      <c r="G36" s="21"/>
    </row>
    <row r="37" spans="1:7" ht="19.2">
      <c r="A37">
        <v>28</v>
      </c>
      <c r="B37" t="s">
        <v>263</v>
      </c>
      <c r="C37" t="s">
        <v>264</v>
      </c>
      <c r="D37" t="s">
        <v>174</v>
      </c>
      <c r="E37" t="s">
        <v>265</v>
      </c>
      <c r="G37" s="21"/>
    </row>
    <row r="38" spans="1:7" ht="19.2">
      <c r="A38">
        <v>29</v>
      </c>
      <c r="B38" t="s">
        <v>266</v>
      </c>
      <c r="C38" t="s">
        <v>267</v>
      </c>
      <c r="D38" t="s">
        <v>174</v>
      </c>
      <c r="E38" t="s">
        <v>268</v>
      </c>
      <c r="G38" s="21"/>
    </row>
    <row r="39" spans="1:7" ht="19.2">
      <c r="A39">
        <v>30</v>
      </c>
      <c r="B39" t="s">
        <v>269</v>
      </c>
      <c r="C39" t="s">
        <v>270</v>
      </c>
      <c r="D39" t="s">
        <v>212</v>
      </c>
      <c r="E39" t="s">
        <v>271</v>
      </c>
      <c r="G39" s="21"/>
    </row>
    <row r="40" spans="1:7" ht="19.2">
      <c r="A40">
        <v>31</v>
      </c>
      <c r="B40" t="s">
        <v>272</v>
      </c>
      <c r="C40" t="s">
        <v>273</v>
      </c>
      <c r="D40" t="s">
        <v>274</v>
      </c>
      <c r="E40" t="s">
        <v>275</v>
      </c>
      <c r="G40" s="21"/>
    </row>
    <row r="41" spans="1:7" ht="19.2">
      <c r="A41">
        <v>32</v>
      </c>
      <c r="B41" t="s">
        <v>276</v>
      </c>
      <c r="C41" t="s">
        <v>277</v>
      </c>
      <c r="D41" t="s">
        <v>192</v>
      </c>
      <c r="E41" t="s">
        <v>278</v>
      </c>
      <c r="G41" s="21"/>
    </row>
    <row r="42" spans="1:7" ht="19.2">
      <c r="A42">
        <v>33</v>
      </c>
      <c r="B42" t="s">
        <v>279</v>
      </c>
      <c r="C42" t="s">
        <v>280</v>
      </c>
      <c r="D42" t="s">
        <v>174</v>
      </c>
      <c r="E42" t="s">
        <v>281</v>
      </c>
      <c r="G42" s="21"/>
    </row>
    <row r="43" spans="1:7" ht="19.2">
      <c r="A43">
        <v>34</v>
      </c>
      <c r="B43" t="s">
        <v>282</v>
      </c>
      <c r="C43" t="s">
        <v>173</v>
      </c>
      <c r="D43" t="s">
        <v>174</v>
      </c>
      <c r="E43" t="s">
        <v>283</v>
      </c>
      <c r="G43" s="21"/>
    </row>
    <row r="44" spans="1:7" ht="19.2">
      <c r="A44">
        <v>35</v>
      </c>
      <c r="B44" t="s">
        <v>284</v>
      </c>
      <c r="C44" t="s">
        <v>285</v>
      </c>
      <c r="D44" t="s">
        <v>286</v>
      </c>
      <c r="E44" t="s">
        <v>287</v>
      </c>
      <c r="G44" s="21"/>
    </row>
  </sheetData>
  <mergeCells count="1">
    <mergeCell ref="B2:G2"/>
  </mergeCells>
  <hyperlinks>
    <hyperlink ref="C5" r:id="rId1" xr:uid="{DB44982D-0812-446F-9F86-7E2949B913C6}"/>
    <hyperlink ref="C6" r:id="rId2" xr:uid="{0A34E7BE-1D04-43AD-86A7-D1293C3B6923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5CED9-9B8A-489C-B079-4998B6F1E30E}">
  <dimension ref="A1:J20"/>
  <sheetViews>
    <sheetView topLeftCell="A2" zoomScale="120" zoomScaleNormal="120" workbookViewId="0">
      <selection activeCell="H5" sqref="H5"/>
    </sheetView>
  </sheetViews>
  <sheetFormatPr baseColWidth="10" defaultColWidth="8.88671875" defaultRowHeight="14.4"/>
  <cols>
    <col min="1" max="1" width="23.88671875" bestFit="1" customWidth="1"/>
    <col min="2" max="2" width="29.109375" bestFit="1" customWidth="1"/>
    <col min="3" max="3" width="19.33203125" bestFit="1" customWidth="1"/>
    <col min="4" max="4" width="7.6640625" bestFit="1" customWidth="1"/>
    <col min="5" max="5" width="21.5546875" bestFit="1" customWidth="1"/>
    <col min="6" max="6" width="9.33203125" bestFit="1" customWidth="1"/>
    <col min="7" max="7" width="11" bestFit="1" customWidth="1"/>
    <col min="9" max="9" width="14.88671875" bestFit="1" customWidth="1"/>
    <col min="10" max="10" width="14.77734375" bestFit="1" customWidth="1"/>
  </cols>
  <sheetData>
    <row r="1" spans="1:10">
      <c r="A1" s="2"/>
      <c r="B1" s="2"/>
      <c r="C1" s="2"/>
      <c r="D1" s="2"/>
      <c r="E1" s="2"/>
      <c r="F1" s="2"/>
      <c r="G1" s="2"/>
      <c r="H1" s="2"/>
    </row>
    <row r="2" spans="1:10" ht="21">
      <c r="A2" s="2"/>
      <c r="B2" s="27" t="s">
        <v>144</v>
      </c>
      <c r="C2" s="27"/>
      <c r="D2" s="27"/>
      <c r="E2" s="27"/>
      <c r="F2" s="27"/>
      <c r="G2" s="27"/>
      <c r="H2" s="27"/>
    </row>
    <row r="3" spans="1:10">
      <c r="A3" s="2"/>
      <c r="B3" s="2"/>
      <c r="C3" s="2"/>
      <c r="D3" s="2"/>
      <c r="E3" s="2"/>
      <c r="F3" s="2"/>
      <c r="G3" s="2"/>
      <c r="H3" s="2"/>
    </row>
    <row r="5" spans="1:10">
      <c r="A5" s="4" t="s">
        <v>0</v>
      </c>
      <c r="B5" s="4" t="s">
        <v>1</v>
      </c>
      <c r="C5" s="4" t="s">
        <v>2</v>
      </c>
      <c r="D5" s="4" t="s">
        <v>3</v>
      </c>
      <c r="E5" s="4" t="s">
        <v>4</v>
      </c>
      <c r="F5" s="4" t="s">
        <v>5</v>
      </c>
      <c r="G5" s="4" t="s">
        <v>6</v>
      </c>
      <c r="H5" s="4" t="s">
        <v>93</v>
      </c>
      <c r="I5" s="6" t="s">
        <v>94</v>
      </c>
      <c r="J5" s="6" t="s">
        <v>145</v>
      </c>
    </row>
    <row r="6" spans="1:10">
      <c r="A6" t="s">
        <v>7</v>
      </c>
      <c r="B6" t="s">
        <v>22</v>
      </c>
      <c r="C6" s="1">
        <v>44635</v>
      </c>
      <c r="D6" t="s">
        <v>37</v>
      </c>
      <c r="E6" t="s">
        <v>52</v>
      </c>
      <c r="F6" t="s">
        <v>67</v>
      </c>
      <c r="G6" t="s">
        <v>77</v>
      </c>
    </row>
    <row r="7" spans="1:10">
      <c r="A7" t="s">
        <v>8</v>
      </c>
      <c r="B7" t="s">
        <v>23</v>
      </c>
      <c r="C7" s="1">
        <v>44035</v>
      </c>
      <c r="D7" t="s">
        <v>38</v>
      </c>
      <c r="E7" t="s">
        <v>53</v>
      </c>
      <c r="F7" t="s">
        <v>68</v>
      </c>
      <c r="G7" t="s">
        <v>78</v>
      </c>
    </row>
    <row r="8" spans="1:10">
      <c r="A8" t="s">
        <v>9</v>
      </c>
      <c r="B8" t="s">
        <v>24</v>
      </c>
      <c r="C8" s="1">
        <v>43770</v>
      </c>
      <c r="D8" t="s">
        <v>39</v>
      </c>
      <c r="E8" t="s">
        <v>54</v>
      </c>
      <c r="F8" t="s">
        <v>69</v>
      </c>
      <c r="G8" t="s">
        <v>79</v>
      </c>
    </row>
    <row r="9" spans="1:10">
      <c r="A9" t="s">
        <v>10</v>
      </c>
      <c r="B9" t="s">
        <v>25</v>
      </c>
      <c r="C9" s="1">
        <v>44359</v>
      </c>
      <c r="D9" t="s">
        <v>40</v>
      </c>
      <c r="E9" t="s">
        <v>55</v>
      </c>
      <c r="F9" t="s">
        <v>70</v>
      </c>
      <c r="G9" t="s">
        <v>80</v>
      </c>
    </row>
    <row r="10" spans="1:10">
      <c r="A10" t="s">
        <v>11</v>
      </c>
      <c r="B10" t="s">
        <v>26</v>
      </c>
      <c r="C10" s="1">
        <v>44931</v>
      </c>
      <c r="D10" t="s">
        <v>41</v>
      </c>
      <c r="E10" t="s">
        <v>56</v>
      </c>
      <c r="F10" t="s">
        <v>71</v>
      </c>
      <c r="G10" t="s">
        <v>81</v>
      </c>
    </row>
    <row r="11" spans="1:10">
      <c r="A11" t="s">
        <v>12</v>
      </c>
      <c r="B11" t="s">
        <v>27</v>
      </c>
      <c r="C11" s="1">
        <v>44834</v>
      </c>
      <c r="D11" t="s">
        <v>42</v>
      </c>
      <c r="E11" t="s">
        <v>57</v>
      </c>
      <c r="F11" t="s">
        <v>72</v>
      </c>
      <c r="G11" t="s">
        <v>82</v>
      </c>
    </row>
    <row r="12" spans="1:10">
      <c r="A12" t="s">
        <v>13</v>
      </c>
      <c r="B12" t="s">
        <v>28</v>
      </c>
      <c r="C12" s="1">
        <v>44544</v>
      </c>
      <c r="D12" t="s">
        <v>43</v>
      </c>
      <c r="E12" t="s">
        <v>58</v>
      </c>
      <c r="F12" t="s">
        <v>73</v>
      </c>
      <c r="G12" t="s">
        <v>83</v>
      </c>
    </row>
    <row r="13" spans="1:10">
      <c r="A13" t="s">
        <v>14</v>
      </c>
      <c r="B13" t="s">
        <v>29</v>
      </c>
      <c r="C13" s="1">
        <v>43880</v>
      </c>
      <c r="D13" t="s">
        <v>44</v>
      </c>
      <c r="E13" t="s">
        <v>59</v>
      </c>
      <c r="F13" t="s">
        <v>74</v>
      </c>
      <c r="G13" t="s">
        <v>84</v>
      </c>
    </row>
    <row r="14" spans="1:10">
      <c r="A14" t="s">
        <v>15</v>
      </c>
      <c r="B14" t="s">
        <v>30</v>
      </c>
      <c r="C14" s="1">
        <v>43685</v>
      </c>
      <c r="D14" t="s">
        <v>45</v>
      </c>
      <c r="E14" t="s">
        <v>60</v>
      </c>
      <c r="F14" t="s">
        <v>67</v>
      </c>
      <c r="G14" t="s">
        <v>85</v>
      </c>
    </row>
    <row r="15" spans="1:10">
      <c r="A15" t="s">
        <v>16</v>
      </c>
      <c r="B15" t="s">
        <v>31</v>
      </c>
      <c r="C15" s="1">
        <v>44496</v>
      </c>
      <c r="D15" t="s">
        <v>46</v>
      </c>
      <c r="E15" t="s">
        <v>61</v>
      </c>
      <c r="F15" t="s">
        <v>75</v>
      </c>
      <c r="G15" t="s">
        <v>86</v>
      </c>
    </row>
    <row r="16" spans="1:10">
      <c r="A16" t="s">
        <v>17</v>
      </c>
      <c r="B16" t="s">
        <v>32</v>
      </c>
      <c r="C16" s="1">
        <v>44667</v>
      </c>
      <c r="D16" t="s">
        <v>47</v>
      </c>
      <c r="E16" t="s">
        <v>62</v>
      </c>
      <c r="F16" t="s">
        <v>76</v>
      </c>
      <c r="G16" t="s">
        <v>87</v>
      </c>
    </row>
    <row r="17" spans="1:7">
      <c r="A17" t="s">
        <v>18</v>
      </c>
      <c r="B17" t="s">
        <v>33</v>
      </c>
      <c r="C17" s="1">
        <v>44986</v>
      </c>
      <c r="D17" t="s">
        <v>48</v>
      </c>
      <c r="E17" t="s">
        <v>63</v>
      </c>
      <c r="F17" t="s">
        <v>68</v>
      </c>
      <c r="G17" t="s">
        <v>88</v>
      </c>
    </row>
    <row r="18" spans="1:7">
      <c r="A18" t="s">
        <v>19</v>
      </c>
      <c r="B18" t="s">
        <v>34</v>
      </c>
      <c r="C18" s="1">
        <v>43993</v>
      </c>
      <c r="D18" t="s">
        <v>49</v>
      </c>
      <c r="E18" t="s">
        <v>64</v>
      </c>
      <c r="F18" t="s">
        <v>70</v>
      </c>
      <c r="G18" t="s">
        <v>89</v>
      </c>
    </row>
    <row r="19" spans="1:7">
      <c r="A19" t="s">
        <v>20</v>
      </c>
      <c r="B19" t="s">
        <v>35</v>
      </c>
      <c r="C19" s="1">
        <v>44428</v>
      </c>
      <c r="D19" t="s">
        <v>50</v>
      </c>
      <c r="E19" t="s">
        <v>65</v>
      </c>
      <c r="F19" t="s">
        <v>69</v>
      </c>
      <c r="G19" t="s">
        <v>90</v>
      </c>
    </row>
    <row r="20" spans="1:7">
      <c r="A20" t="s">
        <v>21</v>
      </c>
      <c r="B20" t="s">
        <v>36</v>
      </c>
      <c r="C20" s="1">
        <v>43763</v>
      </c>
      <c r="D20" t="s">
        <v>51</v>
      </c>
      <c r="E20" t="s">
        <v>66</v>
      </c>
      <c r="F20" t="s">
        <v>67</v>
      </c>
      <c r="G20" t="s">
        <v>91</v>
      </c>
    </row>
  </sheetData>
  <mergeCells count="1">
    <mergeCell ref="B2:H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6C7E7-EDA4-4DF2-BC44-04EC8F955C10}">
  <dimension ref="A2:D10"/>
  <sheetViews>
    <sheetView workbookViewId="0">
      <selection activeCell="B2" sqref="B2"/>
    </sheetView>
  </sheetViews>
  <sheetFormatPr baseColWidth="10" defaultRowHeight="14.4"/>
  <cols>
    <col min="1" max="1" width="19.5546875" customWidth="1"/>
    <col min="2" max="2" width="37" bestFit="1" customWidth="1"/>
    <col min="3" max="3" width="13.88671875" bestFit="1" customWidth="1"/>
  </cols>
  <sheetData>
    <row r="2" spans="1:4" ht="25.8">
      <c r="B2" s="13" t="s">
        <v>154</v>
      </c>
    </row>
    <row r="4" spans="1:4">
      <c r="A4" s="10" t="s">
        <v>146</v>
      </c>
      <c r="B4" s="10" t="s">
        <v>147</v>
      </c>
      <c r="C4" s="10" t="s">
        <v>153</v>
      </c>
      <c r="D4" s="10" t="s">
        <v>155</v>
      </c>
    </row>
    <row r="5" spans="1:4">
      <c r="A5" s="12">
        <v>1234.5678</v>
      </c>
      <c r="B5" s="11" t="s">
        <v>148</v>
      </c>
    </row>
    <row r="6" spans="1:4">
      <c r="A6" s="14">
        <v>7.4999999999999997E-2</v>
      </c>
      <c r="B6" s="11" t="s">
        <v>149</v>
      </c>
    </row>
    <row r="7" spans="1:4">
      <c r="A7" s="11">
        <v>1234567</v>
      </c>
      <c r="B7" s="11" t="s">
        <v>150</v>
      </c>
    </row>
    <row r="8" spans="1:4">
      <c r="A8" s="11">
        <v>0.6</v>
      </c>
      <c r="B8" s="11" t="s">
        <v>151</v>
      </c>
    </row>
    <row r="9" spans="1:4">
      <c r="A9" s="11">
        <v>44561</v>
      </c>
      <c r="B9" s="11" t="s">
        <v>142</v>
      </c>
    </row>
    <row r="10" spans="1:4">
      <c r="A10" s="11">
        <v>123</v>
      </c>
      <c r="B10" s="11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Empleados</vt:lpstr>
      <vt:lpstr>Encontrar-Hallar-Extrae-Largo</vt:lpstr>
      <vt:lpstr>DividirTexto</vt:lpstr>
      <vt:lpstr>Concat - Unircadenas</vt:lpstr>
      <vt:lpstr>minusculas - MAYUSCULAS - NomPr</vt:lpstr>
      <vt:lpstr>Texto Antes &amp; Despues</vt:lpstr>
      <vt:lpstr>DERECHA-IZQUIERDA EXTRAE</vt:lpstr>
      <vt:lpstr>Limpiar Texto</vt:lpstr>
      <vt:lpstr>TRADUCIR-DETECTAR IDIOMA</vt:lpstr>
      <vt:lpstr>Relleno Rapido</vt:lpstr>
      <vt:lpstr>Texto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</dc:creator>
  <cp:lastModifiedBy>Nik Denilson Ramirez Bautista</cp:lastModifiedBy>
  <dcterms:created xsi:type="dcterms:W3CDTF">2024-08-19T23:45:32Z</dcterms:created>
  <dcterms:modified xsi:type="dcterms:W3CDTF">2025-12-25T14:25:24Z</dcterms:modified>
</cp:coreProperties>
</file>