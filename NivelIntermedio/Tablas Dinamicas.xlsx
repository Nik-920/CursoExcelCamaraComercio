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b\Nik Denilson\Cursos\EXCEL\NivelIntermedio\"/>
    </mc:Choice>
  </mc:AlternateContent>
  <xr:revisionPtr revIDLastSave="0" documentId="13_ncr:1_{EAAA9B52-B4FC-4FA9-BCFA-F14824300209}" xr6:coauthVersionLast="47" xr6:coauthVersionMax="47" xr10:uidLastSave="{00000000-0000-0000-0000-000000000000}"/>
  <bookViews>
    <workbookView xWindow="-108" yWindow="-108" windowWidth="23256" windowHeight="12456" firstSheet="2" activeTab="4" xr2:uid="{04911AE7-EC10-4063-A248-4E8C46A330B4}"/>
  </bookViews>
  <sheets>
    <sheet name="Introducción" sheetId="1" r:id="rId1"/>
    <sheet name="Campos" sheetId="2" r:id="rId2"/>
    <sheet name="Ventas" sheetId="3" r:id="rId3"/>
    <sheet name="ACTIVIDAD" sheetId="5" r:id="rId4"/>
    <sheet name="TD1" sheetId="4" r:id="rId5"/>
    <sheet name="TD2" sheetId="6" r:id="rId6"/>
    <sheet name="TD3y4" sheetId="7" r:id="rId7"/>
    <sheet name="TD5" sheetId="8" r:id="rId8"/>
  </sheets>
  <calcPr calcId="191028"/>
  <pivotCaches>
    <pivotCache cacheId="0" r:id="rId9"/>
    <pivotCache cacheId="5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2" i="3" l="1"/>
  <c r="P42" i="3" s="1"/>
  <c r="O43" i="3"/>
  <c r="P43" i="3" s="1"/>
  <c r="O44" i="3"/>
  <c r="P44" i="3" s="1"/>
  <c r="O45" i="3"/>
  <c r="P45" i="3" s="1"/>
  <c r="O46" i="3"/>
  <c r="P46" i="3" s="1"/>
  <c r="O47" i="3"/>
  <c r="O48" i="3"/>
  <c r="P48" i="3" s="1"/>
  <c r="O49" i="3"/>
  <c r="P49" i="3" s="1"/>
  <c r="O50" i="3"/>
  <c r="P50" i="3" s="1"/>
  <c r="O51" i="3"/>
  <c r="P51" i="3" s="1"/>
  <c r="O52" i="3"/>
  <c r="P52" i="3" s="1"/>
  <c r="O53" i="3"/>
  <c r="P53" i="3" s="1"/>
  <c r="O54" i="3"/>
  <c r="P54" i="3" s="1"/>
  <c r="O55" i="3"/>
  <c r="P55" i="3" s="1"/>
  <c r="O56" i="3"/>
  <c r="P56" i="3" s="1"/>
  <c r="O57" i="3"/>
  <c r="P57" i="3" s="1"/>
  <c r="O58" i="3"/>
  <c r="P58" i="3" s="1"/>
  <c r="O59" i="3"/>
  <c r="P59" i="3" s="1"/>
  <c r="O60" i="3"/>
  <c r="P60" i="3" s="1"/>
  <c r="O61" i="3"/>
  <c r="P61" i="3" s="1"/>
  <c r="O62" i="3"/>
  <c r="P62" i="3" s="1"/>
  <c r="O63" i="3"/>
  <c r="P63" i="3" s="1"/>
  <c r="O64" i="3"/>
  <c r="P64" i="3" s="1"/>
  <c r="O65" i="3"/>
  <c r="P65" i="3" s="1"/>
  <c r="O66" i="3"/>
  <c r="P66" i="3" s="1"/>
  <c r="O67" i="3"/>
  <c r="P67" i="3" s="1"/>
  <c r="O68" i="3"/>
  <c r="P68" i="3" s="1"/>
  <c r="O69" i="3"/>
  <c r="P69" i="3" s="1"/>
  <c r="O70" i="3"/>
  <c r="P70" i="3" s="1"/>
  <c r="O71" i="3"/>
  <c r="P71" i="3" s="1"/>
  <c r="O72" i="3"/>
  <c r="P72" i="3" s="1"/>
  <c r="O73" i="3"/>
  <c r="P73" i="3" s="1"/>
  <c r="O74" i="3"/>
  <c r="P74" i="3" s="1"/>
  <c r="O75" i="3"/>
  <c r="P75" i="3" s="1"/>
  <c r="O76" i="3"/>
  <c r="P76" i="3" s="1"/>
  <c r="O77" i="3"/>
  <c r="P77" i="3" s="1"/>
  <c r="O78" i="3"/>
  <c r="P78" i="3" s="1"/>
  <c r="O79" i="3"/>
  <c r="P79" i="3" s="1"/>
  <c r="O80" i="3"/>
  <c r="P80" i="3" s="1"/>
  <c r="O81" i="3"/>
  <c r="P81" i="3" s="1"/>
  <c r="O82" i="3"/>
  <c r="P82" i="3" s="1"/>
  <c r="O83" i="3"/>
  <c r="P83" i="3" s="1"/>
  <c r="O84" i="3"/>
  <c r="P84" i="3" s="1"/>
  <c r="O85" i="3"/>
  <c r="P85" i="3" s="1"/>
  <c r="O86" i="3"/>
  <c r="P86" i="3" s="1"/>
  <c r="O87" i="3"/>
  <c r="P87" i="3" s="1"/>
  <c r="O88" i="3"/>
  <c r="P88" i="3" s="1"/>
  <c r="O89" i="3"/>
  <c r="P89" i="3" s="1"/>
  <c r="O90" i="3"/>
  <c r="P90" i="3" s="1"/>
  <c r="O91" i="3"/>
  <c r="P91" i="3" s="1"/>
  <c r="O92" i="3"/>
  <c r="P92" i="3" s="1"/>
  <c r="O93" i="3"/>
  <c r="P93" i="3" s="1"/>
  <c r="O94" i="3"/>
  <c r="P94" i="3" s="1"/>
  <c r="O95" i="3"/>
  <c r="P95" i="3" s="1"/>
  <c r="O96" i="3"/>
  <c r="P96" i="3" s="1"/>
  <c r="O97" i="3"/>
  <c r="P97" i="3" s="1"/>
  <c r="O98" i="3"/>
  <c r="P98" i="3" s="1"/>
  <c r="O99" i="3"/>
  <c r="P99" i="3" s="1"/>
  <c r="O100" i="3"/>
  <c r="P100" i="3" s="1"/>
  <c r="O101" i="3"/>
  <c r="P101" i="3" s="1"/>
  <c r="O102" i="3"/>
  <c r="P102" i="3" s="1"/>
  <c r="O103" i="3"/>
  <c r="P103" i="3" s="1"/>
  <c r="O104" i="3"/>
  <c r="P104" i="3" s="1"/>
  <c r="O105" i="3"/>
  <c r="P105" i="3" s="1"/>
  <c r="O106" i="3"/>
  <c r="P106" i="3" s="1"/>
  <c r="O107" i="3"/>
  <c r="P107" i="3" s="1"/>
  <c r="O108" i="3"/>
  <c r="P108" i="3" s="1"/>
  <c r="O109" i="3"/>
  <c r="P109" i="3" s="1"/>
  <c r="O110" i="3"/>
  <c r="P110" i="3" s="1"/>
  <c r="O111" i="3"/>
  <c r="P111" i="3" s="1"/>
  <c r="O112" i="3"/>
  <c r="P112" i="3" s="1"/>
  <c r="O113" i="3"/>
  <c r="P113" i="3" s="1"/>
  <c r="O114" i="3"/>
  <c r="P114" i="3" s="1"/>
  <c r="O115" i="3"/>
  <c r="P115" i="3" s="1"/>
  <c r="O116" i="3"/>
  <c r="P116" i="3" s="1"/>
  <c r="O117" i="3"/>
  <c r="P117" i="3" s="1"/>
  <c r="O118" i="3"/>
  <c r="P118" i="3" s="1"/>
  <c r="O119" i="3"/>
  <c r="P119" i="3" s="1"/>
  <c r="O120" i="3"/>
  <c r="P120" i="3" s="1"/>
  <c r="O121" i="3"/>
  <c r="P121" i="3" s="1"/>
  <c r="O122" i="3"/>
  <c r="P122" i="3" s="1"/>
  <c r="O123" i="3"/>
  <c r="P123" i="3" s="1"/>
  <c r="O124" i="3"/>
  <c r="P124" i="3" s="1"/>
  <c r="O5" i="3"/>
  <c r="P5" i="3" s="1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O19" i="3" s="1"/>
  <c r="P19" i="3" s="1"/>
  <c r="N20" i="3"/>
  <c r="O20" i="3" s="1"/>
  <c r="P20" i="3" s="1"/>
  <c r="N21" i="3"/>
  <c r="O21" i="3" s="1"/>
  <c r="P21" i="3" s="1"/>
  <c r="N22" i="3"/>
  <c r="O22" i="3" s="1"/>
  <c r="P22" i="3" s="1"/>
  <c r="N23" i="3"/>
  <c r="O23" i="3" s="1"/>
  <c r="P23" i="3" s="1"/>
  <c r="N24" i="3"/>
  <c r="O24" i="3" s="1"/>
  <c r="P24" i="3" s="1"/>
  <c r="N25" i="3"/>
  <c r="O25" i="3" s="1"/>
  <c r="P25" i="3" s="1"/>
  <c r="N26" i="3"/>
  <c r="O26" i="3" s="1"/>
  <c r="P26" i="3" s="1"/>
  <c r="N27" i="3"/>
  <c r="O27" i="3" s="1"/>
  <c r="P27" i="3" s="1"/>
  <c r="N28" i="3"/>
  <c r="O28" i="3" s="1"/>
  <c r="P28" i="3" s="1"/>
  <c r="N29" i="3"/>
  <c r="O29" i="3" s="1"/>
  <c r="P29" i="3" s="1"/>
  <c r="N30" i="3"/>
  <c r="O30" i="3" s="1"/>
  <c r="P30" i="3" s="1"/>
  <c r="N31" i="3"/>
  <c r="O31" i="3" s="1"/>
  <c r="P31" i="3" s="1"/>
  <c r="N32" i="3"/>
  <c r="O32" i="3" s="1"/>
  <c r="P32" i="3" s="1"/>
  <c r="N33" i="3"/>
  <c r="O33" i="3" s="1"/>
  <c r="P33" i="3" s="1"/>
  <c r="N34" i="3"/>
  <c r="O34" i="3" s="1"/>
  <c r="P34" i="3" s="1"/>
  <c r="N35" i="3"/>
  <c r="O35" i="3" s="1"/>
  <c r="P35" i="3" s="1"/>
  <c r="N36" i="3"/>
  <c r="O36" i="3" s="1"/>
  <c r="P36" i="3" s="1"/>
  <c r="N37" i="3"/>
  <c r="O37" i="3" s="1"/>
  <c r="P37" i="3" s="1"/>
  <c r="N38" i="3"/>
  <c r="O38" i="3" s="1"/>
  <c r="P38" i="3" s="1"/>
  <c r="N39" i="3"/>
  <c r="O39" i="3" s="1"/>
  <c r="P39" i="3" s="1"/>
  <c r="N40" i="3"/>
  <c r="O40" i="3" s="1"/>
  <c r="P40" i="3" s="1"/>
  <c r="N41" i="3"/>
  <c r="O41" i="3" s="1"/>
  <c r="P41" i="3" s="1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5" i="3"/>
  <c r="P47" i="3" l="1"/>
  <c r="O6" i="3"/>
  <c r="P6" i="3" s="1"/>
  <c r="O7" i="3"/>
  <c r="P7" i="3" s="1"/>
  <c r="O8" i="3"/>
  <c r="P8" i="3" s="1"/>
  <c r="O9" i="3"/>
  <c r="P9" i="3" s="1"/>
  <c r="O10" i="3"/>
  <c r="P10" i="3" s="1"/>
  <c r="O11" i="3"/>
  <c r="P11" i="3" s="1"/>
  <c r="O12" i="3"/>
  <c r="P12" i="3" s="1"/>
  <c r="O13" i="3"/>
  <c r="P13" i="3" s="1"/>
  <c r="O14" i="3"/>
  <c r="P14" i="3" s="1"/>
  <c r="O15" i="3"/>
  <c r="P15" i="3" s="1"/>
  <c r="O16" i="3"/>
  <c r="P16" i="3" s="1"/>
  <c r="O17" i="3"/>
  <c r="P17" i="3" s="1"/>
  <c r="O18" i="3"/>
  <c r="P18" i="3" s="1"/>
</calcChain>
</file>

<file path=xl/sharedStrings.xml><?xml version="1.0" encoding="utf-8"?>
<sst xmlns="http://schemas.openxmlformats.org/spreadsheetml/2006/main" count="942" uniqueCount="352">
  <si>
    <t>Introducción a Tablas Dinámicas</t>
  </si>
  <si>
    <t>Reporte de Ventas</t>
  </si>
  <si>
    <t>Producto</t>
  </si>
  <si>
    <t>Ventas</t>
  </si>
  <si>
    <t>Suma de Ventas</t>
  </si>
  <si>
    <t>A</t>
  </si>
  <si>
    <t>B</t>
  </si>
  <si>
    <t>C</t>
  </si>
  <si>
    <t>D</t>
  </si>
  <si>
    <t>Total general</t>
  </si>
  <si>
    <t>Texto</t>
  </si>
  <si>
    <t>Numero</t>
  </si>
  <si>
    <t>Fechas</t>
  </si>
  <si>
    <t>Relación de Ventas 2024</t>
  </si>
  <si>
    <t>ID Factura</t>
  </si>
  <si>
    <t>Fecha de Venta</t>
  </si>
  <si>
    <t>Unidades</t>
  </si>
  <si>
    <t>Precio</t>
  </si>
  <si>
    <t>% Costo</t>
  </si>
  <si>
    <t>Familia de Productos</t>
  </si>
  <si>
    <t>Nombre Cliente</t>
  </si>
  <si>
    <t>Genero Cliente</t>
  </si>
  <si>
    <t>Vendedor</t>
  </si>
  <si>
    <t>Fecha de Entrega</t>
  </si>
  <si>
    <t>Ciudad</t>
  </si>
  <si>
    <t>País</t>
  </si>
  <si>
    <t>Costo</t>
  </si>
  <si>
    <t>Ganancia</t>
  </si>
  <si>
    <t>Electrónica</t>
  </si>
  <si>
    <t>Laptop</t>
  </si>
  <si>
    <t>Joseph Roberts</t>
  </si>
  <si>
    <t>Masculino</t>
  </si>
  <si>
    <t>Mr. Justin Jones</t>
  </si>
  <si>
    <t>Toronto</t>
  </si>
  <si>
    <t>Canada</t>
  </si>
  <si>
    <t>Alimentos</t>
  </si>
  <si>
    <t>Queso</t>
  </si>
  <si>
    <t>Grace Gordon</t>
  </si>
  <si>
    <t>Femenino</t>
  </si>
  <si>
    <t>Tammy Henry</t>
  </si>
  <si>
    <t>Paysandu</t>
  </si>
  <si>
    <t>Uruguay</t>
  </si>
  <si>
    <t>Muebles</t>
  </si>
  <si>
    <t>Silla</t>
  </si>
  <si>
    <t>Dr. Frank Scott</t>
  </si>
  <si>
    <t>Casey Lee</t>
  </si>
  <si>
    <t>Monterrey</t>
  </si>
  <si>
    <t>Mexico</t>
  </si>
  <si>
    <t>Juguetes</t>
  </si>
  <si>
    <t>Rompecabezas</t>
  </si>
  <si>
    <t>Martha Hill DVM</t>
  </si>
  <si>
    <t>Steve Duffy PhD</t>
  </si>
  <si>
    <t>Cuenca</t>
  </si>
  <si>
    <t>Ecuador</t>
  </si>
  <si>
    <t>Balón de fútbol</t>
  </si>
  <si>
    <t>Antonio Coleman</t>
  </si>
  <si>
    <t>Anita Hill</t>
  </si>
  <si>
    <t>Arequipa</t>
  </si>
  <si>
    <t>Peru</t>
  </si>
  <si>
    <t>Ropa</t>
  </si>
  <si>
    <t>Pantalones</t>
  </si>
  <si>
    <t>Michael Sutton</t>
  </si>
  <si>
    <t>Jamie Wright</t>
  </si>
  <si>
    <t>Cordoba</t>
  </si>
  <si>
    <t>Argentina</t>
  </si>
  <si>
    <t>Smartphone</t>
  </si>
  <si>
    <t>Jay Cain</t>
  </si>
  <si>
    <t>Michelle Harris</t>
  </si>
  <si>
    <t>Guadalajara</t>
  </si>
  <si>
    <t>Chaqueta</t>
  </si>
  <si>
    <t>Megan Williams MD</t>
  </si>
  <si>
    <t>Katherine Garcia</t>
  </si>
  <si>
    <t>Muñeca</t>
  </si>
  <si>
    <t>Terrance Brown</t>
  </si>
  <si>
    <t>Heather Miller</t>
  </si>
  <si>
    <t>New York</t>
  </si>
  <si>
    <t>USA</t>
  </si>
  <si>
    <t>Robin Oconnell</t>
  </si>
  <si>
    <t>Christian Larson</t>
  </si>
  <si>
    <t>Buenos Aires</t>
  </si>
  <si>
    <t>Brandi Smith</t>
  </si>
  <si>
    <t>Amanda Patton</t>
  </si>
  <si>
    <t>Valparaiso</t>
  </si>
  <si>
    <t>Chile</t>
  </si>
  <si>
    <t>Rita Reid</t>
  </si>
  <si>
    <t>Kenneth Kerr</t>
  </si>
  <si>
    <t>La Paz</t>
  </si>
  <si>
    <t>Bolivia</t>
  </si>
  <si>
    <t>Desiree Guerrero</t>
  </si>
  <si>
    <t>Jamie Ray</t>
  </si>
  <si>
    <t>Los Angeles</t>
  </si>
  <si>
    <t>Renee Brown</t>
  </si>
  <si>
    <t>Laura Wagner</t>
  </si>
  <si>
    <t>Cámara</t>
  </si>
  <si>
    <t>Erin Henderson</t>
  </si>
  <si>
    <t>Dylan May</t>
  </si>
  <si>
    <t>Cali</t>
  </si>
  <si>
    <t>Colombia</t>
  </si>
  <si>
    <t>Samantha Saunders</t>
  </si>
  <si>
    <t>Stephen Carter</t>
  </si>
  <si>
    <t>Sean Scott</t>
  </si>
  <si>
    <t>Victoria Cooper</t>
  </si>
  <si>
    <t>Montreal</t>
  </si>
  <si>
    <t>Camisa</t>
  </si>
  <si>
    <t>Tiffany Atkinson</t>
  </si>
  <si>
    <t>Drew Robles</t>
  </si>
  <si>
    <t>Montevideo</t>
  </si>
  <si>
    <t>Mesa</t>
  </si>
  <si>
    <t>Theresa Mueller</t>
  </si>
  <si>
    <t>Laura Poole</t>
  </si>
  <si>
    <t>Guatemala City</t>
  </si>
  <si>
    <t>Guatemala</t>
  </si>
  <si>
    <t>Sofá</t>
  </si>
  <si>
    <t>Grace Allen</t>
  </si>
  <si>
    <t>Jeffrey Blackburn</t>
  </si>
  <si>
    <t>Melanie Lewis DDS</t>
  </si>
  <si>
    <t>Allison Hughes</t>
  </si>
  <si>
    <t>Cusco</t>
  </si>
  <si>
    <t>Gina Newton</t>
  </si>
  <si>
    <t>Maureen Barnes</t>
  </si>
  <si>
    <t>Medellin</t>
  </si>
  <si>
    <t>Julia Dalton</t>
  </si>
  <si>
    <t>Samantha Watson</t>
  </si>
  <si>
    <t>Lima</t>
  </si>
  <si>
    <t>Morgan Riley</t>
  </si>
  <si>
    <t>Christy Kelly</t>
  </si>
  <si>
    <t>Santa Cruz</t>
  </si>
  <si>
    <t>John Miller</t>
  </si>
  <si>
    <t>Mason Rodriguez</t>
  </si>
  <si>
    <t>Chicago</t>
  </si>
  <si>
    <t>Benjamin Holmes</t>
  </si>
  <si>
    <t>Lisa Kelly</t>
  </si>
  <si>
    <t>Quetzaltenango</t>
  </si>
  <si>
    <t>Beth Juarez</t>
  </si>
  <si>
    <t>Daniel Stein</t>
  </si>
  <si>
    <t>Rachel Lewis</t>
  </si>
  <si>
    <t>Tracie Huerta</t>
  </si>
  <si>
    <t>John Kim</t>
  </si>
  <si>
    <t>Mary Blake</t>
  </si>
  <si>
    <t>Pan</t>
  </si>
  <si>
    <t>Jordan Hopkins</t>
  </si>
  <si>
    <t>Gwendolyn Jones</t>
  </si>
  <si>
    <t>Jeremy Hughes</t>
  </si>
  <si>
    <t>Gina Barron</t>
  </si>
  <si>
    <t>Joel Reid</t>
  </si>
  <si>
    <t>Anna Dodson</t>
  </si>
  <si>
    <t>Vancouver</t>
  </si>
  <si>
    <t>Joseph Solomon</t>
  </si>
  <si>
    <t>Christina Meyer</t>
  </si>
  <si>
    <t>Ricky Davis</t>
  </si>
  <si>
    <t>Charles Thomas</t>
  </si>
  <si>
    <t>Kelly Rosales</t>
  </si>
  <si>
    <t>Jeff Berry</t>
  </si>
  <si>
    <t>Rosario</t>
  </si>
  <si>
    <t>Christopher Harris</t>
  </si>
  <si>
    <t>Robin Herrera</t>
  </si>
  <si>
    <t>Dillon Matthews</t>
  </si>
  <si>
    <t>Shawn Guerra</t>
  </si>
  <si>
    <t>Richard Riggs</t>
  </si>
  <si>
    <t>Justin Rios</t>
  </si>
  <si>
    <t>Amanda Hayes</t>
  </si>
  <si>
    <t>Chelsey Mcdonald</t>
  </si>
  <si>
    <t>Wendy Mcbride</t>
  </si>
  <si>
    <t>Brett Richardson</t>
  </si>
  <si>
    <t>Kathryn Calderon</t>
  </si>
  <si>
    <t>Christopher Fernandez</t>
  </si>
  <si>
    <t>Marcia Cooper</t>
  </si>
  <si>
    <t>Samantha Sawyer</t>
  </si>
  <si>
    <t>Jill Gray</t>
  </si>
  <si>
    <t>Jeffery Strong</t>
  </si>
  <si>
    <t>Wendy Mccoy</t>
  </si>
  <si>
    <t>Michael Robinson</t>
  </si>
  <si>
    <t>Aaron Fritz</t>
  </si>
  <si>
    <t>Eduardo Wright</t>
  </si>
  <si>
    <t>Deborah Durham</t>
  </si>
  <si>
    <t>John Johnson</t>
  </si>
  <si>
    <t>Natalie Gutierrez</t>
  </si>
  <si>
    <t>Kimberly Burgess</t>
  </si>
  <si>
    <t>Salto</t>
  </si>
  <si>
    <t>Shawn Spencer</t>
  </si>
  <si>
    <t>Sarah Henry</t>
  </si>
  <si>
    <t>Kimberly Ford</t>
  </si>
  <si>
    <t>Levi Ruiz</t>
  </si>
  <si>
    <t>Mary Fowler</t>
  </si>
  <si>
    <t>George Waller</t>
  </si>
  <si>
    <t>George Gutierrez</t>
  </si>
  <si>
    <t>Jonathan Andrews</t>
  </si>
  <si>
    <t>Danielle Washington</t>
  </si>
  <si>
    <t>Jason Hunt</t>
  </si>
  <si>
    <t>Christina Conner</t>
  </si>
  <si>
    <t>Morgan Hall</t>
  </si>
  <si>
    <t>Sean Rojas</t>
  </si>
  <si>
    <t>Melissa Jackson</t>
  </si>
  <si>
    <t>Jamón</t>
  </si>
  <si>
    <t>Hannah Vega</t>
  </si>
  <si>
    <t>Anna Lester</t>
  </si>
  <si>
    <t>Nathan Nguyen</t>
  </si>
  <si>
    <t>Brian Turner</t>
  </si>
  <si>
    <t>Concepcion</t>
  </si>
  <si>
    <t>Mary Dennis</t>
  </si>
  <si>
    <t>George Glenn</t>
  </si>
  <si>
    <t>Kelly Stevens</t>
  </si>
  <si>
    <t>Julie Gillespie</t>
  </si>
  <si>
    <t>Patricia Wyatt</t>
  </si>
  <si>
    <t>Mr. Dwayne Fuentes</t>
  </si>
  <si>
    <t>Mexico City</t>
  </si>
  <si>
    <t>Bryan Ochoa</t>
  </si>
  <si>
    <t>Edward Taylor</t>
  </si>
  <si>
    <t>Alex Anderson</t>
  </si>
  <si>
    <t>Angela Cox</t>
  </si>
  <si>
    <t>Carla Morales</t>
  </si>
  <si>
    <t>Elizabeth Campbell</t>
  </si>
  <si>
    <t>Melinda Wang</t>
  </si>
  <si>
    <t>Marcus Gonzalez</t>
  </si>
  <si>
    <t>Andrew Ross</t>
  </si>
  <si>
    <t>Amanda Garcia</t>
  </si>
  <si>
    <t>Shannon Austin</t>
  </si>
  <si>
    <t>Robert Carter</t>
  </si>
  <si>
    <t>David Knapp</t>
  </si>
  <si>
    <t>Raymond Burke</t>
  </si>
  <si>
    <t>Cochabamba</t>
  </si>
  <si>
    <t>Nathan Brooks</t>
  </si>
  <si>
    <t>Timothy Cox</t>
  </si>
  <si>
    <t>Wayne Powell</t>
  </si>
  <si>
    <t>Theresa Mendoza</t>
  </si>
  <si>
    <t>Jonathan Stephens</t>
  </si>
  <si>
    <t>Kelly Dodson</t>
  </si>
  <si>
    <t>Franklin Mack</t>
  </si>
  <si>
    <t>Richard Scott</t>
  </si>
  <si>
    <t>Elizabeth Scott</t>
  </si>
  <si>
    <t>Zachary Smith</t>
  </si>
  <si>
    <t>Marc Ward</t>
  </si>
  <si>
    <t>Cynthia Armstrong</t>
  </si>
  <si>
    <t>Charles Burton</t>
  </si>
  <si>
    <t>Wanda Walker</t>
  </si>
  <si>
    <t>Zachary Rogers</t>
  </si>
  <si>
    <t>Jennifer Brooks</t>
  </si>
  <si>
    <t>Quito</t>
  </si>
  <si>
    <t>Jennifer Stanley</t>
  </si>
  <si>
    <t>Jacob Richardson</t>
  </si>
  <si>
    <t>Elijah Brennan</t>
  </si>
  <si>
    <t>Laura Bullock</t>
  </si>
  <si>
    <t>Charles Bell</t>
  </si>
  <si>
    <t>Jamie Bell</t>
  </si>
  <si>
    <t>Patrick Alexander</t>
  </si>
  <si>
    <t>Paul Lee DDS</t>
  </si>
  <si>
    <t>Gregory Barton</t>
  </si>
  <si>
    <t>Leslie Rodgers</t>
  </si>
  <si>
    <t>Karen Sandoval</t>
  </si>
  <si>
    <t>Lauren Flores</t>
  </si>
  <si>
    <t>Michael Waller</t>
  </si>
  <si>
    <t>Dawn Zimmerman</t>
  </si>
  <si>
    <t>Bryan Ibarra</t>
  </si>
  <si>
    <t>Anthony Torres</t>
  </si>
  <si>
    <t>Brittany Ashley</t>
  </si>
  <si>
    <t>Brian Russell</t>
  </si>
  <si>
    <t>Leah Hall</t>
  </si>
  <si>
    <t>Miguel White</t>
  </si>
  <si>
    <t>Kimberly Greer</t>
  </si>
  <si>
    <t>Donald Bailey</t>
  </si>
  <si>
    <t>Kenneth Flores</t>
  </si>
  <si>
    <t>Amber Russell</t>
  </si>
  <si>
    <t>Guayaquil</t>
  </si>
  <si>
    <t>Rebecca Hunter</t>
  </si>
  <si>
    <t>Eugene Brennan</t>
  </si>
  <si>
    <t>Bryan Wilson</t>
  </si>
  <si>
    <t>Dalton Horton</t>
  </si>
  <si>
    <t>Bogota</t>
  </si>
  <si>
    <t>Kurt Carlson</t>
  </si>
  <si>
    <t>Mr. Jesse Simpson</t>
  </si>
  <si>
    <t>Santiago</t>
  </si>
  <si>
    <t>Brian Salinas</t>
  </si>
  <si>
    <t>Sean Smith</t>
  </si>
  <si>
    <t>Jennifer Carpenter</t>
  </si>
  <si>
    <t>Marcus Price</t>
  </si>
  <si>
    <t>Donna Flores</t>
  </si>
  <si>
    <t>Stephanie Mathews</t>
  </si>
  <si>
    <t>Kelly Oconnor</t>
  </si>
  <si>
    <t>Garrett Orr</t>
  </si>
  <si>
    <t>Edward Elliott</t>
  </si>
  <si>
    <t>Theodore Galloway</t>
  </si>
  <si>
    <t>Robert Peterson</t>
  </si>
  <si>
    <t>Amy Hernandez</t>
  </si>
  <si>
    <t>Sherri Johnson</t>
  </si>
  <si>
    <t>Brandy Gentry</t>
  </si>
  <si>
    <t>Jim Kelley</t>
  </si>
  <si>
    <t>Sarah Cameron</t>
  </si>
  <si>
    <t>Nicole Campbell</t>
  </si>
  <si>
    <t>Kristin Wiggins</t>
  </si>
  <si>
    <t>Jerry Roth</t>
  </si>
  <si>
    <t>Sara Ward</t>
  </si>
  <si>
    <t>Donald Barnes</t>
  </si>
  <si>
    <t>Jennifer Hernandez</t>
  </si>
  <si>
    <t>Tina Brown</t>
  </si>
  <si>
    <t>Lucas Ponce</t>
  </si>
  <si>
    <t>Wendy George</t>
  </si>
  <si>
    <t>Erik Hines</t>
  </si>
  <si>
    <t>Amy Thompson</t>
  </si>
  <si>
    <t>David Ramirez</t>
  </si>
  <si>
    <t>Robert Wilkinson</t>
  </si>
  <si>
    <t>Emily Mahoney</t>
  </si>
  <si>
    <t>Mr. Joseph Shields</t>
  </si>
  <si>
    <t>James Davis</t>
  </si>
  <si>
    <t>Lori Rocha</t>
  </si>
  <si>
    <t>Wendy Barber</t>
  </si>
  <si>
    <t>Sharon Shannon</t>
  </si>
  <si>
    <t>Tamara Carpenter</t>
  </si>
  <si>
    <t>Escuintla</t>
  </si>
  <si>
    <t>Todd Neal</t>
  </si>
  <si>
    <t>Brittany Patterson</t>
  </si>
  <si>
    <t>Bob Wright</t>
  </si>
  <si>
    <t>James Bailey</t>
  </si>
  <si>
    <t>Nicholas Chan</t>
  </si>
  <si>
    <t>Cathy Morgan</t>
  </si>
  <si>
    <t>Todd Smith</t>
  </si>
  <si>
    <t>Michael West</t>
  </si>
  <si>
    <t>Dr. Yolanda Peterson</t>
  </si>
  <si>
    <t>Michael French</t>
  </si>
  <si>
    <t>William Winters</t>
  </si>
  <si>
    <t>Derek Chang PhD</t>
  </si>
  <si>
    <t>Matthew Bautista</t>
  </si>
  <si>
    <t>Melissa Powell</t>
  </si>
  <si>
    <t>Shelby Miller</t>
  </si>
  <si>
    <t>Rebecca Marquez</t>
  </si>
  <si>
    <t>Donald Watkins</t>
  </si>
  <si>
    <t>Dana Perry</t>
  </si>
  <si>
    <t>Kathleen Carpenter</t>
  </si>
  <si>
    <t>Jennifer Davis</t>
  </si>
  <si>
    <t>Frederick Wyatt</t>
  </si>
  <si>
    <t>Russell Weber</t>
  </si>
  <si>
    <t>Samantha Wilson MD</t>
  </si>
  <si>
    <t>John Schaefer</t>
  </si>
  <si>
    <t>Michael Young</t>
  </si>
  <si>
    <t>Sarah James</t>
  </si>
  <si>
    <t>Meses (Fecha de Venta)</t>
  </si>
  <si>
    <t>Jun</t>
  </si>
  <si>
    <t>Ene</t>
  </si>
  <si>
    <t>Feb</t>
  </si>
  <si>
    <t>Mar</t>
  </si>
  <si>
    <t>Abr</t>
  </si>
  <si>
    <t>May</t>
  </si>
  <si>
    <t>Jul</t>
  </si>
  <si>
    <t>Ago</t>
  </si>
  <si>
    <t>Set</t>
  </si>
  <si>
    <t>Oct</t>
  </si>
  <si>
    <t>Nov</t>
  </si>
  <si>
    <t>Dic</t>
  </si>
  <si>
    <t>Suma de Unidades</t>
  </si>
  <si>
    <t>Máx. de Ventas</t>
  </si>
  <si>
    <t>Mín. de Ventas</t>
  </si>
  <si>
    <t>Total de Ventas</t>
  </si>
  <si>
    <t>%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</si>
</sst>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S/&quot;\ * #,##0.00_-;\-&quot;S/&quot;\ * #,##0.00_-;_-&quot;S/&quot;\ * &quot;-&quot;??_-;_-@_-"/>
    <numFmt numFmtId="165" formatCode="&quot;S/&quot;\ 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6"/>
      <color theme="6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8"/>
      <color theme="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5">
    <xf numFmtId="0" fontId="0" fillId="0" borderId="0" xfId="0"/>
    <xf numFmtId="0" fontId="0" fillId="3" borderId="0" xfId="0" applyFill="1"/>
    <xf numFmtId="0" fontId="2" fillId="2" borderId="1" xfId="2" applyBorder="1"/>
    <xf numFmtId="0" fontId="4" fillId="2" borderId="0" xfId="2" applyFont="1" applyAlignment="1">
      <alignment horizontal="center"/>
    </xf>
    <xf numFmtId="14" fontId="0" fillId="0" borderId="0" xfId="0" applyNumberFormat="1"/>
    <xf numFmtId="0" fontId="5" fillId="0" borderId="0" xfId="0" applyFont="1"/>
    <xf numFmtId="9" fontId="0" fillId="0" borderId="0" xfId="1" applyFont="1"/>
    <xf numFmtId="0" fontId="0" fillId="0" borderId="0" xfId="0" pivotButton="1"/>
    <xf numFmtId="0" fontId="3" fillId="3" borderId="0" xfId="0" applyFont="1" applyFill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0" xfId="0" applyNumberFormat="1"/>
    <xf numFmtId="4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3">
    <cellStyle name="Bueno" xfId="2" builtinId="26"/>
    <cellStyle name="Normal" xfId="0" builtinId="0"/>
    <cellStyle name="Porcentaje" xfId="1" builtinId="5"/>
  </cellStyles>
  <dxfs count="56">
    <dxf>
      <numFmt numFmtId="34" formatCode="_-&quot;S/&quot;\ * #,##0.00_-;\-&quot;S/&quot;\ * #,##0.00_-;_-&quot;S/&quot;\ * &quot;-&quot;??_-;_-@_-"/>
    </dxf>
    <dxf>
      <numFmt numFmtId="165" formatCode="&quot;S/&quot;\ #,##0.00"/>
    </dxf>
    <dxf>
      <numFmt numFmtId="34" formatCode="_-&quot;S/&quot;\ * #,##0.00_-;\-&quot;S/&quot;\ * #,##0.00_-;_-&quot;S/&quot;\ * &quot;-&quot;??_-;_-@_-"/>
    </dxf>
    <dxf>
      <numFmt numFmtId="165" formatCode="&quot;S/&quot;\ #,##0.00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14" formatCode="0.00%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14" formatCode="0.00%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14" formatCode="0.00%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14" formatCode="0.00%"/>
    </dxf>
    <dxf>
      <numFmt numFmtId="14" formatCode="0.00%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165" formatCode="&quot;S/&quot;\ #,##0.00"/>
    </dxf>
    <dxf>
      <numFmt numFmtId="34" formatCode="_-&quot;S/&quot;\ * #,##0.00_-;\-&quot;S/&quot;\ * #,##0.00_-;_-&quot;S/&quot;\ * &quot;-&quot;??_-;_-@_-"/>
    </dxf>
    <dxf>
      <numFmt numFmtId="165" formatCode="&quot;S/&quot;\ #,##0.00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165" formatCode="&quot;S/&quot;\ #,##0.00"/>
    </dxf>
    <dxf>
      <numFmt numFmtId="34" formatCode="_-&quot;S/&quot;\ * #,##0.00_-;\-&quot;S/&quot;\ * #,##0.00_-;_-&quot;S/&quot;\ * &quot;-&quot;??_-;_-@_-"/>
    </dxf>
    <dxf>
      <numFmt numFmtId="165" formatCode="&quot;S/&quot;\ #,##0.00"/>
    </dxf>
    <dxf>
      <numFmt numFmtId="165" formatCode="&quot;S/&quot;\ #,##0.00"/>
    </dxf>
    <dxf>
      <numFmt numFmtId="34" formatCode="_-&quot;S/&quot;\ * #,##0.00_-;\-&quot;S/&quot;\ * #,##0.00_-;_-&quot;S/&quot;\ * &quot;-&quot;??_-;_-@_-"/>
    </dxf>
    <dxf>
      <numFmt numFmtId="165" formatCode="&quot;S/&quot;\ #,##0.00"/>
    </dxf>
    <dxf>
      <numFmt numFmtId="34" formatCode="_-&quot;S/&quot;\ * #,##0.00_-;\-&quot;S/&quot;\ * #,##0.00_-;_-&quot;S/&quot;\ * &quot;-&quot;??_-;_-@_-"/>
    </dxf>
    <dxf>
      <numFmt numFmtId="165" formatCode="&quot;S/&quot;\ #,##0.00"/>
    </dxf>
    <dxf>
      <numFmt numFmtId="165" formatCode="&quot;S/&quot;\ #,##0.00"/>
    </dxf>
    <dxf>
      <numFmt numFmtId="165" formatCode="&quot;S/&quot;\ #,##0.00"/>
    </dxf>
    <dxf>
      <numFmt numFmtId="165" formatCode="&quot;S/&quot;\ #,##0.00"/>
    </dxf>
    <dxf>
      <numFmt numFmtId="165" formatCode="&quot;S/&quot;\ #,##0.00"/>
    </dxf>
    <dxf>
      <numFmt numFmtId="165" formatCode="&quot;S/&quot;\ #,##0.00"/>
    </dxf>
    <dxf>
      <numFmt numFmtId="34" formatCode="_-&quot;S/&quot;\ * #,##0.00_-;\-&quot;S/&quot;\ * #,##0.00_-;_-&quot;S/&quot;\ * &quot;-&quot;??_-;_-@_-"/>
    </dxf>
  </dxfs>
  <tableStyles count="1" defaultTableStyle="TableStyleMedium2" defaultPivotStyle="PivotStyleLight16">
    <tableStyle name="Invisible" pivot="0" table="0" count="0" xr9:uid="{498A11AB-6C20-4F31-8947-DC86BC6D3B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14545</xdr:colOff>
      <xdr:row>1</xdr:row>
      <xdr:rowOff>53340</xdr:rowOff>
    </xdr:from>
    <xdr:to>
      <xdr:col>8</xdr:col>
      <xdr:colOff>757594</xdr:colOff>
      <xdr:row>22</xdr:row>
      <xdr:rowOff>27609</xdr:rowOff>
    </xdr:to>
    <xdr:pic>
      <xdr:nvPicPr>
        <xdr:cNvPr id="2" name="Imagen 1" descr="Interfaz de usuario gráfica, Texto, Aplicación&#10;&#10;Descripción generada automáticamente">
          <a:extLst>
            <a:ext uri="{FF2B5EF4-FFF2-40B4-BE49-F238E27FC236}">
              <a16:creationId xmlns:a16="http://schemas.microsoft.com/office/drawing/2014/main" id="{1F1F4EEB-D8CF-67CA-757C-55478FB26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9425" y="236220"/>
          <a:ext cx="2356584" cy="38147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304800</xdr:colOff>
      <xdr:row>5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612F203-869B-7BFF-4BAA-3C3362034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72000" cy="10287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17.812962384261" createdVersion="8" refreshedVersion="8" minRefreshableVersion="3" recordCount="8" xr:uid="{72D586EB-C2A6-47B9-908C-8F674D3C51A5}">
  <cacheSource type="worksheet">
    <worksheetSource ref="A8:B16" sheet="Introducción"/>
  </cacheSource>
  <cacheFields count="2">
    <cacheField name="Producto" numFmtId="0">
      <sharedItems count="4">
        <s v="A"/>
        <s v="B"/>
        <s v="C"/>
        <s v="D"/>
      </sharedItems>
    </cacheField>
    <cacheField name="Ventas" numFmtId="0">
      <sharedItems containsSemiMixedTypes="0" containsString="0" containsNumber="1" containsInteger="1" minValue="5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17.824410532405" createdVersion="8" refreshedVersion="8" minRefreshableVersion="3" recordCount="120" xr:uid="{69A09FB0-24AC-4DCC-A284-F3709F08298E}">
  <cacheSource type="worksheet">
    <worksheetSource ref="A4:P124" sheet="Ventas"/>
  </cacheSource>
  <cacheFields count="18">
    <cacheField name="ID Factura" numFmtId="0">
      <sharedItems containsSemiMixedTypes="0" containsString="0" containsNumber="1" containsInteger="1" minValue="1060" maxValue="9937"/>
    </cacheField>
    <cacheField name="Fecha de Venta" numFmtId="14">
      <sharedItems containsSemiMixedTypes="0" containsNonDate="0" containsDate="1" containsString="0" minDate="2024-01-01T00:00:00" maxDate="2024-12-28T00:00:00" count="101">
        <d v="2024-04-01T00:00:00"/>
        <d v="2024-03-07T00:00:00"/>
        <d v="2024-01-11T00:00:00"/>
        <d v="2024-03-02T00:00:00"/>
        <d v="2024-12-08T00:00:00"/>
        <d v="2024-03-05T00:00:00"/>
        <d v="2024-09-04T00:00:00"/>
        <d v="2024-01-18T00:00:00"/>
        <d v="2024-10-16T00:00:00"/>
        <d v="2024-07-24T00:00:00"/>
        <d v="2024-02-06T00:00:00"/>
        <d v="2024-01-27T00:00:00"/>
        <d v="2024-12-05T00:00:00"/>
        <d v="2024-09-17T00:00:00"/>
        <d v="2024-08-21T00:00:00"/>
        <d v="2024-08-19T00:00:00"/>
        <d v="2024-07-08T00:00:00"/>
        <d v="2024-04-19T00:00:00"/>
        <d v="2024-07-05T00:00:00"/>
        <d v="2024-06-22T00:00:00"/>
        <d v="2024-11-17T00:00:00"/>
        <d v="2024-06-26T00:00:00"/>
        <d v="2024-12-20T00:00:00"/>
        <d v="2024-04-21T00:00:00"/>
        <d v="2024-11-14T00:00:00"/>
        <d v="2024-07-27T00:00:00"/>
        <d v="2024-08-30T00:00:00"/>
        <d v="2024-05-24T00:00:00"/>
        <d v="2024-07-16T00:00:00"/>
        <d v="2024-05-19T00:00:00"/>
        <d v="2024-12-21T00:00:00"/>
        <d v="2024-05-06T00:00:00"/>
        <d v="2024-03-28T00:00:00"/>
        <d v="2024-11-20T00:00:00"/>
        <d v="2024-11-13T00:00:00"/>
        <d v="2024-06-10T00:00:00"/>
        <d v="2024-01-16T00:00:00"/>
        <d v="2024-10-21T00:00:00"/>
        <d v="2024-03-27T00:00:00"/>
        <d v="2024-06-07T00:00:00"/>
        <d v="2024-09-30T00:00:00"/>
        <d v="2024-03-17T00:00:00"/>
        <d v="2024-05-13T00:00:00"/>
        <d v="2024-08-07T00:00:00"/>
        <d v="2024-01-01T00:00:00"/>
        <d v="2024-03-14T00:00:00"/>
        <d v="2024-03-24T00:00:00"/>
        <d v="2024-02-29T00:00:00"/>
        <d v="2024-05-05T00:00:00"/>
        <d v="2024-11-22T00:00:00"/>
        <d v="2024-06-18T00:00:00"/>
        <d v="2024-11-19T00:00:00"/>
        <d v="2024-04-27T00:00:00"/>
        <d v="2024-12-27T00:00:00"/>
        <d v="2024-03-10T00:00:00"/>
        <d v="2024-11-18T00:00:00"/>
        <d v="2024-03-20T00:00:00"/>
        <d v="2024-08-26T00:00:00"/>
        <d v="2024-03-03T00:00:00"/>
        <d v="2024-10-17T00:00:00"/>
        <d v="2024-11-01T00:00:00"/>
        <d v="2024-01-30T00:00:00"/>
        <d v="2024-12-22T00:00:00"/>
        <d v="2024-11-02T00:00:00"/>
        <d v="2024-07-17T00:00:00"/>
        <d v="2024-04-15T00:00:00"/>
        <d v="2024-03-26T00:00:00"/>
        <d v="2024-07-23T00:00:00"/>
        <d v="2024-09-24T00:00:00"/>
        <d v="2024-09-08T00:00:00"/>
        <d v="2024-09-25T00:00:00"/>
        <d v="2024-09-12T00:00:00"/>
        <d v="2024-11-12T00:00:00"/>
        <d v="2024-05-16T00:00:00"/>
        <d v="2024-03-08T00:00:00"/>
        <d v="2024-10-22T00:00:00"/>
        <d v="2024-01-23T00:00:00"/>
        <d v="2024-09-27T00:00:00"/>
        <d v="2024-09-28T00:00:00"/>
        <d v="2024-10-29T00:00:00"/>
        <d v="2024-07-11T00:00:00"/>
        <d v="2024-06-21T00:00:00"/>
        <d v="2024-11-29T00:00:00"/>
        <d v="2024-05-23T00:00:00"/>
        <d v="2024-10-30T00:00:00"/>
        <d v="2024-05-04T00:00:00"/>
        <d v="2024-05-28T00:00:00"/>
        <d v="2024-07-30T00:00:00"/>
        <d v="2024-02-03T00:00:00"/>
        <d v="2024-05-15T00:00:00"/>
        <d v="2024-04-12T00:00:00"/>
        <d v="2024-01-13T00:00:00"/>
        <d v="2024-06-20T00:00:00"/>
        <d v="2024-07-28T00:00:00"/>
        <d v="2024-04-10T00:00:00"/>
        <d v="2024-04-05T00:00:00"/>
        <d v="2024-01-08T00:00:00"/>
        <d v="2024-08-13T00:00:00"/>
        <d v="2024-11-16T00:00:00"/>
        <d v="2024-03-16T00:00:00"/>
        <d v="2024-12-04T00:00:00"/>
      </sharedItems>
      <fieldGroup par="17"/>
    </cacheField>
    <cacheField name="Unidades" numFmtId="0">
      <sharedItems containsSemiMixedTypes="0" containsString="0" containsNumber="1" containsInteger="1" minValue="1" maxValue="20"/>
    </cacheField>
    <cacheField name="Precio" numFmtId="0">
      <sharedItems containsSemiMixedTypes="0" containsString="0" containsNumber="1" minValue="25.85" maxValue="491.95"/>
    </cacheField>
    <cacheField name="% Costo" numFmtId="9">
      <sharedItems containsSemiMixedTypes="0" containsString="0" containsNumber="1" minValue="0.12" maxValue="0.5"/>
    </cacheField>
    <cacheField name="Familia de Productos" numFmtId="0">
      <sharedItems count="5">
        <s v="Electrónica"/>
        <s v="Alimentos"/>
        <s v="Muebles"/>
        <s v="Juguetes"/>
        <s v="Ropa"/>
      </sharedItems>
    </cacheField>
    <cacheField name="Producto" numFmtId="0">
      <sharedItems count="15">
        <s v="Laptop"/>
        <s v="Queso"/>
        <s v="Silla"/>
        <s v="Rompecabezas"/>
        <s v="Balón de fútbol"/>
        <s v="Pantalones"/>
        <s v="Smartphone"/>
        <s v="Chaqueta"/>
        <s v="Muñeca"/>
        <s v="Cámara"/>
        <s v="Camisa"/>
        <s v="Mesa"/>
        <s v="Sofá"/>
        <s v="Pan"/>
        <s v="Jamón"/>
      </sharedItems>
    </cacheField>
    <cacheField name="Nombre Cliente" numFmtId="0">
      <sharedItems/>
    </cacheField>
    <cacheField name="Genero Cliente" numFmtId="0">
      <sharedItems count="2">
        <s v="Masculino"/>
        <s v="Femenino"/>
      </sharedItems>
    </cacheField>
    <cacheField name="Vendedor" numFmtId="0">
      <sharedItems/>
    </cacheField>
    <cacheField name="Fecha de Entrega" numFmtId="14">
      <sharedItems containsSemiMixedTypes="0" containsNonDate="0" containsDate="1" containsString="0" minDate="2024-01-16T00:00:00" maxDate="2025-01-18T00:00:00"/>
    </cacheField>
    <cacheField name="Ciudad" numFmtId="0">
      <sharedItems/>
    </cacheField>
    <cacheField name="País" numFmtId="0">
      <sharedItems count="11">
        <s v="Canada"/>
        <s v="Uruguay"/>
        <s v="Mexico"/>
        <s v="Ecuador"/>
        <s v="Peru"/>
        <s v="Argentina"/>
        <s v="USA"/>
        <s v="Chile"/>
        <s v="Bolivia"/>
        <s v="Colombia"/>
        <s v="Guatemala"/>
      </sharedItems>
    </cacheField>
    <cacheField name="Ventas" numFmtId="0">
      <sharedItems containsSemiMixedTypes="0" containsString="0" containsNumber="1" minValue="77.550000000000011" maxValue="8452.26" count="120">
        <n v="2431.91"/>
        <n v="1188.56"/>
        <n v="5707.65"/>
        <n v="4350.3"/>
        <n v="4104.3"/>
        <n v="1179.81"/>
        <n v="1695.35"/>
        <n v="1264.8899999999999"/>
        <n v="1359.96"/>
        <n v="741.62"/>
        <n v="100.78"/>
        <n v="2612.58"/>
        <n v="324.89999999999998"/>
        <n v="3061.28"/>
        <n v="1403.46"/>
        <n v="533.54"/>
        <n v="3553.8799999999997"/>
        <n v="2320.83"/>
        <n v="1464.6"/>
        <n v="614.46"/>
        <n v="4083.6000000000004"/>
        <n v="6977.16"/>
        <n v="6579.36"/>
        <n v="921.44"/>
        <n v="2413.36"/>
        <n v="3246.53"/>
        <n v="1990.8000000000002"/>
        <n v="4036.68"/>
        <n v="4673.6400000000003"/>
        <n v="1538.2399999999998"/>
        <n v="3420.34"/>
        <n v="606.32000000000005"/>
        <n v="1012.6"/>
        <n v="532.4"/>
        <n v="720.05"/>
        <n v="1395.36"/>
        <n v="2716.64"/>
        <n v="1090.18"/>
        <n v="7668.0199999999995"/>
        <n v="2394.36"/>
        <n v="3376.9800000000005"/>
        <n v="4403.9799999999996"/>
        <n v="4917.5"/>
        <n v="1289.24"/>
        <n v="1015.9799999999999"/>
        <n v="7186.75"/>
        <n v="370.37"/>
        <n v="1001.49"/>
        <n v="6587.4600000000009"/>
        <n v="4533.3999999999996"/>
        <n v="77.550000000000011"/>
        <n v="309"/>
        <n v="6865.9500000000007"/>
        <n v="885.1"/>
        <n v="4219.1500000000005"/>
        <n v="2465.16"/>
        <n v="7672.2"/>
        <n v="2657.85"/>
        <n v="3736.43"/>
        <n v="4829.76"/>
        <n v="1137.3599999999999"/>
        <n v="1472.4"/>
        <n v="7354"/>
        <n v="1451.84"/>
        <n v="2484.7199999999998"/>
        <n v="7069.33"/>
        <n v="5777.11"/>
        <n v="991.62000000000012"/>
        <n v="1078.7"/>
        <n v="1176.1499999999999"/>
        <n v="2782.8"/>
        <n v="2486.54"/>
        <n v="344.72"/>
        <n v="1864.8700000000001"/>
        <n v="5955.75"/>
        <n v="4074.3999999999996"/>
        <n v="1204.05"/>
        <n v="2419.6"/>
        <n v="4860"/>
        <n v="453.73999999999995"/>
        <n v="5130.84"/>
        <n v="5324.88"/>
        <n v="2309.1999999999998"/>
        <n v="1931.7599999999998"/>
        <n v="2674.5"/>
        <n v="5392"/>
        <n v="3040.18"/>
        <n v="2356.7400000000002"/>
        <n v="857.76"/>
        <n v="633.25"/>
        <n v="4577.4000000000005"/>
        <n v="446.95"/>
        <n v="2874"/>
        <n v="241.85"/>
        <n v="5362.05"/>
        <n v="2102.3200000000002"/>
        <n v="5268.96"/>
        <n v="1764.5"/>
        <n v="2705.55"/>
        <n v="985.76"/>
        <n v="1890.48"/>
        <n v="2246.89"/>
        <n v="8452.26"/>
        <n v="429.08"/>
        <n v="1116.96"/>
        <n v="2544.2400000000002"/>
        <n v="2577.19"/>
        <n v="3396.5099999999998"/>
        <n v="3078.53"/>
        <n v="1733.8999999999999"/>
        <n v="282.14999999999998"/>
        <n v="5425.84"/>
        <n v="1827.52"/>
        <n v="371.47"/>
        <n v="853.84"/>
        <n v="890.62"/>
        <n v="1708.4"/>
        <n v="601.71999999999991"/>
        <n v="289.44"/>
        <n v="8363.15"/>
      </sharedItems>
    </cacheField>
    <cacheField name="Costo" numFmtId="0">
      <sharedItems containsSemiMixedTypes="0" containsString="0" containsNumber="1" minValue="37.999500000000005" maxValue="3679.7860000000001"/>
    </cacheField>
    <cacheField name="Ganancia" numFmtId="0">
      <sharedItems containsSemiMixedTypes="0" containsString="0" containsNumber="1" minValue="39.550500000000007" maxValue="6508.2402000000002"/>
    </cacheField>
    <cacheField name="Días (Fecha de Venta)" numFmtId="0" databaseField="0">
      <fieldGroup base="1">
        <rangePr groupBy="days" startDate="2024-01-01T00:00:00" endDate="2024-12-28T00:00:00"/>
        <groupItems count="368">
          <s v="&lt;1/01/2024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8/12/2024"/>
        </groupItems>
      </fieldGroup>
    </cacheField>
    <cacheField name="Meses (Fecha de Venta)" numFmtId="0" databaseField="0">
      <fieldGroup base="1">
        <rangePr groupBy="months" startDate="2024-01-01T00:00:00" endDate="2024-12-28T00:00:00"/>
        <groupItems count="14">
          <s v="&lt;1/01/2024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28/12/2024"/>
        </groupItems>
      </fieldGroup>
    </cacheField>
  </cacheFields>
  <extLst>
    <ext xmlns:x14="http://schemas.microsoft.com/office/spreadsheetml/2009/9/main" uri="{725AE2AE-9491-48be-B2B4-4EB974FC3084}">
      <x14:pivotCacheDefinition pivotCacheId="25895644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10"/>
  </r>
  <r>
    <x v="0"/>
    <n v="5"/>
  </r>
  <r>
    <x v="0"/>
    <n v="85"/>
  </r>
  <r>
    <x v="1"/>
    <n v="7"/>
  </r>
  <r>
    <x v="1"/>
    <n v="6"/>
  </r>
  <r>
    <x v="2"/>
    <n v="100"/>
  </r>
  <r>
    <x v="2"/>
    <n v="36"/>
  </r>
  <r>
    <x v="3"/>
    <n v="2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9605"/>
    <x v="0"/>
    <n v="13"/>
    <n v="187.07"/>
    <n v="0.41"/>
    <x v="0"/>
    <x v="0"/>
    <s v="Joseph Roberts"/>
    <x v="0"/>
    <s v="Mr. Justin Jones"/>
    <d v="2024-04-19T00:00:00"/>
    <s v="Toronto"/>
    <x v="0"/>
    <x v="0"/>
    <n v="997.08309999999983"/>
    <n v="1434.8269"/>
  </r>
  <r>
    <n v="4800"/>
    <x v="1"/>
    <n v="8"/>
    <n v="148.57"/>
    <n v="0.14000000000000001"/>
    <x v="1"/>
    <x v="1"/>
    <s v="Grace Gordon"/>
    <x v="1"/>
    <s v="Tammy Henry"/>
    <d v="2024-03-24T00:00:00"/>
    <s v="Paysandu"/>
    <x v="1"/>
    <x v="1"/>
    <n v="166.39840000000001"/>
    <n v="1022.1615999999999"/>
  </r>
  <r>
    <n v="1071"/>
    <x v="2"/>
    <n v="15"/>
    <n v="380.51"/>
    <n v="0.19"/>
    <x v="2"/>
    <x v="2"/>
    <s v="Dr. Frank Scott"/>
    <x v="1"/>
    <s v="Casey Lee"/>
    <d v="2024-02-05T00:00:00"/>
    <s v="Monterrey"/>
    <x v="2"/>
    <x v="2"/>
    <n v="1084.4534999999998"/>
    <n v="4623.1965"/>
  </r>
  <r>
    <n v="2747"/>
    <x v="3"/>
    <n v="17"/>
    <n v="255.9"/>
    <n v="0.18"/>
    <x v="3"/>
    <x v="3"/>
    <s v="Martha Hill DVM"/>
    <x v="0"/>
    <s v="Steve Duffy PhD"/>
    <d v="2024-03-15T00:00:00"/>
    <s v="Cuenca"/>
    <x v="3"/>
    <x v="3"/>
    <n v="783.05399999999997"/>
    <n v="3567.2460000000001"/>
  </r>
  <r>
    <n v="2398"/>
    <x v="4"/>
    <n v="10"/>
    <n v="410.43"/>
    <n v="0.24"/>
    <x v="3"/>
    <x v="4"/>
    <s v="Antonio Coleman"/>
    <x v="0"/>
    <s v="Anita Hill"/>
    <d v="2025-01-01T00:00:00"/>
    <s v="Arequipa"/>
    <x v="4"/>
    <x v="4"/>
    <n v="985.03200000000004"/>
    <n v="3119.268"/>
  </r>
  <r>
    <n v="8816"/>
    <x v="5"/>
    <n v="3"/>
    <n v="393.27"/>
    <n v="0.14000000000000001"/>
    <x v="4"/>
    <x v="5"/>
    <s v="Michael Sutton"/>
    <x v="0"/>
    <s v="Jamie Wright"/>
    <d v="2024-03-24T00:00:00"/>
    <s v="Cordoba"/>
    <x v="5"/>
    <x v="5"/>
    <n v="165.17340000000002"/>
    <n v="1014.6365999999999"/>
  </r>
  <r>
    <n v="8239"/>
    <x v="6"/>
    <n v="5"/>
    <n v="339.07"/>
    <n v="0.12"/>
    <x v="0"/>
    <x v="6"/>
    <s v="Jay Cain"/>
    <x v="0"/>
    <s v="Michelle Harris"/>
    <d v="2024-10-02T00:00:00"/>
    <s v="Guadalajara"/>
    <x v="2"/>
    <x v="6"/>
    <n v="203.44199999999998"/>
    <n v="1491.9079999999999"/>
  </r>
  <r>
    <n v="6416"/>
    <x v="7"/>
    <n v="3"/>
    <n v="421.63"/>
    <n v="0.4"/>
    <x v="4"/>
    <x v="7"/>
    <s v="Megan Williams MD"/>
    <x v="0"/>
    <s v="Katherine Garcia"/>
    <d v="2024-02-10T00:00:00"/>
    <s v="Cuenca"/>
    <x v="3"/>
    <x v="7"/>
    <n v="505.95599999999996"/>
    <n v="758.93399999999997"/>
  </r>
  <r>
    <n v="7579"/>
    <x v="8"/>
    <n v="7"/>
    <n v="194.28"/>
    <n v="0.42"/>
    <x v="3"/>
    <x v="8"/>
    <s v="Terrance Brown"/>
    <x v="0"/>
    <s v="Heather Miller"/>
    <d v="2024-10-24T00:00:00"/>
    <s v="New York"/>
    <x v="6"/>
    <x v="8"/>
    <n v="571.18319999999994"/>
    <n v="788.77680000000009"/>
  </r>
  <r>
    <n v="5706"/>
    <x v="9"/>
    <n v="2"/>
    <n v="370.81"/>
    <n v="0.32"/>
    <x v="0"/>
    <x v="0"/>
    <s v="Robin Oconnell"/>
    <x v="1"/>
    <s v="Christian Larson"/>
    <d v="2024-08-06T00:00:00"/>
    <s v="Buenos Aires"/>
    <x v="5"/>
    <x v="9"/>
    <n v="237.3184"/>
    <n v="504.30160000000001"/>
  </r>
  <r>
    <n v="5344"/>
    <x v="10"/>
    <n v="1"/>
    <n v="100.78"/>
    <n v="0.47"/>
    <x v="3"/>
    <x v="4"/>
    <s v="Brandi Smith"/>
    <x v="0"/>
    <s v="Amanda Patton"/>
    <d v="2024-02-26T00:00:00"/>
    <s v="Valparaiso"/>
    <x v="7"/>
    <x v="10"/>
    <n v="47.366599999999998"/>
    <n v="53.413400000000003"/>
  </r>
  <r>
    <n v="9187"/>
    <x v="11"/>
    <n v="6"/>
    <n v="435.43"/>
    <n v="0.47"/>
    <x v="3"/>
    <x v="3"/>
    <s v="Rita Reid"/>
    <x v="1"/>
    <s v="Kenneth Kerr"/>
    <d v="2024-02-23T00:00:00"/>
    <s v="La Paz"/>
    <x v="8"/>
    <x v="11"/>
    <n v="1227.9125999999999"/>
    <n v="1384.6674"/>
  </r>
  <r>
    <n v="4266"/>
    <x v="12"/>
    <n v="1"/>
    <n v="324.89999999999998"/>
    <n v="0.23"/>
    <x v="3"/>
    <x v="4"/>
    <s v="Desiree Guerrero"/>
    <x v="1"/>
    <s v="Jamie Ray"/>
    <d v="2024-12-09T00:00:00"/>
    <s v="Los Angeles"/>
    <x v="6"/>
    <x v="12"/>
    <n v="74.727000000000004"/>
    <n v="250.17299999999997"/>
  </r>
  <r>
    <n v="1315"/>
    <x v="13"/>
    <n v="8"/>
    <n v="382.66"/>
    <n v="0.21"/>
    <x v="0"/>
    <x v="6"/>
    <s v="Renee Brown"/>
    <x v="1"/>
    <s v="Laura Wagner"/>
    <d v="2024-09-30T00:00:00"/>
    <s v="La Paz"/>
    <x v="8"/>
    <x v="13"/>
    <n v="642.86879999999996"/>
    <n v="2418.4112000000005"/>
  </r>
  <r>
    <n v="9054"/>
    <x v="14"/>
    <n v="18"/>
    <n v="77.97"/>
    <n v="0.31"/>
    <x v="0"/>
    <x v="9"/>
    <s v="Erin Henderson"/>
    <x v="1"/>
    <s v="Dylan May"/>
    <d v="2024-09-17T00:00:00"/>
    <s v="Cali"/>
    <x v="9"/>
    <x v="14"/>
    <n v="435.07260000000002"/>
    <n v="968.38740000000007"/>
  </r>
  <r>
    <n v="9433"/>
    <x v="15"/>
    <n v="14"/>
    <n v="38.11"/>
    <n v="0.46"/>
    <x v="0"/>
    <x v="6"/>
    <s v="Samantha Saunders"/>
    <x v="1"/>
    <s v="Stephen Carter"/>
    <d v="2024-09-16T00:00:00"/>
    <s v="La Paz"/>
    <x v="8"/>
    <x v="15"/>
    <n v="245.42839999999998"/>
    <n v="288.11159999999995"/>
  </r>
  <r>
    <n v="6203"/>
    <x v="16"/>
    <n v="11"/>
    <n v="323.08"/>
    <n v="0.16"/>
    <x v="2"/>
    <x v="2"/>
    <s v="Sean Scott"/>
    <x v="1"/>
    <s v="Victoria Cooper"/>
    <d v="2024-07-12T00:00:00"/>
    <s v="Montreal"/>
    <x v="0"/>
    <x v="16"/>
    <n v="568.62079999999992"/>
    <n v="2985.2591999999995"/>
  </r>
  <r>
    <n v="7349"/>
    <x v="17"/>
    <n v="9"/>
    <n v="257.87"/>
    <n v="0.17"/>
    <x v="4"/>
    <x v="10"/>
    <s v="Tiffany Atkinson"/>
    <x v="1"/>
    <s v="Drew Robles"/>
    <d v="2024-05-10T00:00:00"/>
    <s v="Montevideo"/>
    <x v="1"/>
    <x v="17"/>
    <n v="394.54110000000003"/>
    <n v="1926.2889"/>
  </r>
  <r>
    <n v="1685"/>
    <x v="18"/>
    <n v="12"/>
    <n v="122.05"/>
    <n v="0.22"/>
    <x v="2"/>
    <x v="11"/>
    <s v="Theresa Mueller"/>
    <x v="0"/>
    <s v="Laura Poole"/>
    <d v="2024-07-07T00:00:00"/>
    <s v="Guatemala City"/>
    <x v="10"/>
    <x v="18"/>
    <n v="322.21199999999999"/>
    <n v="1142.3879999999999"/>
  </r>
  <r>
    <n v="5867"/>
    <x v="19"/>
    <n v="2"/>
    <n v="307.23"/>
    <n v="0.42"/>
    <x v="2"/>
    <x v="12"/>
    <s v="Grace Allen"/>
    <x v="1"/>
    <s v="Jeffrey Blackburn"/>
    <d v="2024-07-11T00:00:00"/>
    <s v="Monterrey"/>
    <x v="2"/>
    <x v="19"/>
    <n v="258.07319999999999"/>
    <n v="356.38680000000005"/>
  </r>
  <r>
    <n v="8299"/>
    <x v="20"/>
    <n v="15"/>
    <n v="272.24"/>
    <n v="0.46"/>
    <x v="1"/>
    <x v="1"/>
    <s v="Melanie Lewis DDS"/>
    <x v="0"/>
    <s v="Allison Hughes"/>
    <d v="2024-12-16T00:00:00"/>
    <s v="Cusco"/>
    <x v="4"/>
    <x v="20"/>
    <n v="1878.4560000000004"/>
    <n v="2205.1440000000002"/>
  </r>
  <r>
    <n v="3053"/>
    <x v="21"/>
    <n v="18"/>
    <n v="387.62"/>
    <n v="0.45"/>
    <x v="2"/>
    <x v="11"/>
    <s v="Gina Newton"/>
    <x v="1"/>
    <s v="Maureen Barnes"/>
    <d v="2024-07-24T00:00:00"/>
    <s v="Medellin"/>
    <x v="9"/>
    <x v="21"/>
    <n v="3139.7220000000002"/>
    <n v="3837.4379999999996"/>
  </r>
  <r>
    <n v="4398"/>
    <x v="22"/>
    <n v="16"/>
    <n v="411.21"/>
    <n v="0.4"/>
    <x v="3"/>
    <x v="4"/>
    <s v="Julia Dalton"/>
    <x v="1"/>
    <s v="Samantha Watson"/>
    <d v="2025-01-17T00:00:00"/>
    <s v="Lima"/>
    <x v="4"/>
    <x v="22"/>
    <n v="2631.7440000000001"/>
    <n v="3947.6159999999995"/>
  </r>
  <r>
    <n v="5161"/>
    <x v="23"/>
    <n v="8"/>
    <n v="115.18"/>
    <n v="0.45"/>
    <x v="1"/>
    <x v="1"/>
    <s v="Morgan Riley"/>
    <x v="0"/>
    <s v="Christy Kelly"/>
    <d v="2024-04-26T00:00:00"/>
    <s v="Santa Cruz"/>
    <x v="8"/>
    <x v="23"/>
    <n v="414.64800000000002"/>
    <n v="506.79200000000003"/>
  </r>
  <r>
    <n v="3892"/>
    <x v="24"/>
    <n v="8"/>
    <n v="301.67"/>
    <n v="0.45"/>
    <x v="3"/>
    <x v="4"/>
    <s v="John Miller"/>
    <x v="1"/>
    <s v="Mason Rodriguez"/>
    <d v="2024-12-10T00:00:00"/>
    <s v="Chicago"/>
    <x v="6"/>
    <x v="24"/>
    <n v="1086.0120000000002"/>
    <n v="1327.348"/>
  </r>
  <r>
    <n v="9667"/>
    <x v="25"/>
    <n v="7"/>
    <n v="463.79"/>
    <n v="0.26"/>
    <x v="2"/>
    <x v="11"/>
    <s v="Benjamin Holmes"/>
    <x v="1"/>
    <s v="Lisa Kelly"/>
    <d v="2024-08-11T00:00:00"/>
    <s v="Quetzaltenango"/>
    <x v="10"/>
    <x v="25"/>
    <n v="844.09780000000012"/>
    <n v="2402.4322000000002"/>
  </r>
  <r>
    <n v="5154"/>
    <x v="26"/>
    <n v="12"/>
    <n v="165.9"/>
    <n v="0.33"/>
    <x v="0"/>
    <x v="6"/>
    <s v="Beth Juarez"/>
    <x v="1"/>
    <s v="Daniel Stein"/>
    <d v="2024-09-29T00:00:00"/>
    <s v="Montreal"/>
    <x v="0"/>
    <x v="26"/>
    <n v="656.96400000000006"/>
    <n v="1333.8360000000002"/>
  </r>
  <r>
    <n v="8155"/>
    <x v="27"/>
    <n v="12"/>
    <n v="336.39"/>
    <n v="0.3"/>
    <x v="0"/>
    <x v="6"/>
    <s v="Rachel Lewis"/>
    <x v="0"/>
    <s v="Tracie Huerta"/>
    <d v="2024-05-30T00:00:00"/>
    <s v="Arequipa"/>
    <x v="4"/>
    <x v="27"/>
    <n v="1211.0039999999999"/>
    <n v="2825.6759999999999"/>
  </r>
  <r>
    <n v="7307"/>
    <x v="28"/>
    <n v="12"/>
    <n v="389.47"/>
    <n v="0.19"/>
    <x v="0"/>
    <x v="6"/>
    <s v="John Kim"/>
    <x v="1"/>
    <s v="Mary Blake"/>
    <d v="2024-08-09T00:00:00"/>
    <s v="Los Angeles"/>
    <x v="6"/>
    <x v="28"/>
    <n v="887.99160000000006"/>
    <n v="3785.6484"/>
  </r>
  <r>
    <n v="4141"/>
    <x v="29"/>
    <n v="19"/>
    <n v="80.959999999999994"/>
    <n v="0.19"/>
    <x v="1"/>
    <x v="13"/>
    <s v="Jordan Hopkins"/>
    <x v="1"/>
    <s v="Gwendolyn Jones"/>
    <d v="2024-05-24T00:00:00"/>
    <s v="Cusco"/>
    <x v="4"/>
    <x v="29"/>
    <n v="292.26559999999995"/>
    <n v="1245.9743999999998"/>
  </r>
  <r>
    <n v="4978"/>
    <x v="30"/>
    <n v="7"/>
    <n v="488.62"/>
    <n v="0.4"/>
    <x v="3"/>
    <x v="8"/>
    <s v="Jeremy Hughes"/>
    <x v="1"/>
    <s v="Gina Barron"/>
    <d v="2024-12-28T00:00:00"/>
    <s v="Guatemala City"/>
    <x v="10"/>
    <x v="30"/>
    <n v="1368.1360000000002"/>
    <n v="2052.2039999999997"/>
  </r>
  <r>
    <n v="4059"/>
    <x v="23"/>
    <n v="13"/>
    <n v="46.64"/>
    <n v="0.31"/>
    <x v="2"/>
    <x v="11"/>
    <s v="Joel Reid"/>
    <x v="1"/>
    <s v="Anna Dodson"/>
    <d v="2024-04-22T00:00:00"/>
    <s v="Vancouver"/>
    <x v="0"/>
    <x v="31"/>
    <n v="187.95920000000001"/>
    <n v="418.36080000000004"/>
  </r>
  <r>
    <n v="1250"/>
    <x v="31"/>
    <n v="20"/>
    <n v="50.63"/>
    <n v="0.47"/>
    <x v="2"/>
    <x v="2"/>
    <s v="Joseph Solomon"/>
    <x v="0"/>
    <s v="Christina Meyer"/>
    <d v="2024-05-10T00:00:00"/>
    <s v="New York"/>
    <x v="6"/>
    <x v="32"/>
    <n v="475.92199999999997"/>
    <n v="536.67800000000011"/>
  </r>
  <r>
    <n v="5948"/>
    <x v="32"/>
    <n v="10"/>
    <n v="53.24"/>
    <n v="0.32"/>
    <x v="1"/>
    <x v="1"/>
    <s v="Ricky Davis"/>
    <x v="1"/>
    <s v="Charles Thomas"/>
    <d v="2024-04-25T00:00:00"/>
    <s v="Chicago"/>
    <x v="6"/>
    <x v="33"/>
    <n v="170.36799999999999"/>
    <n v="362.03199999999998"/>
  </r>
  <r>
    <n v="3391"/>
    <x v="33"/>
    <n v="5"/>
    <n v="144.01"/>
    <n v="0.27"/>
    <x v="4"/>
    <x v="5"/>
    <s v="Kelly Rosales"/>
    <x v="1"/>
    <s v="Jeff Berry"/>
    <d v="2024-11-22T00:00:00"/>
    <s v="Rosario"/>
    <x v="5"/>
    <x v="34"/>
    <n v="194.4135"/>
    <n v="525.63649999999996"/>
  </r>
  <r>
    <n v="8336"/>
    <x v="34"/>
    <n v="18"/>
    <n v="77.52"/>
    <n v="0.39"/>
    <x v="4"/>
    <x v="7"/>
    <s v="Christopher Harris"/>
    <x v="0"/>
    <s v="Robin Herrera"/>
    <d v="2024-11-22T00:00:00"/>
    <s v="Guatemala City"/>
    <x v="10"/>
    <x v="35"/>
    <n v="544.19039999999995"/>
    <n v="851.16959999999995"/>
  </r>
  <r>
    <n v="6296"/>
    <x v="35"/>
    <n v="8"/>
    <n v="339.58"/>
    <n v="0.15"/>
    <x v="0"/>
    <x v="9"/>
    <s v="Dillon Matthews"/>
    <x v="0"/>
    <s v="Shawn Guerra"/>
    <d v="2024-06-28T00:00:00"/>
    <s v="Arequipa"/>
    <x v="4"/>
    <x v="36"/>
    <n v="407.49599999999998"/>
    <n v="2309.1439999999998"/>
  </r>
  <r>
    <n v="2804"/>
    <x v="36"/>
    <n v="14"/>
    <n v="77.87"/>
    <n v="0.18"/>
    <x v="1"/>
    <x v="1"/>
    <s v="Richard Riggs"/>
    <x v="0"/>
    <s v="Justin Rios"/>
    <d v="2024-02-14T00:00:00"/>
    <s v="Rosario"/>
    <x v="5"/>
    <x v="37"/>
    <n v="196.23240000000001"/>
    <n v="893.94760000000008"/>
  </r>
  <r>
    <n v="9094"/>
    <x v="37"/>
    <n v="19"/>
    <n v="403.58"/>
    <n v="0.19"/>
    <x v="3"/>
    <x v="8"/>
    <s v="Amanda Hayes"/>
    <x v="1"/>
    <s v="Chelsey Mcdonald"/>
    <d v="2024-11-04T00:00:00"/>
    <s v="Valparaiso"/>
    <x v="7"/>
    <x v="38"/>
    <n v="1456.9238"/>
    <n v="6211.0962"/>
  </r>
  <r>
    <n v="5649"/>
    <x v="38"/>
    <n v="9"/>
    <n v="266.04000000000002"/>
    <n v="0.36"/>
    <x v="4"/>
    <x v="7"/>
    <s v="Wendy Mcbride"/>
    <x v="0"/>
    <s v="Brett Richardson"/>
    <d v="2024-04-15T00:00:00"/>
    <s v="Toronto"/>
    <x v="0"/>
    <x v="39"/>
    <n v="861.96960000000001"/>
    <n v="1532.3904000000002"/>
  </r>
  <r>
    <n v="2852"/>
    <x v="1"/>
    <n v="9"/>
    <n v="375.22"/>
    <n v="0.38"/>
    <x v="2"/>
    <x v="11"/>
    <s v="Kathryn Calderon"/>
    <x v="0"/>
    <s v="Christopher Fernandez"/>
    <d v="2024-04-05T00:00:00"/>
    <s v="Rosario"/>
    <x v="5"/>
    <x v="40"/>
    <n v="1283.2524000000003"/>
    <n v="2093.7276000000002"/>
  </r>
  <r>
    <n v="3344"/>
    <x v="39"/>
    <n v="14"/>
    <n v="314.57"/>
    <n v="0.18"/>
    <x v="4"/>
    <x v="10"/>
    <s v="Marcia Cooper"/>
    <x v="0"/>
    <s v="Samantha Sawyer"/>
    <d v="2024-07-07T00:00:00"/>
    <s v="Cusco"/>
    <x v="4"/>
    <x v="41"/>
    <n v="792.71639999999991"/>
    <n v="3611.2635999999998"/>
  </r>
  <r>
    <n v="9473"/>
    <x v="40"/>
    <n v="14"/>
    <n v="351.25"/>
    <n v="0.21"/>
    <x v="0"/>
    <x v="6"/>
    <s v="Jill Gray"/>
    <x v="1"/>
    <s v="Jeffery Strong"/>
    <d v="2024-10-24T00:00:00"/>
    <s v="Cali"/>
    <x v="9"/>
    <x v="42"/>
    <n v="1032.675"/>
    <n v="3884.8249999999998"/>
  </r>
  <r>
    <n v="4289"/>
    <x v="41"/>
    <n v="4"/>
    <n v="322.31"/>
    <n v="0.32"/>
    <x v="2"/>
    <x v="2"/>
    <s v="Wendy Mccoy"/>
    <x v="0"/>
    <s v="Michael Robinson"/>
    <d v="2024-04-15T00:00:00"/>
    <s v="Cordoba"/>
    <x v="5"/>
    <x v="43"/>
    <n v="412.55680000000001"/>
    <n v="876.68319999999994"/>
  </r>
  <r>
    <n v="8434"/>
    <x v="42"/>
    <n v="14"/>
    <n v="72.569999999999993"/>
    <n v="0.49"/>
    <x v="2"/>
    <x v="12"/>
    <s v="Aaron Fritz"/>
    <x v="1"/>
    <s v="Eduardo Wright"/>
    <d v="2024-05-25T00:00:00"/>
    <s v="Lima"/>
    <x v="4"/>
    <x v="44"/>
    <n v="497.83019999999993"/>
    <n v="518.14979999999991"/>
  </r>
  <r>
    <n v="1757"/>
    <x v="43"/>
    <n v="17"/>
    <n v="422.75"/>
    <n v="0.37"/>
    <x v="2"/>
    <x v="2"/>
    <s v="Deborah Durham"/>
    <x v="0"/>
    <s v="John Johnson"/>
    <d v="2024-08-16T00:00:00"/>
    <s v="Toronto"/>
    <x v="0"/>
    <x v="45"/>
    <n v="2659.0974999999999"/>
    <n v="4527.6525000000001"/>
  </r>
  <r>
    <n v="3637"/>
    <x v="44"/>
    <n v="7"/>
    <n v="52.91"/>
    <n v="0.24"/>
    <x v="0"/>
    <x v="9"/>
    <s v="Natalie Gutierrez"/>
    <x v="0"/>
    <s v="Kimberly Burgess"/>
    <d v="2024-01-17T00:00:00"/>
    <s v="Salto"/>
    <x v="1"/>
    <x v="46"/>
    <n v="88.888800000000003"/>
    <n v="281.4812"/>
  </r>
  <r>
    <n v="3909"/>
    <x v="45"/>
    <n v="3"/>
    <n v="333.83"/>
    <n v="0.41"/>
    <x v="3"/>
    <x v="8"/>
    <s v="Shawn Spencer"/>
    <x v="0"/>
    <s v="Sarah Henry"/>
    <d v="2024-04-06T00:00:00"/>
    <s v="Paysandu"/>
    <x v="1"/>
    <x v="47"/>
    <n v="410.61089999999996"/>
    <n v="590.87910000000011"/>
  </r>
  <r>
    <n v="2524"/>
    <x v="46"/>
    <n v="18"/>
    <n v="365.97"/>
    <n v="0.19"/>
    <x v="4"/>
    <x v="7"/>
    <s v="Kimberly Ford"/>
    <x v="1"/>
    <s v="Levi Ruiz"/>
    <d v="2024-03-28T00:00:00"/>
    <s v="New York"/>
    <x v="6"/>
    <x v="48"/>
    <n v="1251.6174000000001"/>
    <n v="5335.8426000000009"/>
  </r>
  <r>
    <n v="9060"/>
    <x v="14"/>
    <n v="10"/>
    <n v="453.34"/>
    <n v="0.32"/>
    <x v="2"/>
    <x v="2"/>
    <s v="Mary Fowler"/>
    <x v="0"/>
    <s v="George Waller"/>
    <d v="2024-08-26T00:00:00"/>
    <s v="Los Angeles"/>
    <x v="6"/>
    <x v="49"/>
    <n v="1450.6879999999999"/>
    <n v="3082.7119999999995"/>
  </r>
  <r>
    <n v="5590"/>
    <x v="47"/>
    <n v="3"/>
    <n v="25.85"/>
    <n v="0.49"/>
    <x v="4"/>
    <x v="10"/>
    <s v="George Gutierrez"/>
    <x v="1"/>
    <s v="Jonathan Andrews"/>
    <d v="2024-03-03T00:00:00"/>
    <s v="Buenos Aires"/>
    <x v="5"/>
    <x v="50"/>
    <n v="37.999500000000005"/>
    <n v="39.550500000000007"/>
  </r>
  <r>
    <n v="4094"/>
    <x v="22"/>
    <n v="2"/>
    <n v="154.5"/>
    <n v="0.23"/>
    <x v="3"/>
    <x v="8"/>
    <s v="Danielle Washington"/>
    <x v="0"/>
    <s v="Jason Hunt"/>
    <d v="2024-12-27T00:00:00"/>
    <s v="Valparaiso"/>
    <x v="7"/>
    <x v="51"/>
    <n v="71.070000000000007"/>
    <n v="237.93"/>
  </r>
  <r>
    <n v="7166"/>
    <x v="48"/>
    <n v="15"/>
    <n v="457.73"/>
    <n v="0.22"/>
    <x v="4"/>
    <x v="10"/>
    <s v="Christina Conner"/>
    <x v="0"/>
    <s v="Morgan Hall"/>
    <d v="2024-05-31T00:00:00"/>
    <s v="Salto"/>
    <x v="1"/>
    <x v="52"/>
    <n v="1510.5090000000002"/>
    <n v="5355.4410000000007"/>
  </r>
  <r>
    <n v="1060"/>
    <x v="49"/>
    <n v="5"/>
    <n v="177.02"/>
    <n v="0.47"/>
    <x v="2"/>
    <x v="12"/>
    <s v="Sean Rojas"/>
    <x v="0"/>
    <s v="Melissa Jackson"/>
    <d v="2024-11-30T00:00:00"/>
    <s v="Montreal"/>
    <x v="0"/>
    <x v="53"/>
    <n v="415.99700000000001"/>
    <n v="469.10300000000001"/>
  </r>
  <r>
    <n v="7442"/>
    <x v="47"/>
    <n v="13"/>
    <n v="324.55"/>
    <n v="0.12"/>
    <x v="1"/>
    <x v="14"/>
    <s v="Hannah Vega"/>
    <x v="0"/>
    <s v="Anna Lester"/>
    <d v="2024-03-02T00:00:00"/>
    <s v="La Paz"/>
    <x v="8"/>
    <x v="54"/>
    <n v="506.29800000000006"/>
    <n v="3712.8520000000003"/>
  </r>
  <r>
    <n v="6428"/>
    <x v="50"/>
    <n v="12"/>
    <n v="205.43"/>
    <n v="0.37"/>
    <x v="4"/>
    <x v="7"/>
    <s v="Nathan Nguyen"/>
    <x v="1"/>
    <s v="Brian Turner"/>
    <d v="2024-07-08T00:00:00"/>
    <s v="Concepcion"/>
    <x v="7"/>
    <x v="55"/>
    <n v="912.10919999999999"/>
    <n v="1553.0508"/>
  </r>
  <r>
    <n v="2103"/>
    <x v="51"/>
    <n v="19"/>
    <n v="403.8"/>
    <n v="0.42"/>
    <x v="0"/>
    <x v="0"/>
    <s v="Mary Dennis"/>
    <x v="1"/>
    <s v="George Glenn"/>
    <d v="2024-12-14T00:00:00"/>
    <s v="Montevideo"/>
    <x v="1"/>
    <x v="56"/>
    <n v="3222.3239999999996"/>
    <n v="4449.8760000000002"/>
  </r>
  <r>
    <n v="9570"/>
    <x v="4"/>
    <n v="15"/>
    <n v="177.19"/>
    <n v="0.48"/>
    <x v="3"/>
    <x v="8"/>
    <s v="Kelly Stevens"/>
    <x v="0"/>
    <s v="Julie Gillespie"/>
    <d v="2025-01-04T00:00:00"/>
    <s v="Paysandu"/>
    <x v="1"/>
    <x v="57"/>
    <n v="1275.7679999999998"/>
    <n v="1382.0820000000001"/>
  </r>
  <r>
    <n v="9937"/>
    <x v="52"/>
    <n v="17"/>
    <n v="219.79"/>
    <n v="0.46"/>
    <x v="1"/>
    <x v="1"/>
    <s v="Patricia Wyatt"/>
    <x v="0"/>
    <s v="Mr. Dwayne Fuentes"/>
    <d v="2024-05-09T00:00:00"/>
    <s v="Mexico City"/>
    <x v="2"/>
    <x v="58"/>
    <n v="1718.7578000000001"/>
    <n v="2017.6721999999997"/>
  </r>
  <r>
    <n v="7114"/>
    <x v="53"/>
    <n v="18"/>
    <n v="268.32"/>
    <n v="0.27"/>
    <x v="0"/>
    <x v="6"/>
    <s v="Bryan Ochoa"/>
    <x v="1"/>
    <s v="Edward Taylor"/>
    <d v="2025-01-06T00:00:00"/>
    <s v="Cusco"/>
    <x v="4"/>
    <x v="59"/>
    <n v="1304.0352"/>
    <n v="3525.7248"/>
  </r>
  <r>
    <n v="2609"/>
    <x v="54"/>
    <n v="7"/>
    <n v="162.47999999999999"/>
    <n v="0.43"/>
    <x v="4"/>
    <x v="7"/>
    <s v="Alex Anderson"/>
    <x v="1"/>
    <s v="Angela Cox"/>
    <d v="2024-03-21T00:00:00"/>
    <s v="Cusco"/>
    <x v="4"/>
    <x v="60"/>
    <n v="489.06479999999993"/>
    <n v="648.29520000000002"/>
  </r>
  <r>
    <n v="6581"/>
    <x v="55"/>
    <n v="4"/>
    <n v="368.1"/>
    <n v="0.5"/>
    <x v="0"/>
    <x v="0"/>
    <s v="Carla Morales"/>
    <x v="1"/>
    <s v="Elizabeth Campbell"/>
    <d v="2024-12-06T00:00:00"/>
    <s v="Vancouver"/>
    <x v="0"/>
    <x v="61"/>
    <n v="736.2"/>
    <n v="736.2"/>
  </r>
  <r>
    <n v="2982"/>
    <x v="56"/>
    <n v="20"/>
    <n v="367.7"/>
    <n v="0.42"/>
    <x v="1"/>
    <x v="13"/>
    <s v="Melinda Wang"/>
    <x v="1"/>
    <s v="Marcus Gonzalez"/>
    <d v="2024-04-05T00:00:00"/>
    <s v="Montevideo"/>
    <x v="1"/>
    <x v="62"/>
    <n v="3088.68"/>
    <n v="4265.32"/>
  </r>
  <r>
    <n v="3859"/>
    <x v="57"/>
    <n v="16"/>
    <n v="90.74"/>
    <n v="0.46"/>
    <x v="4"/>
    <x v="7"/>
    <s v="Andrew Ross"/>
    <x v="0"/>
    <s v="Amanda Garcia"/>
    <d v="2024-09-24T00:00:00"/>
    <s v="Los Angeles"/>
    <x v="6"/>
    <x v="63"/>
    <n v="667.84640000000002"/>
    <n v="783.9935999999999"/>
  </r>
  <r>
    <n v="1483"/>
    <x v="58"/>
    <n v="18"/>
    <n v="138.04"/>
    <n v="0.48"/>
    <x v="2"/>
    <x v="11"/>
    <s v="Shannon Austin"/>
    <x v="0"/>
    <s v="Robert Carter"/>
    <d v="2024-03-26T00:00:00"/>
    <s v="Valparaiso"/>
    <x v="7"/>
    <x v="64"/>
    <n v="1192.6655999999998"/>
    <n v="1292.0544"/>
  </r>
  <r>
    <n v="3611"/>
    <x v="59"/>
    <n v="19"/>
    <n v="372.07"/>
    <n v="0.38"/>
    <x v="2"/>
    <x v="11"/>
    <s v="David Knapp"/>
    <x v="1"/>
    <s v="Raymond Burke"/>
    <d v="2024-10-28T00:00:00"/>
    <s v="Cochabamba"/>
    <x v="8"/>
    <x v="65"/>
    <n v="2686.3454000000002"/>
    <n v="4382.9845999999998"/>
  </r>
  <r>
    <n v="6159"/>
    <x v="60"/>
    <n v="17"/>
    <n v="339.83"/>
    <n v="0.41"/>
    <x v="1"/>
    <x v="14"/>
    <s v="Nathan Brooks"/>
    <x v="1"/>
    <s v="Timothy Cox"/>
    <d v="2024-11-13T00:00:00"/>
    <s v="Vancouver"/>
    <x v="0"/>
    <x v="66"/>
    <n v="2368.6150999999995"/>
    <n v="3408.4949000000001"/>
  </r>
  <r>
    <n v="8000"/>
    <x v="61"/>
    <n v="18"/>
    <n v="55.09"/>
    <n v="0.41"/>
    <x v="0"/>
    <x v="9"/>
    <s v="Wayne Powell"/>
    <x v="0"/>
    <s v="Theresa Mendoza"/>
    <d v="2024-02-16T00:00:00"/>
    <s v="Salto"/>
    <x v="1"/>
    <x v="67"/>
    <n v="406.56420000000003"/>
    <n v="585.05580000000009"/>
  </r>
  <r>
    <n v="3663"/>
    <x v="62"/>
    <n v="10"/>
    <n v="107.87"/>
    <n v="0.26"/>
    <x v="2"/>
    <x v="11"/>
    <s v="Jonathan Stephens"/>
    <x v="1"/>
    <s v="Kelly Dodson"/>
    <d v="2024-12-31T00:00:00"/>
    <s v="Mexico City"/>
    <x v="2"/>
    <x v="68"/>
    <n v="280.46200000000005"/>
    <n v="798.23800000000006"/>
  </r>
  <r>
    <n v="3798"/>
    <x v="63"/>
    <n v="5"/>
    <n v="235.23"/>
    <n v="0.33"/>
    <x v="1"/>
    <x v="13"/>
    <s v="Franklin Mack"/>
    <x v="0"/>
    <s v="Richard Scott"/>
    <d v="2024-11-03T00:00:00"/>
    <s v="Salto"/>
    <x v="1"/>
    <x v="69"/>
    <n v="388.12949999999995"/>
    <n v="788.02049999999986"/>
  </r>
  <r>
    <n v="1637"/>
    <x v="57"/>
    <n v="15"/>
    <n v="185.52"/>
    <n v="0.46"/>
    <x v="2"/>
    <x v="2"/>
    <s v="Elizabeth Scott"/>
    <x v="0"/>
    <s v="Zachary Smith"/>
    <d v="2024-09-14T00:00:00"/>
    <s v="Concepcion"/>
    <x v="7"/>
    <x v="70"/>
    <n v="1280.0880000000002"/>
    <n v="1502.712"/>
  </r>
  <r>
    <n v="8950"/>
    <x v="64"/>
    <n v="14"/>
    <n v="177.61"/>
    <n v="0.44"/>
    <x v="3"/>
    <x v="4"/>
    <s v="Marc Ward"/>
    <x v="1"/>
    <s v="Cynthia Armstrong"/>
    <d v="2024-08-04T00:00:00"/>
    <s v="Paysandu"/>
    <x v="1"/>
    <x v="71"/>
    <n v="1094.0776000000001"/>
    <n v="1392.4623999999999"/>
  </r>
  <r>
    <n v="8515"/>
    <x v="65"/>
    <n v="1"/>
    <n v="344.72"/>
    <n v="0.28999999999999998"/>
    <x v="2"/>
    <x v="11"/>
    <s v="Charles Burton"/>
    <x v="1"/>
    <s v="Wanda Walker"/>
    <d v="2024-05-13T00:00:00"/>
    <s v="Medellin"/>
    <x v="9"/>
    <x v="72"/>
    <n v="99.968800000000002"/>
    <n v="244.75120000000004"/>
  </r>
  <r>
    <n v="1937"/>
    <x v="66"/>
    <n v="7"/>
    <n v="266.41000000000003"/>
    <n v="0.32"/>
    <x v="1"/>
    <x v="13"/>
    <s v="Zachary Rogers"/>
    <x v="1"/>
    <s v="Jennifer Brooks"/>
    <d v="2024-03-31T00:00:00"/>
    <s v="Quito"/>
    <x v="3"/>
    <x v="73"/>
    <n v="596.75840000000005"/>
    <n v="1268.1116000000002"/>
  </r>
  <r>
    <n v="6138"/>
    <x v="67"/>
    <n v="15"/>
    <n v="397.05"/>
    <n v="0.5"/>
    <x v="1"/>
    <x v="14"/>
    <s v="Jennifer Stanley"/>
    <x v="0"/>
    <s v="Jacob Richardson"/>
    <d v="2024-08-12T00:00:00"/>
    <s v="Cali"/>
    <x v="9"/>
    <x v="74"/>
    <n v="2977.875"/>
    <n v="2977.875"/>
  </r>
  <r>
    <n v="2428"/>
    <x v="68"/>
    <n v="11"/>
    <n v="370.4"/>
    <n v="0.3"/>
    <x v="2"/>
    <x v="2"/>
    <s v="Elijah Brennan"/>
    <x v="0"/>
    <s v="Laura Bullock"/>
    <d v="2024-10-18T00:00:00"/>
    <s v="Cali"/>
    <x v="9"/>
    <x v="75"/>
    <n v="1222.32"/>
    <n v="2852.08"/>
  </r>
  <r>
    <n v="8581"/>
    <x v="69"/>
    <n v="15"/>
    <n v="80.27"/>
    <n v="0.3"/>
    <x v="0"/>
    <x v="6"/>
    <s v="Charles Bell"/>
    <x v="0"/>
    <s v="Jamie Bell"/>
    <d v="2024-10-03T00:00:00"/>
    <s v="Cali"/>
    <x v="9"/>
    <x v="76"/>
    <n v="361.21499999999997"/>
    <n v="842.83500000000004"/>
  </r>
  <r>
    <n v="6721"/>
    <x v="70"/>
    <n v="5"/>
    <n v="483.92"/>
    <n v="0.26"/>
    <x v="1"/>
    <x v="1"/>
    <s v="Patrick Alexander"/>
    <x v="0"/>
    <s v="Paul Lee DDS"/>
    <d v="2024-10-08T00:00:00"/>
    <s v="Arequipa"/>
    <x v="4"/>
    <x v="77"/>
    <n v="629.096"/>
    <n v="1790.5039999999999"/>
  </r>
  <r>
    <n v="4387"/>
    <x v="71"/>
    <n v="18"/>
    <n v="270"/>
    <n v="0.38"/>
    <x v="2"/>
    <x v="11"/>
    <s v="Gregory Barton"/>
    <x v="0"/>
    <s v="Leslie Rodgers"/>
    <d v="2024-09-27T00:00:00"/>
    <s v="Buenos Aires"/>
    <x v="5"/>
    <x v="78"/>
    <n v="1846.8"/>
    <n v="3013.2"/>
  </r>
  <r>
    <n v="1198"/>
    <x v="72"/>
    <n v="7"/>
    <n v="64.819999999999993"/>
    <n v="0.42"/>
    <x v="4"/>
    <x v="5"/>
    <s v="Karen Sandoval"/>
    <x v="0"/>
    <s v="Lauren Flores"/>
    <d v="2024-12-06T00:00:00"/>
    <s v="Montreal"/>
    <x v="0"/>
    <x v="79"/>
    <n v="190.57079999999996"/>
    <n v="263.16919999999999"/>
  </r>
  <r>
    <n v="4974"/>
    <x v="16"/>
    <n v="13"/>
    <n v="394.68"/>
    <n v="0.41"/>
    <x v="3"/>
    <x v="8"/>
    <s v="Michael Waller"/>
    <x v="0"/>
    <s v="Dawn Zimmerman"/>
    <d v="2024-08-04T00:00:00"/>
    <s v="New York"/>
    <x v="6"/>
    <x v="80"/>
    <n v="2103.6444000000001"/>
    <n v="3027.1956"/>
  </r>
  <r>
    <n v="7153"/>
    <x v="73"/>
    <n v="12"/>
    <n v="443.74"/>
    <n v="0.18"/>
    <x v="0"/>
    <x v="9"/>
    <s v="Bryan Ibarra"/>
    <x v="0"/>
    <s v="Anthony Torres"/>
    <d v="2024-05-28T00:00:00"/>
    <s v="Concepcion"/>
    <x v="7"/>
    <x v="81"/>
    <n v="958.47839999999997"/>
    <n v="4366.4016000000001"/>
  </r>
  <r>
    <n v="1522"/>
    <x v="31"/>
    <n v="20"/>
    <n v="115.46"/>
    <n v="0.48"/>
    <x v="1"/>
    <x v="13"/>
    <s v="Brittany Ashley"/>
    <x v="1"/>
    <s v="Brian Russell"/>
    <d v="2024-05-07T00:00:00"/>
    <s v="Lima"/>
    <x v="4"/>
    <x v="82"/>
    <n v="1108.4159999999999"/>
    <n v="1200.7839999999999"/>
  </r>
  <r>
    <n v="1140"/>
    <x v="28"/>
    <n v="6"/>
    <n v="321.95999999999998"/>
    <n v="0.48"/>
    <x v="3"/>
    <x v="4"/>
    <s v="Leah Hall"/>
    <x v="0"/>
    <s v="Miguel White"/>
    <d v="2024-08-10T00:00:00"/>
    <s v="Toronto"/>
    <x v="0"/>
    <x v="83"/>
    <n v="927.24479999999983"/>
    <n v="1004.5151999999999"/>
  </r>
  <r>
    <n v="3685"/>
    <x v="74"/>
    <n v="15"/>
    <n v="178.3"/>
    <n v="0.45"/>
    <x v="0"/>
    <x v="9"/>
    <s v="Kimberly Greer"/>
    <x v="0"/>
    <s v="Donald Bailey"/>
    <d v="2024-04-04T00:00:00"/>
    <s v="Guadalajara"/>
    <x v="2"/>
    <x v="84"/>
    <n v="1203.5250000000001"/>
    <n v="1470.9749999999999"/>
  </r>
  <r>
    <n v="9913"/>
    <x v="75"/>
    <n v="16"/>
    <n v="337"/>
    <n v="0.23"/>
    <x v="4"/>
    <x v="10"/>
    <s v="Kenneth Flores"/>
    <x v="0"/>
    <s v="Amber Russell"/>
    <d v="2024-11-19T00:00:00"/>
    <s v="Guayaquil"/>
    <x v="3"/>
    <x v="85"/>
    <n v="1240.1600000000001"/>
    <n v="4151.84"/>
  </r>
  <r>
    <n v="4334"/>
    <x v="76"/>
    <n v="11"/>
    <n v="276.38"/>
    <n v="0.21"/>
    <x v="0"/>
    <x v="0"/>
    <s v="Rebecca Hunter"/>
    <x v="1"/>
    <s v="Eugene Brennan"/>
    <d v="2024-02-01T00:00:00"/>
    <s v="Guatemala City"/>
    <x v="10"/>
    <x v="86"/>
    <n v="638.43779999999992"/>
    <n v="2401.7421999999997"/>
  </r>
  <r>
    <n v="7178"/>
    <x v="77"/>
    <n v="18"/>
    <n v="130.93"/>
    <n v="0.13"/>
    <x v="4"/>
    <x v="10"/>
    <s v="Bryan Wilson"/>
    <x v="1"/>
    <s v="Dalton Horton"/>
    <d v="2024-09-29T00:00:00"/>
    <s v="Bogota"/>
    <x v="9"/>
    <x v="87"/>
    <n v="306.37620000000004"/>
    <n v="2050.3638000000001"/>
  </r>
  <r>
    <n v="2886"/>
    <x v="78"/>
    <n v="8"/>
    <n v="107.22"/>
    <n v="0.3"/>
    <x v="3"/>
    <x v="8"/>
    <s v="Kurt Carlson"/>
    <x v="1"/>
    <s v="Mr. Jesse Simpson"/>
    <d v="2024-10-20T00:00:00"/>
    <s v="Santiago"/>
    <x v="7"/>
    <x v="88"/>
    <n v="257.32799999999997"/>
    <n v="600.43200000000002"/>
  </r>
  <r>
    <n v="3845"/>
    <x v="38"/>
    <n v="5"/>
    <n v="126.65"/>
    <n v="0.35"/>
    <x v="2"/>
    <x v="11"/>
    <s v="Brian Salinas"/>
    <x v="1"/>
    <s v="Sean Smith"/>
    <d v="2024-04-19T00:00:00"/>
    <s v="Rosario"/>
    <x v="5"/>
    <x v="89"/>
    <n v="221.63749999999999"/>
    <n v="411.61250000000001"/>
  </r>
  <r>
    <n v="8732"/>
    <x v="79"/>
    <n v="18"/>
    <n v="254.3"/>
    <n v="0.23"/>
    <x v="3"/>
    <x v="3"/>
    <s v="Jennifer Carpenter"/>
    <x v="0"/>
    <s v="Marcus Price"/>
    <d v="2024-11-13T00:00:00"/>
    <s v="Quito"/>
    <x v="3"/>
    <x v="90"/>
    <n v="1052.8020000000001"/>
    <n v="3524.5980000000004"/>
  </r>
  <r>
    <n v="7852"/>
    <x v="80"/>
    <n v="7"/>
    <n v="63.85"/>
    <n v="0.32"/>
    <x v="3"/>
    <x v="3"/>
    <s v="Donna Flores"/>
    <x v="1"/>
    <s v="Stephanie Mathews"/>
    <d v="2024-07-25T00:00:00"/>
    <s v="Concepcion"/>
    <x v="7"/>
    <x v="91"/>
    <n v="143.024"/>
    <n v="303.92599999999999"/>
  </r>
  <r>
    <n v="7942"/>
    <x v="81"/>
    <n v="6"/>
    <n v="479"/>
    <n v="0.5"/>
    <x v="0"/>
    <x v="9"/>
    <s v="Kelly Oconnor"/>
    <x v="0"/>
    <s v="Garrett Orr"/>
    <d v="2024-07-21T00:00:00"/>
    <s v="Cali"/>
    <x v="9"/>
    <x v="92"/>
    <n v="1437"/>
    <n v="1437"/>
  </r>
  <r>
    <n v="8137"/>
    <x v="82"/>
    <n v="5"/>
    <n v="48.37"/>
    <n v="0.39"/>
    <x v="1"/>
    <x v="13"/>
    <s v="Edward Elliott"/>
    <x v="0"/>
    <s v="Theodore Galloway"/>
    <d v="2024-12-29T00:00:00"/>
    <s v="Cuenca"/>
    <x v="3"/>
    <x v="93"/>
    <n v="94.3215"/>
    <n v="147.52850000000001"/>
  </r>
  <r>
    <n v="1749"/>
    <x v="83"/>
    <n v="15"/>
    <n v="357.47"/>
    <n v="0.46"/>
    <x v="2"/>
    <x v="12"/>
    <s v="Robert Peterson"/>
    <x v="0"/>
    <s v="Amy Hernandez"/>
    <d v="2024-06-13T00:00:00"/>
    <s v="Cali"/>
    <x v="9"/>
    <x v="94"/>
    <n v="2466.5430000000001"/>
    <n v="2895.5070000000001"/>
  </r>
  <r>
    <n v="5788"/>
    <x v="84"/>
    <n v="8"/>
    <n v="262.79000000000002"/>
    <n v="0.12"/>
    <x v="3"/>
    <x v="4"/>
    <s v="Sherri Johnson"/>
    <x v="0"/>
    <s v="Brandy Gentry"/>
    <d v="2024-11-07T00:00:00"/>
    <s v="Los Angeles"/>
    <x v="6"/>
    <x v="95"/>
    <n v="252.2784"/>
    <n v="1850.0416000000002"/>
  </r>
  <r>
    <n v="7221"/>
    <x v="27"/>
    <n v="16"/>
    <n v="329.31"/>
    <n v="0.47"/>
    <x v="0"/>
    <x v="0"/>
    <s v="Jim Kelley"/>
    <x v="0"/>
    <s v="Sarah Cameron"/>
    <d v="2024-06-06T00:00:00"/>
    <s v="Guadalajara"/>
    <x v="2"/>
    <x v="96"/>
    <n v="2476.4112"/>
    <n v="2792.5488"/>
  </r>
  <r>
    <n v="9627"/>
    <x v="85"/>
    <n v="10"/>
    <n v="176.45"/>
    <n v="0.33"/>
    <x v="3"/>
    <x v="3"/>
    <s v="Nicole Campbell"/>
    <x v="0"/>
    <s v="Kristin Wiggins"/>
    <d v="2024-05-27T00:00:00"/>
    <s v="Medellin"/>
    <x v="9"/>
    <x v="97"/>
    <n v="582.28500000000008"/>
    <n v="1182.2149999999999"/>
  </r>
  <r>
    <n v="5770"/>
    <x v="73"/>
    <n v="17"/>
    <n v="159.15"/>
    <n v="0.25"/>
    <x v="0"/>
    <x v="6"/>
    <s v="Jerry Roth"/>
    <x v="0"/>
    <s v="Sara Ward"/>
    <d v="2024-06-05T00:00:00"/>
    <s v="Buenos Aires"/>
    <x v="5"/>
    <x v="98"/>
    <n v="676.38750000000005"/>
    <n v="2029.1625000000001"/>
  </r>
  <r>
    <n v="6009"/>
    <x v="70"/>
    <n v="8"/>
    <n v="123.22"/>
    <n v="0.39"/>
    <x v="1"/>
    <x v="14"/>
    <s v="Donald Barnes"/>
    <x v="1"/>
    <s v="Jennifer Hernandez"/>
    <d v="2024-10-06T00:00:00"/>
    <s v="New York"/>
    <x v="6"/>
    <x v="99"/>
    <n v="384.44639999999998"/>
    <n v="601.31359999999995"/>
  </r>
  <r>
    <n v="4535"/>
    <x v="86"/>
    <n v="12"/>
    <n v="157.54"/>
    <n v="0.12"/>
    <x v="0"/>
    <x v="6"/>
    <s v="Tina Brown"/>
    <x v="0"/>
    <s v="Lucas Ponce"/>
    <d v="2024-06-16T00:00:00"/>
    <s v="Lima"/>
    <x v="4"/>
    <x v="100"/>
    <n v="226.85759999999999"/>
    <n v="1663.6224"/>
  </r>
  <r>
    <n v="9744"/>
    <x v="87"/>
    <n v="17"/>
    <n v="132.16999999999999"/>
    <n v="0.2"/>
    <x v="3"/>
    <x v="3"/>
    <s v="Wendy George"/>
    <x v="0"/>
    <s v="Erik Hines"/>
    <d v="2024-08-18T00:00:00"/>
    <s v="Mexico City"/>
    <x v="2"/>
    <x v="101"/>
    <n v="449.37799999999999"/>
    <n v="1797.5119999999999"/>
  </r>
  <r>
    <n v="2083"/>
    <x v="88"/>
    <n v="18"/>
    <n v="469.57"/>
    <n v="0.23"/>
    <x v="3"/>
    <x v="8"/>
    <s v="Amy Thompson"/>
    <x v="1"/>
    <s v="David Ramirez"/>
    <d v="2024-02-27T00:00:00"/>
    <s v="Montreal"/>
    <x v="0"/>
    <x v="102"/>
    <n v="1944.0198"/>
    <n v="6508.2402000000002"/>
  </r>
  <r>
    <n v="1803"/>
    <x v="89"/>
    <n v="2"/>
    <n v="214.54"/>
    <n v="0.16"/>
    <x v="4"/>
    <x v="5"/>
    <s v="Robert Wilkinson"/>
    <x v="1"/>
    <s v="Emily Mahoney"/>
    <d v="2024-05-25T00:00:00"/>
    <s v="Lima"/>
    <x v="4"/>
    <x v="103"/>
    <n v="68.652799999999999"/>
    <n v="360.42719999999997"/>
  </r>
  <r>
    <n v="6184"/>
    <x v="90"/>
    <n v="12"/>
    <n v="93.08"/>
    <n v="0.26"/>
    <x v="3"/>
    <x v="4"/>
    <s v="Mr. Joseph Shields"/>
    <x v="0"/>
    <s v="James Davis"/>
    <d v="2024-04-28T00:00:00"/>
    <s v="Toronto"/>
    <x v="0"/>
    <x v="104"/>
    <n v="290.40960000000001"/>
    <n v="826.55040000000008"/>
  </r>
  <r>
    <n v="2720"/>
    <x v="88"/>
    <n v="6"/>
    <n v="424.04"/>
    <n v="0.46"/>
    <x v="2"/>
    <x v="2"/>
    <s v="Lori Rocha"/>
    <x v="1"/>
    <s v="Wendy Barber"/>
    <d v="2024-02-07T00:00:00"/>
    <s v="Quetzaltenango"/>
    <x v="10"/>
    <x v="105"/>
    <n v="1170.3504000000003"/>
    <n v="1373.8896"/>
  </r>
  <r>
    <n v="4671"/>
    <x v="91"/>
    <n v="11"/>
    <n v="234.29"/>
    <n v="0.36"/>
    <x v="0"/>
    <x v="9"/>
    <s v="Sharon Shannon"/>
    <x v="1"/>
    <s v="Tamara Carpenter"/>
    <d v="2024-01-27T00:00:00"/>
    <s v="Escuintla"/>
    <x v="10"/>
    <x v="106"/>
    <n v="927.78840000000002"/>
    <n v="1649.4016000000001"/>
  </r>
  <r>
    <n v="2883"/>
    <x v="92"/>
    <n v="9"/>
    <n v="377.39"/>
    <n v="0.28000000000000003"/>
    <x v="4"/>
    <x v="10"/>
    <s v="Todd Neal"/>
    <x v="1"/>
    <s v="Brittany Patterson"/>
    <d v="2024-07-12T00:00:00"/>
    <s v="Monterrey"/>
    <x v="2"/>
    <x v="107"/>
    <n v="951.02280000000007"/>
    <n v="2445.4871999999996"/>
  </r>
  <r>
    <n v="5694"/>
    <x v="93"/>
    <n v="7"/>
    <n v="439.79"/>
    <n v="0.38"/>
    <x v="1"/>
    <x v="13"/>
    <s v="Bob Wright"/>
    <x v="1"/>
    <s v="James Bailey"/>
    <d v="2024-08-23T00:00:00"/>
    <s v="Cali"/>
    <x v="9"/>
    <x v="108"/>
    <n v="1169.8414"/>
    <n v="1908.6886000000002"/>
  </r>
  <r>
    <n v="2200"/>
    <x v="5"/>
    <n v="5"/>
    <n v="346.78"/>
    <n v="0.26"/>
    <x v="3"/>
    <x v="8"/>
    <s v="Nicholas Chan"/>
    <x v="1"/>
    <s v="Cathy Morgan"/>
    <d v="2024-03-27T00:00:00"/>
    <s v="Concepcion"/>
    <x v="7"/>
    <x v="109"/>
    <n v="450.81399999999996"/>
    <n v="1283.0859999999998"/>
  </r>
  <r>
    <n v="7015"/>
    <x v="94"/>
    <n v="3"/>
    <n v="94.05"/>
    <n v="0.39"/>
    <x v="4"/>
    <x v="10"/>
    <s v="Todd Smith"/>
    <x v="0"/>
    <s v="Michael West"/>
    <d v="2024-05-09T00:00:00"/>
    <s v="Guadalajara"/>
    <x v="2"/>
    <x v="110"/>
    <n v="110.0385"/>
    <n v="172.11149999999998"/>
  </r>
  <r>
    <n v="3321"/>
    <x v="95"/>
    <n v="14"/>
    <n v="387.56"/>
    <n v="0.23"/>
    <x v="4"/>
    <x v="7"/>
    <s v="Dr. Yolanda Peterson"/>
    <x v="0"/>
    <s v="Michael French"/>
    <d v="2024-04-18T00:00:00"/>
    <s v="Cochabamba"/>
    <x v="8"/>
    <x v="111"/>
    <n v="1247.9432000000002"/>
    <n v="4177.8968000000004"/>
  </r>
  <r>
    <n v="9276"/>
    <x v="96"/>
    <n v="16"/>
    <n v="114.22"/>
    <n v="0.44"/>
    <x v="2"/>
    <x v="2"/>
    <s v="William Winters"/>
    <x v="1"/>
    <s v="Derek Chang PhD"/>
    <d v="2024-01-16T00:00:00"/>
    <s v="Lima"/>
    <x v="4"/>
    <x v="112"/>
    <n v="804.10879999999997"/>
    <n v="1023.4112"/>
  </r>
  <r>
    <n v="1229"/>
    <x v="16"/>
    <n v="1"/>
    <n v="371.47"/>
    <n v="0.36"/>
    <x v="4"/>
    <x v="5"/>
    <s v="Matthew Bautista"/>
    <x v="0"/>
    <s v="Melissa Powell"/>
    <d v="2024-07-09T00:00:00"/>
    <s v="Concepcion"/>
    <x v="7"/>
    <x v="113"/>
    <n v="133.72919999999999"/>
    <n v="237.74080000000004"/>
  </r>
  <r>
    <n v="5052"/>
    <x v="97"/>
    <n v="4"/>
    <n v="213.46"/>
    <n v="0.41"/>
    <x v="4"/>
    <x v="5"/>
    <s v="Shelby Miller"/>
    <x v="0"/>
    <s v="Rebecca Marquez"/>
    <d v="2024-09-02T00:00:00"/>
    <s v="Guayaquil"/>
    <x v="3"/>
    <x v="114"/>
    <n v="350.07439999999997"/>
    <n v="503.76560000000006"/>
  </r>
  <r>
    <n v="2121"/>
    <x v="10"/>
    <n v="2"/>
    <n v="445.31"/>
    <n v="0.27"/>
    <x v="0"/>
    <x v="0"/>
    <s v="Donald Watkins"/>
    <x v="0"/>
    <s v="Dana Perry"/>
    <d v="2024-02-08T00:00:00"/>
    <s v="Santiago"/>
    <x v="7"/>
    <x v="115"/>
    <n v="240.46740000000003"/>
    <n v="650.15260000000001"/>
  </r>
  <r>
    <n v="3089"/>
    <x v="84"/>
    <n v="4"/>
    <n v="427.1"/>
    <n v="0.32"/>
    <x v="2"/>
    <x v="2"/>
    <s v="Kathleen Carpenter"/>
    <x v="1"/>
    <s v="Jennifer Davis"/>
    <d v="2024-11-09T00:00:00"/>
    <s v="Cusco"/>
    <x v="4"/>
    <x v="116"/>
    <n v="546.68799999999999"/>
    <n v="1161.712"/>
  </r>
  <r>
    <n v="1288"/>
    <x v="98"/>
    <n v="7"/>
    <n v="85.96"/>
    <n v="0.47"/>
    <x v="3"/>
    <x v="4"/>
    <s v="Frederick Wyatt"/>
    <x v="1"/>
    <s v="Russell Weber"/>
    <d v="2024-11-20T00:00:00"/>
    <s v="Guatemala City"/>
    <x v="10"/>
    <x v="117"/>
    <n v="282.80839999999995"/>
    <n v="318.91159999999996"/>
  </r>
  <r>
    <n v="2863"/>
    <x v="99"/>
    <n v="4"/>
    <n v="72.36"/>
    <n v="0.34"/>
    <x v="3"/>
    <x v="8"/>
    <s v="Samantha Wilson MD"/>
    <x v="1"/>
    <s v="John Schaefer"/>
    <d v="2024-03-27T00:00:00"/>
    <s v="Cuenca"/>
    <x v="3"/>
    <x v="118"/>
    <n v="98.409600000000012"/>
    <n v="191.03039999999999"/>
  </r>
  <r>
    <n v="7387"/>
    <x v="100"/>
    <n v="17"/>
    <n v="491.95"/>
    <n v="0.44"/>
    <x v="0"/>
    <x v="9"/>
    <s v="Michael Young"/>
    <x v="1"/>
    <s v="Sarah James"/>
    <d v="2024-12-23T00:00:00"/>
    <s v="Guayaquil"/>
    <x v="3"/>
    <x v="119"/>
    <n v="3679.7860000000001"/>
    <n v="4683.36399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D848E2-2CA2-4893-A0BF-6B8052304663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E8:F13" firstHeaderRow="1" firstDataRow="1" firstDataCol="1"/>
  <pivotFields count="2">
    <pivotField axis="axisRow" compact="0" outline="0" showAll="0">
      <items count="5">
        <item x="0"/>
        <item x="1"/>
        <item x="2"/>
        <item x="3"/>
        <item t="default"/>
      </items>
    </pivotField>
    <pivotField dataField="1"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Venta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412E4D-7949-4C97-BFC3-6C39EE6665D8}" name="TablaDiná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16" firstHeaderRow="1" firstDataRow="1" firstDataCol="1"/>
  <pivotFields count="18">
    <pivotField compact="0" outline="0" showAll="0"/>
    <pivotField compact="0" numFmtId="14" outline="0" showAll="0">
      <items count="102">
        <item x="44"/>
        <item x="96"/>
        <item x="2"/>
        <item x="91"/>
        <item x="36"/>
        <item x="7"/>
        <item x="76"/>
        <item x="11"/>
        <item x="61"/>
        <item x="88"/>
        <item x="10"/>
        <item x="47"/>
        <item x="3"/>
        <item x="58"/>
        <item x="5"/>
        <item x="1"/>
        <item x="74"/>
        <item x="54"/>
        <item x="45"/>
        <item x="99"/>
        <item x="41"/>
        <item x="56"/>
        <item x="46"/>
        <item x="66"/>
        <item x="38"/>
        <item x="32"/>
        <item x="0"/>
        <item x="95"/>
        <item x="94"/>
        <item x="90"/>
        <item x="65"/>
        <item x="17"/>
        <item x="23"/>
        <item x="52"/>
        <item x="85"/>
        <item x="48"/>
        <item x="31"/>
        <item x="42"/>
        <item x="89"/>
        <item x="73"/>
        <item x="29"/>
        <item x="83"/>
        <item x="27"/>
        <item x="86"/>
        <item x="39"/>
        <item x="35"/>
        <item x="50"/>
        <item x="92"/>
        <item x="81"/>
        <item x="19"/>
        <item x="21"/>
        <item x="18"/>
        <item x="16"/>
        <item x="80"/>
        <item x="28"/>
        <item x="64"/>
        <item x="67"/>
        <item x="9"/>
        <item x="25"/>
        <item x="93"/>
        <item x="87"/>
        <item x="43"/>
        <item x="97"/>
        <item x="15"/>
        <item x="14"/>
        <item x="57"/>
        <item x="26"/>
        <item x="6"/>
        <item x="69"/>
        <item x="71"/>
        <item x="13"/>
        <item x="68"/>
        <item x="70"/>
        <item x="77"/>
        <item x="78"/>
        <item x="40"/>
        <item x="8"/>
        <item x="59"/>
        <item x="37"/>
        <item x="75"/>
        <item x="79"/>
        <item x="84"/>
        <item x="60"/>
        <item x="63"/>
        <item x="72"/>
        <item x="34"/>
        <item x="24"/>
        <item x="98"/>
        <item x="20"/>
        <item x="55"/>
        <item x="51"/>
        <item x="33"/>
        <item x="49"/>
        <item x="82"/>
        <item x="100"/>
        <item x="12"/>
        <item x="4"/>
        <item x="22"/>
        <item x="30"/>
        <item x="62"/>
        <item x="53"/>
        <item t="default"/>
      </items>
    </pivotField>
    <pivotField compact="0" outline="0" showAll="0"/>
    <pivotField compact="0" outline="0" showAll="0"/>
    <pivotField compact="0" numFmtId="9" outline="0" showAll="0"/>
    <pivotField compact="0" outline="0" showAll="0">
      <items count="6">
        <item x="1"/>
        <item x="0"/>
        <item x="3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de Ventas" fld="13" baseField="0" baseItem="0" numFmtId="4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4F195-32A3-49DE-A1C8-FF88A8A2E45F}" name="TablaDiná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:F17" firstHeaderRow="0" firstDataRow="1" firstDataCol="1"/>
  <pivotFields count="18">
    <pivotField compact="0" outline="0" showAll="0"/>
    <pivotField compact="0" numFmtId="14" outline="0" showAll="0">
      <items count="102">
        <item x="44"/>
        <item x="96"/>
        <item x="2"/>
        <item x="91"/>
        <item x="36"/>
        <item x="7"/>
        <item x="76"/>
        <item x="11"/>
        <item x="61"/>
        <item x="88"/>
        <item x="10"/>
        <item x="47"/>
        <item x="3"/>
        <item x="58"/>
        <item x="5"/>
        <item x="1"/>
        <item x="74"/>
        <item x="54"/>
        <item x="45"/>
        <item x="99"/>
        <item x="41"/>
        <item x="56"/>
        <item x="46"/>
        <item x="66"/>
        <item x="38"/>
        <item x="32"/>
        <item x="0"/>
        <item x="95"/>
        <item x="94"/>
        <item x="90"/>
        <item x="65"/>
        <item x="17"/>
        <item x="23"/>
        <item x="52"/>
        <item x="85"/>
        <item x="48"/>
        <item x="31"/>
        <item x="42"/>
        <item x="89"/>
        <item x="73"/>
        <item x="29"/>
        <item x="83"/>
        <item x="27"/>
        <item x="86"/>
        <item x="39"/>
        <item x="35"/>
        <item x="50"/>
        <item x="92"/>
        <item x="81"/>
        <item x="19"/>
        <item x="21"/>
        <item x="18"/>
        <item x="16"/>
        <item x="80"/>
        <item x="28"/>
        <item x="64"/>
        <item x="67"/>
        <item x="9"/>
        <item x="25"/>
        <item x="93"/>
        <item x="87"/>
        <item x="43"/>
        <item x="97"/>
        <item x="15"/>
        <item x="14"/>
        <item x="57"/>
        <item x="26"/>
        <item x="6"/>
        <item x="69"/>
        <item x="71"/>
        <item x="13"/>
        <item x="68"/>
        <item x="70"/>
        <item x="77"/>
        <item x="78"/>
        <item x="40"/>
        <item x="8"/>
        <item x="59"/>
        <item x="37"/>
        <item x="75"/>
        <item x="79"/>
        <item x="84"/>
        <item x="60"/>
        <item x="63"/>
        <item x="72"/>
        <item x="34"/>
        <item x="24"/>
        <item x="98"/>
        <item x="20"/>
        <item x="55"/>
        <item x="51"/>
        <item x="33"/>
        <item x="49"/>
        <item x="82"/>
        <item x="100"/>
        <item x="12"/>
        <item x="4"/>
        <item x="22"/>
        <item x="30"/>
        <item x="62"/>
        <item x="53"/>
        <item t="default"/>
      </items>
    </pivotField>
    <pivotField dataField="1" compact="0" outline="0" showAll="0"/>
    <pivotField compact="0" outline="0" showAll="0"/>
    <pivotField compact="0" numFmtId="9" outline="0" showAll="0"/>
    <pivotField compact="0" outline="0" showAll="0">
      <items count="6">
        <item x="1"/>
        <item x="0"/>
        <item x="3"/>
        <item x="2"/>
        <item x="4"/>
        <item t="default"/>
      </items>
    </pivotField>
    <pivotField axis="axisRow" compact="0" outline="0" showAll="0" sortType="ascending">
      <items count="16">
        <item x="4"/>
        <item x="9"/>
        <item x="10"/>
        <item x="7"/>
        <item x="14"/>
        <item x="0"/>
        <item x="11"/>
        <item x="8"/>
        <item x="13"/>
        <item x="5"/>
        <item x="1"/>
        <item x="3"/>
        <item x="2"/>
        <item x="6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16">
    <i>
      <x v="9"/>
    </i>
    <i>
      <x v="14"/>
    </i>
    <i>
      <x v="10"/>
    </i>
    <i>
      <x v="11"/>
    </i>
    <i>
      <x v="4"/>
    </i>
    <i>
      <x v="8"/>
    </i>
    <i>
      <x v="5"/>
    </i>
    <i>
      <x/>
    </i>
    <i>
      <x v="3"/>
    </i>
    <i>
      <x v="2"/>
    </i>
    <i>
      <x v="1"/>
    </i>
    <i>
      <x v="13"/>
    </i>
    <i>
      <x v="6"/>
    </i>
    <i>
      <x v="7"/>
    </i>
    <i>
      <x v="1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tal de Ventas" fld="13" baseField="0" baseItem="0" numFmtId="44"/>
    <dataField name="% Ventas" fld="13" showDataAs="percentOfTotal" baseField="6" baseItem="9" numFmtId="10"/>
    <dataField name="Suma de Unidades" fld="2" baseField="0" baseItem="0"/>
    <dataField name="Máx. de Ventas" fld="13" subtotal="max" baseField="6" baseItem="0" numFmtId="44"/>
    <dataField name="Mín. de Ventas" fld="13" subtotal="min" baseField="6" baseItem="0" numFmtId="44"/>
  </dataFields>
  <formats count="4">
    <format dxfId="48">
      <pivotArea outline="0" fieldPosition="0">
        <references count="1">
          <reference field="4294967294" count="1" selected="0">
            <x v="0"/>
          </reference>
        </references>
      </pivotArea>
    </format>
    <format dxfId="43">
      <pivotArea outline="0" fieldPosition="0">
        <references count="1">
          <reference field="4294967294" count="1" selected="0">
            <x v="3"/>
          </reference>
        </references>
      </pivotArea>
    </format>
    <format dxfId="38">
      <pivotArea outline="0" fieldPosition="0">
        <references count="1">
          <reference field="4294967294" count="1" selected="0">
            <x v="4"/>
          </reference>
        </references>
      </pivotArea>
    </format>
    <format dxfId="21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F2524B-A68A-4EB8-BB9B-D6694DAA8D15}" name="TablaDiná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:B7" firstHeaderRow="1" firstDataRow="1" firstDataCol="1"/>
  <pivotFields count="18">
    <pivotField compact="0" outline="0" showAll="0"/>
    <pivotField compact="0" numFmtId="14" outline="0" showAll="0">
      <items count="102">
        <item x="44"/>
        <item x="96"/>
        <item x="2"/>
        <item x="91"/>
        <item x="36"/>
        <item x="7"/>
        <item x="76"/>
        <item x="11"/>
        <item x="61"/>
        <item x="88"/>
        <item x="10"/>
        <item x="47"/>
        <item x="3"/>
        <item x="58"/>
        <item x="5"/>
        <item x="1"/>
        <item x="74"/>
        <item x="54"/>
        <item x="45"/>
        <item x="99"/>
        <item x="41"/>
        <item x="56"/>
        <item x="46"/>
        <item x="66"/>
        <item x="38"/>
        <item x="32"/>
        <item x="0"/>
        <item x="95"/>
        <item x="94"/>
        <item x="90"/>
        <item x="65"/>
        <item x="17"/>
        <item x="23"/>
        <item x="52"/>
        <item x="85"/>
        <item x="48"/>
        <item x="31"/>
        <item x="42"/>
        <item x="89"/>
        <item x="73"/>
        <item x="29"/>
        <item x="83"/>
        <item x="27"/>
        <item x="86"/>
        <item x="39"/>
        <item x="35"/>
        <item x="50"/>
        <item x="92"/>
        <item x="81"/>
        <item x="19"/>
        <item x="21"/>
        <item x="18"/>
        <item x="16"/>
        <item x="80"/>
        <item x="28"/>
        <item x="64"/>
        <item x="67"/>
        <item x="9"/>
        <item x="25"/>
        <item x="93"/>
        <item x="87"/>
        <item x="43"/>
        <item x="97"/>
        <item x="15"/>
        <item x="14"/>
        <item x="57"/>
        <item x="26"/>
        <item x="6"/>
        <item x="69"/>
        <item x="71"/>
        <item x="13"/>
        <item x="68"/>
        <item x="70"/>
        <item x="77"/>
        <item x="78"/>
        <item x="40"/>
        <item x="8"/>
        <item x="59"/>
        <item x="37"/>
        <item x="75"/>
        <item x="79"/>
        <item x="84"/>
        <item x="60"/>
        <item x="63"/>
        <item x="72"/>
        <item x="34"/>
        <item x="24"/>
        <item x="98"/>
        <item x="20"/>
        <item x="55"/>
        <item x="51"/>
        <item x="33"/>
        <item x="49"/>
        <item x="82"/>
        <item x="100"/>
        <item x="12"/>
        <item x="4"/>
        <item x="22"/>
        <item x="30"/>
        <item x="62"/>
        <item x="53"/>
        <item t="default"/>
      </items>
    </pivotField>
    <pivotField compact="0" outline="0" showAll="0"/>
    <pivotField compact="0" outline="0" showAll="0"/>
    <pivotField compact="0" numFmtId="9" outline="0" showAll="0"/>
    <pivotField compact="0" outline="0" showAll="0">
      <items count="6">
        <item x="1"/>
        <item x="0"/>
        <item x="3"/>
        <item x="2"/>
        <item x="4"/>
        <item t="default"/>
      </items>
    </pivotField>
    <pivotField axis="axisRow" compact="0" outline="0" showAll="0" measureFilter="1">
      <items count="16">
        <item x="4"/>
        <item x="9"/>
        <item x="10"/>
        <item x="7"/>
        <item x="14"/>
        <item x="0"/>
        <item x="11"/>
        <item x="8"/>
        <item x="13"/>
        <item x="5"/>
        <item x="1"/>
        <item x="3"/>
        <item x="2"/>
        <item x="6"/>
        <item x="12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6">
    <i>
      <x v="1"/>
    </i>
    <i>
      <x v="6"/>
    </i>
    <i>
      <x v="7"/>
    </i>
    <i>
      <x v="12"/>
    </i>
    <i>
      <x v="13"/>
    </i>
    <i t="grand">
      <x/>
    </i>
  </rowItems>
  <colItems count="1">
    <i/>
  </colItems>
  <dataFields count="1">
    <dataField name="Suma de Ventas" fld="13" baseField="0" baseItem="0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1B936C-8F60-410C-B85A-3EBF9F1EC345}" name="TablaDiná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:D14" firstHeaderRow="1" firstDataRow="2" firstDataCol="1"/>
  <pivotFields count="18">
    <pivotField compact="0" outline="0" showAll="0"/>
    <pivotField compact="0" numFmtId="14" outline="0" showAll="0">
      <items count="102">
        <item x="44"/>
        <item x="96"/>
        <item x="2"/>
        <item x="91"/>
        <item x="36"/>
        <item x="7"/>
        <item x="76"/>
        <item x="11"/>
        <item x="61"/>
        <item x="88"/>
        <item x="10"/>
        <item x="47"/>
        <item x="3"/>
        <item x="58"/>
        <item x="5"/>
        <item x="1"/>
        <item x="74"/>
        <item x="54"/>
        <item x="45"/>
        <item x="99"/>
        <item x="41"/>
        <item x="56"/>
        <item x="46"/>
        <item x="66"/>
        <item x="38"/>
        <item x="32"/>
        <item x="0"/>
        <item x="95"/>
        <item x="94"/>
        <item x="90"/>
        <item x="65"/>
        <item x="17"/>
        <item x="23"/>
        <item x="52"/>
        <item x="85"/>
        <item x="48"/>
        <item x="31"/>
        <item x="42"/>
        <item x="89"/>
        <item x="73"/>
        <item x="29"/>
        <item x="83"/>
        <item x="27"/>
        <item x="86"/>
        <item x="39"/>
        <item x="35"/>
        <item x="50"/>
        <item x="92"/>
        <item x="81"/>
        <item x="19"/>
        <item x="21"/>
        <item x="18"/>
        <item x="16"/>
        <item x="80"/>
        <item x="28"/>
        <item x="64"/>
        <item x="67"/>
        <item x="9"/>
        <item x="25"/>
        <item x="93"/>
        <item x="87"/>
        <item x="43"/>
        <item x="97"/>
        <item x="15"/>
        <item x="14"/>
        <item x="57"/>
        <item x="26"/>
        <item x="6"/>
        <item x="69"/>
        <item x="71"/>
        <item x="13"/>
        <item x="68"/>
        <item x="70"/>
        <item x="77"/>
        <item x="78"/>
        <item x="40"/>
        <item x="8"/>
        <item x="59"/>
        <item x="37"/>
        <item x="75"/>
        <item x="79"/>
        <item x="84"/>
        <item x="60"/>
        <item x="63"/>
        <item x="72"/>
        <item x="34"/>
        <item x="24"/>
        <item x="98"/>
        <item x="20"/>
        <item x="55"/>
        <item x="51"/>
        <item x="33"/>
        <item x="49"/>
        <item x="82"/>
        <item x="100"/>
        <item x="12"/>
        <item x="4"/>
        <item x="22"/>
        <item x="30"/>
        <item x="62"/>
        <item x="53"/>
        <item t="default"/>
      </items>
    </pivotField>
    <pivotField compact="0" outline="0" showAll="0"/>
    <pivotField compact="0" outline="0" showAll="0"/>
    <pivotField compact="0" numFmtId="9" outline="0" showAll="0"/>
    <pivotField compact="0" outline="0" showAll="0">
      <items count="6">
        <item x="1"/>
        <item x="0"/>
        <item x="3"/>
        <item x="2"/>
        <item x="4"/>
        <item t="default"/>
      </items>
    </pivotField>
    <pivotField compact="0" outline="0" showAll="0">
      <items count="16">
        <item x="4"/>
        <item x="9"/>
        <item x="10"/>
        <item x="7"/>
        <item x="14"/>
        <item x="0"/>
        <item x="11"/>
        <item x="8"/>
        <item x="13"/>
        <item x="5"/>
        <item x="1"/>
        <item x="3"/>
        <item x="2"/>
        <item x="6"/>
        <item x="12"/>
        <item t="default"/>
      </items>
    </pivotField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numFmtId="14" outline="0" showAll="0"/>
    <pivotField compact="0" outline="0" showAll="0"/>
    <pivotField axis="axisRow" compact="0" outline="0" showAll="0">
      <items count="12">
        <item x="5"/>
        <item x="8"/>
        <item x="0"/>
        <item x="7"/>
        <item x="9"/>
        <item x="3"/>
        <item x="10"/>
        <item x="2"/>
        <item x="4"/>
        <item x="1"/>
        <item x="6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uma de Ventas" fld="13" baseField="0" baseItem="0" numFmtId="44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11CA6-5BE9-4625-80EB-98277BEF19AB}">
  <dimension ref="A1:P16"/>
  <sheetViews>
    <sheetView topLeftCell="A5" zoomScale="130" zoomScaleNormal="130" workbookViewId="0">
      <selection activeCell="E8" sqref="E8"/>
    </sheetView>
  </sheetViews>
  <sheetFormatPr baseColWidth="10" defaultColWidth="11.44140625" defaultRowHeight="14.4" x14ac:dyDescent="0.3"/>
  <cols>
    <col min="5" max="5" width="12.5546875" bestFit="1" customWidth="1"/>
    <col min="6" max="6" width="15.44140625" bestFit="1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1" x14ac:dyDescent="0.4">
      <c r="A2" s="1"/>
      <c r="B2" s="1"/>
      <c r="C2" s="8" t="s">
        <v>0</v>
      </c>
      <c r="D2" s="8"/>
      <c r="E2" s="8"/>
      <c r="F2" s="8"/>
      <c r="G2" s="8"/>
      <c r="H2" s="8"/>
      <c r="I2" s="8"/>
      <c r="J2" s="1"/>
      <c r="K2" s="1"/>
      <c r="L2" s="1"/>
      <c r="M2" s="1"/>
      <c r="N2" s="1"/>
      <c r="O2" s="1"/>
      <c r="P2" s="1"/>
    </row>
    <row r="3" spans="1:1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6" spans="1:16" x14ac:dyDescent="0.3">
      <c r="A6" s="9" t="s">
        <v>1</v>
      </c>
      <c r="B6" s="10"/>
    </row>
    <row r="8" spans="1:16" x14ac:dyDescent="0.3">
      <c r="A8" s="2" t="s">
        <v>2</v>
      </c>
      <c r="B8" s="2" t="s">
        <v>3</v>
      </c>
      <c r="E8" s="7" t="s">
        <v>2</v>
      </c>
      <c r="F8" t="s">
        <v>4</v>
      </c>
    </row>
    <row r="9" spans="1:16" x14ac:dyDescent="0.3">
      <c r="A9" t="s">
        <v>5</v>
      </c>
      <c r="B9">
        <v>10</v>
      </c>
      <c r="E9" t="s">
        <v>5</v>
      </c>
      <c r="F9">
        <v>100</v>
      </c>
    </row>
    <row r="10" spans="1:16" x14ac:dyDescent="0.3">
      <c r="A10" t="s">
        <v>5</v>
      </c>
      <c r="B10">
        <v>5</v>
      </c>
      <c r="E10" t="s">
        <v>6</v>
      </c>
      <c r="F10">
        <v>13</v>
      </c>
    </row>
    <row r="11" spans="1:16" x14ac:dyDescent="0.3">
      <c r="A11" t="s">
        <v>5</v>
      </c>
      <c r="B11">
        <v>85</v>
      </c>
      <c r="E11" t="s">
        <v>7</v>
      </c>
      <c r="F11">
        <v>136</v>
      </c>
    </row>
    <row r="12" spans="1:16" x14ac:dyDescent="0.3">
      <c r="A12" t="s">
        <v>6</v>
      </c>
      <c r="B12">
        <v>7</v>
      </c>
      <c r="E12" t="s">
        <v>8</v>
      </c>
      <c r="F12">
        <v>22</v>
      </c>
    </row>
    <row r="13" spans="1:16" x14ac:dyDescent="0.3">
      <c r="A13" t="s">
        <v>6</v>
      </c>
      <c r="B13">
        <v>6</v>
      </c>
      <c r="E13" t="s">
        <v>9</v>
      </c>
      <c r="F13">
        <v>271</v>
      </c>
    </row>
    <row r="14" spans="1:16" x14ac:dyDescent="0.3">
      <c r="A14" t="s">
        <v>7</v>
      </c>
      <c r="B14">
        <v>100</v>
      </c>
    </row>
    <row r="15" spans="1:16" x14ac:dyDescent="0.3">
      <c r="A15" t="s">
        <v>7</v>
      </c>
      <c r="B15">
        <v>36</v>
      </c>
    </row>
    <row r="16" spans="1:16" x14ac:dyDescent="0.3">
      <c r="A16" t="s">
        <v>8</v>
      </c>
      <c r="B16">
        <v>22</v>
      </c>
    </row>
  </sheetData>
  <mergeCells count="2">
    <mergeCell ref="C2:I2"/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7DD1-C2C8-4E87-A134-065186F8913F}">
  <dimension ref="C9:C11"/>
  <sheetViews>
    <sheetView workbookViewId="0">
      <selection activeCell="D9" sqref="D9"/>
    </sheetView>
  </sheetViews>
  <sheetFormatPr baseColWidth="10" defaultColWidth="11.44140625" defaultRowHeight="14.4" x14ac:dyDescent="0.3"/>
  <sheetData>
    <row r="9" spans="3:3" x14ac:dyDescent="0.3">
      <c r="C9" t="s">
        <v>10</v>
      </c>
    </row>
    <row r="10" spans="3:3" x14ac:dyDescent="0.3">
      <c r="C10" t="s">
        <v>11</v>
      </c>
    </row>
    <row r="11" spans="3:3" x14ac:dyDescent="0.3">
      <c r="C11" t="s">
        <v>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D7313-DDA6-4365-873A-B2343665B0D6}">
  <dimension ref="A2:P124"/>
  <sheetViews>
    <sheetView topLeftCell="A3" workbookViewId="0">
      <selection activeCell="D12" sqref="A4:P124"/>
    </sheetView>
  </sheetViews>
  <sheetFormatPr baseColWidth="10" defaultColWidth="11.44140625" defaultRowHeight="14.4" x14ac:dyDescent="0.3"/>
  <cols>
    <col min="1" max="1" width="9.44140625" bestFit="1" customWidth="1"/>
    <col min="2" max="2" width="13.5546875" bestFit="1" customWidth="1"/>
    <col min="5" max="5" width="7.6640625" bestFit="1" customWidth="1"/>
    <col min="6" max="6" width="18.6640625" bestFit="1" customWidth="1"/>
    <col min="8" max="8" width="18" bestFit="1" customWidth="1"/>
    <col min="10" max="10" width="19.33203125" bestFit="1" customWidth="1"/>
    <col min="11" max="11" width="15" bestFit="1" customWidth="1"/>
  </cols>
  <sheetData>
    <row r="2" spans="1:16" ht="23.4" x14ac:dyDescent="0.45">
      <c r="B2" s="5" t="s">
        <v>13</v>
      </c>
    </row>
    <row r="4" spans="1:16" x14ac:dyDescent="0.3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3" t="s">
        <v>3</v>
      </c>
      <c r="O4" s="3" t="s">
        <v>26</v>
      </c>
      <c r="P4" s="3" t="s">
        <v>27</v>
      </c>
    </row>
    <row r="5" spans="1:16" x14ac:dyDescent="0.3">
      <c r="A5">
        <v>9605</v>
      </c>
      <c r="B5" s="4">
        <v>45383</v>
      </c>
      <c r="C5">
        <v>13</v>
      </c>
      <c r="D5">
        <v>187.07</v>
      </c>
      <c r="E5" s="6">
        <v>0.41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 s="4">
        <v>45401</v>
      </c>
      <c r="L5" t="s">
        <v>33</v>
      </c>
      <c r="M5" t="s">
        <v>34</v>
      </c>
      <c r="N5">
        <f>C5*D5</f>
        <v>2431.91</v>
      </c>
      <c r="O5">
        <f>N5*E5</f>
        <v>997.08309999999983</v>
      </c>
      <c r="P5">
        <f>N5-O5</f>
        <v>1434.8269</v>
      </c>
    </row>
    <row r="6" spans="1:16" x14ac:dyDescent="0.3">
      <c r="A6">
        <v>4800</v>
      </c>
      <c r="B6" s="4">
        <v>45358</v>
      </c>
      <c r="C6">
        <v>8</v>
      </c>
      <c r="D6">
        <v>148.57</v>
      </c>
      <c r="E6" s="6">
        <v>0.14000000000000001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s="4">
        <v>45375</v>
      </c>
      <c r="L6" t="s">
        <v>40</v>
      </c>
      <c r="M6" t="s">
        <v>41</v>
      </c>
      <c r="N6">
        <f t="shared" ref="N6:N69" si="0">C6*D6</f>
        <v>1188.56</v>
      </c>
      <c r="O6">
        <f t="shared" ref="O6:O69" si="1">N6*E6</f>
        <v>166.39840000000001</v>
      </c>
      <c r="P6">
        <f t="shared" ref="P6:P69" si="2">N6-O6</f>
        <v>1022.1615999999999</v>
      </c>
    </row>
    <row r="7" spans="1:16" x14ac:dyDescent="0.3">
      <c r="A7">
        <v>1071</v>
      </c>
      <c r="B7" s="4">
        <v>45302</v>
      </c>
      <c r="C7">
        <v>15</v>
      </c>
      <c r="D7">
        <v>380.51</v>
      </c>
      <c r="E7" s="6">
        <v>0.19</v>
      </c>
      <c r="F7" t="s">
        <v>42</v>
      </c>
      <c r="G7" t="s">
        <v>43</v>
      </c>
      <c r="H7" t="s">
        <v>44</v>
      </c>
      <c r="I7" t="s">
        <v>38</v>
      </c>
      <c r="J7" t="s">
        <v>45</v>
      </c>
      <c r="K7" s="4">
        <v>45327</v>
      </c>
      <c r="L7" t="s">
        <v>46</v>
      </c>
      <c r="M7" t="s">
        <v>47</v>
      </c>
      <c r="N7">
        <f t="shared" si="0"/>
        <v>5707.65</v>
      </c>
      <c r="O7">
        <f t="shared" si="1"/>
        <v>1084.4534999999998</v>
      </c>
      <c r="P7">
        <f t="shared" si="2"/>
        <v>4623.1965</v>
      </c>
    </row>
    <row r="8" spans="1:16" x14ac:dyDescent="0.3">
      <c r="A8">
        <v>2747</v>
      </c>
      <c r="B8" s="4">
        <v>45353</v>
      </c>
      <c r="C8">
        <v>17</v>
      </c>
      <c r="D8">
        <v>255.9</v>
      </c>
      <c r="E8" s="6">
        <v>0.18</v>
      </c>
      <c r="F8" t="s">
        <v>48</v>
      </c>
      <c r="G8" t="s">
        <v>49</v>
      </c>
      <c r="H8" t="s">
        <v>50</v>
      </c>
      <c r="I8" t="s">
        <v>31</v>
      </c>
      <c r="J8" t="s">
        <v>51</v>
      </c>
      <c r="K8" s="4">
        <v>45366</v>
      </c>
      <c r="L8" t="s">
        <v>52</v>
      </c>
      <c r="M8" t="s">
        <v>53</v>
      </c>
      <c r="N8">
        <f t="shared" si="0"/>
        <v>4350.3</v>
      </c>
      <c r="O8">
        <f t="shared" si="1"/>
        <v>783.05399999999997</v>
      </c>
      <c r="P8">
        <f t="shared" si="2"/>
        <v>3567.2460000000001</v>
      </c>
    </row>
    <row r="9" spans="1:16" x14ac:dyDescent="0.3">
      <c r="A9">
        <v>2398</v>
      </c>
      <c r="B9" s="4">
        <v>45634</v>
      </c>
      <c r="C9">
        <v>10</v>
      </c>
      <c r="D9">
        <v>410.43</v>
      </c>
      <c r="E9" s="6">
        <v>0.24</v>
      </c>
      <c r="F9" t="s">
        <v>48</v>
      </c>
      <c r="G9" t="s">
        <v>54</v>
      </c>
      <c r="H9" t="s">
        <v>55</v>
      </c>
      <c r="I9" t="s">
        <v>31</v>
      </c>
      <c r="J9" t="s">
        <v>56</v>
      </c>
      <c r="K9" s="4">
        <v>45658</v>
      </c>
      <c r="L9" t="s">
        <v>57</v>
      </c>
      <c r="M9" t="s">
        <v>58</v>
      </c>
      <c r="N9">
        <f t="shared" si="0"/>
        <v>4104.3</v>
      </c>
      <c r="O9">
        <f t="shared" si="1"/>
        <v>985.03200000000004</v>
      </c>
      <c r="P9">
        <f t="shared" si="2"/>
        <v>3119.268</v>
      </c>
    </row>
    <row r="10" spans="1:16" x14ac:dyDescent="0.3">
      <c r="A10">
        <v>8816</v>
      </c>
      <c r="B10" s="4">
        <v>45356</v>
      </c>
      <c r="C10">
        <v>3</v>
      </c>
      <c r="D10">
        <v>393.27</v>
      </c>
      <c r="E10" s="6">
        <v>0.14000000000000001</v>
      </c>
      <c r="F10" t="s">
        <v>59</v>
      </c>
      <c r="G10" t="s">
        <v>60</v>
      </c>
      <c r="H10" t="s">
        <v>61</v>
      </c>
      <c r="I10" t="s">
        <v>31</v>
      </c>
      <c r="J10" t="s">
        <v>62</v>
      </c>
      <c r="K10" s="4">
        <v>45375</v>
      </c>
      <c r="L10" t="s">
        <v>63</v>
      </c>
      <c r="M10" t="s">
        <v>64</v>
      </c>
      <c r="N10">
        <f t="shared" si="0"/>
        <v>1179.81</v>
      </c>
      <c r="O10">
        <f t="shared" si="1"/>
        <v>165.17340000000002</v>
      </c>
      <c r="P10">
        <f t="shared" si="2"/>
        <v>1014.6365999999999</v>
      </c>
    </row>
    <row r="11" spans="1:16" x14ac:dyDescent="0.3">
      <c r="A11">
        <v>8239</v>
      </c>
      <c r="B11" s="4">
        <v>45539</v>
      </c>
      <c r="C11">
        <v>5</v>
      </c>
      <c r="D11">
        <v>339.07</v>
      </c>
      <c r="E11" s="6">
        <v>0.12</v>
      </c>
      <c r="F11" t="s">
        <v>28</v>
      </c>
      <c r="G11" t="s">
        <v>65</v>
      </c>
      <c r="H11" t="s">
        <v>66</v>
      </c>
      <c r="I11" t="s">
        <v>31</v>
      </c>
      <c r="J11" t="s">
        <v>67</v>
      </c>
      <c r="K11" s="4">
        <v>45567</v>
      </c>
      <c r="L11" t="s">
        <v>68</v>
      </c>
      <c r="M11" t="s">
        <v>47</v>
      </c>
      <c r="N11">
        <f t="shared" si="0"/>
        <v>1695.35</v>
      </c>
      <c r="O11">
        <f t="shared" si="1"/>
        <v>203.44199999999998</v>
      </c>
      <c r="P11">
        <f t="shared" si="2"/>
        <v>1491.9079999999999</v>
      </c>
    </row>
    <row r="12" spans="1:16" x14ac:dyDescent="0.3">
      <c r="A12">
        <v>6416</v>
      </c>
      <c r="B12" s="4">
        <v>45309</v>
      </c>
      <c r="C12">
        <v>3</v>
      </c>
      <c r="D12">
        <v>421.63</v>
      </c>
      <c r="E12" s="6">
        <v>0.4</v>
      </c>
      <c r="F12" t="s">
        <v>59</v>
      </c>
      <c r="G12" t="s">
        <v>69</v>
      </c>
      <c r="H12" t="s">
        <v>70</v>
      </c>
      <c r="I12" t="s">
        <v>31</v>
      </c>
      <c r="J12" t="s">
        <v>71</v>
      </c>
      <c r="K12" s="4">
        <v>45332</v>
      </c>
      <c r="L12" t="s">
        <v>52</v>
      </c>
      <c r="M12" t="s">
        <v>53</v>
      </c>
      <c r="N12">
        <f t="shared" si="0"/>
        <v>1264.8899999999999</v>
      </c>
      <c r="O12">
        <f t="shared" si="1"/>
        <v>505.95599999999996</v>
      </c>
      <c r="P12">
        <f t="shared" si="2"/>
        <v>758.93399999999997</v>
      </c>
    </row>
    <row r="13" spans="1:16" x14ac:dyDescent="0.3">
      <c r="A13">
        <v>7579</v>
      </c>
      <c r="B13" s="4">
        <v>45581</v>
      </c>
      <c r="C13">
        <v>7</v>
      </c>
      <c r="D13">
        <v>194.28</v>
      </c>
      <c r="E13" s="6">
        <v>0.42</v>
      </c>
      <c r="F13" t="s">
        <v>48</v>
      </c>
      <c r="G13" t="s">
        <v>72</v>
      </c>
      <c r="H13" t="s">
        <v>73</v>
      </c>
      <c r="I13" t="s">
        <v>31</v>
      </c>
      <c r="J13" t="s">
        <v>74</v>
      </c>
      <c r="K13" s="4">
        <v>45589</v>
      </c>
      <c r="L13" t="s">
        <v>75</v>
      </c>
      <c r="M13" t="s">
        <v>76</v>
      </c>
      <c r="N13">
        <f t="shared" si="0"/>
        <v>1359.96</v>
      </c>
      <c r="O13">
        <f t="shared" si="1"/>
        <v>571.18319999999994</v>
      </c>
      <c r="P13">
        <f t="shared" si="2"/>
        <v>788.77680000000009</v>
      </c>
    </row>
    <row r="14" spans="1:16" x14ac:dyDescent="0.3">
      <c r="A14">
        <v>5706</v>
      </c>
      <c r="B14" s="4">
        <v>45497</v>
      </c>
      <c r="C14">
        <v>2</v>
      </c>
      <c r="D14">
        <v>370.81</v>
      </c>
      <c r="E14" s="6">
        <v>0.32</v>
      </c>
      <c r="F14" t="s">
        <v>28</v>
      </c>
      <c r="G14" t="s">
        <v>29</v>
      </c>
      <c r="H14" t="s">
        <v>77</v>
      </c>
      <c r="I14" t="s">
        <v>38</v>
      </c>
      <c r="J14" t="s">
        <v>78</v>
      </c>
      <c r="K14" s="4">
        <v>45510</v>
      </c>
      <c r="L14" t="s">
        <v>79</v>
      </c>
      <c r="M14" t="s">
        <v>64</v>
      </c>
      <c r="N14">
        <f t="shared" si="0"/>
        <v>741.62</v>
      </c>
      <c r="O14">
        <f t="shared" si="1"/>
        <v>237.3184</v>
      </c>
      <c r="P14">
        <f t="shared" si="2"/>
        <v>504.30160000000001</v>
      </c>
    </row>
    <row r="15" spans="1:16" x14ac:dyDescent="0.3">
      <c r="A15">
        <v>5344</v>
      </c>
      <c r="B15" s="4">
        <v>45328</v>
      </c>
      <c r="C15">
        <v>1</v>
      </c>
      <c r="D15">
        <v>100.78</v>
      </c>
      <c r="E15" s="6">
        <v>0.47</v>
      </c>
      <c r="F15" t="s">
        <v>48</v>
      </c>
      <c r="G15" t="s">
        <v>54</v>
      </c>
      <c r="H15" t="s">
        <v>80</v>
      </c>
      <c r="I15" t="s">
        <v>31</v>
      </c>
      <c r="J15" t="s">
        <v>81</v>
      </c>
      <c r="K15" s="4">
        <v>45348</v>
      </c>
      <c r="L15" t="s">
        <v>82</v>
      </c>
      <c r="M15" t="s">
        <v>83</v>
      </c>
      <c r="N15">
        <f t="shared" si="0"/>
        <v>100.78</v>
      </c>
      <c r="O15">
        <f t="shared" si="1"/>
        <v>47.366599999999998</v>
      </c>
      <c r="P15">
        <f t="shared" si="2"/>
        <v>53.413400000000003</v>
      </c>
    </row>
    <row r="16" spans="1:16" x14ac:dyDescent="0.3">
      <c r="A16">
        <v>9187</v>
      </c>
      <c r="B16" s="4">
        <v>45318</v>
      </c>
      <c r="C16">
        <v>6</v>
      </c>
      <c r="D16">
        <v>435.43</v>
      </c>
      <c r="E16" s="6">
        <v>0.47</v>
      </c>
      <c r="F16" t="s">
        <v>48</v>
      </c>
      <c r="G16" t="s">
        <v>49</v>
      </c>
      <c r="H16" t="s">
        <v>84</v>
      </c>
      <c r="I16" t="s">
        <v>38</v>
      </c>
      <c r="J16" t="s">
        <v>85</v>
      </c>
      <c r="K16" s="4">
        <v>45345</v>
      </c>
      <c r="L16" t="s">
        <v>86</v>
      </c>
      <c r="M16" t="s">
        <v>87</v>
      </c>
      <c r="N16">
        <f t="shared" si="0"/>
        <v>2612.58</v>
      </c>
      <c r="O16">
        <f t="shared" si="1"/>
        <v>1227.9125999999999</v>
      </c>
      <c r="P16">
        <f t="shared" si="2"/>
        <v>1384.6674</v>
      </c>
    </row>
    <row r="17" spans="1:16" x14ac:dyDescent="0.3">
      <c r="A17">
        <v>4266</v>
      </c>
      <c r="B17" s="4">
        <v>45631</v>
      </c>
      <c r="C17">
        <v>1</v>
      </c>
      <c r="D17">
        <v>324.89999999999998</v>
      </c>
      <c r="E17" s="6">
        <v>0.23</v>
      </c>
      <c r="F17" t="s">
        <v>48</v>
      </c>
      <c r="G17" t="s">
        <v>54</v>
      </c>
      <c r="H17" t="s">
        <v>88</v>
      </c>
      <c r="I17" t="s">
        <v>38</v>
      </c>
      <c r="J17" t="s">
        <v>89</v>
      </c>
      <c r="K17" s="4">
        <v>45635</v>
      </c>
      <c r="L17" t="s">
        <v>90</v>
      </c>
      <c r="M17" t="s">
        <v>76</v>
      </c>
      <c r="N17">
        <f t="shared" si="0"/>
        <v>324.89999999999998</v>
      </c>
      <c r="O17">
        <f t="shared" si="1"/>
        <v>74.727000000000004</v>
      </c>
      <c r="P17">
        <f t="shared" si="2"/>
        <v>250.17299999999997</v>
      </c>
    </row>
    <row r="18" spans="1:16" x14ac:dyDescent="0.3">
      <c r="A18">
        <v>1315</v>
      </c>
      <c r="B18" s="4">
        <v>45552</v>
      </c>
      <c r="C18">
        <v>8</v>
      </c>
      <c r="D18">
        <v>382.66</v>
      </c>
      <c r="E18" s="6">
        <v>0.21</v>
      </c>
      <c r="F18" t="s">
        <v>28</v>
      </c>
      <c r="G18" t="s">
        <v>65</v>
      </c>
      <c r="H18" t="s">
        <v>91</v>
      </c>
      <c r="I18" t="s">
        <v>38</v>
      </c>
      <c r="J18" t="s">
        <v>92</v>
      </c>
      <c r="K18" s="4">
        <v>45565</v>
      </c>
      <c r="L18" t="s">
        <v>86</v>
      </c>
      <c r="M18" t="s">
        <v>87</v>
      </c>
      <c r="N18">
        <f t="shared" si="0"/>
        <v>3061.28</v>
      </c>
      <c r="O18">
        <f t="shared" si="1"/>
        <v>642.86879999999996</v>
      </c>
      <c r="P18">
        <f t="shared" si="2"/>
        <v>2418.4112000000005</v>
      </c>
    </row>
    <row r="19" spans="1:16" x14ac:dyDescent="0.3">
      <c r="A19">
        <v>9054</v>
      </c>
      <c r="B19" s="4">
        <v>45525</v>
      </c>
      <c r="C19">
        <v>18</v>
      </c>
      <c r="D19">
        <v>77.97</v>
      </c>
      <c r="E19" s="6">
        <v>0.31</v>
      </c>
      <c r="F19" t="s">
        <v>28</v>
      </c>
      <c r="G19" t="s">
        <v>93</v>
      </c>
      <c r="H19" t="s">
        <v>94</v>
      </c>
      <c r="I19" t="s">
        <v>38</v>
      </c>
      <c r="J19" t="s">
        <v>95</v>
      </c>
      <c r="K19" s="4">
        <v>45552</v>
      </c>
      <c r="L19" t="s">
        <v>96</v>
      </c>
      <c r="M19" t="s">
        <v>97</v>
      </c>
      <c r="N19">
        <f t="shared" si="0"/>
        <v>1403.46</v>
      </c>
      <c r="O19">
        <f t="shared" si="1"/>
        <v>435.07260000000002</v>
      </c>
      <c r="P19">
        <f t="shared" si="2"/>
        <v>968.38740000000007</v>
      </c>
    </row>
    <row r="20" spans="1:16" x14ac:dyDescent="0.3">
      <c r="A20">
        <v>9433</v>
      </c>
      <c r="B20" s="4">
        <v>45523</v>
      </c>
      <c r="C20">
        <v>14</v>
      </c>
      <c r="D20">
        <v>38.11</v>
      </c>
      <c r="E20" s="6">
        <v>0.46</v>
      </c>
      <c r="F20" t="s">
        <v>28</v>
      </c>
      <c r="G20" t="s">
        <v>65</v>
      </c>
      <c r="H20" t="s">
        <v>98</v>
      </c>
      <c r="I20" t="s">
        <v>38</v>
      </c>
      <c r="J20" t="s">
        <v>99</v>
      </c>
      <c r="K20" s="4">
        <v>45551</v>
      </c>
      <c r="L20" t="s">
        <v>86</v>
      </c>
      <c r="M20" t="s">
        <v>87</v>
      </c>
      <c r="N20">
        <f t="shared" si="0"/>
        <v>533.54</v>
      </c>
      <c r="O20">
        <f t="shared" si="1"/>
        <v>245.42839999999998</v>
      </c>
      <c r="P20">
        <f t="shared" si="2"/>
        <v>288.11159999999995</v>
      </c>
    </row>
    <row r="21" spans="1:16" x14ac:dyDescent="0.3">
      <c r="A21">
        <v>6203</v>
      </c>
      <c r="B21" s="4">
        <v>45481</v>
      </c>
      <c r="C21">
        <v>11</v>
      </c>
      <c r="D21">
        <v>323.08</v>
      </c>
      <c r="E21" s="6">
        <v>0.16</v>
      </c>
      <c r="F21" t="s">
        <v>42</v>
      </c>
      <c r="G21" t="s">
        <v>43</v>
      </c>
      <c r="H21" t="s">
        <v>100</v>
      </c>
      <c r="I21" t="s">
        <v>38</v>
      </c>
      <c r="J21" t="s">
        <v>101</v>
      </c>
      <c r="K21" s="4">
        <v>45485</v>
      </c>
      <c r="L21" t="s">
        <v>102</v>
      </c>
      <c r="M21" t="s">
        <v>34</v>
      </c>
      <c r="N21">
        <f t="shared" si="0"/>
        <v>3553.8799999999997</v>
      </c>
      <c r="O21">
        <f t="shared" si="1"/>
        <v>568.62079999999992</v>
      </c>
      <c r="P21">
        <f t="shared" si="2"/>
        <v>2985.2591999999995</v>
      </c>
    </row>
    <row r="22" spans="1:16" x14ac:dyDescent="0.3">
      <c r="A22">
        <v>7349</v>
      </c>
      <c r="B22" s="4">
        <v>45401</v>
      </c>
      <c r="C22">
        <v>9</v>
      </c>
      <c r="D22">
        <v>257.87</v>
      </c>
      <c r="E22" s="6">
        <v>0.17</v>
      </c>
      <c r="F22" t="s">
        <v>59</v>
      </c>
      <c r="G22" t="s">
        <v>103</v>
      </c>
      <c r="H22" t="s">
        <v>104</v>
      </c>
      <c r="I22" t="s">
        <v>38</v>
      </c>
      <c r="J22" t="s">
        <v>105</v>
      </c>
      <c r="K22" s="4">
        <v>45422</v>
      </c>
      <c r="L22" t="s">
        <v>106</v>
      </c>
      <c r="M22" t="s">
        <v>41</v>
      </c>
      <c r="N22">
        <f t="shared" si="0"/>
        <v>2320.83</v>
      </c>
      <c r="O22">
        <f t="shared" si="1"/>
        <v>394.54110000000003</v>
      </c>
      <c r="P22">
        <f t="shared" si="2"/>
        <v>1926.2889</v>
      </c>
    </row>
    <row r="23" spans="1:16" x14ac:dyDescent="0.3">
      <c r="A23">
        <v>1685</v>
      </c>
      <c r="B23" s="4">
        <v>45478</v>
      </c>
      <c r="C23">
        <v>12</v>
      </c>
      <c r="D23">
        <v>122.05</v>
      </c>
      <c r="E23" s="6">
        <v>0.22</v>
      </c>
      <c r="F23" t="s">
        <v>42</v>
      </c>
      <c r="G23" t="s">
        <v>107</v>
      </c>
      <c r="H23" t="s">
        <v>108</v>
      </c>
      <c r="I23" t="s">
        <v>31</v>
      </c>
      <c r="J23" t="s">
        <v>109</v>
      </c>
      <c r="K23" s="4">
        <v>45480</v>
      </c>
      <c r="L23" t="s">
        <v>110</v>
      </c>
      <c r="M23" t="s">
        <v>111</v>
      </c>
      <c r="N23">
        <f t="shared" si="0"/>
        <v>1464.6</v>
      </c>
      <c r="O23">
        <f t="shared" si="1"/>
        <v>322.21199999999999</v>
      </c>
      <c r="P23">
        <f t="shared" si="2"/>
        <v>1142.3879999999999</v>
      </c>
    </row>
    <row r="24" spans="1:16" x14ac:dyDescent="0.3">
      <c r="A24">
        <v>5867</v>
      </c>
      <c r="B24" s="4">
        <v>45465</v>
      </c>
      <c r="C24">
        <v>2</v>
      </c>
      <c r="D24">
        <v>307.23</v>
      </c>
      <c r="E24" s="6">
        <v>0.42</v>
      </c>
      <c r="F24" t="s">
        <v>42</v>
      </c>
      <c r="G24" t="s">
        <v>112</v>
      </c>
      <c r="H24" t="s">
        <v>113</v>
      </c>
      <c r="I24" t="s">
        <v>38</v>
      </c>
      <c r="J24" t="s">
        <v>114</v>
      </c>
      <c r="K24" s="4">
        <v>45484</v>
      </c>
      <c r="L24" t="s">
        <v>46</v>
      </c>
      <c r="M24" t="s">
        <v>47</v>
      </c>
      <c r="N24">
        <f t="shared" si="0"/>
        <v>614.46</v>
      </c>
      <c r="O24">
        <f t="shared" si="1"/>
        <v>258.07319999999999</v>
      </c>
      <c r="P24">
        <f t="shared" si="2"/>
        <v>356.38680000000005</v>
      </c>
    </row>
    <row r="25" spans="1:16" x14ac:dyDescent="0.3">
      <c r="A25">
        <v>8299</v>
      </c>
      <c r="B25" s="4">
        <v>45613</v>
      </c>
      <c r="C25">
        <v>15</v>
      </c>
      <c r="D25">
        <v>272.24</v>
      </c>
      <c r="E25" s="6">
        <v>0.46</v>
      </c>
      <c r="F25" t="s">
        <v>35</v>
      </c>
      <c r="G25" t="s">
        <v>36</v>
      </c>
      <c r="H25" t="s">
        <v>115</v>
      </c>
      <c r="I25" t="s">
        <v>31</v>
      </c>
      <c r="J25" t="s">
        <v>116</v>
      </c>
      <c r="K25" s="4">
        <v>45642</v>
      </c>
      <c r="L25" t="s">
        <v>117</v>
      </c>
      <c r="M25" t="s">
        <v>58</v>
      </c>
      <c r="N25">
        <f t="shared" si="0"/>
        <v>4083.6000000000004</v>
      </c>
      <c r="O25">
        <f t="shared" si="1"/>
        <v>1878.4560000000004</v>
      </c>
      <c r="P25">
        <f t="shared" si="2"/>
        <v>2205.1440000000002</v>
      </c>
    </row>
    <row r="26" spans="1:16" x14ac:dyDescent="0.3">
      <c r="A26">
        <v>3053</v>
      </c>
      <c r="B26" s="4">
        <v>45469</v>
      </c>
      <c r="C26">
        <v>18</v>
      </c>
      <c r="D26">
        <v>387.62</v>
      </c>
      <c r="E26" s="6">
        <v>0.45</v>
      </c>
      <c r="F26" t="s">
        <v>42</v>
      </c>
      <c r="G26" t="s">
        <v>107</v>
      </c>
      <c r="H26" t="s">
        <v>118</v>
      </c>
      <c r="I26" t="s">
        <v>38</v>
      </c>
      <c r="J26" t="s">
        <v>119</v>
      </c>
      <c r="K26" s="4">
        <v>45497</v>
      </c>
      <c r="L26" t="s">
        <v>120</v>
      </c>
      <c r="M26" t="s">
        <v>97</v>
      </c>
      <c r="N26">
        <f t="shared" si="0"/>
        <v>6977.16</v>
      </c>
      <c r="O26">
        <f t="shared" si="1"/>
        <v>3139.7220000000002</v>
      </c>
      <c r="P26">
        <f t="shared" si="2"/>
        <v>3837.4379999999996</v>
      </c>
    </row>
    <row r="27" spans="1:16" x14ac:dyDescent="0.3">
      <c r="A27">
        <v>4398</v>
      </c>
      <c r="B27" s="4">
        <v>45646</v>
      </c>
      <c r="C27">
        <v>16</v>
      </c>
      <c r="D27">
        <v>411.21</v>
      </c>
      <c r="E27" s="6">
        <v>0.4</v>
      </c>
      <c r="F27" t="s">
        <v>48</v>
      </c>
      <c r="G27" t="s">
        <v>54</v>
      </c>
      <c r="H27" t="s">
        <v>121</v>
      </c>
      <c r="I27" t="s">
        <v>38</v>
      </c>
      <c r="J27" t="s">
        <v>122</v>
      </c>
      <c r="K27" s="4">
        <v>45674</v>
      </c>
      <c r="L27" t="s">
        <v>123</v>
      </c>
      <c r="M27" t="s">
        <v>58</v>
      </c>
      <c r="N27">
        <f t="shared" si="0"/>
        <v>6579.36</v>
      </c>
      <c r="O27">
        <f t="shared" si="1"/>
        <v>2631.7440000000001</v>
      </c>
      <c r="P27">
        <f t="shared" si="2"/>
        <v>3947.6159999999995</v>
      </c>
    </row>
    <row r="28" spans="1:16" x14ac:dyDescent="0.3">
      <c r="A28">
        <v>5161</v>
      </c>
      <c r="B28" s="4">
        <v>45403</v>
      </c>
      <c r="C28">
        <v>8</v>
      </c>
      <c r="D28">
        <v>115.18</v>
      </c>
      <c r="E28" s="6">
        <v>0.45</v>
      </c>
      <c r="F28" t="s">
        <v>35</v>
      </c>
      <c r="G28" t="s">
        <v>36</v>
      </c>
      <c r="H28" t="s">
        <v>124</v>
      </c>
      <c r="I28" t="s">
        <v>31</v>
      </c>
      <c r="J28" t="s">
        <v>125</v>
      </c>
      <c r="K28" s="4">
        <v>45408</v>
      </c>
      <c r="L28" t="s">
        <v>126</v>
      </c>
      <c r="M28" t="s">
        <v>87</v>
      </c>
      <c r="N28">
        <f t="shared" si="0"/>
        <v>921.44</v>
      </c>
      <c r="O28">
        <f t="shared" si="1"/>
        <v>414.64800000000002</v>
      </c>
      <c r="P28">
        <f t="shared" si="2"/>
        <v>506.79200000000003</v>
      </c>
    </row>
    <row r="29" spans="1:16" x14ac:dyDescent="0.3">
      <c r="A29">
        <v>3892</v>
      </c>
      <c r="B29" s="4">
        <v>45610</v>
      </c>
      <c r="C29">
        <v>8</v>
      </c>
      <c r="D29">
        <v>301.67</v>
      </c>
      <c r="E29" s="6">
        <v>0.45</v>
      </c>
      <c r="F29" t="s">
        <v>48</v>
      </c>
      <c r="G29" t="s">
        <v>54</v>
      </c>
      <c r="H29" t="s">
        <v>127</v>
      </c>
      <c r="I29" t="s">
        <v>38</v>
      </c>
      <c r="J29" t="s">
        <v>128</v>
      </c>
      <c r="K29" s="4">
        <v>45636</v>
      </c>
      <c r="L29" t="s">
        <v>129</v>
      </c>
      <c r="M29" t="s">
        <v>76</v>
      </c>
      <c r="N29">
        <f t="shared" si="0"/>
        <v>2413.36</v>
      </c>
      <c r="O29">
        <f t="shared" si="1"/>
        <v>1086.0120000000002</v>
      </c>
      <c r="P29">
        <f t="shared" si="2"/>
        <v>1327.348</v>
      </c>
    </row>
    <row r="30" spans="1:16" x14ac:dyDescent="0.3">
      <c r="A30">
        <v>9667</v>
      </c>
      <c r="B30" s="4">
        <v>45500</v>
      </c>
      <c r="C30">
        <v>7</v>
      </c>
      <c r="D30">
        <v>463.79</v>
      </c>
      <c r="E30" s="6">
        <v>0.26</v>
      </c>
      <c r="F30" t="s">
        <v>42</v>
      </c>
      <c r="G30" t="s">
        <v>107</v>
      </c>
      <c r="H30" t="s">
        <v>130</v>
      </c>
      <c r="I30" t="s">
        <v>38</v>
      </c>
      <c r="J30" t="s">
        <v>131</v>
      </c>
      <c r="K30" s="4">
        <v>45515</v>
      </c>
      <c r="L30" t="s">
        <v>132</v>
      </c>
      <c r="M30" t="s">
        <v>111</v>
      </c>
      <c r="N30">
        <f t="shared" si="0"/>
        <v>3246.53</v>
      </c>
      <c r="O30">
        <f t="shared" si="1"/>
        <v>844.09780000000012</v>
      </c>
      <c r="P30">
        <f t="shared" si="2"/>
        <v>2402.4322000000002</v>
      </c>
    </row>
    <row r="31" spans="1:16" x14ac:dyDescent="0.3">
      <c r="A31">
        <v>5154</v>
      </c>
      <c r="B31" s="4">
        <v>45534</v>
      </c>
      <c r="C31">
        <v>12</v>
      </c>
      <c r="D31">
        <v>165.9</v>
      </c>
      <c r="E31" s="6">
        <v>0.33</v>
      </c>
      <c r="F31" t="s">
        <v>28</v>
      </c>
      <c r="G31" t="s">
        <v>65</v>
      </c>
      <c r="H31" t="s">
        <v>133</v>
      </c>
      <c r="I31" t="s">
        <v>38</v>
      </c>
      <c r="J31" t="s">
        <v>134</v>
      </c>
      <c r="K31" s="4">
        <v>45564</v>
      </c>
      <c r="L31" t="s">
        <v>102</v>
      </c>
      <c r="M31" t="s">
        <v>34</v>
      </c>
      <c r="N31">
        <f t="shared" si="0"/>
        <v>1990.8000000000002</v>
      </c>
      <c r="O31">
        <f t="shared" si="1"/>
        <v>656.96400000000006</v>
      </c>
      <c r="P31">
        <f t="shared" si="2"/>
        <v>1333.8360000000002</v>
      </c>
    </row>
    <row r="32" spans="1:16" x14ac:dyDescent="0.3">
      <c r="A32">
        <v>8155</v>
      </c>
      <c r="B32" s="4">
        <v>45436</v>
      </c>
      <c r="C32">
        <v>12</v>
      </c>
      <c r="D32">
        <v>336.39</v>
      </c>
      <c r="E32" s="6">
        <v>0.3</v>
      </c>
      <c r="F32" t="s">
        <v>28</v>
      </c>
      <c r="G32" t="s">
        <v>65</v>
      </c>
      <c r="H32" t="s">
        <v>135</v>
      </c>
      <c r="I32" t="s">
        <v>31</v>
      </c>
      <c r="J32" t="s">
        <v>136</v>
      </c>
      <c r="K32" s="4">
        <v>45442</v>
      </c>
      <c r="L32" t="s">
        <v>57</v>
      </c>
      <c r="M32" t="s">
        <v>58</v>
      </c>
      <c r="N32">
        <f t="shared" si="0"/>
        <v>4036.68</v>
      </c>
      <c r="O32">
        <f t="shared" si="1"/>
        <v>1211.0039999999999</v>
      </c>
      <c r="P32">
        <f t="shared" si="2"/>
        <v>2825.6759999999999</v>
      </c>
    </row>
    <row r="33" spans="1:16" x14ac:dyDescent="0.3">
      <c r="A33">
        <v>7307</v>
      </c>
      <c r="B33" s="4">
        <v>45489</v>
      </c>
      <c r="C33">
        <v>12</v>
      </c>
      <c r="D33">
        <v>389.47</v>
      </c>
      <c r="E33" s="6">
        <v>0.19</v>
      </c>
      <c r="F33" t="s">
        <v>28</v>
      </c>
      <c r="G33" t="s">
        <v>65</v>
      </c>
      <c r="H33" t="s">
        <v>137</v>
      </c>
      <c r="I33" t="s">
        <v>38</v>
      </c>
      <c r="J33" t="s">
        <v>138</v>
      </c>
      <c r="K33" s="4">
        <v>45513</v>
      </c>
      <c r="L33" t="s">
        <v>90</v>
      </c>
      <c r="M33" t="s">
        <v>76</v>
      </c>
      <c r="N33">
        <f t="shared" si="0"/>
        <v>4673.6400000000003</v>
      </c>
      <c r="O33">
        <f t="shared" si="1"/>
        <v>887.99160000000006</v>
      </c>
      <c r="P33">
        <f t="shared" si="2"/>
        <v>3785.6484</v>
      </c>
    </row>
    <row r="34" spans="1:16" x14ac:dyDescent="0.3">
      <c r="A34">
        <v>4141</v>
      </c>
      <c r="B34" s="4">
        <v>45431</v>
      </c>
      <c r="C34">
        <v>19</v>
      </c>
      <c r="D34">
        <v>80.959999999999994</v>
      </c>
      <c r="E34" s="6">
        <v>0.19</v>
      </c>
      <c r="F34" t="s">
        <v>35</v>
      </c>
      <c r="G34" t="s">
        <v>139</v>
      </c>
      <c r="H34" t="s">
        <v>140</v>
      </c>
      <c r="I34" t="s">
        <v>38</v>
      </c>
      <c r="J34" t="s">
        <v>141</v>
      </c>
      <c r="K34" s="4">
        <v>45436</v>
      </c>
      <c r="L34" t="s">
        <v>117</v>
      </c>
      <c r="M34" t="s">
        <v>58</v>
      </c>
      <c r="N34">
        <f t="shared" si="0"/>
        <v>1538.2399999999998</v>
      </c>
      <c r="O34">
        <f t="shared" si="1"/>
        <v>292.26559999999995</v>
      </c>
      <c r="P34">
        <f t="shared" si="2"/>
        <v>1245.9743999999998</v>
      </c>
    </row>
    <row r="35" spans="1:16" x14ac:dyDescent="0.3">
      <c r="A35">
        <v>4978</v>
      </c>
      <c r="B35" s="4">
        <v>45647</v>
      </c>
      <c r="C35">
        <v>7</v>
      </c>
      <c r="D35">
        <v>488.62</v>
      </c>
      <c r="E35" s="6">
        <v>0.4</v>
      </c>
      <c r="F35" t="s">
        <v>48</v>
      </c>
      <c r="G35" t="s">
        <v>72</v>
      </c>
      <c r="H35" t="s">
        <v>142</v>
      </c>
      <c r="I35" t="s">
        <v>38</v>
      </c>
      <c r="J35" t="s">
        <v>143</v>
      </c>
      <c r="K35" s="4">
        <v>45654</v>
      </c>
      <c r="L35" t="s">
        <v>110</v>
      </c>
      <c r="M35" t="s">
        <v>111</v>
      </c>
      <c r="N35">
        <f t="shared" si="0"/>
        <v>3420.34</v>
      </c>
      <c r="O35">
        <f t="shared" si="1"/>
        <v>1368.1360000000002</v>
      </c>
      <c r="P35">
        <f t="shared" si="2"/>
        <v>2052.2039999999997</v>
      </c>
    </row>
    <row r="36" spans="1:16" x14ac:dyDescent="0.3">
      <c r="A36">
        <v>4059</v>
      </c>
      <c r="B36" s="4">
        <v>45403</v>
      </c>
      <c r="C36">
        <v>13</v>
      </c>
      <c r="D36">
        <v>46.64</v>
      </c>
      <c r="E36" s="6">
        <v>0.31</v>
      </c>
      <c r="F36" t="s">
        <v>42</v>
      </c>
      <c r="G36" t="s">
        <v>107</v>
      </c>
      <c r="H36" t="s">
        <v>144</v>
      </c>
      <c r="I36" t="s">
        <v>38</v>
      </c>
      <c r="J36" t="s">
        <v>145</v>
      </c>
      <c r="K36" s="4">
        <v>45404</v>
      </c>
      <c r="L36" t="s">
        <v>146</v>
      </c>
      <c r="M36" t="s">
        <v>34</v>
      </c>
      <c r="N36">
        <f t="shared" si="0"/>
        <v>606.32000000000005</v>
      </c>
      <c r="O36">
        <f t="shared" si="1"/>
        <v>187.95920000000001</v>
      </c>
      <c r="P36">
        <f t="shared" si="2"/>
        <v>418.36080000000004</v>
      </c>
    </row>
    <row r="37" spans="1:16" x14ac:dyDescent="0.3">
      <c r="A37">
        <v>1250</v>
      </c>
      <c r="B37" s="4">
        <v>45418</v>
      </c>
      <c r="C37">
        <v>20</v>
      </c>
      <c r="D37">
        <v>50.63</v>
      </c>
      <c r="E37" s="6">
        <v>0.47</v>
      </c>
      <c r="F37" t="s">
        <v>42</v>
      </c>
      <c r="G37" t="s">
        <v>43</v>
      </c>
      <c r="H37" t="s">
        <v>147</v>
      </c>
      <c r="I37" t="s">
        <v>31</v>
      </c>
      <c r="J37" t="s">
        <v>148</v>
      </c>
      <c r="K37" s="4">
        <v>45422</v>
      </c>
      <c r="L37" t="s">
        <v>75</v>
      </c>
      <c r="M37" t="s">
        <v>76</v>
      </c>
      <c r="N37">
        <f t="shared" si="0"/>
        <v>1012.6</v>
      </c>
      <c r="O37">
        <f t="shared" si="1"/>
        <v>475.92199999999997</v>
      </c>
      <c r="P37">
        <f t="shared" si="2"/>
        <v>536.67800000000011</v>
      </c>
    </row>
    <row r="38" spans="1:16" x14ac:dyDescent="0.3">
      <c r="A38">
        <v>5948</v>
      </c>
      <c r="B38" s="4">
        <v>45379</v>
      </c>
      <c r="C38">
        <v>10</v>
      </c>
      <c r="D38">
        <v>53.24</v>
      </c>
      <c r="E38" s="6">
        <v>0.32</v>
      </c>
      <c r="F38" t="s">
        <v>35</v>
      </c>
      <c r="G38" t="s">
        <v>36</v>
      </c>
      <c r="H38" t="s">
        <v>149</v>
      </c>
      <c r="I38" t="s">
        <v>38</v>
      </c>
      <c r="J38" t="s">
        <v>150</v>
      </c>
      <c r="K38" s="4">
        <v>45407</v>
      </c>
      <c r="L38" t="s">
        <v>129</v>
      </c>
      <c r="M38" t="s">
        <v>76</v>
      </c>
      <c r="N38">
        <f t="shared" si="0"/>
        <v>532.4</v>
      </c>
      <c r="O38">
        <f t="shared" si="1"/>
        <v>170.36799999999999</v>
      </c>
      <c r="P38">
        <f t="shared" si="2"/>
        <v>362.03199999999998</v>
      </c>
    </row>
    <row r="39" spans="1:16" x14ac:dyDescent="0.3">
      <c r="A39">
        <v>3391</v>
      </c>
      <c r="B39" s="4">
        <v>45616</v>
      </c>
      <c r="C39">
        <v>5</v>
      </c>
      <c r="D39">
        <v>144.01</v>
      </c>
      <c r="E39" s="6">
        <v>0.27</v>
      </c>
      <c r="F39" t="s">
        <v>59</v>
      </c>
      <c r="G39" t="s">
        <v>60</v>
      </c>
      <c r="H39" t="s">
        <v>151</v>
      </c>
      <c r="I39" t="s">
        <v>38</v>
      </c>
      <c r="J39" t="s">
        <v>152</v>
      </c>
      <c r="K39" s="4">
        <v>45618</v>
      </c>
      <c r="L39" t="s">
        <v>153</v>
      </c>
      <c r="M39" t="s">
        <v>64</v>
      </c>
      <c r="N39">
        <f t="shared" si="0"/>
        <v>720.05</v>
      </c>
      <c r="O39">
        <f t="shared" si="1"/>
        <v>194.4135</v>
      </c>
      <c r="P39">
        <f t="shared" si="2"/>
        <v>525.63649999999996</v>
      </c>
    </row>
    <row r="40" spans="1:16" x14ac:dyDescent="0.3">
      <c r="A40">
        <v>8336</v>
      </c>
      <c r="B40" s="4">
        <v>45609</v>
      </c>
      <c r="C40">
        <v>18</v>
      </c>
      <c r="D40">
        <v>77.52</v>
      </c>
      <c r="E40" s="6">
        <v>0.39</v>
      </c>
      <c r="F40" t="s">
        <v>59</v>
      </c>
      <c r="G40" t="s">
        <v>69</v>
      </c>
      <c r="H40" t="s">
        <v>154</v>
      </c>
      <c r="I40" t="s">
        <v>31</v>
      </c>
      <c r="J40" t="s">
        <v>155</v>
      </c>
      <c r="K40" s="4">
        <v>45618</v>
      </c>
      <c r="L40" t="s">
        <v>110</v>
      </c>
      <c r="M40" t="s">
        <v>111</v>
      </c>
      <c r="N40">
        <f t="shared" si="0"/>
        <v>1395.36</v>
      </c>
      <c r="O40">
        <f t="shared" si="1"/>
        <v>544.19039999999995</v>
      </c>
      <c r="P40">
        <f t="shared" si="2"/>
        <v>851.16959999999995</v>
      </c>
    </row>
    <row r="41" spans="1:16" x14ac:dyDescent="0.3">
      <c r="A41">
        <v>6296</v>
      </c>
      <c r="B41" s="4">
        <v>45453</v>
      </c>
      <c r="C41">
        <v>8</v>
      </c>
      <c r="D41">
        <v>339.58</v>
      </c>
      <c r="E41" s="6">
        <v>0.15</v>
      </c>
      <c r="F41" t="s">
        <v>28</v>
      </c>
      <c r="G41" t="s">
        <v>93</v>
      </c>
      <c r="H41" t="s">
        <v>156</v>
      </c>
      <c r="I41" t="s">
        <v>31</v>
      </c>
      <c r="J41" t="s">
        <v>157</v>
      </c>
      <c r="K41" s="4">
        <v>45471</v>
      </c>
      <c r="L41" t="s">
        <v>57</v>
      </c>
      <c r="M41" t="s">
        <v>58</v>
      </c>
      <c r="N41">
        <f t="shared" si="0"/>
        <v>2716.64</v>
      </c>
      <c r="O41">
        <f t="shared" si="1"/>
        <v>407.49599999999998</v>
      </c>
      <c r="P41">
        <f t="shared" si="2"/>
        <v>2309.1439999999998</v>
      </c>
    </row>
    <row r="42" spans="1:16" x14ac:dyDescent="0.3">
      <c r="A42">
        <v>2804</v>
      </c>
      <c r="B42" s="4">
        <v>45307</v>
      </c>
      <c r="C42">
        <v>14</v>
      </c>
      <c r="D42">
        <v>77.87</v>
      </c>
      <c r="E42" s="6">
        <v>0.18</v>
      </c>
      <c r="F42" t="s">
        <v>35</v>
      </c>
      <c r="G42" t="s">
        <v>36</v>
      </c>
      <c r="H42" t="s">
        <v>158</v>
      </c>
      <c r="I42" t="s">
        <v>31</v>
      </c>
      <c r="J42" t="s">
        <v>159</v>
      </c>
      <c r="K42" s="4">
        <v>45336</v>
      </c>
      <c r="L42" t="s">
        <v>153</v>
      </c>
      <c r="M42" t="s">
        <v>64</v>
      </c>
      <c r="N42">
        <f t="shared" si="0"/>
        <v>1090.18</v>
      </c>
      <c r="O42">
        <f t="shared" si="1"/>
        <v>196.23240000000001</v>
      </c>
      <c r="P42">
        <f t="shared" si="2"/>
        <v>893.94760000000008</v>
      </c>
    </row>
    <row r="43" spans="1:16" x14ac:dyDescent="0.3">
      <c r="A43">
        <v>9094</v>
      </c>
      <c r="B43" s="4">
        <v>45586</v>
      </c>
      <c r="C43">
        <v>19</v>
      </c>
      <c r="D43">
        <v>403.58</v>
      </c>
      <c r="E43" s="6">
        <v>0.19</v>
      </c>
      <c r="F43" t="s">
        <v>48</v>
      </c>
      <c r="G43" t="s">
        <v>72</v>
      </c>
      <c r="H43" t="s">
        <v>160</v>
      </c>
      <c r="I43" t="s">
        <v>38</v>
      </c>
      <c r="J43" t="s">
        <v>161</v>
      </c>
      <c r="K43" s="4">
        <v>45600</v>
      </c>
      <c r="L43" t="s">
        <v>82</v>
      </c>
      <c r="M43" t="s">
        <v>83</v>
      </c>
      <c r="N43">
        <f t="shared" si="0"/>
        <v>7668.0199999999995</v>
      </c>
      <c r="O43">
        <f t="shared" si="1"/>
        <v>1456.9238</v>
      </c>
      <c r="P43">
        <f t="shared" si="2"/>
        <v>6211.0962</v>
      </c>
    </row>
    <row r="44" spans="1:16" x14ac:dyDescent="0.3">
      <c r="A44">
        <v>5649</v>
      </c>
      <c r="B44" s="4">
        <v>45378</v>
      </c>
      <c r="C44">
        <v>9</v>
      </c>
      <c r="D44">
        <v>266.04000000000002</v>
      </c>
      <c r="E44" s="6">
        <v>0.36</v>
      </c>
      <c r="F44" t="s">
        <v>59</v>
      </c>
      <c r="G44" t="s">
        <v>69</v>
      </c>
      <c r="H44" t="s">
        <v>162</v>
      </c>
      <c r="I44" t="s">
        <v>31</v>
      </c>
      <c r="J44" t="s">
        <v>163</v>
      </c>
      <c r="K44" s="4">
        <v>45397</v>
      </c>
      <c r="L44" t="s">
        <v>33</v>
      </c>
      <c r="M44" t="s">
        <v>34</v>
      </c>
      <c r="N44">
        <f t="shared" si="0"/>
        <v>2394.36</v>
      </c>
      <c r="O44">
        <f t="shared" si="1"/>
        <v>861.96960000000001</v>
      </c>
      <c r="P44">
        <f t="shared" si="2"/>
        <v>1532.3904000000002</v>
      </c>
    </row>
    <row r="45" spans="1:16" x14ac:dyDescent="0.3">
      <c r="A45">
        <v>2852</v>
      </c>
      <c r="B45" s="4">
        <v>45358</v>
      </c>
      <c r="C45">
        <v>9</v>
      </c>
      <c r="D45">
        <v>375.22</v>
      </c>
      <c r="E45" s="6">
        <v>0.38</v>
      </c>
      <c r="F45" t="s">
        <v>42</v>
      </c>
      <c r="G45" t="s">
        <v>107</v>
      </c>
      <c r="H45" t="s">
        <v>164</v>
      </c>
      <c r="I45" t="s">
        <v>31</v>
      </c>
      <c r="J45" t="s">
        <v>165</v>
      </c>
      <c r="K45" s="4">
        <v>45387</v>
      </c>
      <c r="L45" t="s">
        <v>153</v>
      </c>
      <c r="M45" t="s">
        <v>64</v>
      </c>
      <c r="N45">
        <f t="shared" si="0"/>
        <v>3376.9800000000005</v>
      </c>
      <c r="O45">
        <f t="shared" si="1"/>
        <v>1283.2524000000003</v>
      </c>
      <c r="P45">
        <f t="shared" si="2"/>
        <v>2093.7276000000002</v>
      </c>
    </row>
    <row r="46" spans="1:16" x14ac:dyDescent="0.3">
      <c r="A46">
        <v>3344</v>
      </c>
      <c r="B46" s="4">
        <v>45450</v>
      </c>
      <c r="C46">
        <v>14</v>
      </c>
      <c r="D46">
        <v>314.57</v>
      </c>
      <c r="E46" s="6">
        <v>0.18</v>
      </c>
      <c r="F46" t="s">
        <v>59</v>
      </c>
      <c r="G46" t="s">
        <v>103</v>
      </c>
      <c r="H46" t="s">
        <v>166</v>
      </c>
      <c r="I46" t="s">
        <v>31</v>
      </c>
      <c r="J46" t="s">
        <v>167</v>
      </c>
      <c r="K46" s="4">
        <v>45480</v>
      </c>
      <c r="L46" t="s">
        <v>117</v>
      </c>
      <c r="M46" t="s">
        <v>58</v>
      </c>
      <c r="N46">
        <f t="shared" si="0"/>
        <v>4403.9799999999996</v>
      </c>
      <c r="O46">
        <f t="shared" si="1"/>
        <v>792.71639999999991</v>
      </c>
      <c r="P46">
        <f t="shared" si="2"/>
        <v>3611.2635999999998</v>
      </c>
    </row>
    <row r="47" spans="1:16" x14ac:dyDescent="0.3">
      <c r="A47">
        <v>9473</v>
      </c>
      <c r="B47" s="4">
        <v>45565</v>
      </c>
      <c r="C47">
        <v>14</v>
      </c>
      <c r="D47">
        <v>351.25</v>
      </c>
      <c r="E47" s="6">
        <v>0.21</v>
      </c>
      <c r="F47" t="s">
        <v>28</v>
      </c>
      <c r="G47" t="s">
        <v>65</v>
      </c>
      <c r="H47" t="s">
        <v>168</v>
      </c>
      <c r="I47" t="s">
        <v>38</v>
      </c>
      <c r="J47" t="s">
        <v>169</v>
      </c>
      <c r="K47" s="4">
        <v>45589</v>
      </c>
      <c r="L47" t="s">
        <v>96</v>
      </c>
      <c r="M47" t="s">
        <v>97</v>
      </c>
      <c r="N47">
        <f t="shared" si="0"/>
        <v>4917.5</v>
      </c>
      <c r="O47">
        <f t="shared" si="1"/>
        <v>1032.675</v>
      </c>
      <c r="P47">
        <f t="shared" si="2"/>
        <v>3884.8249999999998</v>
      </c>
    </row>
    <row r="48" spans="1:16" x14ac:dyDescent="0.3">
      <c r="A48">
        <v>4289</v>
      </c>
      <c r="B48" s="4">
        <v>45368</v>
      </c>
      <c r="C48">
        <v>4</v>
      </c>
      <c r="D48">
        <v>322.31</v>
      </c>
      <c r="E48" s="6">
        <v>0.32</v>
      </c>
      <c r="F48" t="s">
        <v>42</v>
      </c>
      <c r="G48" t="s">
        <v>43</v>
      </c>
      <c r="H48" t="s">
        <v>170</v>
      </c>
      <c r="I48" t="s">
        <v>31</v>
      </c>
      <c r="J48" t="s">
        <v>171</v>
      </c>
      <c r="K48" s="4">
        <v>45397</v>
      </c>
      <c r="L48" t="s">
        <v>63</v>
      </c>
      <c r="M48" t="s">
        <v>64</v>
      </c>
      <c r="N48">
        <f t="shared" si="0"/>
        <v>1289.24</v>
      </c>
      <c r="O48">
        <f t="shared" si="1"/>
        <v>412.55680000000001</v>
      </c>
      <c r="P48">
        <f t="shared" si="2"/>
        <v>876.68319999999994</v>
      </c>
    </row>
    <row r="49" spans="1:16" x14ac:dyDescent="0.3">
      <c r="A49">
        <v>8434</v>
      </c>
      <c r="B49" s="4">
        <v>45425</v>
      </c>
      <c r="C49">
        <v>14</v>
      </c>
      <c r="D49">
        <v>72.569999999999993</v>
      </c>
      <c r="E49" s="6">
        <v>0.49</v>
      </c>
      <c r="F49" t="s">
        <v>42</v>
      </c>
      <c r="G49" t="s">
        <v>112</v>
      </c>
      <c r="H49" t="s">
        <v>172</v>
      </c>
      <c r="I49" t="s">
        <v>38</v>
      </c>
      <c r="J49" t="s">
        <v>173</v>
      </c>
      <c r="K49" s="4">
        <v>45437</v>
      </c>
      <c r="L49" t="s">
        <v>123</v>
      </c>
      <c r="M49" t="s">
        <v>58</v>
      </c>
      <c r="N49">
        <f t="shared" si="0"/>
        <v>1015.9799999999999</v>
      </c>
      <c r="O49">
        <f t="shared" si="1"/>
        <v>497.83019999999993</v>
      </c>
      <c r="P49">
        <f t="shared" si="2"/>
        <v>518.14979999999991</v>
      </c>
    </row>
    <row r="50" spans="1:16" x14ac:dyDescent="0.3">
      <c r="A50">
        <v>1757</v>
      </c>
      <c r="B50" s="4">
        <v>45511</v>
      </c>
      <c r="C50">
        <v>17</v>
      </c>
      <c r="D50">
        <v>422.75</v>
      </c>
      <c r="E50" s="6">
        <v>0.37</v>
      </c>
      <c r="F50" t="s">
        <v>42</v>
      </c>
      <c r="G50" t="s">
        <v>43</v>
      </c>
      <c r="H50" t="s">
        <v>174</v>
      </c>
      <c r="I50" t="s">
        <v>31</v>
      </c>
      <c r="J50" t="s">
        <v>175</v>
      </c>
      <c r="K50" s="4">
        <v>45520</v>
      </c>
      <c r="L50" t="s">
        <v>33</v>
      </c>
      <c r="M50" t="s">
        <v>34</v>
      </c>
      <c r="N50">
        <f t="shared" si="0"/>
        <v>7186.75</v>
      </c>
      <c r="O50">
        <f t="shared" si="1"/>
        <v>2659.0974999999999</v>
      </c>
      <c r="P50">
        <f t="shared" si="2"/>
        <v>4527.6525000000001</v>
      </c>
    </row>
    <row r="51" spans="1:16" x14ac:dyDescent="0.3">
      <c r="A51">
        <v>3637</v>
      </c>
      <c r="B51" s="4">
        <v>45292</v>
      </c>
      <c r="C51">
        <v>7</v>
      </c>
      <c r="D51">
        <v>52.91</v>
      </c>
      <c r="E51" s="6">
        <v>0.24</v>
      </c>
      <c r="F51" t="s">
        <v>28</v>
      </c>
      <c r="G51" t="s">
        <v>93</v>
      </c>
      <c r="H51" t="s">
        <v>176</v>
      </c>
      <c r="I51" t="s">
        <v>31</v>
      </c>
      <c r="J51" t="s">
        <v>177</v>
      </c>
      <c r="K51" s="4">
        <v>45308</v>
      </c>
      <c r="L51" t="s">
        <v>178</v>
      </c>
      <c r="M51" t="s">
        <v>41</v>
      </c>
      <c r="N51">
        <f t="shared" si="0"/>
        <v>370.37</v>
      </c>
      <c r="O51">
        <f t="shared" si="1"/>
        <v>88.888800000000003</v>
      </c>
      <c r="P51">
        <f t="shared" si="2"/>
        <v>281.4812</v>
      </c>
    </row>
    <row r="52" spans="1:16" x14ac:dyDescent="0.3">
      <c r="A52">
        <v>3909</v>
      </c>
      <c r="B52" s="4">
        <v>45365</v>
      </c>
      <c r="C52">
        <v>3</v>
      </c>
      <c r="D52">
        <v>333.83</v>
      </c>
      <c r="E52" s="6">
        <v>0.41</v>
      </c>
      <c r="F52" t="s">
        <v>48</v>
      </c>
      <c r="G52" t="s">
        <v>72</v>
      </c>
      <c r="H52" t="s">
        <v>179</v>
      </c>
      <c r="I52" t="s">
        <v>31</v>
      </c>
      <c r="J52" t="s">
        <v>180</v>
      </c>
      <c r="K52" s="4">
        <v>45388</v>
      </c>
      <c r="L52" t="s">
        <v>40</v>
      </c>
      <c r="M52" t="s">
        <v>41</v>
      </c>
      <c r="N52">
        <f t="shared" si="0"/>
        <v>1001.49</v>
      </c>
      <c r="O52">
        <f t="shared" si="1"/>
        <v>410.61089999999996</v>
      </c>
      <c r="P52">
        <f t="shared" si="2"/>
        <v>590.87910000000011</v>
      </c>
    </row>
    <row r="53" spans="1:16" x14ac:dyDescent="0.3">
      <c r="A53">
        <v>2524</v>
      </c>
      <c r="B53" s="4">
        <v>45375</v>
      </c>
      <c r="C53">
        <v>18</v>
      </c>
      <c r="D53">
        <v>365.97</v>
      </c>
      <c r="E53" s="6">
        <v>0.19</v>
      </c>
      <c r="F53" t="s">
        <v>59</v>
      </c>
      <c r="G53" t="s">
        <v>69</v>
      </c>
      <c r="H53" t="s">
        <v>181</v>
      </c>
      <c r="I53" t="s">
        <v>38</v>
      </c>
      <c r="J53" t="s">
        <v>182</v>
      </c>
      <c r="K53" s="4">
        <v>45379</v>
      </c>
      <c r="L53" t="s">
        <v>75</v>
      </c>
      <c r="M53" t="s">
        <v>76</v>
      </c>
      <c r="N53">
        <f t="shared" si="0"/>
        <v>6587.4600000000009</v>
      </c>
      <c r="O53">
        <f t="shared" si="1"/>
        <v>1251.6174000000001</v>
      </c>
      <c r="P53">
        <f t="shared" si="2"/>
        <v>5335.8426000000009</v>
      </c>
    </row>
    <row r="54" spans="1:16" x14ac:dyDescent="0.3">
      <c r="A54">
        <v>9060</v>
      </c>
      <c r="B54" s="4">
        <v>45525</v>
      </c>
      <c r="C54">
        <v>10</v>
      </c>
      <c r="D54">
        <v>453.34</v>
      </c>
      <c r="E54" s="6">
        <v>0.32</v>
      </c>
      <c r="F54" t="s">
        <v>42</v>
      </c>
      <c r="G54" t="s">
        <v>43</v>
      </c>
      <c r="H54" t="s">
        <v>183</v>
      </c>
      <c r="I54" t="s">
        <v>31</v>
      </c>
      <c r="J54" t="s">
        <v>184</v>
      </c>
      <c r="K54" s="4">
        <v>45530</v>
      </c>
      <c r="L54" t="s">
        <v>90</v>
      </c>
      <c r="M54" t="s">
        <v>76</v>
      </c>
      <c r="N54">
        <f t="shared" si="0"/>
        <v>4533.3999999999996</v>
      </c>
      <c r="O54">
        <f t="shared" si="1"/>
        <v>1450.6879999999999</v>
      </c>
      <c r="P54">
        <f t="shared" si="2"/>
        <v>3082.7119999999995</v>
      </c>
    </row>
    <row r="55" spans="1:16" x14ac:dyDescent="0.3">
      <c r="A55">
        <v>5590</v>
      </c>
      <c r="B55" s="4">
        <v>45351</v>
      </c>
      <c r="C55">
        <v>3</v>
      </c>
      <c r="D55">
        <v>25.85</v>
      </c>
      <c r="E55" s="6">
        <v>0.49</v>
      </c>
      <c r="F55" t="s">
        <v>59</v>
      </c>
      <c r="G55" t="s">
        <v>103</v>
      </c>
      <c r="H55" t="s">
        <v>185</v>
      </c>
      <c r="I55" t="s">
        <v>38</v>
      </c>
      <c r="J55" t="s">
        <v>186</v>
      </c>
      <c r="K55" s="4">
        <v>45354</v>
      </c>
      <c r="L55" t="s">
        <v>79</v>
      </c>
      <c r="M55" t="s">
        <v>64</v>
      </c>
      <c r="N55">
        <f t="shared" si="0"/>
        <v>77.550000000000011</v>
      </c>
      <c r="O55">
        <f t="shared" si="1"/>
        <v>37.999500000000005</v>
      </c>
      <c r="P55">
        <f t="shared" si="2"/>
        <v>39.550500000000007</v>
      </c>
    </row>
    <row r="56" spans="1:16" x14ac:dyDescent="0.3">
      <c r="A56">
        <v>4094</v>
      </c>
      <c r="B56" s="4">
        <v>45646</v>
      </c>
      <c r="C56">
        <v>2</v>
      </c>
      <c r="D56">
        <v>154.5</v>
      </c>
      <c r="E56" s="6">
        <v>0.23</v>
      </c>
      <c r="F56" t="s">
        <v>48</v>
      </c>
      <c r="G56" t="s">
        <v>72</v>
      </c>
      <c r="H56" t="s">
        <v>187</v>
      </c>
      <c r="I56" t="s">
        <v>31</v>
      </c>
      <c r="J56" t="s">
        <v>188</v>
      </c>
      <c r="K56" s="4">
        <v>45653</v>
      </c>
      <c r="L56" t="s">
        <v>82</v>
      </c>
      <c r="M56" t="s">
        <v>83</v>
      </c>
      <c r="N56">
        <f t="shared" si="0"/>
        <v>309</v>
      </c>
      <c r="O56">
        <f t="shared" si="1"/>
        <v>71.070000000000007</v>
      </c>
      <c r="P56">
        <f t="shared" si="2"/>
        <v>237.93</v>
      </c>
    </row>
    <row r="57" spans="1:16" x14ac:dyDescent="0.3">
      <c r="A57">
        <v>7166</v>
      </c>
      <c r="B57" s="4">
        <v>45417</v>
      </c>
      <c r="C57">
        <v>15</v>
      </c>
      <c r="D57">
        <v>457.73</v>
      </c>
      <c r="E57" s="6">
        <v>0.22</v>
      </c>
      <c r="F57" t="s">
        <v>59</v>
      </c>
      <c r="G57" t="s">
        <v>103</v>
      </c>
      <c r="H57" t="s">
        <v>189</v>
      </c>
      <c r="I57" t="s">
        <v>31</v>
      </c>
      <c r="J57" t="s">
        <v>190</v>
      </c>
      <c r="K57" s="4">
        <v>45443</v>
      </c>
      <c r="L57" t="s">
        <v>178</v>
      </c>
      <c r="M57" t="s">
        <v>41</v>
      </c>
      <c r="N57">
        <f t="shared" si="0"/>
        <v>6865.9500000000007</v>
      </c>
      <c r="O57">
        <f t="shared" si="1"/>
        <v>1510.5090000000002</v>
      </c>
      <c r="P57">
        <f t="shared" si="2"/>
        <v>5355.4410000000007</v>
      </c>
    </row>
    <row r="58" spans="1:16" x14ac:dyDescent="0.3">
      <c r="A58">
        <v>1060</v>
      </c>
      <c r="B58" s="4">
        <v>45618</v>
      </c>
      <c r="C58">
        <v>5</v>
      </c>
      <c r="D58">
        <v>177.02</v>
      </c>
      <c r="E58" s="6">
        <v>0.47</v>
      </c>
      <c r="F58" t="s">
        <v>42</v>
      </c>
      <c r="G58" t="s">
        <v>112</v>
      </c>
      <c r="H58" t="s">
        <v>191</v>
      </c>
      <c r="I58" t="s">
        <v>31</v>
      </c>
      <c r="J58" t="s">
        <v>192</v>
      </c>
      <c r="K58" s="4">
        <v>45626</v>
      </c>
      <c r="L58" t="s">
        <v>102</v>
      </c>
      <c r="M58" t="s">
        <v>34</v>
      </c>
      <c r="N58">
        <f t="shared" si="0"/>
        <v>885.1</v>
      </c>
      <c r="O58">
        <f t="shared" si="1"/>
        <v>415.99700000000001</v>
      </c>
      <c r="P58">
        <f t="shared" si="2"/>
        <v>469.10300000000001</v>
      </c>
    </row>
    <row r="59" spans="1:16" x14ac:dyDescent="0.3">
      <c r="A59">
        <v>7442</v>
      </c>
      <c r="B59" s="4">
        <v>45351</v>
      </c>
      <c r="C59">
        <v>13</v>
      </c>
      <c r="D59">
        <v>324.55</v>
      </c>
      <c r="E59" s="6">
        <v>0.12</v>
      </c>
      <c r="F59" t="s">
        <v>35</v>
      </c>
      <c r="G59" t="s">
        <v>193</v>
      </c>
      <c r="H59" t="s">
        <v>194</v>
      </c>
      <c r="I59" t="s">
        <v>31</v>
      </c>
      <c r="J59" t="s">
        <v>195</v>
      </c>
      <c r="K59" s="4">
        <v>45353</v>
      </c>
      <c r="L59" t="s">
        <v>86</v>
      </c>
      <c r="M59" t="s">
        <v>87</v>
      </c>
      <c r="N59">
        <f t="shared" si="0"/>
        <v>4219.1500000000005</v>
      </c>
      <c r="O59">
        <f t="shared" si="1"/>
        <v>506.29800000000006</v>
      </c>
      <c r="P59">
        <f t="shared" si="2"/>
        <v>3712.8520000000003</v>
      </c>
    </row>
    <row r="60" spans="1:16" x14ac:dyDescent="0.3">
      <c r="A60">
        <v>6428</v>
      </c>
      <c r="B60" s="4">
        <v>45461</v>
      </c>
      <c r="C60">
        <v>12</v>
      </c>
      <c r="D60">
        <v>205.43</v>
      </c>
      <c r="E60" s="6">
        <v>0.37</v>
      </c>
      <c r="F60" t="s">
        <v>59</v>
      </c>
      <c r="G60" t="s">
        <v>69</v>
      </c>
      <c r="H60" t="s">
        <v>196</v>
      </c>
      <c r="I60" t="s">
        <v>38</v>
      </c>
      <c r="J60" t="s">
        <v>197</v>
      </c>
      <c r="K60" s="4">
        <v>45481</v>
      </c>
      <c r="L60" t="s">
        <v>198</v>
      </c>
      <c r="M60" t="s">
        <v>83</v>
      </c>
      <c r="N60">
        <f t="shared" si="0"/>
        <v>2465.16</v>
      </c>
      <c r="O60">
        <f t="shared" si="1"/>
        <v>912.10919999999999</v>
      </c>
      <c r="P60">
        <f t="shared" si="2"/>
        <v>1553.0508</v>
      </c>
    </row>
    <row r="61" spans="1:16" x14ac:dyDescent="0.3">
      <c r="A61">
        <v>2103</v>
      </c>
      <c r="B61" s="4">
        <v>45615</v>
      </c>
      <c r="C61">
        <v>19</v>
      </c>
      <c r="D61">
        <v>403.8</v>
      </c>
      <c r="E61" s="6">
        <v>0.42</v>
      </c>
      <c r="F61" t="s">
        <v>28</v>
      </c>
      <c r="G61" t="s">
        <v>29</v>
      </c>
      <c r="H61" t="s">
        <v>199</v>
      </c>
      <c r="I61" t="s">
        <v>38</v>
      </c>
      <c r="J61" t="s">
        <v>200</v>
      </c>
      <c r="K61" s="4">
        <v>45640</v>
      </c>
      <c r="L61" t="s">
        <v>106</v>
      </c>
      <c r="M61" t="s">
        <v>41</v>
      </c>
      <c r="N61">
        <f t="shared" si="0"/>
        <v>7672.2</v>
      </c>
      <c r="O61">
        <f t="shared" si="1"/>
        <v>3222.3239999999996</v>
      </c>
      <c r="P61">
        <f t="shared" si="2"/>
        <v>4449.8760000000002</v>
      </c>
    </row>
    <row r="62" spans="1:16" x14ac:dyDescent="0.3">
      <c r="A62">
        <v>9570</v>
      </c>
      <c r="B62" s="4">
        <v>45634</v>
      </c>
      <c r="C62">
        <v>15</v>
      </c>
      <c r="D62">
        <v>177.19</v>
      </c>
      <c r="E62" s="6">
        <v>0.48</v>
      </c>
      <c r="F62" t="s">
        <v>48</v>
      </c>
      <c r="G62" t="s">
        <v>72</v>
      </c>
      <c r="H62" t="s">
        <v>201</v>
      </c>
      <c r="I62" t="s">
        <v>31</v>
      </c>
      <c r="J62" t="s">
        <v>202</v>
      </c>
      <c r="K62" s="4">
        <v>45661</v>
      </c>
      <c r="L62" t="s">
        <v>40</v>
      </c>
      <c r="M62" t="s">
        <v>41</v>
      </c>
      <c r="N62">
        <f t="shared" si="0"/>
        <v>2657.85</v>
      </c>
      <c r="O62">
        <f t="shared" si="1"/>
        <v>1275.7679999999998</v>
      </c>
      <c r="P62">
        <f t="shared" si="2"/>
        <v>1382.0820000000001</v>
      </c>
    </row>
    <row r="63" spans="1:16" x14ac:dyDescent="0.3">
      <c r="A63">
        <v>9937</v>
      </c>
      <c r="B63" s="4">
        <v>45409</v>
      </c>
      <c r="C63">
        <v>17</v>
      </c>
      <c r="D63">
        <v>219.79</v>
      </c>
      <c r="E63" s="6">
        <v>0.46</v>
      </c>
      <c r="F63" t="s">
        <v>35</v>
      </c>
      <c r="G63" t="s">
        <v>36</v>
      </c>
      <c r="H63" t="s">
        <v>203</v>
      </c>
      <c r="I63" t="s">
        <v>31</v>
      </c>
      <c r="J63" t="s">
        <v>204</v>
      </c>
      <c r="K63" s="4">
        <v>45421</v>
      </c>
      <c r="L63" t="s">
        <v>205</v>
      </c>
      <c r="M63" t="s">
        <v>47</v>
      </c>
      <c r="N63">
        <f t="shared" si="0"/>
        <v>3736.43</v>
      </c>
      <c r="O63">
        <f t="shared" si="1"/>
        <v>1718.7578000000001</v>
      </c>
      <c r="P63">
        <f t="shared" si="2"/>
        <v>2017.6721999999997</v>
      </c>
    </row>
    <row r="64" spans="1:16" x14ac:dyDescent="0.3">
      <c r="A64">
        <v>7114</v>
      </c>
      <c r="B64" s="4">
        <v>45653</v>
      </c>
      <c r="C64">
        <v>18</v>
      </c>
      <c r="D64">
        <v>268.32</v>
      </c>
      <c r="E64" s="6">
        <v>0.27</v>
      </c>
      <c r="F64" t="s">
        <v>28</v>
      </c>
      <c r="G64" t="s">
        <v>65</v>
      </c>
      <c r="H64" t="s">
        <v>206</v>
      </c>
      <c r="I64" t="s">
        <v>38</v>
      </c>
      <c r="J64" t="s">
        <v>207</v>
      </c>
      <c r="K64" s="4">
        <v>45663</v>
      </c>
      <c r="L64" t="s">
        <v>117</v>
      </c>
      <c r="M64" t="s">
        <v>58</v>
      </c>
      <c r="N64">
        <f t="shared" si="0"/>
        <v>4829.76</v>
      </c>
      <c r="O64">
        <f t="shared" si="1"/>
        <v>1304.0352</v>
      </c>
      <c r="P64">
        <f t="shared" si="2"/>
        <v>3525.7248</v>
      </c>
    </row>
    <row r="65" spans="1:16" x14ac:dyDescent="0.3">
      <c r="A65">
        <v>2609</v>
      </c>
      <c r="B65" s="4">
        <v>45361</v>
      </c>
      <c r="C65">
        <v>7</v>
      </c>
      <c r="D65">
        <v>162.47999999999999</v>
      </c>
      <c r="E65" s="6">
        <v>0.43</v>
      </c>
      <c r="F65" t="s">
        <v>59</v>
      </c>
      <c r="G65" t="s">
        <v>69</v>
      </c>
      <c r="H65" t="s">
        <v>208</v>
      </c>
      <c r="I65" t="s">
        <v>38</v>
      </c>
      <c r="J65" t="s">
        <v>209</v>
      </c>
      <c r="K65" s="4">
        <v>45372</v>
      </c>
      <c r="L65" t="s">
        <v>117</v>
      </c>
      <c r="M65" t="s">
        <v>58</v>
      </c>
      <c r="N65">
        <f t="shared" si="0"/>
        <v>1137.3599999999999</v>
      </c>
      <c r="O65">
        <f t="shared" si="1"/>
        <v>489.06479999999993</v>
      </c>
      <c r="P65">
        <f t="shared" si="2"/>
        <v>648.29520000000002</v>
      </c>
    </row>
    <row r="66" spans="1:16" x14ac:dyDescent="0.3">
      <c r="A66">
        <v>6581</v>
      </c>
      <c r="B66" s="4">
        <v>45614</v>
      </c>
      <c r="C66">
        <v>4</v>
      </c>
      <c r="D66">
        <v>368.1</v>
      </c>
      <c r="E66" s="6">
        <v>0.5</v>
      </c>
      <c r="F66" t="s">
        <v>28</v>
      </c>
      <c r="G66" t="s">
        <v>29</v>
      </c>
      <c r="H66" t="s">
        <v>210</v>
      </c>
      <c r="I66" t="s">
        <v>38</v>
      </c>
      <c r="J66" t="s">
        <v>211</v>
      </c>
      <c r="K66" s="4">
        <v>45632</v>
      </c>
      <c r="L66" t="s">
        <v>146</v>
      </c>
      <c r="M66" t="s">
        <v>34</v>
      </c>
      <c r="N66">
        <f t="shared" si="0"/>
        <v>1472.4</v>
      </c>
      <c r="O66">
        <f t="shared" si="1"/>
        <v>736.2</v>
      </c>
      <c r="P66">
        <f t="shared" si="2"/>
        <v>736.2</v>
      </c>
    </row>
    <row r="67" spans="1:16" x14ac:dyDescent="0.3">
      <c r="A67">
        <v>2982</v>
      </c>
      <c r="B67" s="4">
        <v>45371</v>
      </c>
      <c r="C67">
        <v>20</v>
      </c>
      <c r="D67">
        <v>367.7</v>
      </c>
      <c r="E67" s="6">
        <v>0.42</v>
      </c>
      <c r="F67" t="s">
        <v>35</v>
      </c>
      <c r="G67" t="s">
        <v>139</v>
      </c>
      <c r="H67" t="s">
        <v>212</v>
      </c>
      <c r="I67" t="s">
        <v>38</v>
      </c>
      <c r="J67" t="s">
        <v>213</v>
      </c>
      <c r="K67" s="4">
        <v>45387</v>
      </c>
      <c r="L67" t="s">
        <v>106</v>
      </c>
      <c r="M67" t="s">
        <v>41</v>
      </c>
      <c r="N67">
        <f t="shared" si="0"/>
        <v>7354</v>
      </c>
      <c r="O67">
        <f t="shared" si="1"/>
        <v>3088.68</v>
      </c>
      <c r="P67">
        <f t="shared" si="2"/>
        <v>4265.32</v>
      </c>
    </row>
    <row r="68" spans="1:16" x14ac:dyDescent="0.3">
      <c r="A68">
        <v>3859</v>
      </c>
      <c r="B68" s="4">
        <v>45530</v>
      </c>
      <c r="C68">
        <v>16</v>
      </c>
      <c r="D68">
        <v>90.74</v>
      </c>
      <c r="E68" s="6">
        <v>0.46</v>
      </c>
      <c r="F68" t="s">
        <v>59</v>
      </c>
      <c r="G68" t="s">
        <v>69</v>
      </c>
      <c r="H68" t="s">
        <v>214</v>
      </c>
      <c r="I68" t="s">
        <v>31</v>
      </c>
      <c r="J68" t="s">
        <v>215</v>
      </c>
      <c r="K68" s="4">
        <v>45559</v>
      </c>
      <c r="L68" t="s">
        <v>90</v>
      </c>
      <c r="M68" t="s">
        <v>76</v>
      </c>
      <c r="N68">
        <f t="shared" si="0"/>
        <v>1451.84</v>
      </c>
      <c r="O68">
        <f t="shared" si="1"/>
        <v>667.84640000000002</v>
      </c>
      <c r="P68">
        <f t="shared" si="2"/>
        <v>783.9935999999999</v>
      </c>
    </row>
    <row r="69" spans="1:16" x14ac:dyDescent="0.3">
      <c r="A69">
        <v>1483</v>
      </c>
      <c r="B69" s="4">
        <v>45354</v>
      </c>
      <c r="C69">
        <v>18</v>
      </c>
      <c r="D69">
        <v>138.04</v>
      </c>
      <c r="E69" s="6">
        <v>0.48</v>
      </c>
      <c r="F69" t="s">
        <v>42</v>
      </c>
      <c r="G69" t="s">
        <v>107</v>
      </c>
      <c r="H69" t="s">
        <v>216</v>
      </c>
      <c r="I69" t="s">
        <v>31</v>
      </c>
      <c r="J69" t="s">
        <v>217</v>
      </c>
      <c r="K69" s="4">
        <v>45377</v>
      </c>
      <c r="L69" t="s">
        <v>82</v>
      </c>
      <c r="M69" t="s">
        <v>83</v>
      </c>
      <c r="N69">
        <f t="shared" si="0"/>
        <v>2484.7199999999998</v>
      </c>
      <c r="O69">
        <f t="shared" si="1"/>
        <v>1192.6655999999998</v>
      </c>
      <c r="P69">
        <f t="shared" si="2"/>
        <v>1292.0544</v>
      </c>
    </row>
    <row r="70" spans="1:16" x14ac:dyDescent="0.3">
      <c r="A70">
        <v>3611</v>
      </c>
      <c r="B70" s="4">
        <v>45582</v>
      </c>
      <c r="C70">
        <v>19</v>
      </c>
      <c r="D70">
        <v>372.07</v>
      </c>
      <c r="E70" s="6">
        <v>0.38</v>
      </c>
      <c r="F70" t="s">
        <v>42</v>
      </c>
      <c r="G70" t="s">
        <v>107</v>
      </c>
      <c r="H70" t="s">
        <v>218</v>
      </c>
      <c r="I70" t="s">
        <v>38</v>
      </c>
      <c r="J70" t="s">
        <v>219</v>
      </c>
      <c r="K70" s="4">
        <v>45593</v>
      </c>
      <c r="L70" t="s">
        <v>220</v>
      </c>
      <c r="M70" t="s">
        <v>87</v>
      </c>
      <c r="N70">
        <f t="shared" ref="N70:N124" si="3">C70*D70</f>
        <v>7069.33</v>
      </c>
      <c r="O70">
        <f t="shared" ref="O70:O124" si="4">N70*E70</f>
        <v>2686.3454000000002</v>
      </c>
      <c r="P70">
        <f t="shared" ref="P70:P124" si="5">N70-O70</f>
        <v>4382.9845999999998</v>
      </c>
    </row>
    <row r="71" spans="1:16" x14ac:dyDescent="0.3">
      <c r="A71">
        <v>6159</v>
      </c>
      <c r="B71" s="4">
        <v>45597</v>
      </c>
      <c r="C71">
        <v>17</v>
      </c>
      <c r="D71">
        <v>339.83</v>
      </c>
      <c r="E71" s="6">
        <v>0.41</v>
      </c>
      <c r="F71" t="s">
        <v>35</v>
      </c>
      <c r="G71" t="s">
        <v>193</v>
      </c>
      <c r="H71" t="s">
        <v>221</v>
      </c>
      <c r="I71" t="s">
        <v>38</v>
      </c>
      <c r="J71" t="s">
        <v>222</v>
      </c>
      <c r="K71" s="4">
        <v>45609</v>
      </c>
      <c r="L71" t="s">
        <v>146</v>
      </c>
      <c r="M71" t="s">
        <v>34</v>
      </c>
      <c r="N71">
        <f t="shared" si="3"/>
        <v>5777.11</v>
      </c>
      <c r="O71">
        <f t="shared" si="4"/>
        <v>2368.6150999999995</v>
      </c>
      <c r="P71">
        <f t="shared" si="5"/>
        <v>3408.4949000000001</v>
      </c>
    </row>
    <row r="72" spans="1:16" x14ac:dyDescent="0.3">
      <c r="A72">
        <v>8000</v>
      </c>
      <c r="B72" s="4">
        <v>45321</v>
      </c>
      <c r="C72">
        <v>18</v>
      </c>
      <c r="D72">
        <v>55.09</v>
      </c>
      <c r="E72" s="6">
        <v>0.41</v>
      </c>
      <c r="F72" t="s">
        <v>28</v>
      </c>
      <c r="G72" t="s">
        <v>93</v>
      </c>
      <c r="H72" t="s">
        <v>223</v>
      </c>
      <c r="I72" t="s">
        <v>31</v>
      </c>
      <c r="J72" t="s">
        <v>224</v>
      </c>
      <c r="K72" s="4">
        <v>45338</v>
      </c>
      <c r="L72" t="s">
        <v>178</v>
      </c>
      <c r="M72" t="s">
        <v>41</v>
      </c>
      <c r="N72">
        <f t="shared" si="3"/>
        <v>991.62000000000012</v>
      </c>
      <c r="O72">
        <f t="shared" si="4"/>
        <v>406.56420000000003</v>
      </c>
      <c r="P72">
        <f t="shared" si="5"/>
        <v>585.05580000000009</v>
      </c>
    </row>
    <row r="73" spans="1:16" x14ac:dyDescent="0.3">
      <c r="A73">
        <v>3663</v>
      </c>
      <c r="B73" s="4">
        <v>45648</v>
      </c>
      <c r="C73">
        <v>10</v>
      </c>
      <c r="D73">
        <v>107.87</v>
      </c>
      <c r="E73" s="6">
        <v>0.26</v>
      </c>
      <c r="F73" t="s">
        <v>42</v>
      </c>
      <c r="G73" t="s">
        <v>107</v>
      </c>
      <c r="H73" t="s">
        <v>225</v>
      </c>
      <c r="I73" t="s">
        <v>38</v>
      </c>
      <c r="J73" t="s">
        <v>226</v>
      </c>
      <c r="K73" s="4">
        <v>45657</v>
      </c>
      <c r="L73" t="s">
        <v>205</v>
      </c>
      <c r="M73" t="s">
        <v>47</v>
      </c>
      <c r="N73">
        <f t="shared" si="3"/>
        <v>1078.7</v>
      </c>
      <c r="O73">
        <f t="shared" si="4"/>
        <v>280.46200000000005</v>
      </c>
      <c r="P73">
        <f t="shared" si="5"/>
        <v>798.23800000000006</v>
      </c>
    </row>
    <row r="74" spans="1:16" x14ac:dyDescent="0.3">
      <c r="A74">
        <v>3798</v>
      </c>
      <c r="B74" s="4">
        <v>45598</v>
      </c>
      <c r="C74">
        <v>5</v>
      </c>
      <c r="D74">
        <v>235.23</v>
      </c>
      <c r="E74" s="6">
        <v>0.33</v>
      </c>
      <c r="F74" t="s">
        <v>35</v>
      </c>
      <c r="G74" t="s">
        <v>139</v>
      </c>
      <c r="H74" t="s">
        <v>227</v>
      </c>
      <c r="I74" t="s">
        <v>31</v>
      </c>
      <c r="J74" t="s">
        <v>228</v>
      </c>
      <c r="K74" s="4">
        <v>45599</v>
      </c>
      <c r="L74" t="s">
        <v>178</v>
      </c>
      <c r="M74" t="s">
        <v>41</v>
      </c>
      <c r="N74">
        <f t="shared" si="3"/>
        <v>1176.1499999999999</v>
      </c>
      <c r="O74">
        <f t="shared" si="4"/>
        <v>388.12949999999995</v>
      </c>
      <c r="P74">
        <f t="shared" si="5"/>
        <v>788.02049999999986</v>
      </c>
    </row>
    <row r="75" spans="1:16" x14ac:dyDescent="0.3">
      <c r="A75">
        <v>1637</v>
      </c>
      <c r="B75" s="4">
        <v>45530</v>
      </c>
      <c r="C75">
        <v>15</v>
      </c>
      <c r="D75">
        <v>185.52</v>
      </c>
      <c r="E75" s="6">
        <v>0.46</v>
      </c>
      <c r="F75" t="s">
        <v>42</v>
      </c>
      <c r="G75" t="s">
        <v>43</v>
      </c>
      <c r="H75" t="s">
        <v>229</v>
      </c>
      <c r="I75" t="s">
        <v>31</v>
      </c>
      <c r="J75" t="s">
        <v>230</v>
      </c>
      <c r="K75" s="4">
        <v>45549</v>
      </c>
      <c r="L75" t="s">
        <v>198</v>
      </c>
      <c r="M75" t="s">
        <v>83</v>
      </c>
      <c r="N75">
        <f t="shared" si="3"/>
        <v>2782.8</v>
      </c>
      <c r="O75">
        <f t="shared" si="4"/>
        <v>1280.0880000000002</v>
      </c>
      <c r="P75">
        <f t="shared" si="5"/>
        <v>1502.712</v>
      </c>
    </row>
    <row r="76" spans="1:16" x14ac:dyDescent="0.3">
      <c r="A76">
        <v>8950</v>
      </c>
      <c r="B76" s="4">
        <v>45490</v>
      </c>
      <c r="C76">
        <v>14</v>
      </c>
      <c r="D76">
        <v>177.61</v>
      </c>
      <c r="E76" s="6">
        <v>0.44</v>
      </c>
      <c r="F76" t="s">
        <v>48</v>
      </c>
      <c r="G76" t="s">
        <v>54</v>
      </c>
      <c r="H76" t="s">
        <v>231</v>
      </c>
      <c r="I76" t="s">
        <v>38</v>
      </c>
      <c r="J76" t="s">
        <v>232</v>
      </c>
      <c r="K76" s="4">
        <v>45508</v>
      </c>
      <c r="L76" t="s">
        <v>40</v>
      </c>
      <c r="M76" t="s">
        <v>41</v>
      </c>
      <c r="N76">
        <f t="shared" si="3"/>
        <v>2486.54</v>
      </c>
      <c r="O76">
        <f t="shared" si="4"/>
        <v>1094.0776000000001</v>
      </c>
      <c r="P76">
        <f t="shared" si="5"/>
        <v>1392.4623999999999</v>
      </c>
    </row>
    <row r="77" spans="1:16" x14ac:dyDescent="0.3">
      <c r="A77">
        <v>8515</v>
      </c>
      <c r="B77" s="4">
        <v>45397</v>
      </c>
      <c r="C77">
        <v>1</v>
      </c>
      <c r="D77">
        <v>344.72</v>
      </c>
      <c r="E77" s="6">
        <v>0.28999999999999998</v>
      </c>
      <c r="F77" t="s">
        <v>42</v>
      </c>
      <c r="G77" t="s">
        <v>107</v>
      </c>
      <c r="H77" t="s">
        <v>233</v>
      </c>
      <c r="I77" t="s">
        <v>38</v>
      </c>
      <c r="J77" t="s">
        <v>234</v>
      </c>
      <c r="K77" s="4">
        <v>45425</v>
      </c>
      <c r="L77" t="s">
        <v>120</v>
      </c>
      <c r="M77" t="s">
        <v>97</v>
      </c>
      <c r="N77">
        <f t="shared" si="3"/>
        <v>344.72</v>
      </c>
      <c r="O77">
        <f t="shared" si="4"/>
        <v>99.968800000000002</v>
      </c>
      <c r="P77">
        <f t="shared" si="5"/>
        <v>244.75120000000004</v>
      </c>
    </row>
    <row r="78" spans="1:16" x14ac:dyDescent="0.3">
      <c r="A78">
        <v>1937</v>
      </c>
      <c r="B78" s="4">
        <v>45377</v>
      </c>
      <c r="C78">
        <v>7</v>
      </c>
      <c r="D78">
        <v>266.41000000000003</v>
      </c>
      <c r="E78" s="6">
        <v>0.32</v>
      </c>
      <c r="F78" t="s">
        <v>35</v>
      </c>
      <c r="G78" t="s">
        <v>139</v>
      </c>
      <c r="H78" t="s">
        <v>235</v>
      </c>
      <c r="I78" t="s">
        <v>38</v>
      </c>
      <c r="J78" t="s">
        <v>236</v>
      </c>
      <c r="K78" s="4">
        <v>45382</v>
      </c>
      <c r="L78" t="s">
        <v>237</v>
      </c>
      <c r="M78" t="s">
        <v>53</v>
      </c>
      <c r="N78">
        <f t="shared" si="3"/>
        <v>1864.8700000000001</v>
      </c>
      <c r="O78">
        <f t="shared" si="4"/>
        <v>596.75840000000005</v>
      </c>
      <c r="P78">
        <f t="shared" si="5"/>
        <v>1268.1116000000002</v>
      </c>
    </row>
    <row r="79" spans="1:16" x14ac:dyDescent="0.3">
      <c r="A79">
        <v>6138</v>
      </c>
      <c r="B79" s="4">
        <v>45496</v>
      </c>
      <c r="C79">
        <v>15</v>
      </c>
      <c r="D79">
        <v>397.05</v>
      </c>
      <c r="E79" s="6">
        <v>0.5</v>
      </c>
      <c r="F79" t="s">
        <v>35</v>
      </c>
      <c r="G79" t="s">
        <v>193</v>
      </c>
      <c r="H79" t="s">
        <v>238</v>
      </c>
      <c r="I79" t="s">
        <v>31</v>
      </c>
      <c r="J79" t="s">
        <v>239</v>
      </c>
      <c r="K79" s="4">
        <v>45516</v>
      </c>
      <c r="L79" t="s">
        <v>96</v>
      </c>
      <c r="M79" t="s">
        <v>97</v>
      </c>
      <c r="N79">
        <f t="shared" si="3"/>
        <v>5955.75</v>
      </c>
      <c r="O79">
        <f t="shared" si="4"/>
        <v>2977.875</v>
      </c>
      <c r="P79">
        <f t="shared" si="5"/>
        <v>2977.875</v>
      </c>
    </row>
    <row r="80" spans="1:16" x14ac:dyDescent="0.3">
      <c r="A80">
        <v>2428</v>
      </c>
      <c r="B80" s="4">
        <v>45559</v>
      </c>
      <c r="C80">
        <v>11</v>
      </c>
      <c r="D80">
        <v>370.4</v>
      </c>
      <c r="E80" s="6">
        <v>0.3</v>
      </c>
      <c r="F80" t="s">
        <v>42</v>
      </c>
      <c r="G80" t="s">
        <v>43</v>
      </c>
      <c r="H80" t="s">
        <v>240</v>
      </c>
      <c r="I80" t="s">
        <v>31</v>
      </c>
      <c r="J80" t="s">
        <v>241</v>
      </c>
      <c r="K80" s="4">
        <v>45583</v>
      </c>
      <c r="L80" t="s">
        <v>96</v>
      </c>
      <c r="M80" t="s">
        <v>97</v>
      </c>
      <c r="N80">
        <f t="shared" si="3"/>
        <v>4074.3999999999996</v>
      </c>
      <c r="O80">
        <f t="shared" si="4"/>
        <v>1222.32</v>
      </c>
      <c r="P80">
        <f t="shared" si="5"/>
        <v>2852.08</v>
      </c>
    </row>
    <row r="81" spans="1:16" x14ac:dyDescent="0.3">
      <c r="A81">
        <v>8581</v>
      </c>
      <c r="B81" s="4">
        <v>45543</v>
      </c>
      <c r="C81">
        <v>15</v>
      </c>
      <c r="D81">
        <v>80.27</v>
      </c>
      <c r="E81" s="6">
        <v>0.3</v>
      </c>
      <c r="F81" t="s">
        <v>28</v>
      </c>
      <c r="G81" t="s">
        <v>65</v>
      </c>
      <c r="H81" t="s">
        <v>242</v>
      </c>
      <c r="I81" t="s">
        <v>31</v>
      </c>
      <c r="J81" t="s">
        <v>243</v>
      </c>
      <c r="K81" s="4">
        <v>45568</v>
      </c>
      <c r="L81" t="s">
        <v>96</v>
      </c>
      <c r="M81" t="s">
        <v>97</v>
      </c>
      <c r="N81">
        <f t="shared" si="3"/>
        <v>1204.05</v>
      </c>
      <c r="O81">
        <f t="shared" si="4"/>
        <v>361.21499999999997</v>
      </c>
      <c r="P81">
        <f t="shared" si="5"/>
        <v>842.83500000000004</v>
      </c>
    </row>
    <row r="82" spans="1:16" x14ac:dyDescent="0.3">
      <c r="A82">
        <v>6721</v>
      </c>
      <c r="B82" s="4">
        <v>45560</v>
      </c>
      <c r="C82">
        <v>5</v>
      </c>
      <c r="D82">
        <v>483.92</v>
      </c>
      <c r="E82" s="6">
        <v>0.26</v>
      </c>
      <c r="F82" t="s">
        <v>35</v>
      </c>
      <c r="G82" t="s">
        <v>36</v>
      </c>
      <c r="H82" t="s">
        <v>244</v>
      </c>
      <c r="I82" t="s">
        <v>31</v>
      </c>
      <c r="J82" t="s">
        <v>245</v>
      </c>
      <c r="K82" s="4">
        <v>45573</v>
      </c>
      <c r="L82" t="s">
        <v>57</v>
      </c>
      <c r="M82" t="s">
        <v>58</v>
      </c>
      <c r="N82">
        <f t="shared" si="3"/>
        <v>2419.6</v>
      </c>
      <c r="O82">
        <f t="shared" si="4"/>
        <v>629.096</v>
      </c>
      <c r="P82">
        <f t="shared" si="5"/>
        <v>1790.5039999999999</v>
      </c>
    </row>
    <row r="83" spans="1:16" x14ac:dyDescent="0.3">
      <c r="A83">
        <v>4387</v>
      </c>
      <c r="B83" s="4">
        <v>45547</v>
      </c>
      <c r="C83">
        <v>18</v>
      </c>
      <c r="D83">
        <v>270</v>
      </c>
      <c r="E83" s="6">
        <v>0.38</v>
      </c>
      <c r="F83" t="s">
        <v>42</v>
      </c>
      <c r="G83" t="s">
        <v>107</v>
      </c>
      <c r="H83" t="s">
        <v>246</v>
      </c>
      <c r="I83" t="s">
        <v>31</v>
      </c>
      <c r="J83" t="s">
        <v>247</v>
      </c>
      <c r="K83" s="4">
        <v>45562</v>
      </c>
      <c r="L83" t="s">
        <v>79</v>
      </c>
      <c r="M83" t="s">
        <v>64</v>
      </c>
      <c r="N83">
        <f t="shared" si="3"/>
        <v>4860</v>
      </c>
      <c r="O83">
        <f t="shared" si="4"/>
        <v>1846.8</v>
      </c>
      <c r="P83">
        <f t="shared" si="5"/>
        <v>3013.2</v>
      </c>
    </row>
    <row r="84" spans="1:16" x14ac:dyDescent="0.3">
      <c r="A84">
        <v>1198</v>
      </c>
      <c r="B84" s="4">
        <v>45608</v>
      </c>
      <c r="C84">
        <v>7</v>
      </c>
      <c r="D84">
        <v>64.819999999999993</v>
      </c>
      <c r="E84" s="6">
        <v>0.42</v>
      </c>
      <c r="F84" t="s">
        <v>59</v>
      </c>
      <c r="G84" t="s">
        <v>60</v>
      </c>
      <c r="H84" t="s">
        <v>248</v>
      </c>
      <c r="I84" t="s">
        <v>31</v>
      </c>
      <c r="J84" t="s">
        <v>249</v>
      </c>
      <c r="K84" s="4">
        <v>45632</v>
      </c>
      <c r="L84" t="s">
        <v>102</v>
      </c>
      <c r="M84" t="s">
        <v>34</v>
      </c>
      <c r="N84">
        <f t="shared" si="3"/>
        <v>453.73999999999995</v>
      </c>
      <c r="O84">
        <f t="shared" si="4"/>
        <v>190.57079999999996</v>
      </c>
      <c r="P84">
        <f t="shared" si="5"/>
        <v>263.16919999999999</v>
      </c>
    </row>
    <row r="85" spans="1:16" x14ac:dyDescent="0.3">
      <c r="A85">
        <v>4974</v>
      </c>
      <c r="B85" s="4">
        <v>45481</v>
      </c>
      <c r="C85">
        <v>13</v>
      </c>
      <c r="D85">
        <v>394.68</v>
      </c>
      <c r="E85" s="6">
        <v>0.41</v>
      </c>
      <c r="F85" t="s">
        <v>48</v>
      </c>
      <c r="G85" t="s">
        <v>72</v>
      </c>
      <c r="H85" t="s">
        <v>250</v>
      </c>
      <c r="I85" t="s">
        <v>31</v>
      </c>
      <c r="J85" t="s">
        <v>251</v>
      </c>
      <c r="K85" s="4">
        <v>45508</v>
      </c>
      <c r="L85" t="s">
        <v>75</v>
      </c>
      <c r="M85" t="s">
        <v>76</v>
      </c>
      <c r="N85">
        <f t="shared" si="3"/>
        <v>5130.84</v>
      </c>
      <c r="O85">
        <f t="shared" si="4"/>
        <v>2103.6444000000001</v>
      </c>
      <c r="P85">
        <f t="shared" si="5"/>
        <v>3027.1956</v>
      </c>
    </row>
    <row r="86" spans="1:16" x14ac:dyDescent="0.3">
      <c r="A86">
        <v>7153</v>
      </c>
      <c r="B86" s="4">
        <v>45428</v>
      </c>
      <c r="C86">
        <v>12</v>
      </c>
      <c r="D86">
        <v>443.74</v>
      </c>
      <c r="E86" s="6">
        <v>0.18</v>
      </c>
      <c r="F86" t="s">
        <v>28</v>
      </c>
      <c r="G86" t="s">
        <v>93</v>
      </c>
      <c r="H86" t="s">
        <v>252</v>
      </c>
      <c r="I86" t="s">
        <v>31</v>
      </c>
      <c r="J86" t="s">
        <v>253</v>
      </c>
      <c r="K86" s="4">
        <v>45440</v>
      </c>
      <c r="L86" t="s">
        <v>198</v>
      </c>
      <c r="M86" t="s">
        <v>83</v>
      </c>
      <c r="N86">
        <f t="shared" si="3"/>
        <v>5324.88</v>
      </c>
      <c r="O86">
        <f t="shared" si="4"/>
        <v>958.47839999999997</v>
      </c>
      <c r="P86">
        <f t="shared" si="5"/>
        <v>4366.4016000000001</v>
      </c>
    </row>
    <row r="87" spans="1:16" x14ac:dyDescent="0.3">
      <c r="A87">
        <v>1522</v>
      </c>
      <c r="B87" s="4">
        <v>45418</v>
      </c>
      <c r="C87">
        <v>20</v>
      </c>
      <c r="D87">
        <v>115.46</v>
      </c>
      <c r="E87" s="6">
        <v>0.48</v>
      </c>
      <c r="F87" t="s">
        <v>35</v>
      </c>
      <c r="G87" t="s">
        <v>139</v>
      </c>
      <c r="H87" t="s">
        <v>254</v>
      </c>
      <c r="I87" t="s">
        <v>38</v>
      </c>
      <c r="J87" t="s">
        <v>255</v>
      </c>
      <c r="K87" s="4">
        <v>45419</v>
      </c>
      <c r="L87" t="s">
        <v>123</v>
      </c>
      <c r="M87" t="s">
        <v>58</v>
      </c>
      <c r="N87">
        <f t="shared" si="3"/>
        <v>2309.1999999999998</v>
      </c>
      <c r="O87">
        <f t="shared" si="4"/>
        <v>1108.4159999999999</v>
      </c>
      <c r="P87">
        <f t="shared" si="5"/>
        <v>1200.7839999999999</v>
      </c>
    </row>
    <row r="88" spans="1:16" x14ac:dyDescent="0.3">
      <c r="A88">
        <v>1140</v>
      </c>
      <c r="B88" s="4">
        <v>45489</v>
      </c>
      <c r="C88">
        <v>6</v>
      </c>
      <c r="D88">
        <v>321.95999999999998</v>
      </c>
      <c r="E88" s="6">
        <v>0.48</v>
      </c>
      <c r="F88" t="s">
        <v>48</v>
      </c>
      <c r="G88" t="s">
        <v>54</v>
      </c>
      <c r="H88" t="s">
        <v>256</v>
      </c>
      <c r="I88" t="s">
        <v>31</v>
      </c>
      <c r="J88" t="s">
        <v>257</v>
      </c>
      <c r="K88" s="4">
        <v>45514</v>
      </c>
      <c r="L88" t="s">
        <v>33</v>
      </c>
      <c r="M88" t="s">
        <v>34</v>
      </c>
      <c r="N88">
        <f t="shared" si="3"/>
        <v>1931.7599999999998</v>
      </c>
      <c r="O88">
        <f t="shared" si="4"/>
        <v>927.24479999999983</v>
      </c>
      <c r="P88">
        <f t="shared" si="5"/>
        <v>1004.5151999999999</v>
      </c>
    </row>
    <row r="89" spans="1:16" x14ac:dyDescent="0.3">
      <c r="A89">
        <v>3685</v>
      </c>
      <c r="B89" s="4">
        <v>45359</v>
      </c>
      <c r="C89">
        <v>15</v>
      </c>
      <c r="D89">
        <v>178.3</v>
      </c>
      <c r="E89" s="6">
        <v>0.45</v>
      </c>
      <c r="F89" t="s">
        <v>28</v>
      </c>
      <c r="G89" t="s">
        <v>93</v>
      </c>
      <c r="H89" t="s">
        <v>258</v>
      </c>
      <c r="I89" t="s">
        <v>31</v>
      </c>
      <c r="J89" t="s">
        <v>259</v>
      </c>
      <c r="K89" s="4">
        <v>45386</v>
      </c>
      <c r="L89" t="s">
        <v>68</v>
      </c>
      <c r="M89" t="s">
        <v>47</v>
      </c>
      <c r="N89">
        <f t="shared" si="3"/>
        <v>2674.5</v>
      </c>
      <c r="O89">
        <f t="shared" si="4"/>
        <v>1203.5250000000001</v>
      </c>
      <c r="P89">
        <f t="shared" si="5"/>
        <v>1470.9749999999999</v>
      </c>
    </row>
    <row r="90" spans="1:16" x14ac:dyDescent="0.3">
      <c r="A90">
        <v>9913</v>
      </c>
      <c r="B90" s="4">
        <v>45587</v>
      </c>
      <c r="C90">
        <v>16</v>
      </c>
      <c r="D90">
        <v>337</v>
      </c>
      <c r="E90" s="6">
        <v>0.23</v>
      </c>
      <c r="F90" t="s">
        <v>59</v>
      </c>
      <c r="G90" t="s">
        <v>103</v>
      </c>
      <c r="H90" t="s">
        <v>260</v>
      </c>
      <c r="I90" t="s">
        <v>31</v>
      </c>
      <c r="J90" t="s">
        <v>261</v>
      </c>
      <c r="K90" s="4">
        <v>45615</v>
      </c>
      <c r="L90" t="s">
        <v>262</v>
      </c>
      <c r="M90" t="s">
        <v>53</v>
      </c>
      <c r="N90">
        <f t="shared" si="3"/>
        <v>5392</v>
      </c>
      <c r="O90">
        <f t="shared" si="4"/>
        <v>1240.1600000000001</v>
      </c>
      <c r="P90">
        <f t="shared" si="5"/>
        <v>4151.84</v>
      </c>
    </row>
    <row r="91" spans="1:16" x14ac:dyDescent="0.3">
      <c r="A91">
        <v>4334</v>
      </c>
      <c r="B91" s="4">
        <v>45314</v>
      </c>
      <c r="C91">
        <v>11</v>
      </c>
      <c r="D91">
        <v>276.38</v>
      </c>
      <c r="E91" s="6">
        <v>0.21</v>
      </c>
      <c r="F91" t="s">
        <v>28</v>
      </c>
      <c r="G91" t="s">
        <v>29</v>
      </c>
      <c r="H91" t="s">
        <v>263</v>
      </c>
      <c r="I91" t="s">
        <v>38</v>
      </c>
      <c r="J91" t="s">
        <v>264</v>
      </c>
      <c r="K91" s="4">
        <v>45323</v>
      </c>
      <c r="L91" t="s">
        <v>110</v>
      </c>
      <c r="M91" t="s">
        <v>111</v>
      </c>
      <c r="N91">
        <f t="shared" si="3"/>
        <v>3040.18</v>
      </c>
      <c r="O91">
        <f t="shared" si="4"/>
        <v>638.43779999999992</v>
      </c>
      <c r="P91">
        <f t="shared" si="5"/>
        <v>2401.7421999999997</v>
      </c>
    </row>
    <row r="92" spans="1:16" x14ac:dyDescent="0.3">
      <c r="A92">
        <v>7178</v>
      </c>
      <c r="B92" s="4">
        <v>45562</v>
      </c>
      <c r="C92">
        <v>18</v>
      </c>
      <c r="D92">
        <v>130.93</v>
      </c>
      <c r="E92" s="6">
        <v>0.13</v>
      </c>
      <c r="F92" t="s">
        <v>59</v>
      </c>
      <c r="G92" t="s">
        <v>103</v>
      </c>
      <c r="H92" t="s">
        <v>265</v>
      </c>
      <c r="I92" t="s">
        <v>38</v>
      </c>
      <c r="J92" t="s">
        <v>266</v>
      </c>
      <c r="K92" s="4">
        <v>45564</v>
      </c>
      <c r="L92" t="s">
        <v>267</v>
      </c>
      <c r="M92" t="s">
        <v>97</v>
      </c>
      <c r="N92">
        <f t="shared" si="3"/>
        <v>2356.7400000000002</v>
      </c>
      <c r="O92">
        <f t="shared" si="4"/>
        <v>306.37620000000004</v>
      </c>
      <c r="P92">
        <f t="shared" si="5"/>
        <v>2050.3638000000001</v>
      </c>
    </row>
    <row r="93" spans="1:16" x14ac:dyDescent="0.3">
      <c r="A93">
        <v>2886</v>
      </c>
      <c r="B93" s="4">
        <v>45563</v>
      </c>
      <c r="C93">
        <v>8</v>
      </c>
      <c r="D93">
        <v>107.22</v>
      </c>
      <c r="E93" s="6">
        <v>0.3</v>
      </c>
      <c r="F93" t="s">
        <v>48</v>
      </c>
      <c r="G93" t="s">
        <v>72</v>
      </c>
      <c r="H93" t="s">
        <v>268</v>
      </c>
      <c r="I93" t="s">
        <v>38</v>
      </c>
      <c r="J93" t="s">
        <v>269</v>
      </c>
      <c r="K93" s="4">
        <v>45585</v>
      </c>
      <c r="L93" t="s">
        <v>270</v>
      </c>
      <c r="M93" t="s">
        <v>83</v>
      </c>
      <c r="N93">
        <f t="shared" si="3"/>
        <v>857.76</v>
      </c>
      <c r="O93">
        <f t="shared" si="4"/>
        <v>257.32799999999997</v>
      </c>
      <c r="P93">
        <f t="shared" si="5"/>
        <v>600.43200000000002</v>
      </c>
    </row>
    <row r="94" spans="1:16" x14ac:dyDescent="0.3">
      <c r="A94">
        <v>3845</v>
      </c>
      <c r="B94" s="4">
        <v>45378</v>
      </c>
      <c r="C94">
        <v>5</v>
      </c>
      <c r="D94">
        <v>126.65</v>
      </c>
      <c r="E94" s="6">
        <v>0.35</v>
      </c>
      <c r="F94" t="s">
        <v>42</v>
      </c>
      <c r="G94" t="s">
        <v>107</v>
      </c>
      <c r="H94" t="s">
        <v>271</v>
      </c>
      <c r="I94" t="s">
        <v>38</v>
      </c>
      <c r="J94" t="s">
        <v>272</v>
      </c>
      <c r="K94" s="4">
        <v>45401</v>
      </c>
      <c r="L94" t="s">
        <v>153</v>
      </c>
      <c r="M94" t="s">
        <v>64</v>
      </c>
      <c r="N94">
        <f t="shared" si="3"/>
        <v>633.25</v>
      </c>
      <c r="O94">
        <f t="shared" si="4"/>
        <v>221.63749999999999</v>
      </c>
      <c r="P94">
        <f t="shared" si="5"/>
        <v>411.61250000000001</v>
      </c>
    </row>
    <row r="95" spans="1:16" x14ac:dyDescent="0.3">
      <c r="A95">
        <v>8732</v>
      </c>
      <c r="B95" s="4">
        <v>45594</v>
      </c>
      <c r="C95">
        <v>18</v>
      </c>
      <c r="D95">
        <v>254.3</v>
      </c>
      <c r="E95" s="6">
        <v>0.23</v>
      </c>
      <c r="F95" t="s">
        <v>48</v>
      </c>
      <c r="G95" t="s">
        <v>49</v>
      </c>
      <c r="H95" t="s">
        <v>273</v>
      </c>
      <c r="I95" t="s">
        <v>31</v>
      </c>
      <c r="J95" t="s">
        <v>274</v>
      </c>
      <c r="K95" s="4">
        <v>45609</v>
      </c>
      <c r="L95" t="s">
        <v>237</v>
      </c>
      <c r="M95" t="s">
        <v>53</v>
      </c>
      <c r="N95">
        <f t="shared" si="3"/>
        <v>4577.4000000000005</v>
      </c>
      <c r="O95">
        <f t="shared" si="4"/>
        <v>1052.8020000000001</v>
      </c>
      <c r="P95">
        <f t="shared" si="5"/>
        <v>3524.5980000000004</v>
      </c>
    </row>
    <row r="96" spans="1:16" x14ac:dyDescent="0.3">
      <c r="A96">
        <v>7852</v>
      </c>
      <c r="B96" s="4">
        <v>45484</v>
      </c>
      <c r="C96">
        <v>7</v>
      </c>
      <c r="D96">
        <v>63.85</v>
      </c>
      <c r="E96" s="6">
        <v>0.32</v>
      </c>
      <c r="F96" t="s">
        <v>48</v>
      </c>
      <c r="G96" t="s">
        <v>49</v>
      </c>
      <c r="H96" t="s">
        <v>275</v>
      </c>
      <c r="I96" t="s">
        <v>38</v>
      </c>
      <c r="J96" t="s">
        <v>276</v>
      </c>
      <c r="K96" s="4">
        <v>45498</v>
      </c>
      <c r="L96" t="s">
        <v>198</v>
      </c>
      <c r="M96" t="s">
        <v>83</v>
      </c>
      <c r="N96">
        <f t="shared" si="3"/>
        <v>446.95</v>
      </c>
      <c r="O96">
        <f t="shared" si="4"/>
        <v>143.024</v>
      </c>
      <c r="P96">
        <f t="shared" si="5"/>
        <v>303.92599999999999</v>
      </c>
    </row>
    <row r="97" spans="1:16" x14ac:dyDescent="0.3">
      <c r="A97">
        <v>7942</v>
      </c>
      <c r="B97" s="4">
        <v>45464</v>
      </c>
      <c r="C97">
        <v>6</v>
      </c>
      <c r="D97">
        <v>479</v>
      </c>
      <c r="E97" s="6">
        <v>0.5</v>
      </c>
      <c r="F97" t="s">
        <v>28</v>
      </c>
      <c r="G97" t="s">
        <v>93</v>
      </c>
      <c r="H97" t="s">
        <v>277</v>
      </c>
      <c r="I97" t="s">
        <v>31</v>
      </c>
      <c r="J97" t="s">
        <v>278</v>
      </c>
      <c r="K97" s="4">
        <v>45494</v>
      </c>
      <c r="L97" t="s">
        <v>96</v>
      </c>
      <c r="M97" t="s">
        <v>97</v>
      </c>
      <c r="N97">
        <f t="shared" si="3"/>
        <v>2874</v>
      </c>
      <c r="O97">
        <f t="shared" si="4"/>
        <v>1437</v>
      </c>
      <c r="P97">
        <f t="shared" si="5"/>
        <v>1437</v>
      </c>
    </row>
    <row r="98" spans="1:16" x14ac:dyDescent="0.3">
      <c r="A98">
        <v>8137</v>
      </c>
      <c r="B98" s="4">
        <v>45625</v>
      </c>
      <c r="C98">
        <v>5</v>
      </c>
      <c r="D98">
        <v>48.37</v>
      </c>
      <c r="E98" s="6">
        <v>0.39</v>
      </c>
      <c r="F98" t="s">
        <v>35</v>
      </c>
      <c r="G98" t="s">
        <v>139</v>
      </c>
      <c r="H98" t="s">
        <v>279</v>
      </c>
      <c r="I98" t="s">
        <v>31</v>
      </c>
      <c r="J98" t="s">
        <v>280</v>
      </c>
      <c r="K98" s="4">
        <v>45655</v>
      </c>
      <c r="L98" t="s">
        <v>52</v>
      </c>
      <c r="M98" t="s">
        <v>53</v>
      </c>
      <c r="N98">
        <f t="shared" si="3"/>
        <v>241.85</v>
      </c>
      <c r="O98">
        <f t="shared" si="4"/>
        <v>94.3215</v>
      </c>
      <c r="P98">
        <f t="shared" si="5"/>
        <v>147.52850000000001</v>
      </c>
    </row>
    <row r="99" spans="1:16" x14ac:dyDescent="0.3">
      <c r="A99">
        <v>1749</v>
      </c>
      <c r="B99" s="4">
        <v>45435</v>
      </c>
      <c r="C99">
        <v>15</v>
      </c>
      <c r="D99">
        <v>357.47</v>
      </c>
      <c r="E99" s="6">
        <v>0.46</v>
      </c>
      <c r="F99" t="s">
        <v>42</v>
      </c>
      <c r="G99" t="s">
        <v>112</v>
      </c>
      <c r="H99" t="s">
        <v>281</v>
      </c>
      <c r="I99" t="s">
        <v>31</v>
      </c>
      <c r="J99" t="s">
        <v>282</v>
      </c>
      <c r="K99" s="4">
        <v>45456</v>
      </c>
      <c r="L99" t="s">
        <v>96</v>
      </c>
      <c r="M99" t="s">
        <v>97</v>
      </c>
      <c r="N99">
        <f t="shared" si="3"/>
        <v>5362.05</v>
      </c>
      <c r="O99">
        <f t="shared" si="4"/>
        <v>2466.5430000000001</v>
      </c>
      <c r="P99">
        <f t="shared" si="5"/>
        <v>2895.5070000000001</v>
      </c>
    </row>
    <row r="100" spans="1:16" x14ac:dyDescent="0.3">
      <c r="A100">
        <v>5788</v>
      </c>
      <c r="B100" s="4">
        <v>45595</v>
      </c>
      <c r="C100">
        <v>8</v>
      </c>
      <c r="D100">
        <v>262.79000000000002</v>
      </c>
      <c r="E100" s="6">
        <v>0.12</v>
      </c>
      <c r="F100" t="s">
        <v>48</v>
      </c>
      <c r="G100" t="s">
        <v>54</v>
      </c>
      <c r="H100" t="s">
        <v>283</v>
      </c>
      <c r="I100" t="s">
        <v>31</v>
      </c>
      <c r="J100" t="s">
        <v>284</v>
      </c>
      <c r="K100" s="4">
        <v>45603</v>
      </c>
      <c r="L100" t="s">
        <v>90</v>
      </c>
      <c r="M100" t="s">
        <v>76</v>
      </c>
      <c r="N100">
        <f t="shared" si="3"/>
        <v>2102.3200000000002</v>
      </c>
      <c r="O100">
        <f t="shared" si="4"/>
        <v>252.2784</v>
      </c>
      <c r="P100">
        <f t="shared" si="5"/>
        <v>1850.0416000000002</v>
      </c>
    </row>
    <row r="101" spans="1:16" x14ac:dyDescent="0.3">
      <c r="A101">
        <v>7221</v>
      </c>
      <c r="B101" s="4">
        <v>45436</v>
      </c>
      <c r="C101">
        <v>16</v>
      </c>
      <c r="D101">
        <v>329.31</v>
      </c>
      <c r="E101" s="6">
        <v>0.47</v>
      </c>
      <c r="F101" t="s">
        <v>28</v>
      </c>
      <c r="G101" t="s">
        <v>29</v>
      </c>
      <c r="H101" t="s">
        <v>285</v>
      </c>
      <c r="I101" t="s">
        <v>31</v>
      </c>
      <c r="J101" t="s">
        <v>286</v>
      </c>
      <c r="K101" s="4">
        <v>45449</v>
      </c>
      <c r="L101" t="s">
        <v>68</v>
      </c>
      <c r="M101" t="s">
        <v>47</v>
      </c>
      <c r="N101">
        <f t="shared" si="3"/>
        <v>5268.96</v>
      </c>
      <c r="O101">
        <f t="shared" si="4"/>
        <v>2476.4112</v>
      </c>
      <c r="P101">
        <f t="shared" si="5"/>
        <v>2792.5488</v>
      </c>
    </row>
    <row r="102" spans="1:16" x14ac:dyDescent="0.3">
      <c r="A102">
        <v>9627</v>
      </c>
      <c r="B102" s="4">
        <v>45416</v>
      </c>
      <c r="C102">
        <v>10</v>
      </c>
      <c r="D102">
        <v>176.45</v>
      </c>
      <c r="E102" s="6">
        <v>0.33</v>
      </c>
      <c r="F102" t="s">
        <v>48</v>
      </c>
      <c r="G102" t="s">
        <v>49</v>
      </c>
      <c r="H102" t="s">
        <v>287</v>
      </c>
      <c r="I102" t="s">
        <v>31</v>
      </c>
      <c r="J102" t="s">
        <v>288</v>
      </c>
      <c r="K102" s="4">
        <v>45439</v>
      </c>
      <c r="L102" t="s">
        <v>120</v>
      </c>
      <c r="M102" t="s">
        <v>97</v>
      </c>
      <c r="N102">
        <f t="shared" si="3"/>
        <v>1764.5</v>
      </c>
      <c r="O102">
        <f t="shared" si="4"/>
        <v>582.28500000000008</v>
      </c>
      <c r="P102">
        <f t="shared" si="5"/>
        <v>1182.2149999999999</v>
      </c>
    </row>
    <row r="103" spans="1:16" x14ac:dyDescent="0.3">
      <c r="A103">
        <v>5770</v>
      </c>
      <c r="B103" s="4">
        <v>45428</v>
      </c>
      <c r="C103">
        <v>17</v>
      </c>
      <c r="D103">
        <v>159.15</v>
      </c>
      <c r="E103" s="6">
        <v>0.25</v>
      </c>
      <c r="F103" t="s">
        <v>28</v>
      </c>
      <c r="G103" t="s">
        <v>65</v>
      </c>
      <c r="H103" t="s">
        <v>289</v>
      </c>
      <c r="I103" t="s">
        <v>31</v>
      </c>
      <c r="J103" t="s">
        <v>290</v>
      </c>
      <c r="K103" s="4">
        <v>45448</v>
      </c>
      <c r="L103" t="s">
        <v>79</v>
      </c>
      <c r="M103" t="s">
        <v>64</v>
      </c>
      <c r="N103">
        <f t="shared" si="3"/>
        <v>2705.55</v>
      </c>
      <c r="O103">
        <f t="shared" si="4"/>
        <v>676.38750000000005</v>
      </c>
      <c r="P103">
        <f t="shared" si="5"/>
        <v>2029.1625000000001</v>
      </c>
    </row>
    <row r="104" spans="1:16" x14ac:dyDescent="0.3">
      <c r="A104">
        <v>6009</v>
      </c>
      <c r="B104" s="4">
        <v>45560</v>
      </c>
      <c r="C104">
        <v>8</v>
      </c>
      <c r="D104">
        <v>123.22</v>
      </c>
      <c r="E104" s="6">
        <v>0.39</v>
      </c>
      <c r="F104" t="s">
        <v>35</v>
      </c>
      <c r="G104" t="s">
        <v>193</v>
      </c>
      <c r="H104" t="s">
        <v>291</v>
      </c>
      <c r="I104" t="s">
        <v>38</v>
      </c>
      <c r="J104" t="s">
        <v>292</v>
      </c>
      <c r="K104" s="4">
        <v>45571</v>
      </c>
      <c r="L104" t="s">
        <v>75</v>
      </c>
      <c r="M104" t="s">
        <v>76</v>
      </c>
      <c r="N104">
        <f t="shared" si="3"/>
        <v>985.76</v>
      </c>
      <c r="O104">
        <f t="shared" si="4"/>
        <v>384.44639999999998</v>
      </c>
      <c r="P104">
        <f t="shared" si="5"/>
        <v>601.31359999999995</v>
      </c>
    </row>
    <row r="105" spans="1:16" x14ac:dyDescent="0.3">
      <c r="A105">
        <v>4535</v>
      </c>
      <c r="B105" s="4">
        <v>45440</v>
      </c>
      <c r="C105">
        <v>12</v>
      </c>
      <c r="D105">
        <v>157.54</v>
      </c>
      <c r="E105" s="6">
        <v>0.12</v>
      </c>
      <c r="F105" t="s">
        <v>28</v>
      </c>
      <c r="G105" t="s">
        <v>65</v>
      </c>
      <c r="H105" t="s">
        <v>293</v>
      </c>
      <c r="I105" t="s">
        <v>31</v>
      </c>
      <c r="J105" t="s">
        <v>294</v>
      </c>
      <c r="K105" s="4">
        <v>45459</v>
      </c>
      <c r="L105" t="s">
        <v>123</v>
      </c>
      <c r="M105" t="s">
        <v>58</v>
      </c>
      <c r="N105">
        <f t="shared" si="3"/>
        <v>1890.48</v>
      </c>
      <c r="O105">
        <f t="shared" si="4"/>
        <v>226.85759999999999</v>
      </c>
      <c r="P105">
        <f t="shared" si="5"/>
        <v>1663.6224</v>
      </c>
    </row>
    <row r="106" spans="1:16" x14ac:dyDescent="0.3">
      <c r="A106">
        <v>9744</v>
      </c>
      <c r="B106" s="4">
        <v>45503</v>
      </c>
      <c r="C106">
        <v>17</v>
      </c>
      <c r="D106">
        <v>132.16999999999999</v>
      </c>
      <c r="E106" s="6">
        <v>0.2</v>
      </c>
      <c r="F106" t="s">
        <v>48</v>
      </c>
      <c r="G106" t="s">
        <v>49</v>
      </c>
      <c r="H106" t="s">
        <v>295</v>
      </c>
      <c r="I106" t="s">
        <v>31</v>
      </c>
      <c r="J106" t="s">
        <v>296</v>
      </c>
      <c r="K106" s="4">
        <v>45522</v>
      </c>
      <c r="L106" t="s">
        <v>205</v>
      </c>
      <c r="M106" t="s">
        <v>47</v>
      </c>
      <c r="N106">
        <f t="shared" si="3"/>
        <v>2246.89</v>
      </c>
      <c r="O106">
        <f t="shared" si="4"/>
        <v>449.37799999999999</v>
      </c>
      <c r="P106">
        <f t="shared" si="5"/>
        <v>1797.5119999999999</v>
      </c>
    </row>
    <row r="107" spans="1:16" x14ac:dyDescent="0.3">
      <c r="A107">
        <v>2083</v>
      </c>
      <c r="B107" s="4">
        <v>45325</v>
      </c>
      <c r="C107">
        <v>18</v>
      </c>
      <c r="D107">
        <v>469.57</v>
      </c>
      <c r="E107" s="6">
        <v>0.23</v>
      </c>
      <c r="F107" t="s">
        <v>48</v>
      </c>
      <c r="G107" t="s">
        <v>72</v>
      </c>
      <c r="H107" t="s">
        <v>297</v>
      </c>
      <c r="I107" t="s">
        <v>38</v>
      </c>
      <c r="J107" t="s">
        <v>298</v>
      </c>
      <c r="K107" s="4">
        <v>45349</v>
      </c>
      <c r="L107" t="s">
        <v>102</v>
      </c>
      <c r="M107" t="s">
        <v>34</v>
      </c>
      <c r="N107">
        <f t="shared" si="3"/>
        <v>8452.26</v>
      </c>
      <c r="O107">
        <f t="shared" si="4"/>
        <v>1944.0198</v>
      </c>
      <c r="P107">
        <f t="shared" si="5"/>
        <v>6508.2402000000002</v>
      </c>
    </row>
    <row r="108" spans="1:16" x14ac:dyDescent="0.3">
      <c r="A108">
        <v>1803</v>
      </c>
      <c r="B108" s="4">
        <v>45427</v>
      </c>
      <c r="C108">
        <v>2</v>
      </c>
      <c r="D108">
        <v>214.54</v>
      </c>
      <c r="E108" s="6">
        <v>0.16</v>
      </c>
      <c r="F108" t="s">
        <v>59</v>
      </c>
      <c r="G108" t="s">
        <v>60</v>
      </c>
      <c r="H108" t="s">
        <v>299</v>
      </c>
      <c r="I108" t="s">
        <v>38</v>
      </c>
      <c r="J108" t="s">
        <v>300</v>
      </c>
      <c r="K108" s="4">
        <v>45437</v>
      </c>
      <c r="L108" t="s">
        <v>123</v>
      </c>
      <c r="M108" t="s">
        <v>58</v>
      </c>
      <c r="N108">
        <f t="shared" si="3"/>
        <v>429.08</v>
      </c>
      <c r="O108">
        <f t="shared" si="4"/>
        <v>68.652799999999999</v>
      </c>
      <c r="P108">
        <f t="shared" si="5"/>
        <v>360.42719999999997</v>
      </c>
    </row>
    <row r="109" spans="1:16" x14ac:dyDescent="0.3">
      <c r="A109">
        <v>6184</v>
      </c>
      <c r="B109" s="4">
        <v>45394</v>
      </c>
      <c r="C109">
        <v>12</v>
      </c>
      <c r="D109">
        <v>93.08</v>
      </c>
      <c r="E109" s="6">
        <v>0.26</v>
      </c>
      <c r="F109" t="s">
        <v>48</v>
      </c>
      <c r="G109" t="s">
        <v>54</v>
      </c>
      <c r="H109" t="s">
        <v>301</v>
      </c>
      <c r="I109" t="s">
        <v>31</v>
      </c>
      <c r="J109" t="s">
        <v>302</v>
      </c>
      <c r="K109" s="4">
        <v>45410</v>
      </c>
      <c r="L109" t="s">
        <v>33</v>
      </c>
      <c r="M109" t="s">
        <v>34</v>
      </c>
      <c r="N109">
        <f t="shared" si="3"/>
        <v>1116.96</v>
      </c>
      <c r="O109">
        <f t="shared" si="4"/>
        <v>290.40960000000001</v>
      </c>
      <c r="P109">
        <f t="shared" si="5"/>
        <v>826.55040000000008</v>
      </c>
    </row>
    <row r="110" spans="1:16" x14ac:dyDescent="0.3">
      <c r="A110">
        <v>2720</v>
      </c>
      <c r="B110" s="4">
        <v>45325</v>
      </c>
      <c r="C110">
        <v>6</v>
      </c>
      <c r="D110">
        <v>424.04</v>
      </c>
      <c r="E110" s="6">
        <v>0.46</v>
      </c>
      <c r="F110" t="s">
        <v>42</v>
      </c>
      <c r="G110" t="s">
        <v>43</v>
      </c>
      <c r="H110" t="s">
        <v>303</v>
      </c>
      <c r="I110" t="s">
        <v>38</v>
      </c>
      <c r="J110" t="s">
        <v>304</v>
      </c>
      <c r="K110" s="4">
        <v>45329</v>
      </c>
      <c r="L110" t="s">
        <v>132</v>
      </c>
      <c r="M110" t="s">
        <v>111</v>
      </c>
      <c r="N110">
        <f t="shared" si="3"/>
        <v>2544.2400000000002</v>
      </c>
      <c r="O110">
        <f t="shared" si="4"/>
        <v>1170.3504000000003</v>
      </c>
      <c r="P110">
        <f t="shared" si="5"/>
        <v>1373.8896</v>
      </c>
    </row>
    <row r="111" spans="1:16" x14ac:dyDescent="0.3">
      <c r="A111">
        <v>4671</v>
      </c>
      <c r="B111" s="4">
        <v>45304</v>
      </c>
      <c r="C111">
        <v>11</v>
      </c>
      <c r="D111">
        <v>234.29</v>
      </c>
      <c r="E111" s="6">
        <v>0.36</v>
      </c>
      <c r="F111" t="s">
        <v>28</v>
      </c>
      <c r="G111" t="s">
        <v>93</v>
      </c>
      <c r="H111" t="s">
        <v>305</v>
      </c>
      <c r="I111" t="s">
        <v>38</v>
      </c>
      <c r="J111" t="s">
        <v>306</v>
      </c>
      <c r="K111" s="4">
        <v>45318</v>
      </c>
      <c r="L111" t="s">
        <v>307</v>
      </c>
      <c r="M111" t="s">
        <v>111</v>
      </c>
      <c r="N111">
        <f t="shared" si="3"/>
        <v>2577.19</v>
      </c>
      <c r="O111">
        <f t="shared" si="4"/>
        <v>927.78840000000002</v>
      </c>
      <c r="P111">
        <f t="shared" si="5"/>
        <v>1649.4016000000001</v>
      </c>
    </row>
    <row r="112" spans="1:16" x14ac:dyDescent="0.3">
      <c r="A112">
        <v>2883</v>
      </c>
      <c r="B112" s="4">
        <v>45463</v>
      </c>
      <c r="C112">
        <v>9</v>
      </c>
      <c r="D112">
        <v>377.39</v>
      </c>
      <c r="E112" s="6">
        <v>0.28000000000000003</v>
      </c>
      <c r="F112" t="s">
        <v>59</v>
      </c>
      <c r="G112" t="s">
        <v>103</v>
      </c>
      <c r="H112" t="s">
        <v>308</v>
      </c>
      <c r="I112" t="s">
        <v>38</v>
      </c>
      <c r="J112" t="s">
        <v>309</v>
      </c>
      <c r="K112" s="4">
        <v>45485</v>
      </c>
      <c r="L112" t="s">
        <v>46</v>
      </c>
      <c r="M112" t="s">
        <v>47</v>
      </c>
      <c r="N112">
        <f t="shared" si="3"/>
        <v>3396.5099999999998</v>
      </c>
      <c r="O112">
        <f t="shared" si="4"/>
        <v>951.02280000000007</v>
      </c>
      <c r="P112">
        <f t="shared" si="5"/>
        <v>2445.4871999999996</v>
      </c>
    </row>
    <row r="113" spans="1:16" x14ac:dyDescent="0.3">
      <c r="A113">
        <v>5694</v>
      </c>
      <c r="B113" s="4">
        <v>45501</v>
      </c>
      <c r="C113">
        <v>7</v>
      </c>
      <c r="D113">
        <v>439.79</v>
      </c>
      <c r="E113" s="6">
        <v>0.38</v>
      </c>
      <c r="F113" t="s">
        <v>35</v>
      </c>
      <c r="G113" t="s">
        <v>139</v>
      </c>
      <c r="H113" t="s">
        <v>310</v>
      </c>
      <c r="I113" t="s">
        <v>38</v>
      </c>
      <c r="J113" t="s">
        <v>311</v>
      </c>
      <c r="K113" s="4">
        <v>45527</v>
      </c>
      <c r="L113" t="s">
        <v>96</v>
      </c>
      <c r="M113" t="s">
        <v>97</v>
      </c>
      <c r="N113">
        <f t="shared" si="3"/>
        <v>3078.53</v>
      </c>
      <c r="O113">
        <f t="shared" si="4"/>
        <v>1169.8414</v>
      </c>
      <c r="P113">
        <f t="shared" si="5"/>
        <v>1908.6886000000002</v>
      </c>
    </row>
    <row r="114" spans="1:16" x14ac:dyDescent="0.3">
      <c r="A114">
        <v>2200</v>
      </c>
      <c r="B114" s="4">
        <v>45356</v>
      </c>
      <c r="C114">
        <v>5</v>
      </c>
      <c r="D114">
        <v>346.78</v>
      </c>
      <c r="E114" s="6">
        <v>0.26</v>
      </c>
      <c r="F114" t="s">
        <v>48</v>
      </c>
      <c r="G114" t="s">
        <v>72</v>
      </c>
      <c r="H114" t="s">
        <v>312</v>
      </c>
      <c r="I114" t="s">
        <v>38</v>
      </c>
      <c r="J114" t="s">
        <v>313</v>
      </c>
      <c r="K114" s="4">
        <v>45378</v>
      </c>
      <c r="L114" t="s">
        <v>198</v>
      </c>
      <c r="M114" t="s">
        <v>83</v>
      </c>
      <c r="N114">
        <f t="shared" si="3"/>
        <v>1733.8999999999999</v>
      </c>
      <c r="O114">
        <f t="shared" si="4"/>
        <v>450.81399999999996</v>
      </c>
      <c r="P114">
        <f t="shared" si="5"/>
        <v>1283.0859999999998</v>
      </c>
    </row>
    <row r="115" spans="1:16" x14ac:dyDescent="0.3">
      <c r="A115">
        <v>7015</v>
      </c>
      <c r="B115" s="4">
        <v>45392</v>
      </c>
      <c r="C115">
        <v>3</v>
      </c>
      <c r="D115">
        <v>94.05</v>
      </c>
      <c r="E115" s="6">
        <v>0.39</v>
      </c>
      <c r="F115" t="s">
        <v>59</v>
      </c>
      <c r="G115" t="s">
        <v>103</v>
      </c>
      <c r="H115" t="s">
        <v>314</v>
      </c>
      <c r="I115" t="s">
        <v>31</v>
      </c>
      <c r="J115" t="s">
        <v>315</v>
      </c>
      <c r="K115" s="4">
        <v>45421</v>
      </c>
      <c r="L115" t="s">
        <v>68</v>
      </c>
      <c r="M115" t="s">
        <v>47</v>
      </c>
      <c r="N115">
        <f t="shared" si="3"/>
        <v>282.14999999999998</v>
      </c>
      <c r="O115">
        <f t="shared" si="4"/>
        <v>110.0385</v>
      </c>
      <c r="P115">
        <f t="shared" si="5"/>
        <v>172.11149999999998</v>
      </c>
    </row>
    <row r="116" spans="1:16" x14ac:dyDescent="0.3">
      <c r="A116">
        <v>3321</v>
      </c>
      <c r="B116" s="4">
        <v>45387</v>
      </c>
      <c r="C116">
        <v>14</v>
      </c>
      <c r="D116">
        <v>387.56</v>
      </c>
      <c r="E116" s="6">
        <v>0.23</v>
      </c>
      <c r="F116" t="s">
        <v>59</v>
      </c>
      <c r="G116" t="s">
        <v>69</v>
      </c>
      <c r="H116" t="s">
        <v>316</v>
      </c>
      <c r="I116" t="s">
        <v>31</v>
      </c>
      <c r="J116" t="s">
        <v>317</v>
      </c>
      <c r="K116" s="4">
        <v>45400</v>
      </c>
      <c r="L116" t="s">
        <v>220</v>
      </c>
      <c r="M116" t="s">
        <v>87</v>
      </c>
      <c r="N116">
        <f t="shared" si="3"/>
        <v>5425.84</v>
      </c>
      <c r="O116">
        <f t="shared" si="4"/>
        <v>1247.9432000000002</v>
      </c>
      <c r="P116">
        <f t="shared" si="5"/>
        <v>4177.8968000000004</v>
      </c>
    </row>
    <row r="117" spans="1:16" x14ac:dyDescent="0.3">
      <c r="A117">
        <v>9276</v>
      </c>
      <c r="B117" s="4">
        <v>45299</v>
      </c>
      <c r="C117">
        <v>16</v>
      </c>
      <c r="D117">
        <v>114.22</v>
      </c>
      <c r="E117" s="6">
        <v>0.44</v>
      </c>
      <c r="F117" t="s">
        <v>42</v>
      </c>
      <c r="G117" t="s">
        <v>43</v>
      </c>
      <c r="H117" t="s">
        <v>318</v>
      </c>
      <c r="I117" t="s">
        <v>38</v>
      </c>
      <c r="J117" t="s">
        <v>319</v>
      </c>
      <c r="K117" s="4">
        <v>45307</v>
      </c>
      <c r="L117" t="s">
        <v>123</v>
      </c>
      <c r="M117" t="s">
        <v>58</v>
      </c>
      <c r="N117">
        <f t="shared" si="3"/>
        <v>1827.52</v>
      </c>
      <c r="O117">
        <f t="shared" si="4"/>
        <v>804.10879999999997</v>
      </c>
      <c r="P117">
        <f t="shared" si="5"/>
        <v>1023.4112</v>
      </c>
    </row>
    <row r="118" spans="1:16" x14ac:dyDescent="0.3">
      <c r="A118">
        <v>1229</v>
      </c>
      <c r="B118" s="4">
        <v>45481</v>
      </c>
      <c r="C118">
        <v>1</v>
      </c>
      <c r="D118">
        <v>371.47</v>
      </c>
      <c r="E118" s="6">
        <v>0.36</v>
      </c>
      <c r="F118" t="s">
        <v>59</v>
      </c>
      <c r="G118" t="s">
        <v>60</v>
      </c>
      <c r="H118" t="s">
        <v>320</v>
      </c>
      <c r="I118" t="s">
        <v>31</v>
      </c>
      <c r="J118" t="s">
        <v>321</v>
      </c>
      <c r="K118" s="4">
        <v>45482</v>
      </c>
      <c r="L118" t="s">
        <v>198</v>
      </c>
      <c r="M118" t="s">
        <v>83</v>
      </c>
      <c r="N118">
        <f t="shared" si="3"/>
        <v>371.47</v>
      </c>
      <c r="O118">
        <f t="shared" si="4"/>
        <v>133.72919999999999</v>
      </c>
      <c r="P118">
        <f t="shared" si="5"/>
        <v>237.74080000000004</v>
      </c>
    </row>
    <row r="119" spans="1:16" x14ac:dyDescent="0.3">
      <c r="A119">
        <v>5052</v>
      </c>
      <c r="B119" s="4">
        <v>45517</v>
      </c>
      <c r="C119">
        <v>4</v>
      </c>
      <c r="D119">
        <v>213.46</v>
      </c>
      <c r="E119" s="6">
        <v>0.41</v>
      </c>
      <c r="F119" t="s">
        <v>59</v>
      </c>
      <c r="G119" t="s">
        <v>60</v>
      </c>
      <c r="H119" t="s">
        <v>322</v>
      </c>
      <c r="I119" t="s">
        <v>31</v>
      </c>
      <c r="J119" t="s">
        <v>323</v>
      </c>
      <c r="K119" s="4">
        <v>45537</v>
      </c>
      <c r="L119" t="s">
        <v>262</v>
      </c>
      <c r="M119" t="s">
        <v>53</v>
      </c>
      <c r="N119">
        <f t="shared" si="3"/>
        <v>853.84</v>
      </c>
      <c r="O119">
        <f t="shared" si="4"/>
        <v>350.07439999999997</v>
      </c>
      <c r="P119">
        <f t="shared" si="5"/>
        <v>503.76560000000006</v>
      </c>
    </row>
    <row r="120" spans="1:16" x14ac:dyDescent="0.3">
      <c r="A120">
        <v>2121</v>
      </c>
      <c r="B120" s="4">
        <v>45328</v>
      </c>
      <c r="C120">
        <v>2</v>
      </c>
      <c r="D120">
        <v>445.31</v>
      </c>
      <c r="E120" s="6">
        <v>0.27</v>
      </c>
      <c r="F120" t="s">
        <v>28</v>
      </c>
      <c r="G120" t="s">
        <v>29</v>
      </c>
      <c r="H120" t="s">
        <v>324</v>
      </c>
      <c r="I120" t="s">
        <v>31</v>
      </c>
      <c r="J120" t="s">
        <v>325</v>
      </c>
      <c r="K120" s="4">
        <v>45330</v>
      </c>
      <c r="L120" t="s">
        <v>270</v>
      </c>
      <c r="M120" t="s">
        <v>83</v>
      </c>
      <c r="N120">
        <f t="shared" si="3"/>
        <v>890.62</v>
      </c>
      <c r="O120">
        <f t="shared" si="4"/>
        <v>240.46740000000003</v>
      </c>
      <c r="P120">
        <f t="shared" si="5"/>
        <v>650.15260000000001</v>
      </c>
    </row>
    <row r="121" spans="1:16" x14ac:dyDescent="0.3">
      <c r="A121">
        <v>3089</v>
      </c>
      <c r="B121" s="4">
        <v>45595</v>
      </c>
      <c r="C121">
        <v>4</v>
      </c>
      <c r="D121">
        <v>427.1</v>
      </c>
      <c r="E121" s="6">
        <v>0.32</v>
      </c>
      <c r="F121" t="s">
        <v>42</v>
      </c>
      <c r="G121" t="s">
        <v>43</v>
      </c>
      <c r="H121" t="s">
        <v>326</v>
      </c>
      <c r="I121" t="s">
        <v>38</v>
      </c>
      <c r="J121" t="s">
        <v>327</v>
      </c>
      <c r="K121" s="4">
        <v>45605</v>
      </c>
      <c r="L121" t="s">
        <v>117</v>
      </c>
      <c r="M121" t="s">
        <v>58</v>
      </c>
      <c r="N121">
        <f t="shared" si="3"/>
        <v>1708.4</v>
      </c>
      <c r="O121">
        <f t="shared" si="4"/>
        <v>546.68799999999999</v>
      </c>
      <c r="P121">
        <f t="shared" si="5"/>
        <v>1161.712</v>
      </c>
    </row>
    <row r="122" spans="1:16" x14ac:dyDescent="0.3">
      <c r="A122">
        <v>1288</v>
      </c>
      <c r="B122" s="4">
        <v>45612</v>
      </c>
      <c r="C122">
        <v>7</v>
      </c>
      <c r="D122">
        <v>85.96</v>
      </c>
      <c r="E122" s="6">
        <v>0.47</v>
      </c>
      <c r="F122" t="s">
        <v>48</v>
      </c>
      <c r="G122" t="s">
        <v>54</v>
      </c>
      <c r="H122" t="s">
        <v>328</v>
      </c>
      <c r="I122" t="s">
        <v>38</v>
      </c>
      <c r="J122" t="s">
        <v>329</v>
      </c>
      <c r="K122" s="4">
        <v>45616</v>
      </c>
      <c r="L122" t="s">
        <v>110</v>
      </c>
      <c r="M122" t="s">
        <v>111</v>
      </c>
      <c r="N122">
        <f t="shared" si="3"/>
        <v>601.71999999999991</v>
      </c>
      <c r="O122">
        <f t="shared" si="4"/>
        <v>282.80839999999995</v>
      </c>
      <c r="P122">
        <f t="shared" si="5"/>
        <v>318.91159999999996</v>
      </c>
    </row>
    <row r="123" spans="1:16" x14ac:dyDescent="0.3">
      <c r="A123">
        <v>2863</v>
      </c>
      <c r="B123" s="4">
        <v>45367</v>
      </c>
      <c r="C123">
        <v>4</v>
      </c>
      <c r="D123">
        <v>72.36</v>
      </c>
      <c r="E123" s="6">
        <v>0.34</v>
      </c>
      <c r="F123" t="s">
        <v>48</v>
      </c>
      <c r="G123" t="s">
        <v>72</v>
      </c>
      <c r="H123" t="s">
        <v>330</v>
      </c>
      <c r="I123" t="s">
        <v>38</v>
      </c>
      <c r="J123" t="s">
        <v>331</v>
      </c>
      <c r="K123" s="4">
        <v>45378</v>
      </c>
      <c r="L123" t="s">
        <v>52</v>
      </c>
      <c r="M123" t="s">
        <v>53</v>
      </c>
      <c r="N123">
        <f t="shared" si="3"/>
        <v>289.44</v>
      </c>
      <c r="O123">
        <f t="shared" si="4"/>
        <v>98.409600000000012</v>
      </c>
      <c r="P123">
        <f t="shared" si="5"/>
        <v>191.03039999999999</v>
      </c>
    </row>
    <row r="124" spans="1:16" x14ac:dyDescent="0.3">
      <c r="A124">
        <v>7387</v>
      </c>
      <c r="B124" s="4">
        <v>45630</v>
      </c>
      <c r="C124">
        <v>17</v>
      </c>
      <c r="D124">
        <v>491.95</v>
      </c>
      <c r="E124" s="6">
        <v>0.44</v>
      </c>
      <c r="F124" t="s">
        <v>28</v>
      </c>
      <c r="G124" t="s">
        <v>93</v>
      </c>
      <c r="H124" t="s">
        <v>332</v>
      </c>
      <c r="I124" t="s">
        <v>38</v>
      </c>
      <c r="J124" t="s">
        <v>333</v>
      </c>
      <c r="K124" s="4">
        <v>45649</v>
      </c>
      <c r="L124" t="s">
        <v>262</v>
      </c>
      <c r="M124" t="s">
        <v>53</v>
      </c>
      <c r="N124">
        <f t="shared" si="3"/>
        <v>8363.15</v>
      </c>
      <c r="O124">
        <f t="shared" si="4"/>
        <v>3679.7860000000001</v>
      </c>
      <c r="P124">
        <f t="shared" si="5"/>
        <v>4683.3639999999996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A653-ED04-41D2-915C-D2B6B6FA8ABB}">
  <dimension ref="A1"/>
  <sheetViews>
    <sheetView workbookViewId="0">
      <selection activeCell="D9" sqref="D9"/>
    </sheetView>
  </sheetViews>
  <sheetFormatPr baseColWidth="10" defaultColWidth="8.88671875"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C7E23-74CC-4B00-84DB-13028F8829C1}">
  <dimension ref="A3:B16"/>
  <sheetViews>
    <sheetView tabSelected="1" workbookViewId="0">
      <selection activeCell="B8" sqref="B8"/>
    </sheetView>
  </sheetViews>
  <sheetFormatPr baseColWidth="10" defaultColWidth="8.88671875" defaultRowHeight="14.4" x14ac:dyDescent="0.3"/>
  <cols>
    <col min="1" max="1" width="22.77734375" bestFit="1" customWidth="1"/>
    <col min="2" max="2" width="14.21875" bestFit="1" customWidth="1"/>
    <col min="3" max="102" width="15.77734375" bestFit="1" customWidth="1"/>
    <col min="103" max="104" width="11.5546875" bestFit="1" customWidth="1"/>
  </cols>
  <sheetData>
    <row r="3" spans="1:2" x14ac:dyDescent="0.3">
      <c r="A3" s="7" t="s">
        <v>334</v>
      </c>
      <c r="B3" t="s">
        <v>4</v>
      </c>
    </row>
    <row r="4" spans="1:2" x14ac:dyDescent="0.3">
      <c r="A4" t="s">
        <v>336</v>
      </c>
      <c r="B4" s="12">
        <v>19482.18</v>
      </c>
    </row>
    <row r="5" spans="1:2" x14ac:dyDescent="0.3">
      <c r="A5" t="s">
        <v>337</v>
      </c>
      <c r="B5" s="12">
        <v>16284.600000000002</v>
      </c>
    </row>
    <row r="6" spans="1:2" x14ac:dyDescent="0.3">
      <c r="A6" t="s">
        <v>338</v>
      </c>
      <c r="B6" s="12">
        <v>40072.640000000007</v>
      </c>
    </row>
    <row r="7" spans="1:2" x14ac:dyDescent="0.3">
      <c r="A7" t="s">
        <v>339</v>
      </c>
      <c r="B7" s="12">
        <v>17186.599999999999</v>
      </c>
    </row>
    <row r="8" spans="1:2" x14ac:dyDescent="0.3">
      <c r="A8" t="s">
        <v>340</v>
      </c>
      <c r="B8" s="12">
        <v>39524.150000000009</v>
      </c>
    </row>
    <row r="9" spans="1:2" x14ac:dyDescent="0.3">
      <c r="A9" t="s">
        <v>335</v>
      </c>
      <c r="B9" s="12">
        <v>23447.91</v>
      </c>
    </row>
    <row r="10" spans="1:2" x14ac:dyDescent="0.3">
      <c r="A10" t="s">
        <v>341</v>
      </c>
      <c r="B10" s="12">
        <v>35329</v>
      </c>
    </row>
    <row r="11" spans="1:2" x14ac:dyDescent="0.3">
      <c r="A11" t="s">
        <v>342</v>
      </c>
      <c r="B11" s="12">
        <v>20736.429999999997</v>
      </c>
    </row>
    <row r="12" spans="1:2" x14ac:dyDescent="0.3">
      <c r="A12" t="s">
        <v>343</v>
      </c>
      <c r="B12" s="12">
        <v>26432.44</v>
      </c>
    </row>
    <row r="13" spans="1:2" x14ac:dyDescent="0.3">
      <c r="A13" t="s">
        <v>344</v>
      </c>
      <c r="B13" s="12">
        <v>29877.43</v>
      </c>
    </row>
    <row r="14" spans="1:2" x14ac:dyDescent="0.3">
      <c r="A14" t="s">
        <v>345</v>
      </c>
      <c r="B14" s="12">
        <v>26892.640000000007</v>
      </c>
    </row>
    <row r="15" spans="1:2" x14ac:dyDescent="0.3">
      <c r="A15" t="s">
        <v>346</v>
      </c>
      <c r="B15" s="12">
        <v>31667.360000000001</v>
      </c>
    </row>
    <row r="16" spans="1:2" x14ac:dyDescent="0.3">
      <c r="A16" t="s">
        <v>9</v>
      </c>
      <c r="B16" s="12">
        <v>326933.38000000006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B0AF-69A6-41A6-A7E8-DF70580F4330}">
  <dimension ref="A1:F17"/>
  <sheetViews>
    <sheetView workbookViewId="0">
      <selection activeCell="F26" sqref="F26"/>
    </sheetView>
  </sheetViews>
  <sheetFormatPr baseColWidth="10" defaultColWidth="8.88671875" defaultRowHeight="14.4" x14ac:dyDescent="0.3"/>
  <cols>
    <col min="1" max="1" width="13.33203125" bestFit="1" customWidth="1"/>
    <col min="2" max="2" width="13.5546875" bestFit="1" customWidth="1"/>
    <col min="3" max="3" width="8.5546875" bestFit="1" customWidth="1"/>
    <col min="4" max="4" width="16.5546875" bestFit="1" customWidth="1"/>
    <col min="5" max="5" width="13.33203125" bestFit="1" customWidth="1"/>
    <col min="6" max="6" width="13" bestFit="1" customWidth="1"/>
  </cols>
  <sheetData>
    <row r="1" spans="1:6" x14ac:dyDescent="0.3">
      <c r="A1" s="7" t="s">
        <v>2</v>
      </c>
      <c r="B1" t="s">
        <v>350</v>
      </c>
      <c r="C1" t="s">
        <v>351</v>
      </c>
      <c r="D1" t="s">
        <v>347</v>
      </c>
      <c r="E1" t="s">
        <v>348</v>
      </c>
      <c r="F1" t="s">
        <v>349</v>
      </c>
    </row>
    <row r="2" spans="1:6" x14ac:dyDescent="0.3">
      <c r="A2" t="s">
        <v>60</v>
      </c>
      <c r="B2" s="12">
        <v>4007.99</v>
      </c>
      <c r="C2" s="14">
        <v>1.2259347760696692E-2</v>
      </c>
      <c r="D2" s="11">
        <v>22</v>
      </c>
      <c r="E2" s="12">
        <v>1179.81</v>
      </c>
      <c r="F2" s="12">
        <v>371.47</v>
      </c>
    </row>
    <row r="3" spans="1:6" x14ac:dyDescent="0.3">
      <c r="A3" t="s">
        <v>112</v>
      </c>
      <c r="B3" s="12">
        <v>7877.59</v>
      </c>
      <c r="C3" s="14">
        <v>2.4095398273495355E-2</v>
      </c>
      <c r="D3" s="11">
        <v>36</v>
      </c>
      <c r="E3" s="12">
        <v>5362.05</v>
      </c>
      <c r="F3" s="12">
        <v>614.46</v>
      </c>
    </row>
    <row r="4" spans="1:6" x14ac:dyDescent="0.3">
      <c r="A4" t="s">
        <v>36</v>
      </c>
      <c r="B4" s="12">
        <v>13972.210000000001</v>
      </c>
      <c r="C4" s="14">
        <v>4.2737177831153259E-2</v>
      </c>
      <c r="D4" s="11">
        <v>77</v>
      </c>
      <c r="E4" s="12">
        <v>4083.6000000000004</v>
      </c>
      <c r="F4" s="12">
        <v>532.4</v>
      </c>
    </row>
    <row r="5" spans="1:6" x14ac:dyDescent="0.3">
      <c r="A5" t="s">
        <v>49</v>
      </c>
      <c r="B5" s="12">
        <v>15998.62</v>
      </c>
      <c r="C5" s="14">
        <v>4.8935413080181664E-2</v>
      </c>
      <c r="D5" s="11">
        <v>75</v>
      </c>
      <c r="E5" s="12">
        <v>4577.4000000000005</v>
      </c>
      <c r="F5" s="12">
        <v>446.95</v>
      </c>
    </row>
    <row r="6" spans="1:6" x14ac:dyDescent="0.3">
      <c r="A6" t="s">
        <v>193</v>
      </c>
      <c r="B6" s="12">
        <v>16937.77</v>
      </c>
      <c r="C6" s="14">
        <v>5.1808016666881805E-2</v>
      </c>
      <c r="D6" s="11">
        <v>53</v>
      </c>
      <c r="E6" s="12">
        <v>5955.75</v>
      </c>
      <c r="F6" s="12">
        <v>985.76</v>
      </c>
    </row>
    <row r="7" spans="1:6" x14ac:dyDescent="0.3">
      <c r="A7" t="s">
        <v>139</v>
      </c>
      <c r="B7" s="12">
        <v>17562.84</v>
      </c>
      <c r="C7" s="14">
        <v>5.3719935235735192E-2</v>
      </c>
      <c r="D7" s="11">
        <v>83</v>
      </c>
      <c r="E7" s="12">
        <v>7354</v>
      </c>
      <c r="F7" s="12">
        <v>241.85</v>
      </c>
    </row>
    <row r="8" spans="1:6" x14ac:dyDescent="0.3">
      <c r="A8" t="s">
        <v>29</v>
      </c>
      <c r="B8" s="12">
        <v>21517.89</v>
      </c>
      <c r="C8" s="14">
        <v>6.5817353982025331E-2</v>
      </c>
      <c r="D8" s="11">
        <v>67</v>
      </c>
      <c r="E8" s="12">
        <v>7672.2</v>
      </c>
      <c r="F8" s="12">
        <v>741.62</v>
      </c>
    </row>
    <row r="9" spans="1:6" x14ac:dyDescent="0.3">
      <c r="A9" t="s">
        <v>54</v>
      </c>
      <c r="B9" s="12">
        <v>21762</v>
      </c>
      <c r="C9" s="14">
        <v>6.6564019862395213E-2</v>
      </c>
      <c r="D9" s="11">
        <v>83</v>
      </c>
      <c r="E9" s="12">
        <v>6579.36</v>
      </c>
      <c r="F9" s="12">
        <v>100.78</v>
      </c>
    </row>
    <row r="10" spans="1:6" x14ac:dyDescent="0.3">
      <c r="A10" t="s">
        <v>69</v>
      </c>
      <c r="B10" s="12">
        <v>22122.27</v>
      </c>
      <c r="C10" s="14">
        <v>6.7665987486502613E-2</v>
      </c>
      <c r="D10" s="11">
        <v>97</v>
      </c>
      <c r="E10" s="12">
        <v>6587.4600000000009</v>
      </c>
      <c r="F10" s="12">
        <v>1137.3599999999999</v>
      </c>
    </row>
    <row r="11" spans="1:6" x14ac:dyDescent="0.3">
      <c r="A11" t="s">
        <v>103</v>
      </c>
      <c r="B11" s="12">
        <v>25095.710000000003</v>
      </c>
      <c r="C11" s="14">
        <v>7.6760929092037064E-2</v>
      </c>
      <c r="D11" s="11">
        <v>87</v>
      </c>
      <c r="E11" s="12">
        <v>6865.9500000000007</v>
      </c>
      <c r="F11" s="12">
        <v>77.550000000000011</v>
      </c>
    </row>
    <row r="12" spans="1:6" x14ac:dyDescent="0.3">
      <c r="A12" t="s">
        <v>93</v>
      </c>
      <c r="B12" s="12">
        <v>27295.809999999998</v>
      </c>
      <c r="C12" s="14">
        <v>8.3490434656748727E-2</v>
      </c>
      <c r="D12" s="11">
        <v>112</v>
      </c>
      <c r="E12" s="12">
        <v>8363.15</v>
      </c>
      <c r="F12" s="12">
        <v>370.37</v>
      </c>
    </row>
    <row r="13" spans="1:6" x14ac:dyDescent="0.3">
      <c r="A13" t="s">
        <v>65</v>
      </c>
      <c r="B13" s="12">
        <v>31538.63</v>
      </c>
      <c r="C13" s="14">
        <v>9.6468063310023611E-2</v>
      </c>
      <c r="D13" s="11">
        <v>139</v>
      </c>
      <c r="E13" s="12">
        <v>4917.5</v>
      </c>
      <c r="F13" s="12">
        <v>533.54</v>
      </c>
    </row>
    <row r="14" spans="1:6" x14ac:dyDescent="0.3">
      <c r="A14" t="s">
        <v>107</v>
      </c>
      <c r="B14" s="12">
        <v>32142.31</v>
      </c>
      <c r="C14" s="14">
        <v>9.8314555705507969E-2</v>
      </c>
      <c r="D14" s="11">
        <v>130</v>
      </c>
      <c r="E14" s="12">
        <v>7069.33</v>
      </c>
      <c r="F14" s="12">
        <v>344.72</v>
      </c>
    </row>
    <row r="15" spans="1:6" x14ac:dyDescent="0.3">
      <c r="A15" t="s">
        <v>72</v>
      </c>
      <c r="B15" s="12">
        <v>32880.86</v>
      </c>
      <c r="C15" s="14">
        <v>0.10057357862938317</v>
      </c>
      <c r="D15" s="11">
        <v>101</v>
      </c>
      <c r="E15" s="12">
        <v>8452.26</v>
      </c>
      <c r="F15" s="12">
        <v>289.44</v>
      </c>
    </row>
    <row r="16" spans="1:6" x14ac:dyDescent="0.3">
      <c r="A16" t="s">
        <v>43</v>
      </c>
      <c r="B16" s="12">
        <v>36220.879999999997</v>
      </c>
      <c r="C16" s="14">
        <v>0.1107897884272325</v>
      </c>
      <c r="D16" s="11">
        <v>129</v>
      </c>
      <c r="E16" s="12">
        <v>7186.75</v>
      </c>
      <c r="F16" s="12">
        <v>1012.6</v>
      </c>
    </row>
    <row r="17" spans="1:6" x14ac:dyDescent="0.3">
      <c r="A17" t="s">
        <v>9</v>
      </c>
      <c r="B17" s="12">
        <v>326933.37999999995</v>
      </c>
      <c r="C17" s="14">
        <v>1</v>
      </c>
      <c r="D17" s="11">
        <v>1291</v>
      </c>
      <c r="E17" s="12">
        <v>8452.26</v>
      </c>
      <c r="F17" s="12">
        <v>77.550000000000011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EAB95-1311-46B5-AF68-0E5B0906853D}">
  <dimension ref="A1:B7"/>
  <sheetViews>
    <sheetView workbookViewId="0">
      <selection activeCell="F26" sqref="F26"/>
    </sheetView>
  </sheetViews>
  <sheetFormatPr baseColWidth="10" defaultColWidth="8.88671875" defaultRowHeight="14.4" x14ac:dyDescent="0.3"/>
  <cols>
    <col min="1" max="1" width="11.5546875" bestFit="1" customWidth="1"/>
    <col min="2" max="2" width="14.21875" bestFit="1" customWidth="1"/>
    <col min="3" max="6" width="13" bestFit="1" customWidth="1"/>
  </cols>
  <sheetData>
    <row r="1" spans="1:2" x14ac:dyDescent="0.3">
      <c r="A1" s="7" t="s">
        <v>2</v>
      </c>
      <c r="B1" t="s">
        <v>4</v>
      </c>
    </row>
    <row r="2" spans="1:2" x14ac:dyDescent="0.3">
      <c r="A2" t="s">
        <v>93</v>
      </c>
      <c r="B2" s="11">
        <v>27295.809999999998</v>
      </c>
    </row>
    <row r="3" spans="1:2" x14ac:dyDescent="0.3">
      <c r="A3" t="s">
        <v>107</v>
      </c>
      <c r="B3" s="11">
        <v>32142.31</v>
      </c>
    </row>
    <row r="4" spans="1:2" x14ac:dyDescent="0.3">
      <c r="A4" t="s">
        <v>72</v>
      </c>
      <c r="B4" s="11">
        <v>32880.86</v>
      </c>
    </row>
    <row r="5" spans="1:2" x14ac:dyDescent="0.3">
      <c r="A5" t="s">
        <v>43</v>
      </c>
      <c r="B5" s="11">
        <v>36220.879999999997</v>
      </c>
    </row>
    <row r="6" spans="1:2" x14ac:dyDescent="0.3">
      <c r="A6" t="s">
        <v>65</v>
      </c>
      <c r="B6" s="11">
        <v>31538.63</v>
      </c>
    </row>
    <row r="7" spans="1:2" x14ac:dyDescent="0.3">
      <c r="A7" t="s">
        <v>9</v>
      </c>
      <c r="B7" s="11">
        <v>160078.49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A9AEF-E211-4159-80AD-75F71D6FCC03}">
  <dimension ref="A1:D15"/>
  <sheetViews>
    <sheetView workbookViewId="0">
      <selection activeCell="H10" sqref="H10"/>
    </sheetView>
  </sheetViews>
  <sheetFormatPr baseColWidth="10" defaultColWidth="8.88671875" defaultRowHeight="14.4" x14ac:dyDescent="0.3"/>
  <cols>
    <col min="1" max="1" width="14.21875" bestFit="1" customWidth="1"/>
    <col min="2" max="3" width="15.77734375" bestFit="1" customWidth="1"/>
    <col min="4" max="4" width="13.5546875" bestFit="1" customWidth="1"/>
    <col min="5" max="5" width="13.33203125" bestFit="1" customWidth="1"/>
    <col min="6" max="6" width="13" bestFit="1" customWidth="1"/>
  </cols>
  <sheetData>
    <row r="1" spans="1:4" x14ac:dyDescent="0.3">
      <c r="A1" s="7" t="s">
        <v>4</v>
      </c>
      <c r="B1" s="7" t="s">
        <v>21</v>
      </c>
    </row>
    <row r="2" spans="1:4" x14ac:dyDescent="0.3">
      <c r="A2" s="7" t="s">
        <v>25</v>
      </c>
      <c r="B2" t="s">
        <v>38</v>
      </c>
      <c r="C2" t="s">
        <v>31</v>
      </c>
      <c r="D2" t="s">
        <v>9</v>
      </c>
    </row>
    <row r="3" spans="1:4" x14ac:dyDescent="0.3">
      <c r="A3" t="s">
        <v>64</v>
      </c>
      <c r="B3" s="12">
        <v>2172.4700000000003</v>
      </c>
      <c r="C3" s="12">
        <v>14501.759999999998</v>
      </c>
      <c r="D3" s="12">
        <v>16674.23</v>
      </c>
    </row>
    <row r="4" spans="1:4" x14ac:dyDescent="0.3">
      <c r="A4" t="s">
        <v>87</v>
      </c>
      <c r="B4" s="12">
        <v>13276.73</v>
      </c>
      <c r="C4" s="12">
        <v>10566.43</v>
      </c>
      <c r="D4" s="12">
        <v>23843.16</v>
      </c>
    </row>
    <row r="5" spans="1:4" x14ac:dyDescent="0.3">
      <c r="A5" t="s">
        <v>34</v>
      </c>
      <c r="B5" s="12">
        <v>21852.769999999997</v>
      </c>
      <c r="C5" s="12">
        <v>16400.580000000002</v>
      </c>
      <c r="D5" s="12">
        <v>38253.35</v>
      </c>
    </row>
    <row r="6" spans="1:4" x14ac:dyDescent="0.3">
      <c r="A6" t="s">
        <v>83</v>
      </c>
      <c r="B6" s="12">
        <v>13171.79</v>
      </c>
      <c r="C6" s="12">
        <v>12264.27</v>
      </c>
      <c r="D6" s="12">
        <v>25436.06</v>
      </c>
    </row>
    <row r="7" spans="1:4" x14ac:dyDescent="0.3">
      <c r="A7" t="s">
        <v>97</v>
      </c>
      <c r="B7" s="12">
        <v>19078.109999999997</v>
      </c>
      <c r="C7" s="12">
        <v>21234.75</v>
      </c>
      <c r="D7" s="12">
        <v>40312.86</v>
      </c>
    </row>
    <row r="8" spans="1:4" x14ac:dyDescent="0.3">
      <c r="A8" t="s">
        <v>53</v>
      </c>
      <c r="B8" s="12">
        <v>10517.46</v>
      </c>
      <c r="C8" s="12">
        <v>16680.28</v>
      </c>
      <c r="D8" s="12">
        <v>27197.739999999998</v>
      </c>
    </row>
    <row r="9" spans="1:4" x14ac:dyDescent="0.3">
      <c r="A9" t="s">
        <v>111</v>
      </c>
      <c r="B9" s="12">
        <v>15430.2</v>
      </c>
      <c r="C9" s="12">
        <v>2859.96</v>
      </c>
      <c r="D9" s="12">
        <v>18290.16</v>
      </c>
    </row>
    <row r="10" spans="1:4" x14ac:dyDescent="0.3">
      <c r="A10" t="s">
        <v>47</v>
      </c>
      <c r="B10" s="12">
        <v>10797.32</v>
      </c>
      <c r="C10" s="12">
        <v>15904.279999999999</v>
      </c>
      <c r="D10" s="12">
        <v>26701.599999999999</v>
      </c>
    </row>
    <row r="11" spans="1:4" x14ac:dyDescent="0.3">
      <c r="A11" t="s">
        <v>58</v>
      </c>
      <c r="B11" s="12">
        <v>21374.900000000005</v>
      </c>
      <c r="C11" s="12">
        <v>23655.279999999995</v>
      </c>
      <c r="D11" s="12">
        <v>45030.18</v>
      </c>
    </row>
    <row r="12" spans="1:4" x14ac:dyDescent="0.3">
      <c r="A12" t="s">
        <v>41</v>
      </c>
      <c r="B12" s="12">
        <v>21022.13</v>
      </c>
      <c r="C12" s="12">
        <v>13063.430000000002</v>
      </c>
      <c r="D12" s="12">
        <v>34085.560000000005</v>
      </c>
    </row>
    <row r="13" spans="1:4" x14ac:dyDescent="0.3">
      <c r="A13" t="s">
        <v>76</v>
      </c>
      <c r="B13" s="12">
        <v>15517.520000000002</v>
      </c>
      <c r="C13" s="12">
        <v>15590.96</v>
      </c>
      <c r="D13" s="12">
        <v>31108.480000000003</v>
      </c>
    </row>
    <row r="14" spans="1:4" x14ac:dyDescent="0.3">
      <c r="A14" t="s">
        <v>9</v>
      </c>
      <c r="B14" s="12">
        <v>164211.39999999997</v>
      </c>
      <c r="C14" s="12">
        <v>162721.97999999998</v>
      </c>
      <c r="D14" s="12">
        <v>326933.37999999995</v>
      </c>
    </row>
    <row r="15" spans="1:4" x14ac:dyDescent="0.3">
      <c r="B15" s="13"/>
      <c r="C15" s="13"/>
      <c r="D1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Introducción</vt:lpstr>
      <vt:lpstr>Campos</vt:lpstr>
      <vt:lpstr>Ventas</vt:lpstr>
      <vt:lpstr>ACTIVIDAD</vt:lpstr>
      <vt:lpstr>TD1</vt:lpstr>
      <vt:lpstr>TD2</vt:lpstr>
      <vt:lpstr>TD3y4</vt:lpstr>
      <vt:lpstr>TD5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Ramirez</dc:creator>
  <cp:keywords/>
  <dc:description/>
  <cp:lastModifiedBy>Nik Denilson Ramirez Bautista</cp:lastModifiedBy>
  <cp:revision/>
  <dcterms:created xsi:type="dcterms:W3CDTF">2024-08-22T21:13:31Z</dcterms:created>
  <dcterms:modified xsi:type="dcterms:W3CDTF">2025-12-27T01:59:31Z</dcterms:modified>
  <cp:category/>
  <cp:contentStatus/>
</cp:coreProperties>
</file>