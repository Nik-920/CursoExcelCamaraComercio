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C:\Users\Miguel\Documents\Formaciones\Camara de Comercio\"/>
    </mc:Choice>
  </mc:AlternateContent>
  <xr:revisionPtr revIDLastSave="0" documentId="8_{6B0DF71F-2866-4490-95BD-F09786A2EFAE}" xr6:coauthVersionLast="47" xr6:coauthVersionMax="47" xr10:uidLastSave="{00000000-0000-0000-0000-000000000000}"/>
  <bookViews>
    <workbookView xWindow="-108" yWindow="-108" windowWidth="23256" windowHeight="12456" firstSheet="3" activeTab="4" xr2:uid="{4DAA7EA2-3F58-412B-AE3E-9BAFF9E039DB}"/>
  </bookViews>
  <sheets>
    <sheet name="Cálculo" sheetId="1" r:id="rId1"/>
    <sheet name="Basicas" sheetId="3" r:id="rId2"/>
    <sheet name="SIFECHA" sheetId="4" r:id="rId3"/>
    <sheet name="DIA.LAB y DIAS.LAB" sheetId="5" r:id="rId4"/>
    <sheet name="HORA,MINUTO,SEGUNDO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6" l="1"/>
  <c r="D5" i="5"/>
  <c r="D7" i="5" s="1"/>
  <c r="C5" i="5"/>
  <c r="C7" i="5" s="1"/>
  <c r="F7" i="6"/>
  <c r="F8" i="6"/>
  <c r="F9" i="6"/>
  <c r="F10" i="6"/>
  <c r="F6" i="6"/>
  <c r="E7" i="6"/>
  <c r="E8" i="6"/>
  <c r="E9" i="6"/>
  <c r="E10" i="6"/>
  <c r="E6" i="6"/>
  <c r="D7" i="6"/>
  <c r="D8" i="6"/>
  <c r="D9" i="6"/>
  <c r="D10" i="6"/>
  <c r="D6" i="6"/>
  <c r="A14" i="4"/>
  <c r="A13" i="4"/>
  <c r="A12" i="4"/>
  <c r="A11" i="4"/>
  <c r="A10" i="4"/>
  <c r="B10" i="4"/>
  <c r="B11" i="4"/>
  <c r="B12" i="4"/>
  <c r="B13" i="4"/>
  <c r="B14" i="4"/>
  <c r="B9" i="4"/>
  <c r="A9" i="4"/>
  <c r="D9" i="4" s="1"/>
  <c r="D9" i="3"/>
  <c r="C9" i="3"/>
  <c r="G9" i="3" s="1"/>
  <c r="C16" i="1"/>
  <c r="E16" i="1" s="1"/>
  <c r="D13" i="1"/>
  <c r="C13" i="1"/>
  <c r="D6" i="1"/>
  <c r="C38" i="5"/>
  <c r="D14" i="4" l="1"/>
  <c r="D13" i="4"/>
  <c r="D12" i="4"/>
  <c r="D11" i="4"/>
  <c r="D10" i="4"/>
  <c r="E9" i="3"/>
  <c r="F9" i="3"/>
  <c r="E13" i="1"/>
</calcChain>
</file>

<file path=xl/sharedStrings.xml><?xml version="1.0" encoding="utf-8"?>
<sst xmlns="http://schemas.openxmlformats.org/spreadsheetml/2006/main" count="129" uniqueCount="103">
  <si>
    <t>Cálculo de Fechas</t>
  </si>
  <si>
    <t>Dato</t>
  </si>
  <si>
    <t>Fecha Corta</t>
  </si>
  <si>
    <t>Dia 1 ► 01/01/1900</t>
  </si>
  <si>
    <r>
      <rPr>
        <b/>
        <sz val="11"/>
        <color theme="1"/>
        <rFont val="Aptos Narrow"/>
        <family val="2"/>
        <scheme val="minor"/>
      </rPr>
      <t>Diferencia de Fechas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=</t>
    </r>
    <r>
      <rPr>
        <sz val="11"/>
        <color theme="1"/>
        <rFont val="Aptos Narrow"/>
        <family val="2"/>
        <scheme val="minor"/>
      </rPr>
      <t xml:space="preserve"> Fecha reciente - Fecha mas antigua</t>
    </r>
  </si>
  <si>
    <t>Caso 1</t>
  </si>
  <si>
    <t>Fecha Inicial</t>
  </si>
  <si>
    <t>Fecha Reciente</t>
  </si>
  <si>
    <t>Dif Dias</t>
  </si>
  <si>
    <t>Caso 2</t>
  </si>
  <si>
    <t>Fecha</t>
  </si>
  <si>
    <t>Aumento de Días</t>
  </si>
  <si>
    <t>Fecha Compromiso</t>
  </si>
  <si>
    <t>Funciones de fechas (elementales)</t>
  </si>
  <si>
    <t>Fecha Actual</t>
  </si>
  <si>
    <t>Fecha-Hora Actual</t>
  </si>
  <si>
    <t>Dia</t>
  </si>
  <si>
    <t>Mes</t>
  </si>
  <si>
    <t>Año</t>
  </si>
  <si>
    <t>Funcion SIFECHA
SIFECHA(Fecha_Inicial,Fecha_Final,Unidad)</t>
  </si>
  <si>
    <t>Diferencia entre dos fechas , obteniendo resultados de periodos de tiempo</t>
  </si>
  <si>
    <t>Fecha Contratación</t>
  </si>
  <si>
    <t>Unidad</t>
  </si>
  <si>
    <t>Resultado</t>
  </si>
  <si>
    <t>Devuelve</t>
  </si>
  <si>
    <t>"Y"</t>
  </si>
  <si>
    <t>El número de años completos en el período.</t>
  </si>
  <si>
    <t>"M"</t>
  </si>
  <si>
    <t>El número de meses completos en el período.</t>
  </si>
  <si>
    <t>"D"</t>
  </si>
  <si>
    <t>El número de días en el período.</t>
  </si>
  <si>
    <t>"MD"</t>
  </si>
  <si>
    <t>La diferencia entre los días en fecha_inicial y fecha_final. Los meses y años de las fechas se pasan por alto.</t>
  </si>
  <si>
    <t>"YM"</t>
  </si>
  <si>
    <t>"YD"</t>
  </si>
  <si>
    <r>
      <t>Importante: </t>
    </r>
    <r>
      <rPr>
        <sz val="10"/>
        <color rgb="FF1E1E1E"/>
        <rFont val="Segoe UI"/>
        <family val="2"/>
      </rPr>
      <t>No se recomienda usar el argumento "MD", ya que su uso presenta limitaciones conocidas. Vea la sección de problemas conocidos a continuación.</t>
    </r>
  </si>
  <si>
    <t>La diferencia entre los meses de fecha_inicial y fecha_final. Los días y años de las fechas se pasan por alto</t>
  </si>
  <si>
    <t>La diferencia entre los días de fecha_inicial y fecha_final. Los años de las fechas se pasan por alto.</t>
  </si>
  <si>
    <t>Funciones DIA.LAB y DIAS.LAB</t>
  </si>
  <si>
    <t>=DIA.LAB(fecha_inicial,días,vacaciones)</t>
  </si>
  <si>
    <t>Dias Vacaciones</t>
  </si>
  <si>
    <t>=DIA.LAB.INTL(fecha_inicial,días,fin_de_semana,días_no_laborables)</t>
  </si>
  <si>
    <t>Fecha Regreso</t>
  </si>
  <si>
    <t>=DIAS.LAB(fecha_inicial,fecha_final,vacaciones)</t>
  </si>
  <si>
    <t>=DIAS.LAB.INTL(fecha_inicial,fecha_final,fin_de_semana,días_no_laborables)</t>
  </si>
  <si>
    <t>Perú - Días Festivos 2024</t>
  </si>
  <si>
    <t>Colombia - Días Festivos 2024</t>
  </si>
  <si>
    <t>Ecuador - Días Festivos 2024</t>
  </si>
  <si>
    <t>Festivo</t>
  </si>
  <si>
    <t>número de fin de semana</t>
  </si>
  <si>
    <t>Días de fin de semana</t>
  </si>
  <si>
    <t>Año Nuevo</t>
  </si>
  <si>
    <t>1 u omitido</t>
  </si>
  <si>
    <t>Sábado, domingo</t>
  </si>
  <si>
    <t>Viernes Santo</t>
  </si>
  <si>
    <t>Día de los Reyes Magos</t>
  </si>
  <si>
    <t>Domingo, lunes</t>
  </si>
  <si>
    <t>Día del Trabajo</t>
  </si>
  <si>
    <t>Día de San José</t>
  </si>
  <si>
    <t>Lunes, martes</t>
  </si>
  <si>
    <t>Día de San Pedro y San Pablo</t>
  </si>
  <si>
    <t>Batalla del Pichincha</t>
  </si>
  <si>
    <t>Martes, miércoles</t>
  </si>
  <si>
    <t>Día de la Independencia</t>
  </si>
  <si>
    <t>Primer Grito de Independencia</t>
  </si>
  <si>
    <t>Miércoles, jueves</t>
  </si>
  <si>
    <t>Celebración de la Independencia</t>
  </si>
  <si>
    <t>San Pedro y San Pablo</t>
  </si>
  <si>
    <t>Independencia de Guayaquil</t>
  </si>
  <si>
    <t>Jueves, viernes</t>
  </si>
  <si>
    <t>Día de Santa Rosa de Lima</t>
  </si>
  <si>
    <t>Día de los Difuntos</t>
  </si>
  <si>
    <t>Viernes, sábado</t>
  </si>
  <si>
    <t>Combate de Angamos</t>
  </si>
  <si>
    <t>Batalla de Boyacá</t>
  </si>
  <si>
    <t>Independencia de Cuenca</t>
  </si>
  <si>
    <t>Solo domingo</t>
  </si>
  <si>
    <t>Día de Todos los Santos</t>
  </si>
  <si>
    <t>Asunción de la Virgen</t>
  </si>
  <si>
    <t>Navidad</t>
  </si>
  <si>
    <t>Solo lunes</t>
  </si>
  <si>
    <t>Día de la Inmaculada Concepción</t>
  </si>
  <si>
    <t>Día de la Raza</t>
  </si>
  <si>
    <t>Solo martes</t>
  </si>
  <si>
    <t>Solo miércoles</t>
  </si>
  <si>
    <t>Independencia de Cartagena</t>
  </si>
  <si>
    <t>Solo jueves</t>
  </si>
  <si>
    <t>Solo viernes</t>
  </si>
  <si>
    <t>Solo sábado</t>
  </si>
  <si>
    <t>Fecha Final</t>
  </si>
  <si>
    <t>Funciones HORA, MINUTO, SEGUNDO</t>
  </si>
  <si>
    <t>Empleado</t>
  </si>
  <si>
    <t>Hora Entrada</t>
  </si>
  <si>
    <t>Hora Salida</t>
  </si>
  <si>
    <t>Hora</t>
  </si>
  <si>
    <t>Minuto</t>
  </si>
  <si>
    <t>Segundo</t>
  </si>
  <si>
    <t>Horas Trabajadas</t>
  </si>
  <si>
    <t>Mike Ramirez</t>
  </si>
  <si>
    <t>Ana Perez</t>
  </si>
  <si>
    <t>Agusto Silva</t>
  </si>
  <si>
    <t>Lionel Messi</t>
  </si>
  <si>
    <t>Cristiano Ronaldo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</si>
</sst>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€&quot;_-;\-* #,##0.00\ &quot;€&quot;_-;_-* &quot;-&quot;??\ &quot;€&quot;_-;_-@_-"/>
    <numFmt numFmtId="164" formatCode="[hh]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336600"/>
      <name val="Aptos Narrow"/>
      <family val="2"/>
      <scheme val="minor"/>
    </font>
    <font>
      <b/>
      <sz val="10"/>
      <color rgb="FF393939"/>
      <name val="Segoe UI"/>
      <family val="2"/>
    </font>
    <font>
      <sz val="10"/>
      <color rgb="FF1E1E1E"/>
      <name val="Segoe UI"/>
      <family val="2"/>
    </font>
    <font>
      <b/>
      <sz val="10"/>
      <color rgb="FF1E1E1E"/>
      <name val="Segoe UI"/>
      <family val="2"/>
    </font>
    <font>
      <sz val="10"/>
      <color theme="1"/>
      <name val="Aptos Narrow"/>
      <family val="2"/>
      <scheme val="minor"/>
    </font>
    <font>
      <b/>
      <sz val="10"/>
      <color rgb="FF336600"/>
      <name val="Segoe UI"/>
      <family val="2"/>
    </font>
    <font>
      <b/>
      <sz val="16"/>
      <color rgb="FF00660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0"/>
      <color rgb="FF006600"/>
      <name val="Aptos Narrow"/>
      <family val="2"/>
      <scheme val="minor"/>
    </font>
    <font>
      <b/>
      <i/>
      <sz val="12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8DB6A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2" borderId="0">
      <alignment horizontal="center"/>
    </xf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4" fillId="2" borderId="1" xfId="1" applyFont="1" applyBorder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4" fontId="0" fillId="0" borderId="0" xfId="0" applyNumberFormat="1"/>
    <xf numFmtId="0" fontId="6" fillId="0" borderId="0" xfId="0" applyFont="1" applyAlignment="1">
      <alignment horizontal="center"/>
    </xf>
    <xf numFmtId="0" fontId="4" fillId="2" borderId="1" xfId="1" applyFont="1" applyBorder="1" applyAlignment="1">
      <alignment horizontal="center" wrapText="1"/>
    </xf>
    <xf numFmtId="0" fontId="3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left" vertical="center" wrapText="1" indent="1"/>
    </xf>
    <xf numFmtId="0" fontId="8" fillId="3" borderId="3" xfId="0" applyFont="1" applyFill="1" applyBorder="1" applyAlignment="1">
      <alignment horizontal="left" vertical="center" wrapText="1" indent="1"/>
    </xf>
    <xf numFmtId="0" fontId="10" fillId="3" borderId="5" xfId="0" applyFont="1" applyFill="1" applyBorder="1" applyAlignment="1">
      <alignment horizontal="left" vertical="center" wrapText="1" indent="1"/>
    </xf>
    <xf numFmtId="0" fontId="9" fillId="3" borderId="5" xfId="0" applyFont="1" applyFill="1" applyBorder="1" applyAlignment="1">
      <alignment vertical="center" wrapText="1" indent="1"/>
    </xf>
    <xf numFmtId="0" fontId="10" fillId="3" borderId="7" xfId="0" applyFont="1" applyFill="1" applyBorder="1" applyAlignment="1">
      <alignment vertical="top" wrapText="1" indent="1"/>
    </xf>
    <xf numFmtId="0" fontId="7" fillId="4" borderId="8" xfId="0" applyFont="1" applyFill="1" applyBorder="1" applyAlignment="1">
      <alignment horizontal="left" vertical="center" wrapText="1" indent="1"/>
    </xf>
    <xf numFmtId="0" fontId="8" fillId="3" borderId="8" xfId="0" applyFont="1" applyFill="1" applyBorder="1" applyAlignment="1">
      <alignment horizontal="left" vertical="center" wrapText="1" indent="1"/>
    </xf>
    <xf numFmtId="0" fontId="8" fillId="3" borderId="8" xfId="0" applyFont="1" applyFill="1" applyBorder="1" applyAlignment="1">
      <alignment horizontal="center" vertical="center" wrapText="1"/>
    </xf>
    <xf numFmtId="0" fontId="0" fillId="5" borderId="0" xfId="0" applyFill="1"/>
    <xf numFmtId="0" fontId="1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5" fillId="0" borderId="0" xfId="0" quotePrefix="1" applyFont="1"/>
    <xf numFmtId="21" fontId="0" fillId="0" borderId="1" xfId="0" applyNumberFormat="1" applyBorder="1"/>
    <xf numFmtId="14" fontId="0" fillId="0" borderId="1" xfId="0" applyNumberFormat="1" applyBorder="1"/>
    <xf numFmtId="22" fontId="0" fillId="0" borderId="1" xfId="0" applyNumberFormat="1" applyBorder="1"/>
    <xf numFmtId="1" fontId="0" fillId="0" borderId="0" xfId="0" applyNumberFormat="1"/>
    <xf numFmtId="164" fontId="0" fillId="0" borderId="0" xfId="0" applyNumberFormat="1"/>
    <xf numFmtId="0" fontId="11" fillId="3" borderId="1" xfId="0" applyFont="1" applyFill="1" applyBorder="1" applyAlignment="1">
      <alignment horizontal="center" vertical="center" wrapText="1" indent="1"/>
    </xf>
    <xf numFmtId="0" fontId="12" fillId="5" borderId="0" xfId="0" applyFont="1" applyFill="1" applyAlignment="1">
      <alignment horizontal="center"/>
    </xf>
    <xf numFmtId="0" fontId="11" fillId="3" borderId="2" xfId="0" applyFont="1" applyFill="1" applyBorder="1" applyAlignment="1">
      <alignment horizontal="left" vertical="center" wrapText="1" indent="1"/>
    </xf>
    <xf numFmtId="0" fontId="11" fillId="3" borderId="4" xfId="0" applyFont="1" applyFill="1" applyBorder="1" applyAlignment="1">
      <alignment horizontal="left" vertical="center" wrapText="1" indent="1"/>
    </xf>
    <xf numFmtId="0" fontId="11" fillId="3" borderId="6" xfId="0" applyFont="1" applyFill="1" applyBorder="1" applyAlignment="1">
      <alignment horizontal="left" vertical="center" wrapText="1" indent="1"/>
    </xf>
    <xf numFmtId="0" fontId="12" fillId="5" borderId="0" xfId="0" applyFont="1" applyFill="1" applyAlignment="1">
      <alignment horizontal="center" wrapText="1"/>
    </xf>
    <xf numFmtId="0" fontId="14" fillId="5" borderId="0" xfId="0" applyFont="1" applyFill="1" applyAlignment="1">
      <alignment horizontal="center"/>
    </xf>
    <xf numFmtId="164" fontId="0" fillId="0" borderId="1" xfId="0" applyNumberFormat="1" applyBorder="1"/>
  </cellXfs>
  <cellStyles count="3">
    <cellStyle name="Estilo 1" xfId="1" xr:uid="{BF61F11E-87E2-4EF5-BA8F-15793588887B}"/>
    <cellStyle name="Moneda 2" xfId="2" xr:uid="{077E292F-1A9A-4298-8076-1217A0C52563}"/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3649DA0A-A4F6-4F04-AF97-E734E5C694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4845E1-47B7-4F35-86F8-FE1D347D5EFE}" name="Peru" displayName="Peru" ref="B12:C23" totalsRowShown="0" headerRowDxfId="8">
  <autoFilter ref="B12:C23" xr:uid="{C04845E1-47B7-4F35-86F8-FE1D347D5EFE}"/>
  <tableColumns count="2">
    <tableColumn id="1" xr3:uid="{3E3A1150-AFD3-4D43-92CC-821560340221}" name="Fecha" dataDxfId="7"/>
    <tableColumn id="2" xr3:uid="{5D9EEB88-6FDF-421B-8445-44FAD1B07A5A}" name="Festivo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CA28BB-0C9D-425A-A1CF-FCD6B078B100}" name="Colombia" displayName="Colombia" ref="F12:G26" totalsRowShown="0" headerRowDxfId="5">
  <autoFilter ref="F12:G26" xr:uid="{89CA28BB-0C9D-425A-A1CF-FCD6B078B100}"/>
  <tableColumns count="2">
    <tableColumn id="1" xr3:uid="{6DF15319-BD58-4A25-A779-E9D5D2FC9CCD}" name="Fecha" dataDxfId="4"/>
    <tableColumn id="2" xr3:uid="{24AE4F9E-86BE-4EAA-80B5-7416C4F29E5B}" name="Festivo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A5DA6A-48F0-4341-BB1B-C4CC7754F352}" name="Ecuador" displayName="Ecuador" ref="I12:J21" totalsRowShown="0" headerRowDxfId="2">
  <autoFilter ref="I12:J21" xr:uid="{F0A5DA6A-48F0-4341-BB1B-C4CC7754F352}"/>
  <tableColumns count="2">
    <tableColumn id="1" xr3:uid="{980F579B-880C-4E26-B748-725A1C178586}" name="Fecha" dataDxfId="1"/>
    <tableColumn id="2" xr3:uid="{D0A3CD0B-66E7-4960-9CDB-19A147504877}" name="Festiv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1AF62-F734-4255-8C2A-D8159E3280AA}">
  <dimension ref="A1:L16"/>
  <sheetViews>
    <sheetView zoomScale="124" zoomScaleNormal="124" workbookViewId="0">
      <selection activeCell="E17" sqref="E17"/>
    </sheetView>
  </sheetViews>
  <sheetFormatPr defaultColWidth="11.42578125" defaultRowHeight="14.45"/>
  <cols>
    <col min="1" max="1" width="9.42578125" bestFit="1" customWidth="1"/>
    <col min="2" max="2" width="17.5703125" bestFit="1" customWidth="1"/>
    <col min="3" max="3" width="12.42578125" bestFit="1" customWidth="1"/>
    <col min="4" max="4" width="24.85546875" bestFit="1" customWidth="1"/>
    <col min="5" max="5" width="17.7109375" bestFit="1" customWidth="1"/>
    <col min="6" max="6" width="17.140625" bestFit="1" customWidth="1"/>
    <col min="7" max="7" width="9.42578125" bestFit="1" customWidth="1"/>
    <col min="8" max="9" width="10.42578125" bestFit="1" customWidth="1"/>
    <col min="10" max="10" width="9.42578125" bestFit="1" customWidth="1"/>
    <col min="11" max="11" width="13.28515625" bestFit="1" customWidth="1"/>
  </cols>
  <sheetData>
    <row r="1" spans="1:12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21">
      <c r="A2" s="18"/>
      <c r="B2" s="30" t="s">
        <v>0</v>
      </c>
      <c r="C2" s="30"/>
      <c r="D2" s="30"/>
      <c r="E2" s="30"/>
      <c r="F2" s="30"/>
      <c r="G2" s="30"/>
      <c r="H2" s="30"/>
      <c r="I2" s="18"/>
      <c r="J2" s="18"/>
      <c r="K2" s="18"/>
      <c r="L2" s="18"/>
    </row>
    <row r="3" spans="1:1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5" spans="1:12">
      <c r="C5" s="1" t="s">
        <v>1</v>
      </c>
      <c r="D5" s="1" t="s">
        <v>2</v>
      </c>
    </row>
    <row r="6" spans="1:12">
      <c r="B6" t="s">
        <v>3</v>
      </c>
      <c r="C6" s="3">
        <v>1</v>
      </c>
      <c r="D6" s="4">
        <f>C6</f>
        <v>1</v>
      </c>
    </row>
    <row r="9" spans="1:12">
      <c r="A9" t="s">
        <v>4</v>
      </c>
    </row>
    <row r="11" spans="1:12">
      <c r="B11" s="5" t="s">
        <v>5</v>
      </c>
    </row>
    <row r="12" spans="1:12">
      <c r="C12" s="1" t="s">
        <v>6</v>
      </c>
      <c r="D12" s="1" t="s">
        <v>7</v>
      </c>
      <c r="E12" s="1" t="s">
        <v>8</v>
      </c>
    </row>
    <row r="13" spans="1:12">
      <c r="C13" s="4">
        <f ca="1">TODAY()-300</f>
        <v>45717</v>
      </c>
      <c r="D13" s="4">
        <f ca="1">TODAY()</f>
        <v>46017</v>
      </c>
      <c r="E13">
        <f ca="1">D13-C13</f>
        <v>300</v>
      </c>
    </row>
    <row r="15" spans="1:12">
      <c r="B15" s="5" t="s">
        <v>9</v>
      </c>
      <c r="C15" s="1" t="s">
        <v>10</v>
      </c>
      <c r="D15" s="1" t="s">
        <v>11</v>
      </c>
      <c r="E15" s="1" t="s">
        <v>12</v>
      </c>
    </row>
    <row r="16" spans="1:12">
      <c r="C16" s="4">
        <f ca="1">TODAY()</f>
        <v>46017</v>
      </c>
      <c r="D16">
        <v>300</v>
      </c>
      <c r="E16" s="4">
        <f ca="1">C16+D16</f>
        <v>46317</v>
      </c>
    </row>
  </sheetData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32C7-B509-4D66-9EE2-E9307EAAFD3A}">
  <dimension ref="A1:L9"/>
  <sheetViews>
    <sheetView zoomScale="150" zoomScaleNormal="150" workbookViewId="0">
      <selection activeCell="D9" sqref="D9"/>
    </sheetView>
  </sheetViews>
  <sheetFormatPr defaultColWidth="11.42578125" defaultRowHeight="14.45"/>
  <cols>
    <col min="1" max="1" width="9.42578125" bestFit="1" customWidth="1"/>
    <col min="2" max="2" width="17.5703125" bestFit="1" customWidth="1"/>
    <col min="3" max="3" width="11.7109375" bestFit="1" customWidth="1"/>
    <col min="4" max="4" width="16.42578125" bestFit="1" customWidth="1"/>
    <col min="5" max="5" width="7.42578125" customWidth="1"/>
    <col min="6" max="6" width="6.42578125" customWidth="1"/>
    <col min="7" max="7" width="8" customWidth="1"/>
    <col min="8" max="9" width="10.42578125" bestFit="1" customWidth="1"/>
    <col min="10" max="10" width="9.42578125" bestFit="1" customWidth="1"/>
    <col min="11" max="11" width="13.28515625" bestFit="1" customWidth="1"/>
  </cols>
  <sheetData>
    <row r="1" spans="1:12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21">
      <c r="A2" s="18"/>
      <c r="B2" s="30" t="s">
        <v>13</v>
      </c>
      <c r="C2" s="30"/>
      <c r="D2" s="30"/>
      <c r="E2" s="30"/>
      <c r="F2" s="30"/>
      <c r="G2" s="30"/>
      <c r="H2" s="30"/>
      <c r="I2" s="18"/>
      <c r="J2" s="18"/>
      <c r="K2" s="18"/>
      <c r="L2" s="18"/>
    </row>
    <row r="3" spans="1:1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8" spans="1:12"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</row>
    <row r="9" spans="1:12">
      <c r="C9" s="25">
        <f ca="1">TODAY()</f>
        <v>46017</v>
      </c>
      <c r="D9" s="26">
        <f ca="1">NOW()</f>
        <v>46017.301235069448</v>
      </c>
      <c r="E9" s="2">
        <f ca="1">DAY(C9)</f>
        <v>26</v>
      </c>
      <c r="F9" s="2">
        <f ca="1">MONTH(C9)</f>
        <v>12</v>
      </c>
      <c r="G9" s="2">
        <f ca="1">YEAR(C9)</f>
        <v>2025</v>
      </c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B329-CE68-4E02-A3A1-F669F4456854}">
  <dimension ref="A1:L17"/>
  <sheetViews>
    <sheetView topLeftCell="A7" zoomScale="120" zoomScaleNormal="120" workbookViewId="0">
      <selection activeCell="C16" sqref="C16"/>
    </sheetView>
  </sheetViews>
  <sheetFormatPr defaultColWidth="11.42578125" defaultRowHeight="14.45"/>
  <cols>
    <col min="1" max="1" width="14.28515625" customWidth="1"/>
    <col min="2" max="2" width="13.5703125" customWidth="1"/>
    <col min="3" max="3" width="16.42578125" bestFit="1" customWidth="1"/>
    <col min="4" max="4" width="16.140625" customWidth="1"/>
    <col min="5" max="5" width="9.5703125" bestFit="1" customWidth="1"/>
    <col min="6" max="6" width="11.28515625" customWidth="1"/>
    <col min="7" max="7" width="42.28515625" customWidth="1"/>
    <col min="8" max="8" width="10.42578125" bestFit="1" customWidth="1"/>
    <col min="9" max="9" width="9.42578125" bestFit="1" customWidth="1"/>
    <col min="10" max="10" width="13.28515625" bestFit="1" customWidth="1"/>
  </cols>
  <sheetData>
    <row r="1" spans="1:12" ht="25.9" customHeight="1">
      <c r="A1" s="18"/>
      <c r="B1" s="34" t="s">
        <v>19</v>
      </c>
      <c r="C1" s="34"/>
      <c r="D1" s="34"/>
      <c r="E1" s="34"/>
      <c r="F1" s="34"/>
      <c r="G1" s="34"/>
      <c r="H1" s="34"/>
      <c r="I1" s="18"/>
      <c r="J1" s="18"/>
      <c r="K1" s="18"/>
      <c r="L1" s="18"/>
    </row>
    <row r="2" spans="1:12">
      <c r="A2" s="18"/>
      <c r="B2" s="34"/>
      <c r="C2" s="34"/>
      <c r="D2" s="34"/>
      <c r="E2" s="34"/>
      <c r="F2" s="34"/>
      <c r="G2" s="34"/>
      <c r="H2" s="34"/>
      <c r="I2" s="18"/>
      <c r="J2" s="18"/>
      <c r="K2" s="18"/>
      <c r="L2" s="18"/>
    </row>
    <row r="3" spans="1:1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6" spans="1:12">
      <c r="A6" s="7" t="s">
        <v>20</v>
      </c>
    </row>
    <row r="8" spans="1:12" ht="28.9">
      <c r="A8" s="6" t="s">
        <v>21</v>
      </c>
      <c r="B8" s="6" t="s">
        <v>14</v>
      </c>
      <c r="C8" s="1" t="s">
        <v>22</v>
      </c>
      <c r="D8" s="1" t="s">
        <v>23</v>
      </c>
      <c r="F8" s="8" t="s">
        <v>22</v>
      </c>
      <c r="G8" s="8" t="s">
        <v>24</v>
      </c>
    </row>
    <row r="9" spans="1:12" ht="15">
      <c r="A9" s="25">
        <f ca="1">TODAY()-365</f>
        <v>45652</v>
      </c>
      <c r="B9" s="25">
        <f ca="1">TODAY()</f>
        <v>46017</v>
      </c>
      <c r="C9" s="29" t="s">
        <v>25</v>
      </c>
      <c r="D9" s="2">
        <f ca="1">DATEDIF(A9,B9,"Y")</f>
        <v>1</v>
      </c>
      <c r="F9" s="9" t="s">
        <v>25</v>
      </c>
      <c r="G9" s="10" t="s">
        <v>26</v>
      </c>
    </row>
    <row r="10" spans="1:12" ht="15">
      <c r="A10" s="25">
        <f ca="1">TODAY()-365</f>
        <v>45652</v>
      </c>
      <c r="B10" s="25">
        <f t="shared" ref="B10:B14" ca="1" si="0">TODAY()</f>
        <v>46017</v>
      </c>
      <c r="C10" s="29" t="s">
        <v>27</v>
      </c>
      <c r="D10" s="2">
        <f ca="1">DATEDIF(A10,B10,"M")</f>
        <v>12</v>
      </c>
      <c r="F10" s="9" t="s">
        <v>27</v>
      </c>
      <c r="G10" s="10" t="s">
        <v>28</v>
      </c>
    </row>
    <row r="11" spans="1:12" ht="15">
      <c r="A11" s="25">
        <f t="shared" ref="A11:A14" ca="1" si="1">TODAY()-365</f>
        <v>45652</v>
      </c>
      <c r="B11" s="25">
        <f t="shared" ca="1" si="0"/>
        <v>46017</v>
      </c>
      <c r="C11" s="29" t="s">
        <v>29</v>
      </c>
      <c r="D11" s="2">
        <f ca="1">DATEDIF(A11,B11,"D")</f>
        <v>365</v>
      </c>
      <c r="F11" s="9" t="s">
        <v>29</v>
      </c>
      <c r="G11" s="10" t="s">
        <v>30</v>
      </c>
    </row>
    <row r="12" spans="1:12" ht="43.5">
      <c r="A12" s="25">
        <f ca="1">TODAY()-360</f>
        <v>45657</v>
      </c>
      <c r="B12" s="25">
        <f t="shared" ca="1" si="0"/>
        <v>46017</v>
      </c>
      <c r="C12" s="29" t="s">
        <v>31</v>
      </c>
      <c r="D12" s="2">
        <f ca="1">DATEDIF(A12,B12,"MD")</f>
        <v>25</v>
      </c>
      <c r="F12" s="31" t="s">
        <v>31</v>
      </c>
      <c r="G12" s="11" t="s">
        <v>32</v>
      </c>
    </row>
    <row r="13" spans="1:12" ht="15">
      <c r="A13" s="25">
        <f ca="1">TODAY()-355</f>
        <v>45662</v>
      </c>
      <c r="B13" s="25">
        <f t="shared" ca="1" si="0"/>
        <v>46017</v>
      </c>
      <c r="C13" s="29" t="s">
        <v>33</v>
      </c>
      <c r="D13" s="2">
        <f ca="1">DATEDIF(A13,B13,"YM")</f>
        <v>11</v>
      </c>
      <c r="F13" s="32"/>
      <c r="G13" s="12"/>
    </row>
    <row r="14" spans="1:12" ht="57.75">
      <c r="A14" s="25">
        <f ca="1">TODAY()-345</f>
        <v>45672</v>
      </c>
      <c r="B14" s="25">
        <f t="shared" ca="1" si="0"/>
        <v>46017</v>
      </c>
      <c r="C14" s="29" t="s">
        <v>34</v>
      </c>
      <c r="D14" s="2">
        <f ca="1">DATEDIF(A14,B14,"YD")</f>
        <v>345</v>
      </c>
      <c r="F14" s="32"/>
      <c r="G14" s="13" t="s">
        <v>35</v>
      </c>
    </row>
    <row r="15" spans="1:12" ht="15">
      <c r="F15" s="33"/>
      <c r="G15" s="14"/>
    </row>
    <row r="16" spans="1:12" ht="43.5">
      <c r="F16" s="9" t="s">
        <v>33</v>
      </c>
      <c r="G16" s="10" t="s">
        <v>36</v>
      </c>
    </row>
    <row r="17" spans="1:7" ht="43.5">
      <c r="A17" s="4"/>
      <c r="B17" s="4"/>
      <c r="F17" s="9" t="s">
        <v>34</v>
      </c>
      <c r="G17" s="10" t="s">
        <v>37</v>
      </c>
    </row>
  </sheetData>
  <mergeCells count="2">
    <mergeCell ref="F12:F15"/>
    <mergeCell ref="B1:H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1DF8-B279-429F-91A2-5887CEE96986}">
  <dimension ref="A1:M40"/>
  <sheetViews>
    <sheetView workbookViewId="0">
      <selection activeCell="D8" sqref="D8"/>
    </sheetView>
  </sheetViews>
  <sheetFormatPr defaultColWidth="17.85546875" defaultRowHeight="14.45"/>
  <cols>
    <col min="3" max="4" width="23.85546875" customWidth="1"/>
  </cols>
  <sheetData>
    <row r="1" spans="1:1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25.9">
      <c r="A2" s="18"/>
      <c r="B2" s="35" t="s">
        <v>38</v>
      </c>
      <c r="C2" s="35"/>
      <c r="D2" s="35"/>
      <c r="E2" s="35"/>
      <c r="F2" s="35"/>
      <c r="G2" s="35"/>
      <c r="H2" s="35"/>
      <c r="I2" s="35"/>
      <c r="J2" s="18"/>
      <c r="K2" s="18"/>
      <c r="L2" s="18"/>
      <c r="M2" s="18"/>
    </row>
    <row r="3" spans="1:1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5" spans="1:13" ht="15.6">
      <c r="B5" t="s">
        <v>6</v>
      </c>
      <c r="C5" s="4">
        <f ca="1">TODAY()-15</f>
        <v>46002</v>
      </c>
      <c r="D5" s="4">
        <f ca="1">TODAY()-15</f>
        <v>46002</v>
      </c>
      <c r="F5" s="23" t="s">
        <v>39</v>
      </c>
    </row>
    <row r="6" spans="1:13" ht="15.6">
      <c r="B6" t="s">
        <v>40</v>
      </c>
      <c r="C6">
        <v>15</v>
      </c>
      <c r="D6">
        <v>15</v>
      </c>
      <c r="F6" s="23" t="s">
        <v>41</v>
      </c>
    </row>
    <row r="7" spans="1:13" ht="15.6">
      <c r="B7" t="s">
        <v>42</v>
      </c>
      <c r="C7" s="4">
        <f ca="1">WORKDAY(C5,C6,Peru[Fecha])</f>
        <v>46023</v>
      </c>
      <c r="D7" s="4">
        <f ca="1">WORKDAY.INTL(D5,D6,2,Peru[Fecha])</f>
        <v>46023</v>
      </c>
      <c r="F7" s="23" t="s">
        <v>43</v>
      </c>
    </row>
    <row r="8" spans="1:13" ht="15.6">
      <c r="F8" s="23" t="s">
        <v>44</v>
      </c>
    </row>
    <row r="10" spans="1:13" ht="18">
      <c r="B10" s="19" t="s">
        <v>45</v>
      </c>
      <c r="F10" s="19" t="s">
        <v>46</v>
      </c>
      <c r="I10" s="19" t="s">
        <v>47</v>
      </c>
    </row>
    <row r="11" spans="1:13" ht="15" thickBot="1"/>
    <row r="12" spans="1:13" ht="30.6" thickBot="1">
      <c r="B12" s="20" t="s">
        <v>10</v>
      </c>
      <c r="C12" s="20" t="s">
        <v>48</v>
      </c>
      <c r="D12" s="20"/>
      <c r="F12" s="20" t="s">
        <v>10</v>
      </c>
      <c r="G12" s="20" t="s">
        <v>48</v>
      </c>
      <c r="H12" s="20"/>
      <c r="I12" s="20" t="s">
        <v>10</v>
      </c>
      <c r="J12" s="20" t="s">
        <v>48</v>
      </c>
      <c r="L12" s="15" t="s">
        <v>49</v>
      </c>
      <c r="M12" s="15" t="s">
        <v>50</v>
      </c>
    </row>
    <row r="13" spans="1:13" ht="15.6" thickBot="1">
      <c r="B13" s="21">
        <v>45292</v>
      </c>
      <c r="C13" s="22" t="s">
        <v>51</v>
      </c>
      <c r="D13" s="22"/>
      <c r="F13" s="21">
        <v>45292</v>
      </c>
      <c r="G13" s="22" t="s">
        <v>51</v>
      </c>
      <c r="H13" s="22"/>
      <c r="I13" s="21">
        <v>45292</v>
      </c>
      <c r="J13" s="22" t="s">
        <v>51</v>
      </c>
      <c r="L13" s="17" t="s">
        <v>52</v>
      </c>
      <c r="M13" s="17" t="s">
        <v>53</v>
      </c>
    </row>
    <row r="14" spans="1:13" ht="29.45" thickBot="1">
      <c r="B14" s="21">
        <v>45380</v>
      </c>
      <c r="C14" s="22" t="s">
        <v>54</v>
      </c>
      <c r="D14" s="22"/>
      <c r="F14" s="21">
        <v>45299</v>
      </c>
      <c r="G14" s="22" t="s">
        <v>55</v>
      </c>
      <c r="H14" s="22"/>
      <c r="I14" s="21">
        <v>45380</v>
      </c>
      <c r="J14" s="22" t="s">
        <v>54</v>
      </c>
      <c r="L14" s="17">
        <v>2</v>
      </c>
      <c r="M14" s="17" t="s">
        <v>56</v>
      </c>
    </row>
    <row r="15" spans="1:13" ht="15.6" thickBot="1">
      <c r="B15" s="21">
        <v>45413</v>
      </c>
      <c r="C15" s="22" t="s">
        <v>57</v>
      </c>
      <c r="D15" s="22"/>
      <c r="F15" s="21">
        <v>45376</v>
      </c>
      <c r="G15" s="22" t="s">
        <v>58</v>
      </c>
      <c r="H15" s="22"/>
      <c r="I15" s="21">
        <v>45413</v>
      </c>
      <c r="J15" s="22" t="s">
        <v>57</v>
      </c>
      <c r="L15" s="17">
        <v>3</v>
      </c>
      <c r="M15" s="17" t="s">
        <v>59</v>
      </c>
    </row>
    <row r="16" spans="1:13" ht="29.45" thickBot="1">
      <c r="B16" s="21">
        <v>45472</v>
      </c>
      <c r="C16" s="22" t="s">
        <v>60</v>
      </c>
      <c r="D16" s="22"/>
      <c r="F16" s="21">
        <v>45380</v>
      </c>
      <c r="G16" s="22" t="s">
        <v>54</v>
      </c>
      <c r="H16" s="22"/>
      <c r="I16" s="21">
        <v>45436</v>
      </c>
      <c r="J16" s="22" t="s">
        <v>61</v>
      </c>
      <c r="L16" s="17">
        <v>4</v>
      </c>
      <c r="M16" s="17" t="s">
        <v>62</v>
      </c>
    </row>
    <row r="17" spans="2:13" ht="29.45" thickBot="1">
      <c r="B17" s="21">
        <v>45501</v>
      </c>
      <c r="C17" s="22" t="s">
        <v>63</v>
      </c>
      <c r="D17" s="22"/>
      <c r="F17" s="21">
        <v>45413</v>
      </c>
      <c r="G17" s="22" t="s">
        <v>57</v>
      </c>
      <c r="H17" s="22"/>
      <c r="I17" s="21">
        <v>45514</v>
      </c>
      <c r="J17" s="22" t="s">
        <v>64</v>
      </c>
      <c r="L17" s="17">
        <v>5</v>
      </c>
      <c r="M17" s="17" t="s">
        <v>65</v>
      </c>
    </row>
    <row r="18" spans="2:13" ht="29.45" thickBot="1">
      <c r="B18" s="21">
        <v>45502</v>
      </c>
      <c r="C18" s="22" t="s">
        <v>66</v>
      </c>
      <c r="D18" s="22"/>
      <c r="F18" s="21">
        <v>45474</v>
      </c>
      <c r="G18" s="22" t="s">
        <v>67</v>
      </c>
      <c r="H18" s="22"/>
      <c r="I18" s="21">
        <v>45574</v>
      </c>
      <c r="J18" s="22" t="s">
        <v>68</v>
      </c>
      <c r="L18" s="17">
        <v>6</v>
      </c>
      <c r="M18" s="17" t="s">
        <v>69</v>
      </c>
    </row>
    <row r="19" spans="2:13" ht="29.45" thickBot="1">
      <c r="B19" s="21">
        <v>45534</v>
      </c>
      <c r="C19" s="22" t="s">
        <v>70</v>
      </c>
      <c r="D19" s="22"/>
      <c r="F19" s="21">
        <v>45493</v>
      </c>
      <c r="G19" s="22" t="s">
        <v>63</v>
      </c>
      <c r="H19" s="22"/>
      <c r="I19" s="21">
        <v>45598</v>
      </c>
      <c r="J19" s="22" t="s">
        <v>71</v>
      </c>
      <c r="L19" s="17">
        <v>7</v>
      </c>
      <c r="M19" s="17" t="s">
        <v>72</v>
      </c>
    </row>
    <row r="20" spans="2:13" ht="29.45" thickBot="1">
      <c r="B20" s="21">
        <v>45573</v>
      </c>
      <c r="C20" s="22" t="s">
        <v>73</v>
      </c>
      <c r="D20" s="22"/>
      <c r="F20" s="21">
        <v>45511</v>
      </c>
      <c r="G20" s="22" t="s">
        <v>74</v>
      </c>
      <c r="H20" s="22"/>
      <c r="I20" s="21">
        <v>45599</v>
      </c>
      <c r="J20" s="22" t="s">
        <v>75</v>
      </c>
      <c r="L20" s="17">
        <v>11</v>
      </c>
      <c r="M20" s="17" t="s">
        <v>76</v>
      </c>
    </row>
    <row r="21" spans="2:13" ht="29.45" thickBot="1">
      <c r="B21" s="21">
        <v>45597</v>
      </c>
      <c r="C21" s="22" t="s">
        <v>77</v>
      </c>
      <c r="D21" s="22"/>
      <c r="F21" s="21">
        <v>45523</v>
      </c>
      <c r="G21" s="22" t="s">
        <v>78</v>
      </c>
      <c r="H21" s="22"/>
      <c r="I21" s="21">
        <v>45651</v>
      </c>
      <c r="J21" s="22" t="s">
        <v>79</v>
      </c>
      <c r="L21" s="17">
        <v>12</v>
      </c>
      <c r="M21" s="17" t="s">
        <v>80</v>
      </c>
    </row>
    <row r="22" spans="2:13" ht="29.45" thickBot="1">
      <c r="B22" s="21">
        <v>45634</v>
      </c>
      <c r="C22" s="22" t="s">
        <v>81</v>
      </c>
      <c r="D22" s="22"/>
      <c r="F22" s="21">
        <v>45579</v>
      </c>
      <c r="G22" s="22" t="s">
        <v>82</v>
      </c>
      <c r="H22" s="22"/>
      <c r="L22" s="17">
        <v>13</v>
      </c>
      <c r="M22" s="17" t="s">
        <v>83</v>
      </c>
    </row>
    <row r="23" spans="2:13" ht="29.45" thickBot="1">
      <c r="B23" s="21">
        <v>45651</v>
      </c>
      <c r="C23" s="22" t="s">
        <v>79</v>
      </c>
      <c r="D23" s="22"/>
      <c r="F23" s="21">
        <v>45600</v>
      </c>
      <c r="G23" s="22" t="s">
        <v>77</v>
      </c>
      <c r="H23" s="22"/>
      <c r="L23" s="17">
        <v>14</v>
      </c>
      <c r="M23" s="17" t="s">
        <v>84</v>
      </c>
    </row>
    <row r="24" spans="2:13" ht="29.45" thickBot="1">
      <c r="F24" s="21">
        <v>45607</v>
      </c>
      <c r="G24" s="22" t="s">
        <v>85</v>
      </c>
      <c r="H24" s="22"/>
      <c r="L24" s="17">
        <v>15</v>
      </c>
      <c r="M24" s="17" t="s">
        <v>86</v>
      </c>
    </row>
    <row r="25" spans="2:13" ht="29.45" thickBot="1">
      <c r="F25" s="21">
        <v>45634</v>
      </c>
      <c r="G25" s="22" t="s">
        <v>81</v>
      </c>
      <c r="H25" s="22"/>
      <c r="L25" s="17">
        <v>16</v>
      </c>
      <c r="M25" s="17" t="s">
        <v>87</v>
      </c>
    </row>
    <row r="26" spans="2:13" ht="15.6" thickBot="1">
      <c r="F26" s="21">
        <v>45651</v>
      </c>
      <c r="G26" s="22" t="s">
        <v>79</v>
      </c>
      <c r="H26" s="22"/>
      <c r="L26" s="17">
        <v>17</v>
      </c>
      <c r="M26" s="16" t="s">
        <v>88</v>
      </c>
    </row>
    <row r="30" spans="2:13">
      <c r="C30" s="4"/>
    </row>
    <row r="31" spans="2:13">
      <c r="C31" s="4"/>
    </row>
    <row r="36" spans="2:3">
      <c r="B36" t="s">
        <v>6</v>
      </c>
      <c r="C36" s="4">
        <v>45292</v>
      </c>
    </row>
    <row r="37" spans="2:3">
      <c r="B37" t="s">
        <v>89</v>
      </c>
      <c r="C37" s="4">
        <v>45657</v>
      </c>
    </row>
    <row r="38" spans="2:3">
      <c r="C38">
        <f>NETWORKDAYS.INTL(C36,C37,L22,Peru[Fecha])</f>
        <v>303</v>
      </c>
    </row>
    <row r="40" spans="2:3">
      <c r="C40" s="27"/>
    </row>
  </sheetData>
  <mergeCells count="1">
    <mergeCell ref="B2:I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F610-954A-40BE-97DA-D9215CF808AD}">
  <dimension ref="A1:K11"/>
  <sheetViews>
    <sheetView tabSelected="1" zoomScale="130" zoomScaleNormal="130" workbookViewId="0">
      <selection activeCell="G7" sqref="G7"/>
    </sheetView>
  </sheetViews>
  <sheetFormatPr defaultColWidth="11.42578125" defaultRowHeight="14.45"/>
  <cols>
    <col min="1" max="1" width="15.28515625" bestFit="1" customWidth="1"/>
    <col min="4" max="4" width="17.28515625" bestFit="1" customWidth="1"/>
    <col min="7" max="7" width="15.5703125" bestFit="1" customWidth="1"/>
    <col min="10" max="10" width="24.85546875" bestFit="1" customWidth="1"/>
    <col min="11" max="11" width="21.7109375" bestFit="1" customWidth="1"/>
  </cols>
  <sheetData>
    <row r="1" spans="1:1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5.9">
      <c r="A2" s="18"/>
      <c r="B2" s="35" t="s">
        <v>90</v>
      </c>
      <c r="C2" s="35"/>
      <c r="D2" s="35"/>
      <c r="E2" s="35"/>
      <c r="F2" s="35"/>
      <c r="G2" s="35"/>
      <c r="H2" s="18"/>
      <c r="I2" s="18"/>
      <c r="J2" s="18"/>
      <c r="K2" s="18"/>
    </row>
    <row r="3" spans="1:1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5" spans="1:11">
      <c r="A5" s="1" t="s">
        <v>91</v>
      </c>
      <c r="B5" s="1" t="s">
        <v>92</v>
      </c>
      <c r="C5" s="1" t="s">
        <v>93</v>
      </c>
      <c r="D5" s="1" t="s">
        <v>94</v>
      </c>
      <c r="E5" s="1" t="s">
        <v>95</v>
      </c>
      <c r="F5" s="1" t="s">
        <v>96</v>
      </c>
      <c r="G5" s="1" t="s">
        <v>97</v>
      </c>
    </row>
    <row r="6" spans="1:11">
      <c r="A6" s="2" t="s">
        <v>98</v>
      </c>
      <c r="B6" s="24">
        <v>0.34193287037037035</v>
      </c>
      <c r="C6" s="24">
        <v>0.77251157407407411</v>
      </c>
      <c r="D6" s="2">
        <f>HOUR(C6)</f>
        <v>18</v>
      </c>
      <c r="E6" s="2">
        <f>MINUTE(C6)</f>
        <v>32</v>
      </c>
      <c r="F6" s="2">
        <f>SECOND(C6)</f>
        <v>25</v>
      </c>
      <c r="G6" s="36">
        <f>C6-B6</f>
        <v>0.43057870370370377</v>
      </c>
    </row>
    <row r="7" spans="1:11">
      <c r="A7" s="2" t="s">
        <v>99</v>
      </c>
      <c r="B7" s="24">
        <v>0.35571759259259261</v>
      </c>
      <c r="C7" s="24">
        <v>0.82793981481481482</v>
      </c>
      <c r="D7" s="2">
        <f t="shared" ref="D7:D10" si="0">HOUR(C7)</f>
        <v>19</v>
      </c>
      <c r="E7" s="2">
        <f t="shared" ref="E7:E10" si="1">MINUTE(C7)</f>
        <v>52</v>
      </c>
      <c r="F7" s="2">
        <f t="shared" ref="F7:F10" si="2">SECOND(C7)</f>
        <v>14</v>
      </c>
      <c r="G7" s="2"/>
    </row>
    <row r="8" spans="1:11">
      <c r="A8" s="2" t="s">
        <v>100</v>
      </c>
      <c r="B8" s="24">
        <v>0.33324074074074073</v>
      </c>
      <c r="C8" s="24">
        <v>0.77728009259259256</v>
      </c>
      <c r="D8" s="2">
        <f t="shared" si="0"/>
        <v>18</v>
      </c>
      <c r="E8" s="2">
        <f t="shared" si="1"/>
        <v>39</v>
      </c>
      <c r="F8" s="2">
        <f t="shared" si="2"/>
        <v>17</v>
      </c>
      <c r="G8" s="2"/>
    </row>
    <row r="9" spans="1:11">
      <c r="A9" s="2" t="s">
        <v>101</v>
      </c>
      <c r="B9" s="24">
        <v>0.32359953703703703</v>
      </c>
      <c r="C9" s="24">
        <v>0.77587962962962964</v>
      </c>
      <c r="D9" s="2">
        <f t="shared" si="0"/>
        <v>18</v>
      </c>
      <c r="E9" s="2">
        <f t="shared" si="1"/>
        <v>37</v>
      </c>
      <c r="F9" s="2">
        <f t="shared" si="2"/>
        <v>16</v>
      </c>
      <c r="G9" s="2"/>
    </row>
    <row r="10" spans="1:11">
      <c r="A10" s="2" t="s">
        <v>102</v>
      </c>
      <c r="B10" s="24">
        <v>0.36459490740740741</v>
      </c>
      <c r="C10" s="24">
        <v>0.82376157407407402</v>
      </c>
      <c r="D10" s="2">
        <f t="shared" si="0"/>
        <v>19</v>
      </c>
      <c r="E10" s="2">
        <f t="shared" si="1"/>
        <v>46</v>
      </c>
      <c r="F10" s="2">
        <f t="shared" si="2"/>
        <v>13</v>
      </c>
      <c r="G10" s="2"/>
    </row>
    <row r="11" spans="1:11">
      <c r="D11" s="28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Ramirez</dc:creator>
  <cp:keywords/>
  <dc:description/>
  <cp:lastModifiedBy/>
  <cp:revision/>
  <dcterms:created xsi:type="dcterms:W3CDTF">2024-03-30T01:27:32Z</dcterms:created>
  <dcterms:modified xsi:type="dcterms:W3CDTF">2025-12-26T12:20:49Z</dcterms:modified>
  <cp:category/>
  <cp:contentStatus/>
</cp:coreProperties>
</file>