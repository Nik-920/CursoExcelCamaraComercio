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guel\Documents\Formaciones\Camara de Comercio\"/>
    </mc:Choice>
  </mc:AlternateContent>
  <xr:revisionPtr revIDLastSave="0" documentId="8_{926915A2-32BF-4BBE-8D60-C615219C2977}" xr6:coauthVersionLast="47" xr6:coauthVersionMax="47" xr10:uidLastSave="{00000000-0000-0000-0000-000000000000}"/>
  <bookViews>
    <workbookView xWindow="-108" yWindow="-108" windowWidth="23256" windowHeight="12456" activeTab="6" xr2:uid="{0D238F83-3439-4A66-9F3F-EC270B602510}"/>
  </bookViews>
  <sheets>
    <sheet name="Funciones Logicas" sheetId="2" r:id="rId1"/>
    <sheet name="SI-Y-O" sheetId="1" r:id="rId2"/>
    <sheet name="SI" sheetId="6" r:id="rId3"/>
    <sheet name="Caso1" sheetId="4" r:id="rId4"/>
    <sheet name="Caso2" sheetId="5" r:id="rId5"/>
    <sheet name="CAMBIAR" sheetId="7" r:id="rId6"/>
    <sheet name="SI.CONJUNTO" sheetId="8" r:id="rId7"/>
  </sheets>
  <definedNames>
    <definedName name="Comisio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8" l="1" a="1"/>
  <c r="D16" i="8"/>
  <c r="D17" i="8" a="1"/>
  <c r="D17" i="8"/>
  <c r="D18" i="8" a="1"/>
  <c r="D18" i="8"/>
  <c r="D19" i="8" a="1"/>
  <c r="D19" i="8"/>
  <c r="D20" i="8" a="1"/>
  <c r="D20" i="8"/>
  <c r="D21" i="8" a="1"/>
  <c r="D21" i="8"/>
  <c r="D22" i="8" a="1"/>
  <c r="D22" i="8"/>
  <c r="D23" i="8" a="1"/>
  <c r="D23" i="8"/>
  <c r="D24" i="8" a="1"/>
  <c r="D24" i="8"/>
  <c r="D25" i="8" a="1"/>
  <c r="D25" i="8"/>
  <c r="D15" i="8" a="1"/>
  <c r="D15" i="8"/>
  <c r="C19" i="8"/>
  <c r="C20" i="8"/>
  <c r="C21" i="8"/>
  <c r="C22" i="8"/>
  <c r="C23" i="8"/>
  <c r="C24" i="8"/>
  <c r="C25" i="8"/>
  <c r="C16" i="8"/>
  <c r="C17" i="8"/>
  <c r="C18" i="8"/>
  <c r="C15" i="8"/>
  <c r="D10" i="7" a="1"/>
  <c r="D10" i="7"/>
  <c r="D11" i="7" a="1"/>
  <c r="D11" i="7"/>
  <c r="D12" i="7" a="1"/>
  <c r="D12" i="7"/>
  <c r="D13" i="7" a="1"/>
  <c r="D13" i="7"/>
  <c r="D14" i="7" a="1"/>
  <c r="D14" i="7"/>
  <c r="D15" i="7" a="1"/>
  <c r="D15" i="7"/>
  <c r="D16" i="7" a="1"/>
  <c r="D16" i="7"/>
  <c r="D17" i="7" a="1"/>
  <c r="D17" i="7"/>
  <c r="D18" i="7" a="1"/>
  <c r="D18" i="7"/>
  <c r="D19" i="7" a="1"/>
  <c r="D19" i="7"/>
  <c r="D20" i="7" a="1"/>
  <c r="D20" i="7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8" i="5"/>
  <c r="I9" i="5"/>
  <c r="K9" i="5" s="1"/>
  <c r="L9" i="5" s="1"/>
  <c r="I10" i="5"/>
  <c r="K10" i="5" s="1"/>
  <c r="L10" i="5" s="1"/>
  <c r="I11" i="5"/>
  <c r="K11" i="5" s="1"/>
  <c r="L11" i="5" s="1"/>
  <c r="I12" i="5"/>
  <c r="K12" i="5" s="1"/>
  <c r="L12" i="5" s="1"/>
  <c r="I13" i="5"/>
  <c r="K13" i="5" s="1"/>
  <c r="L13" i="5" s="1"/>
  <c r="I14" i="5"/>
  <c r="K14" i="5" s="1"/>
  <c r="L14" i="5" s="1"/>
  <c r="I15" i="5"/>
  <c r="K15" i="5" s="1"/>
  <c r="L15" i="5" s="1"/>
  <c r="I16" i="5"/>
  <c r="K16" i="5" s="1"/>
  <c r="L16" i="5" s="1"/>
  <c r="I17" i="5"/>
  <c r="K17" i="5" s="1"/>
  <c r="L17" i="5" s="1"/>
  <c r="I18" i="5"/>
  <c r="K18" i="5" s="1"/>
  <c r="L18" i="5" s="1"/>
  <c r="I19" i="5"/>
  <c r="K19" i="5" s="1"/>
  <c r="L19" i="5" s="1"/>
  <c r="I20" i="5"/>
  <c r="K20" i="5" s="1"/>
  <c r="L20" i="5" s="1"/>
  <c r="I21" i="5"/>
  <c r="K21" i="5" s="1"/>
  <c r="L21" i="5" s="1"/>
  <c r="I22" i="5"/>
  <c r="K22" i="5" s="1"/>
  <c r="L22" i="5" s="1"/>
  <c r="I23" i="5"/>
  <c r="K23" i="5" s="1"/>
  <c r="L23" i="5" s="1"/>
  <c r="I24" i="5"/>
  <c r="K24" i="5" s="1"/>
  <c r="L24" i="5" s="1"/>
  <c r="I25" i="5"/>
  <c r="K25" i="5" s="1"/>
  <c r="L25" i="5" s="1"/>
  <c r="I26" i="5"/>
  <c r="K26" i="5" s="1"/>
  <c r="L26" i="5" s="1"/>
  <c r="I27" i="5"/>
  <c r="K27" i="5" s="1"/>
  <c r="L27" i="5" s="1"/>
  <c r="I28" i="5"/>
  <c r="K28" i="5" s="1"/>
  <c r="L28" i="5" s="1"/>
  <c r="I29" i="5"/>
  <c r="K29" i="5" s="1"/>
  <c r="L29" i="5" s="1"/>
  <c r="I30" i="5"/>
  <c r="K30" i="5" s="1"/>
  <c r="L30" i="5" s="1"/>
  <c r="I8" i="5"/>
  <c r="K8" i="5" s="1"/>
  <c r="L8" i="5" s="1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8" i="5"/>
  <c r="H10" i="4"/>
  <c r="I10" i="4" s="1"/>
  <c r="J10" i="4" s="1"/>
  <c r="H11" i="4"/>
  <c r="I11" i="4" s="1"/>
  <c r="J11" i="4" s="1"/>
  <c r="H12" i="4"/>
  <c r="I12" i="4" s="1"/>
  <c r="J12" i="4" s="1"/>
  <c r="H13" i="4"/>
  <c r="I13" i="4" s="1"/>
  <c r="J13" i="4" s="1"/>
  <c r="H14" i="4"/>
  <c r="I14" i="4" s="1"/>
  <c r="J14" i="4" s="1"/>
  <c r="H15" i="4"/>
  <c r="I15" i="4" s="1"/>
  <c r="J15" i="4" s="1"/>
  <c r="H16" i="4"/>
  <c r="I16" i="4" s="1"/>
  <c r="J16" i="4" s="1"/>
  <c r="H17" i="4"/>
  <c r="I17" i="4" s="1"/>
  <c r="J17" i="4" s="1"/>
  <c r="H18" i="4"/>
  <c r="I18" i="4" s="1"/>
  <c r="J18" i="4" s="1"/>
  <c r="H19" i="4"/>
  <c r="I19" i="4" s="1"/>
  <c r="J19" i="4" s="1"/>
  <c r="H20" i="4"/>
  <c r="I20" i="4" s="1"/>
  <c r="J20" i="4" s="1"/>
  <c r="H21" i="4"/>
  <c r="I21" i="4" s="1"/>
  <c r="J21" i="4" s="1"/>
  <c r="H22" i="4"/>
  <c r="I22" i="4" s="1"/>
  <c r="J22" i="4" s="1"/>
  <c r="H23" i="4"/>
  <c r="I23" i="4" s="1"/>
  <c r="J23" i="4" s="1"/>
  <c r="H24" i="4"/>
  <c r="I24" i="4" s="1"/>
  <c r="J24" i="4" s="1"/>
  <c r="H25" i="4"/>
  <c r="I25" i="4" s="1"/>
  <c r="J25" i="4" s="1"/>
  <c r="H26" i="4"/>
  <c r="I26" i="4" s="1"/>
  <c r="J26" i="4" s="1"/>
  <c r="H27" i="4"/>
  <c r="I27" i="4" s="1"/>
  <c r="J27" i="4" s="1"/>
  <c r="H28" i="4"/>
  <c r="I28" i="4" s="1"/>
  <c r="J28" i="4" s="1"/>
  <c r="H29" i="4"/>
  <c r="I29" i="4" s="1"/>
  <c r="J29" i="4" s="1"/>
  <c r="H30" i="4"/>
  <c r="I30" i="4" s="1"/>
  <c r="J30" i="4" s="1"/>
  <c r="H31" i="4"/>
  <c r="I31" i="4" s="1"/>
  <c r="J31" i="4" s="1"/>
  <c r="H9" i="4"/>
  <c r="I9" i="4" s="1"/>
  <c r="J9" i="4" s="1"/>
  <c r="D25" i="6"/>
  <c r="D26" i="6"/>
  <c r="D27" i="6"/>
  <c r="D24" i="6"/>
  <c r="D17" i="6"/>
  <c r="D18" i="6"/>
  <c r="D19" i="6"/>
  <c r="D16" i="6"/>
  <c r="D9" i="6"/>
  <c r="D10" i="6"/>
  <c r="D8" i="6"/>
  <c r="D7" i="6"/>
  <c r="C13" i="7"/>
  <c r="C16" i="7"/>
  <c r="C14" i="7"/>
  <c r="C17" i="7"/>
  <c r="C15" i="7"/>
  <c r="C12" i="7"/>
  <c r="C18" i="7"/>
  <c r="C11" i="7"/>
  <c r="C10" i="7"/>
  <c r="C20" i="7"/>
  <c r="C19" i="7"/>
  <c r="C9" i="7"/>
  <c r="D9" i="7" s="1" a="1"/>
  <c r="D9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<sst xmlns="http://schemas.openxmlformats.org/spreadsheetml/2006/main" count="313" uniqueCount="108">
  <si>
    <t>Funciones  Lógicas</t>
  </si>
  <si>
    <t>=SI(prueba_lógica,valor_si_verdadero,valor_si_falso)</t>
  </si>
  <si>
    <t>=Y(valor_lógico1,valor_lógico2,...)</t>
  </si>
  <si>
    <t>=O(valor_lógico1,valor_lógico2,...)</t>
  </si>
  <si>
    <t>=SI.CONJUNTO(prueba_lógica,valor_si_verdadero,...)</t>
  </si>
  <si>
    <t>=CAMBIAR(expresión,valor1,resultado1,predeterminado_o_valor2,resultado2,...)</t>
  </si>
  <si>
    <t>Función Logica SI</t>
  </si>
  <si>
    <t>Operadores de Comparación</t>
  </si>
  <si>
    <t>=</t>
  </si>
  <si>
    <t>Igual que</t>
  </si>
  <si>
    <t>&gt;</t>
  </si>
  <si>
    <t>Mayor que</t>
  </si>
  <si>
    <t>&lt;</t>
  </si>
  <si>
    <t>Menor que</t>
  </si>
  <si>
    <t>&gt;=</t>
  </si>
  <si>
    <t>Mayor o igual que</t>
  </si>
  <si>
    <t>&lt;=</t>
  </si>
  <si>
    <t>Menor o igual que</t>
  </si>
  <si>
    <t>&lt;&gt;</t>
  </si>
  <si>
    <t>Distinto</t>
  </si>
  <si>
    <t>Texto</t>
  </si>
  <si>
    <t>Formula</t>
  </si>
  <si>
    <t>Numero</t>
  </si>
  <si>
    <t>Función Logica Y</t>
  </si>
  <si>
    <t>Licenciatura</t>
  </si>
  <si>
    <t>Soltero</t>
  </si>
  <si>
    <t>Dominio del Ingles</t>
  </si>
  <si>
    <t>Rango de Edad</t>
  </si>
  <si>
    <t>Peruano</t>
  </si>
  <si>
    <t>Función Logica O</t>
  </si>
  <si>
    <t>Si el candidato a contratar tiene edad mayor o igual que 18 años el resultado es "Contratado", en caso contrario "No Contratado"</t>
  </si>
  <si>
    <t>Nombres</t>
  </si>
  <si>
    <t>Edad</t>
  </si>
  <si>
    <t>Resultado Texto</t>
  </si>
  <si>
    <t>Ana</t>
  </si>
  <si>
    <t>Carlos</t>
  </si>
  <si>
    <t>Luisa</t>
  </si>
  <si>
    <t>Pedro</t>
  </si>
  <si>
    <t>Si el Sueldo es mayor o igual que $ 20,000  la persona recibira un Bono de del 5% Aplicado a al Sueldo.</t>
  </si>
  <si>
    <t>Sueldo</t>
  </si>
  <si>
    <t>Resultado Formula</t>
  </si>
  <si>
    <t>Andres</t>
  </si>
  <si>
    <t>Maria</t>
  </si>
  <si>
    <t>Benito</t>
  </si>
  <si>
    <t>Carmen</t>
  </si>
  <si>
    <t>Sueldo menor a $ 20,000  la persona recibira una Bono de $ 500 aplicado al Sueldo.</t>
  </si>
  <si>
    <t>Resultado Numero</t>
  </si>
  <si>
    <t>Determine si un Trabajador tiene derecho a recibir aumento salarial con las siguientes condiciones:</t>
  </si>
  <si>
    <t>Antigüedad Mayor de 10 Años</t>
  </si>
  <si>
    <t>Aumento 5%</t>
  </si>
  <si>
    <t xml:space="preserve">Sueldo Anual Mayor a 50.000,00 </t>
  </si>
  <si>
    <t>Tipo de Trabajador Permanente</t>
  </si>
  <si>
    <t>Genero</t>
  </si>
  <si>
    <t>Zonas del Pais</t>
  </si>
  <si>
    <t>Fecha de Contratacion</t>
  </si>
  <si>
    <t>Tipo de Trabajador</t>
  </si>
  <si>
    <t>Fecha Nacimiento</t>
  </si>
  <si>
    <t>Departamento</t>
  </si>
  <si>
    <t>Antigüedad Laboral</t>
  </si>
  <si>
    <t>Resultado Y</t>
  </si>
  <si>
    <t>Resultado</t>
  </si>
  <si>
    <t>Femenino</t>
  </si>
  <si>
    <t>Sureste</t>
  </si>
  <si>
    <t>Permanente</t>
  </si>
  <si>
    <t>Administración</t>
  </si>
  <si>
    <t>Centro</t>
  </si>
  <si>
    <t>Producción</t>
  </si>
  <si>
    <t>Noreste</t>
  </si>
  <si>
    <t>Almacen</t>
  </si>
  <si>
    <t>Noroeste</t>
  </si>
  <si>
    <t>Confianza</t>
  </si>
  <si>
    <t>Ventas</t>
  </si>
  <si>
    <t>Capital Humano</t>
  </si>
  <si>
    <t>Occidente</t>
  </si>
  <si>
    <t>Eventual</t>
  </si>
  <si>
    <t>Determine si un Trabajador tiene derecho a reibir un bono salarial con las siguientes condiciones del 5%:</t>
  </si>
  <si>
    <t>Empleados Departamento Almacen o Ventas</t>
  </si>
  <si>
    <t>Y = *</t>
  </si>
  <si>
    <t>Edad del Empleado Mayor a 35 años</t>
  </si>
  <si>
    <t>O =+</t>
  </si>
  <si>
    <t>Vendedores de Zonas a excepción de Sureste</t>
  </si>
  <si>
    <t>Resultado O</t>
  </si>
  <si>
    <t>Resultado 1</t>
  </si>
  <si>
    <t>Resultado 2</t>
  </si>
  <si>
    <t>Función Logica CAMBIAR</t>
  </si>
  <si>
    <t>Fecha</t>
  </si>
  <si>
    <t>Mes</t>
  </si>
  <si>
    <t>Bimestre</t>
  </si>
  <si>
    <t>1 al 2</t>
  </si>
  <si>
    <t>"1er Bimestre"</t>
  </si>
  <si>
    <t>3 al 4</t>
  </si>
  <si>
    <t>"2do Bimestre"</t>
  </si>
  <si>
    <t>5 al 6</t>
  </si>
  <si>
    <t>"3er Bimestre"</t>
  </si>
  <si>
    <t>7 al 8</t>
  </si>
  <si>
    <t>"4to Bimestre"</t>
  </si>
  <si>
    <t>9 al 10</t>
  </si>
  <si>
    <t>"5to Bimestre"</t>
  </si>
  <si>
    <t>11 al 12</t>
  </si>
  <si>
    <t>"6to Bimestre"</t>
  </si>
  <si>
    <t>Función Logica SI.CONJUNTO</t>
  </si>
  <si>
    <t>Producto</t>
  </si>
  <si>
    <t>Precio</t>
  </si>
  <si>
    <t>A</t>
  </si>
  <si>
    <t>B</t>
  </si>
  <si>
    <t>C</t>
  </si>
  <si>
    <t>D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</si>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</sst>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_-[$S/-280A]\ * #,##0.00_-;\-[$S/-280A]\ * #,##0.00_-;_-[$S/-280A]\ 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6"/>
      <color rgb="FF3F3F7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rgb="FF006600"/>
      <name val="Calibri"/>
      <family val="2"/>
      <scheme val="minor"/>
    </font>
    <font>
      <b/>
      <sz val="22"/>
      <color rgb="FF006600"/>
      <name val="Calibri"/>
      <family val="2"/>
      <scheme val="minor"/>
    </font>
    <font>
      <b/>
      <sz val="28"/>
      <color rgb="FF0066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165" fontId="1" fillId="0" borderId="0" applyFont="0" applyFill="0" applyBorder="0" applyAlignment="0" applyProtection="0"/>
    <xf numFmtId="0" fontId="10" fillId="3" borderId="3" applyNumberFormat="0" applyAlignment="0" applyProtection="0"/>
  </cellStyleXfs>
  <cellXfs count="42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3" fillId="2" borderId="2" xfId="3" applyBorder="1" applyAlignment="1">
      <alignment horizontal="center"/>
    </xf>
    <xf numFmtId="43" fontId="0" fillId="0" borderId="0" xfId="1" applyFont="1"/>
    <xf numFmtId="14" fontId="0" fillId="0" borderId="0" xfId="0" applyNumberFormat="1"/>
    <xf numFmtId="14" fontId="3" fillId="2" borderId="2" xfId="3" applyNumberFormat="1" applyBorder="1" applyAlignment="1">
      <alignment horizontal="center"/>
    </xf>
    <xf numFmtId="43" fontId="3" fillId="2" borderId="2" xfId="3" applyNumberForma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1" fillId="3" borderId="3" xfId="5" applyFont="1" applyAlignment="1">
      <alignment horizontal="center"/>
    </xf>
    <xf numFmtId="165" fontId="0" fillId="0" borderId="0" xfId="4" applyFont="1"/>
    <xf numFmtId="0" fontId="12" fillId="0" borderId="0" xfId="0" applyFont="1"/>
    <xf numFmtId="0" fontId="13" fillId="0" borderId="0" xfId="0" applyFont="1"/>
    <xf numFmtId="164" fontId="0" fillId="0" borderId="0" xfId="0" applyNumberFormat="1"/>
    <xf numFmtId="0" fontId="13" fillId="0" borderId="0" xfId="0" quotePrefix="1" applyFont="1"/>
    <xf numFmtId="0" fontId="14" fillId="0" borderId="0" xfId="0" quotePrefix="1" applyFont="1"/>
    <xf numFmtId="0" fontId="3" fillId="2" borderId="0" xfId="3"/>
    <xf numFmtId="0" fontId="3" fillId="2" borderId="0" xfId="3" applyAlignment="1">
      <alignment horizontal="center"/>
    </xf>
    <xf numFmtId="0" fontId="15" fillId="0" borderId="0" xfId="0" quotePrefix="1" applyFont="1"/>
    <xf numFmtId="0" fontId="0" fillId="4" borderId="0" xfId="0" applyFill="1"/>
    <xf numFmtId="0" fontId="17" fillId="4" borderId="0" xfId="0" applyFont="1" applyFill="1" applyAlignment="1">
      <alignment horizontal="center"/>
    </xf>
    <xf numFmtId="0" fontId="0" fillId="5" borderId="0" xfId="0" applyFill="1"/>
    <xf numFmtId="0" fontId="8" fillId="0" borderId="0" xfId="0" applyFont="1" applyAlignment="1">
      <alignment horizontal="left"/>
    </xf>
    <xf numFmtId="166" fontId="0" fillId="0" borderId="0" xfId="4" applyNumberFormat="1" applyFont="1"/>
    <xf numFmtId="166" fontId="0" fillId="0" borderId="0" xfId="0" applyNumberFormat="1"/>
    <xf numFmtId="165" fontId="0" fillId="0" borderId="0" xfId="4" applyFont="1" applyFill="1"/>
    <xf numFmtId="0" fontId="16" fillId="4" borderId="0" xfId="0" applyFont="1" applyFill="1" applyAlignment="1">
      <alignment horizontal="center"/>
    </xf>
    <xf numFmtId="0" fontId="2" fillId="0" borderId="1" xfId="2" applyAlignment="1">
      <alignment horizontal="center"/>
    </xf>
    <xf numFmtId="0" fontId="18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0" fontId="0" fillId="9" borderId="0" xfId="0" applyFill="1"/>
    <xf numFmtId="164" fontId="0" fillId="9" borderId="0" xfId="0" applyNumberFormat="1" applyFill="1"/>
  </cellXfs>
  <cellStyles count="6">
    <cellStyle name="Bueno" xfId="3" builtinId="26"/>
    <cellStyle name="Encabezado 1" xfId="2" builtinId="16"/>
    <cellStyle name="Entrada" xfId="5" builtinId="20"/>
    <cellStyle name="Millares" xfId="1" builtinId="3"/>
    <cellStyle name="Moneda" xfId="4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7A5F9D86-18AC-4055-A9EA-A668D0867C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609601</xdr:colOff>
      <xdr:row>4</xdr:row>
      <xdr:rowOff>42799</xdr:rowOff>
    </xdr:from>
    <xdr:to>
      <xdr:col>10</xdr:col>
      <xdr:colOff>455747</xdr:colOff>
      <xdr:row>18</xdr:row>
      <xdr:rowOff>47625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F39EB3A-9B93-7D49-255B-76AE219C458D}"/>
            </a:ext>
          </a:extLst>
        </xdr:cNvPr>
        <xdr:cNvGrpSpPr/>
      </xdr:nvGrpSpPr>
      <xdr:grpSpPr>
        <a:xfrm>
          <a:off x="4419601" y="1042924"/>
          <a:ext cx="4170496" cy="2728976"/>
          <a:chOff x="4419601" y="804799"/>
          <a:chExt cx="3656146" cy="2671826"/>
        </a:xfrm>
      </xdr:grpSpPr>
      <xdr:sp macro="" textlink="">
        <xdr:nvSpPr>
          <xdr:cNvPr id="5" name="Forma libre: forma 4">
            <a:extLst>
              <a:ext uri="{FF2B5EF4-FFF2-40B4-BE49-F238E27FC236}">
                <a16:creationId xmlns:a16="http://schemas.microsoft.com/office/drawing/2014/main" id="{A3D79219-F53C-6FE7-36A7-060E47CCCD3F}"/>
              </a:ext>
            </a:extLst>
          </xdr:cNvPr>
          <xdr:cNvSpPr/>
        </xdr:nvSpPr>
        <xdr:spPr>
          <a:xfrm rot="16200000">
            <a:off x="5959763" y="1644819"/>
            <a:ext cx="577272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577272" y="0"/>
                </a:lnTo>
              </a:path>
            </a:pathLst>
          </a:custGeom>
          <a:noFill/>
          <a:sp3d z="-40000" prstMaterial="matte"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6" name="Forma libre: forma 5">
            <a:extLst>
              <a:ext uri="{FF2B5EF4-FFF2-40B4-BE49-F238E27FC236}">
                <a16:creationId xmlns:a16="http://schemas.microsoft.com/office/drawing/2014/main" id="{CF001A68-A5BC-5E30-F70C-AA45B3DFDA53}"/>
              </a:ext>
            </a:extLst>
          </xdr:cNvPr>
          <xdr:cNvSpPr/>
        </xdr:nvSpPr>
        <xdr:spPr>
          <a:xfrm>
            <a:off x="5972707" y="804799"/>
            <a:ext cx="540000" cy="530543"/>
          </a:xfrm>
          <a:custGeom>
            <a:avLst/>
            <a:gdLst>
              <a:gd name="connsiteX0" fmla="*/ 0 w 551383"/>
              <a:gd name="connsiteY0" fmla="*/ 91899 h 551383"/>
              <a:gd name="connsiteX1" fmla="*/ 91899 w 551383"/>
              <a:gd name="connsiteY1" fmla="*/ 0 h 551383"/>
              <a:gd name="connsiteX2" fmla="*/ 459484 w 551383"/>
              <a:gd name="connsiteY2" fmla="*/ 0 h 551383"/>
              <a:gd name="connsiteX3" fmla="*/ 551383 w 551383"/>
              <a:gd name="connsiteY3" fmla="*/ 91899 h 551383"/>
              <a:gd name="connsiteX4" fmla="*/ 551383 w 551383"/>
              <a:gd name="connsiteY4" fmla="*/ 459484 h 551383"/>
              <a:gd name="connsiteX5" fmla="*/ 459484 w 551383"/>
              <a:gd name="connsiteY5" fmla="*/ 551383 h 551383"/>
              <a:gd name="connsiteX6" fmla="*/ 91899 w 551383"/>
              <a:gd name="connsiteY6" fmla="*/ 551383 h 551383"/>
              <a:gd name="connsiteX7" fmla="*/ 0 w 551383"/>
              <a:gd name="connsiteY7" fmla="*/ 459484 h 551383"/>
              <a:gd name="connsiteX8" fmla="*/ 0 w 551383"/>
              <a:gd name="connsiteY8" fmla="*/ 91899 h 5513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551383" h="551383">
                <a:moveTo>
                  <a:pt x="0" y="91899"/>
                </a:moveTo>
                <a:cubicBezTo>
                  <a:pt x="0" y="41145"/>
                  <a:pt x="41145" y="0"/>
                  <a:pt x="91899" y="0"/>
                </a:cubicBezTo>
                <a:lnTo>
                  <a:pt x="459484" y="0"/>
                </a:lnTo>
                <a:cubicBezTo>
                  <a:pt x="510238" y="0"/>
                  <a:pt x="551383" y="41145"/>
                  <a:pt x="551383" y="91899"/>
                </a:cubicBezTo>
                <a:lnTo>
                  <a:pt x="551383" y="459484"/>
                </a:lnTo>
                <a:cubicBezTo>
                  <a:pt x="551383" y="510238"/>
                  <a:pt x="510238" y="551383"/>
                  <a:pt x="459484" y="551383"/>
                </a:cubicBezTo>
                <a:lnTo>
                  <a:pt x="91899" y="551383"/>
                </a:lnTo>
                <a:cubicBezTo>
                  <a:pt x="41145" y="551383"/>
                  <a:pt x="0" y="510238"/>
                  <a:pt x="0" y="459484"/>
                </a:cubicBezTo>
                <a:lnTo>
                  <a:pt x="0" y="91899"/>
                </a:lnTo>
                <a:close/>
              </a:path>
            </a:pathLst>
          </a:custGeom>
          <a:scene3d>
            <a:camera prst="orthographicFront"/>
            <a:lightRig rig="chilly" dir="t"/>
          </a:scene3d>
          <a:sp3d prstMaterial="translucentPowder">
            <a:bevelT w="127000" h="25400" prst="softRound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7396" tIns="57396" rIns="57396" bIns="57396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MX" sz="1200" kern="1200"/>
              <a:t>SI</a:t>
            </a:r>
          </a:p>
        </xdr:txBody>
      </xdr:sp>
      <xdr:sp macro="" textlink="">
        <xdr:nvSpPr>
          <xdr:cNvPr id="7" name="Forma libre: forma 6">
            <a:extLst>
              <a:ext uri="{FF2B5EF4-FFF2-40B4-BE49-F238E27FC236}">
                <a16:creationId xmlns:a16="http://schemas.microsoft.com/office/drawing/2014/main" id="{2C49B137-D4E1-80CB-CC38-FBCA2D6240B3}"/>
              </a:ext>
            </a:extLst>
          </xdr:cNvPr>
          <xdr:cNvSpPr/>
        </xdr:nvSpPr>
        <xdr:spPr>
          <a:xfrm rot="1800000">
            <a:off x="6628331" y="2700245"/>
            <a:ext cx="470966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470966" y="0"/>
                </a:lnTo>
              </a:path>
            </a:pathLst>
          </a:custGeom>
          <a:noFill/>
          <a:sp3d z="-40000" prstMaterial="matte"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8" name="Forma libre: forma 7">
            <a:extLst>
              <a:ext uri="{FF2B5EF4-FFF2-40B4-BE49-F238E27FC236}">
                <a16:creationId xmlns:a16="http://schemas.microsoft.com/office/drawing/2014/main" id="{34B499F7-5EEA-07B2-8C84-26524281B92E}"/>
              </a:ext>
            </a:extLst>
          </xdr:cNvPr>
          <xdr:cNvSpPr/>
        </xdr:nvSpPr>
        <xdr:spPr>
          <a:xfrm>
            <a:off x="7067747" y="2701465"/>
            <a:ext cx="1008000" cy="774000"/>
          </a:xfrm>
          <a:custGeom>
            <a:avLst/>
            <a:gdLst>
              <a:gd name="connsiteX0" fmla="*/ 0 w 551383"/>
              <a:gd name="connsiteY0" fmla="*/ 91899 h 551383"/>
              <a:gd name="connsiteX1" fmla="*/ 91899 w 551383"/>
              <a:gd name="connsiteY1" fmla="*/ 0 h 551383"/>
              <a:gd name="connsiteX2" fmla="*/ 459484 w 551383"/>
              <a:gd name="connsiteY2" fmla="*/ 0 h 551383"/>
              <a:gd name="connsiteX3" fmla="*/ 551383 w 551383"/>
              <a:gd name="connsiteY3" fmla="*/ 91899 h 551383"/>
              <a:gd name="connsiteX4" fmla="*/ 551383 w 551383"/>
              <a:gd name="connsiteY4" fmla="*/ 459484 h 551383"/>
              <a:gd name="connsiteX5" fmla="*/ 459484 w 551383"/>
              <a:gd name="connsiteY5" fmla="*/ 551383 h 551383"/>
              <a:gd name="connsiteX6" fmla="*/ 91899 w 551383"/>
              <a:gd name="connsiteY6" fmla="*/ 551383 h 551383"/>
              <a:gd name="connsiteX7" fmla="*/ 0 w 551383"/>
              <a:gd name="connsiteY7" fmla="*/ 459484 h 551383"/>
              <a:gd name="connsiteX8" fmla="*/ 0 w 551383"/>
              <a:gd name="connsiteY8" fmla="*/ 91899 h 5513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551383" h="551383">
                <a:moveTo>
                  <a:pt x="0" y="91899"/>
                </a:moveTo>
                <a:cubicBezTo>
                  <a:pt x="0" y="41145"/>
                  <a:pt x="41145" y="0"/>
                  <a:pt x="91899" y="0"/>
                </a:cubicBezTo>
                <a:lnTo>
                  <a:pt x="459484" y="0"/>
                </a:lnTo>
                <a:cubicBezTo>
                  <a:pt x="510238" y="0"/>
                  <a:pt x="551383" y="41145"/>
                  <a:pt x="551383" y="91899"/>
                </a:cubicBezTo>
                <a:lnTo>
                  <a:pt x="551383" y="459484"/>
                </a:lnTo>
                <a:cubicBezTo>
                  <a:pt x="551383" y="510238"/>
                  <a:pt x="510238" y="551383"/>
                  <a:pt x="459484" y="551383"/>
                </a:cubicBezTo>
                <a:lnTo>
                  <a:pt x="91899" y="551383"/>
                </a:lnTo>
                <a:cubicBezTo>
                  <a:pt x="41145" y="551383"/>
                  <a:pt x="0" y="510238"/>
                  <a:pt x="0" y="459484"/>
                </a:cubicBezTo>
                <a:lnTo>
                  <a:pt x="0" y="91899"/>
                </a:lnTo>
                <a:close/>
              </a:path>
            </a:pathLst>
          </a:custGeom>
          <a:solidFill>
            <a:srgbClr val="FF0000"/>
          </a:solidFill>
          <a:scene3d>
            <a:camera prst="orthographicFront"/>
            <a:lightRig rig="chilly" dir="t"/>
          </a:scene3d>
          <a:sp3d prstMaterial="translucentPowder">
            <a:bevelT w="127000" h="25400" prst="softRound"/>
          </a:sp3d>
        </xdr:spPr>
        <xdr:style>
          <a:lnRef idx="0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1">
              <a:hueOff val="0"/>
              <a:satOff val="0"/>
              <a:lumOff val="0"/>
              <a:alphaOff val="0"/>
            </a:schemeClr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 spcFirstLastPara="0" vert="horz" wrap="square" lIns="57396" tIns="57396" rIns="57396" bIns="57396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MX" sz="1200" kern="1200"/>
              <a:t>FALSO</a:t>
            </a:r>
          </a:p>
        </xdr:txBody>
      </xdr:sp>
      <xdr:sp macro="" textlink="">
        <xdr:nvSpPr>
          <xdr:cNvPr id="9" name="Forma libre: forma 8">
            <a:extLst>
              <a:ext uri="{FF2B5EF4-FFF2-40B4-BE49-F238E27FC236}">
                <a16:creationId xmlns:a16="http://schemas.microsoft.com/office/drawing/2014/main" id="{CC5C78B4-2BB8-EE7C-50B5-0B1A02E2F633}"/>
              </a:ext>
            </a:extLst>
          </xdr:cNvPr>
          <xdr:cNvSpPr/>
        </xdr:nvSpPr>
        <xdr:spPr>
          <a:xfrm rot="9000000">
            <a:off x="5397502" y="2700245"/>
            <a:ext cx="470966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470966" y="0"/>
                </a:lnTo>
              </a:path>
            </a:pathLst>
          </a:custGeom>
          <a:noFill/>
          <a:sp3d z="-40000" prstMaterial="matte"/>
        </xdr:spPr>
        <xdr:style>
          <a:lnRef idx="2">
            <a:schemeClr val="accent1">
              <a:shade val="60000"/>
              <a:hueOff val="0"/>
              <a:satOff val="0"/>
              <a:lumOff val="0"/>
              <a:alphaOff val="0"/>
            </a:schemeClr>
          </a:lnRef>
          <a:fillRef idx="0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tx1">
              <a:hueOff val="0"/>
              <a:satOff val="0"/>
              <a:lumOff val="0"/>
              <a:alphaOff val="0"/>
            </a:schemeClr>
          </a:fontRef>
        </xdr:style>
      </xdr:sp>
      <xdr:sp macro="" textlink="">
        <xdr:nvSpPr>
          <xdr:cNvPr id="10" name="Forma libre: forma 9">
            <a:extLst>
              <a:ext uri="{FF2B5EF4-FFF2-40B4-BE49-F238E27FC236}">
                <a16:creationId xmlns:a16="http://schemas.microsoft.com/office/drawing/2014/main" id="{0D6C07F2-3179-4638-29C2-BEF747A899FF}"/>
              </a:ext>
            </a:extLst>
          </xdr:cNvPr>
          <xdr:cNvSpPr/>
        </xdr:nvSpPr>
        <xdr:spPr>
          <a:xfrm>
            <a:off x="4419601" y="2701466"/>
            <a:ext cx="1009450" cy="775159"/>
          </a:xfrm>
          <a:custGeom>
            <a:avLst/>
            <a:gdLst>
              <a:gd name="connsiteX0" fmla="*/ 0 w 551383"/>
              <a:gd name="connsiteY0" fmla="*/ 91899 h 551383"/>
              <a:gd name="connsiteX1" fmla="*/ 91899 w 551383"/>
              <a:gd name="connsiteY1" fmla="*/ 0 h 551383"/>
              <a:gd name="connsiteX2" fmla="*/ 459484 w 551383"/>
              <a:gd name="connsiteY2" fmla="*/ 0 h 551383"/>
              <a:gd name="connsiteX3" fmla="*/ 551383 w 551383"/>
              <a:gd name="connsiteY3" fmla="*/ 91899 h 551383"/>
              <a:gd name="connsiteX4" fmla="*/ 551383 w 551383"/>
              <a:gd name="connsiteY4" fmla="*/ 459484 h 551383"/>
              <a:gd name="connsiteX5" fmla="*/ 459484 w 551383"/>
              <a:gd name="connsiteY5" fmla="*/ 551383 h 551383"/>
              <a:gd name="connsiteX6" fmla="*/ 91899 w 551383"/>
              <a:gd name="connsiteY6" fmla="*/ 551383 h 551383"/>
              <a:gd name="connsiteX7" fmla="*/ 0 w 551383"/>
              <a:gd name="connsiteY7" fmla="*/ 459484 h 551383"/>
              <a:gd name="connsiteX8" fmla="*/ 0 w 551383"/>
              <a:gd name="connsiteY8" fmla="*/ 91899 h 551383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</a:cxnLst>
            <a:rect l="l" t="t" r="r" b="b"/>
            <a:pathLst>
              <a:path w="551383" h="551383">
                <a:moveTo>
                  <a:pt x="0" y="91899"/>
                </a:moveTo>
                <a:cubicBezTo>
                  <a:pt x="0" y="41145"/>
                  <a:pt x="41145" y="0"/>
                  <a:pt x="91899" y="0"/>
                </a:cubicBezTo>
                <a:lnTo>
                  <a:pt x="459484" y="0"/>
                </a:lnTo>
                <a:cubicBezTo>
                  <a:pt x="510238" y="0"/>
                  <a:pt x="551383" y="41145"/>
                  <a:pt x="551383" y="91899"/>
                </a:cubicBezTo>
                <a:lnTo>
                  <a:pt x="551383" y="459484"/>
                </a:lnTo>
                <a:cubicBezTo>
                  <a:pt x="551383" y="510238"/>
                  <a:pt x="510238" y="551383"/>
                  <a:pt x="459484" y="551383"/>
                </a:cubicBezTo>
                <a:lnTo>
                  <a:pt x="91899" y="551383"/>
                </a:lnTo>
                <a:cubicBezTo>
                  <a:pt x="41145" y="551383"/>
                  <a:pt x="0" y="510238"/>
                  <a:pt x="0" y="459484"/>
                </a:cubicBezTo>
                <a:lnTo>
                  <a:pt x="0" y="91899"/>
                </a:lnTo>
                <a:close/>
              </a:path>
            </a:pathLst>
          </a:cu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spcFirstLastPara="0" vert="horz" wrap="square" lIns="57396" tIns="57396" rIns="57396" bIns="57396" numCol="1" spcCol="1270" anchor="ctr" anchorCtr="0">
            <a:noAutofit/>
          </a:bodyPr>
          <a:lstStyle/>
          <a:p>
            <a:pPr marL="0" lvl="0" indent="0" algn="ctr" defTabSz="5334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es-MX" sz="1200" kern="1200"/>
              <a:t>VERDADERO</a:t>
            </a:r>
          </a:p>
        </xdr:txBody>
      </xdr:sp>
    </xdr:grpSp>
    <xdr:clientData/>
  </xdr:twoCellAnchor>
  <xdr:twoCellAnchor>
    <xdr:from>
      <xdr:col>6</xdr:col>
      <xdr:colOff>742951</xdr:colOff>
      <xdr:row>9</xdr:row>
      <xdr:rowOff>123826</xdr:rowOff>
    </xdr:from>
    <xdr:to>
      <xdr:col>9</xdr:col>
      <xdr:colOff>352425</xdr:colOff>
      <xdr:row>15</xdr:row>
      <xdr:rowOff>152400</xdr:rowOff>
    </xdr:to>
    <xdr:sp macro="" textlink="">
      <xdr:nvSpPr>
        <xdr:cNvPr id="11" name="Diagrama de flujo: decisión 10">
          <a:extLst>
            <a:ext uri="{FF2B5EF4-FFF2-40B4-BE49-F238E27FC236}">
              <a16:creationId xmlns:a16="http://schemas.microsoft.com/office/drawing/2014/main" id="{3C641F22-1A83-B826-B424-9400CBE1318A}"/>
            </a:ext>
          </a:extLst>
        </xdr:cNvPr>
        <xdr:cNvSpPr/>
      </xdr:nvSpPr>
      <xdr:spPr>
        <a:xfrm>
          <a:off x="5497831" y="2135506"/>
          <a:ext cx="2505074" cy="1217294"/>
        </a:xfrm>
        <a:prstGeom prst="flowChartDecisi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050"/>
            <a:t>CONDICION 1</a:t>
          </a:r>
        </a:p>
      </xdr:txBody>
    </xdr:sp>
    <xdr:clientData/>
  </xdr:twoCellAnchor>
  <xdr:twoCellAnchor>
    <xdr:from>
      <xdr:col>5</xdr:col>
      <xdr:colOff>690563</xdr:colOff>
      <xdr:row>19</xdr:row>
      <xdr:rowOff>14288</xdr:rowOff>
    </xdr:from>
    <xdr:to>
      <xdr:col>7</xdr:col>
      <xdr:colOff>100013</xdr:colOff>
      <xdr:row>20</xdr:row>
      <xdr:rowOff>42863</xdr:rowOff>
    </xdr:to>
    <xdr:sp macro="" textlink="">
      <xdr:nvSpPr>
        <xdr:cNvPr id="12" name="Abrir llave 11">
          <a:extLst>
            <a:ext uri="{FF2B5EF4-FFF2-40B4-BE49-F238E27FC236}">
              <a16:creationId xmlns:a16="http://schemas.microsoft.com/office/drawing/2014/main" id="{124B727D-67B2-0825-9077-6F0FE3549D06}"/>
            </a:ext>
          </a:extLst>
        </xdr:cNvPr>
        <xdr:cNvSpPr/>
      </xdr:nvSpPr>
      <xdr:spPr>
        <a:xfrm rot="5400000">
          <a:off x="4857750" y="3276601"/>
          <a:ext cx="219075" cy="9334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280988</xdr:colOff>
      <xdr:row>18</xdr:row>
      <xdr:rowOff>128590</xdr:rowOff>
    </xdr:from>
    <xdr:to>
      <xdr:col>10</xdr:col>
      <xdr:colOff>452438</xdr:colOff>
      <xdr:row>19</xdr:row>
      <xdr:rowOff>157165</xdr:rowOff>
    </xdr:to>
    <xdr:sp macro="" textlink="">
      <xdr:nvSpPr>
        <xdr:cNvPr id="13" name="Abrir llave 12">
          <a:extLst>
            <a:ext uri="{FF2B5EF4-FFF2-40B4-BE49-F238E27FC236}">
              <a16:creationId xmlns:a16="http://schemas.microsoft.com/office/drawing/2014/main" id="{3CDAF10B-3A6B-9923-F896-948D30D146E1}"/>
            </a:ext>
          </a:extLst>
        </xdr:cNvPr>
        <xdr:cNvSpPr/>
      </xdr:nvSpPr>
      <xdr:spPr>
        <a:xfrm rot="5400000">
          <a:off x="7496175" y="3248028"/>
          <a:ext cx="219075" cy="9334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95250</xdr:colOff>
      <xdr:row>34</xdr:row>
      <xdr:rowOff>142875</xdr:rowOff>
    </xdr:from>
    <xdr:to>
      <xdr:col>6</xdr:col>
      <xdr:colOff>209550</xdr:colOff>
      <xdr:row>37</xdr:row>
      <xdr:rowOff>142875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5449236-8197-5ADC-9BD3-B5E31A68917D}"/>
            </a:ext>
          </a:extLst>
        </xdr:cNvPr>
        <xdr:cNvSpPr/>
      </xdr:nvSpPr>
      <xdr:spPr>
        <a:xfrm>
          <a:off x="3905250" y="565785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Condición 1</a:t>
          </a:r>
        </a:p>
        <a:p>
          <a:pPr algn="l"/>
          <a:r>
            <a:rPr lang="es-MX" sz="1050"/>
            <a:t>VERDADERO</a:t>
          </a:r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728662</xdr:colOff>
      <xdr:row>34</xdr:row>
      <xdr:rowOff>104775</xdr:rowOff>
    </xdr:from>
    <xdr:to>
      <xdr:col>9</xdr:col>
      <xdr:colOff>80962</xdr:colOff>
      <xdr:row>37</xdr:row>
      <xdr:rowOff>104775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439CE8E-ED48-51D1-2CD5-57593FCB2077}"/>
            </a:ext>
          </a:extLst>
        </xdr:cNvPr>
        <xdr:cNvSpPr/>
      </xdr:nvSpPr>
      <xdr:spPr>
        <a:xfrm>
          <a:off x="6062662" y="561975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3</a:t>
          </a:r>
          <a:endParaRPr lang="es-MX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9</xdr:col>
      <xdr:colOff>283368</xdr:colOff>
      <xdr:row>34</xdr:row>
      <xdr:rowOff>104775</xdr:rowOff>
    </xdr:from>
    <xdr:to>
      <xdr:col>10</xdr:col>
      <xdr:colOff>397668</xdr:colOff>
      <xdr:row>37</xdr:row>
      <xdr:rowOff>104775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53C35FA5-1CE5-A8D4-2569-CDC2D30595C9}"/>
            </a:ext>
          </a:extLst>
        </xdr:cNvPr>
        <xdr:cNvSpPr/>
      </xdr:nvSpPr>
      <xdr:spPr>
        <a:xfrm>
          <a:off x="7141368" y="561975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...</a:t>
          </a:r>
          <a:endParaRPr lang="es-MX" sz="1050">
            <a:effectLst/>
          </a:endParaRPr>
        </a:p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9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600075</xdr:colOff>
      <xdr:row>34</xdr:row>
      <xdr:rowOff>95250</xdr:rowOff>
    </xdr:from>
    <xdr:to>
      <xdr:col>11</xdr:col>
      <xdr:colOff>714375</xdr:colOff>
      <xdr:row>37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E083C28A-4176-E9DA-BBC9-11731B3FADBC}"/>
            </a:ext>
          </a:extLst>
        </xdr:cNvPr>
        <xdr:cNvSpPr/>
      </xdr:nvSpPr>
      <xdr:spPr>
        <a:xfrm>
          <a:off x="8220075" y="561022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255</a:t>
          </a:r>
          <a:endParaRPr lang="es-MX" sz="900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440531</xdr:colOff>
      <xdr:row>34</xdr:row>
      <xdr:rowOff>104775</xdr:rowOff>
    </xdr:from>
    <xdr:to>
      <xdr:col>7</xdr:col>
      <xdr:colOff>554831</xdr:colOff>
      <xdr:row>37</xdr:row>
      <xdr:rowOff>104775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D3496FA-293A-8571-1A9C-05885965AAAC}"/>
            </a:ext>
          </a:extLst>
        </xdr:cNvPr>
        <xdr:cNvSpPr/>
      </xdr:nvSpPr>
      <xdr:spPr>
        <a:xfrm>
          <a:off x="5012531" y="561975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</a:t>
          </a:r>
          <a:endParaRPr lang="es-MX">
            <a:effectLst/>
          </a:endParaRPr>
        </a:p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</a:t>
          </a:r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661987</xdr:colOff>
      <xdr:row>38</xdr:row>
      <xdr:rowOff>95250</xdr:rowOff>
    </xdr:from>
    <xdr:to>
      <xdr:col>9</xdr:col>
      <xdr:colOff>14287</xdr:colOff>
      <xdr:row>41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352D052A-592C-1E08-2A87-08D4B2E9DB69}"/>
            </a:ext>
          </a:extLst>
        </xdr:cNvPr>
        <xdr:cNvSpPr/>
      </xdr:nvSpPr>
      <xdr:spPr>
        <a:xfrm>
          <a:off x="5995987" y="637222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3</a:t>
          </a:r>
          <a:endParaRPr lang="es-MX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9</xdr:col>
      <xdr:colOff>216693</xdr:colOff>
      <xdr:row>38</xdr:row>
      <xdr:rowOff>95250</xdr:rowOff>
    </xdr:from>
    <xdr:to>
      <xdr:col>10</xdr:col>
      <xdr:colOff>330993</xdr:colOff>
      <xdr:row>41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6A291928-E1C5-F37C-8D31-33A4288939FC}"/>
            </a:ext>
          </a:extLst>
        </xdr:cNvPr>
        <xdr:cNvSpPr/>
      </xdr:nvSpPr>
      <xdr:spPr>
        <a:xfrm>
          <a:off x="7074693" y="637222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...</a:t>
          </a:r>
          <a:endParaRPr lang="es-MX" sz="1050">
            <a:effectLst/>
          </a:endParaRPr>
        </a:p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9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533400</xdr:colOff>
      <xdr:row>38</xdr:row>
      <xdr:rowOff>85725</xdr:rowOff>
    </xdr:from>
    <xdr:to>
      <xdr:col>11</xdr:col>
      <xdr:colOff>647700</xdr:colOff>
      <xdr:row>41</xdr:row>
      <xdr:rowOff>85725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700CA8D8-B766-ACC9-993A-9F55DFF0C2AC}"/>
            </a:ext>
          </a:extLst>
        </xdr:cNvPr>
        <xdr:cNvSpPr/>
      </xdr:nvSpPr>
      <xdr:spPr>
        <a:xfrm>
          <a:off x="8153400" y="636270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255</a:t>
          </a:r>
          <a:endParaRPr lang="es-MX" sz="900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5</xdr:col>
      <xdr:colOff>57150</xdr:colOff>
      <xdr:row>38</xdr:row>
      <xdr:rowOff>123825</xdr:rowOff>
    </xdr:from>
    <xdr:to>
      <xdr:col>6</xdr:col>
      <xdr:colOff>171450</xdr:colOff>
      <xdr:row>41</xdr:row>
      <xdr:rowOff>123825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130780E5-B94F-4E82-587C-FF4B031D17BA}"/>
            </a:ext>
          </a:extLst>
        </xdr:cNvPr>
        <xdr:cNvSpPr/>
      </xdr:nvSpPr>
      <xdr:spPr>
        <a:xfrm>
          <a:off x="3867150" y="640080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Condición 1</a:t>
          </a:r>
        </a:p>
        <a:p>
          <a:pPr algn="l"/>
          <a:r>
            <a:rPr lang="es-MX" sz="1050"/>
            <a:t>VERDADERO</a:t>
          </a:r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373856</xdr:colOff>
      <xdr:row>38</xdr:row>
      <xdr:rowOff>95250</xdr:rowOff>
    </xdr:from>
    <xdr:to>
      <xdr:col>7</xdr:col>
      <xdr:colOff>488156</xdr:colOff>
      <xdr:row>41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255C27E0-0F26-9A95-DDC1-891A2F7C5A7D}"/>
            </a:ext>
          </a:extLst>
        </xdr:cNvPr>
        <xdr:cNvSpPr/>
      </xdr:nvSpPr>
      <xdr:spPr>
        <a:xfrm>
          <a:off x="4945856" y="637222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</a:t>
          </a:r>
          <a:endParaRPr lang="es-MX">
            <a:effectLst/>
          </a:endParaRPr>
        </a:p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652462</xdr:colOff>
      <xdr:row>42</xdr:row>
      <xdr:rowOff>0</xdr:rowOff>
    </xdr:from>
    <xdr:to>
      <xdr:col>9</xdr:col>
      <xdr:colOff>4762</xdr:colOff>
      <xdr:row>45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6B9BF9DB-E88E-54BE-E6DA-0C2713D98D13}"/>
            </a:ext>
          </a:extLst>
        </xdr:cNvPr>
        <xdr:cNvSpPr/>
      </xdr:nvSpPr>
      <xdr:spPr>
        <a:xfrm>
          <a:off x="5986462" y="703897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3</a:t>
          </a:r>
          <a:endParaRPr lang="es-MX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9</xdr:col>
      <xdr:colOff>207168</xdr:colOff>
      <xdr:row>42</xdr:row>
      <xdr:rowOff>0</xdr:rowOff>
    </xdr:from>
    <xdr:to>
      <xdr:col>10</xdr:col>
      <xdr:colOff>321468</xdr:colOff>
      <xdr:row>45</xdr:row>
      <xdr:rowOff>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E7C38A60-93C5-360A-FB74-1BEECF339315}"/>
            </a:ext>
          </a:extLst>
        </xdr:cNvPr>
        <xdr:cNvSpPr/>
      </xdr:nvSpPr>
      <xdr:spPr>
        <a:xfrm>
          <a:off x="7065168" y="703897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...</a:t>
          </a:r>
          <a:endParaRPr lang="es-MX" sz="1050">
            <a:effectLst/>
          </a:endParaRPr>
        </a:p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 sz="9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523875</xdr:colOff>
      <xdr:row>41</xdr:row>
      <xdr:rowOff>180975</xdr:rowOff>
    </xdr:from>
    <xdr:to>
      <xdr:col>11</xdr:col>
      <xdr:colOff>638175</xdr:colOff>
      <xdr:row>44</xdr:row>
      <xdr:rowOff>180975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64F60307-F4E9-CB32-D8B8-DF1A81C58F96}"/>
            </a:ext>
          </a:extLst>
        </xdr:cNvPr>
        <xdr:cNvSpPr/>
      </xdr:nvSpPr>
      <xdr:spPr>
        <a:xfrm>
          <a:off x="8143875" y="702945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255</a:t>
          </a:r>
          <a:endParaRPr lang="es-MX" sz="900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5</xdr:col>
      <xdr:colOff>47625</xdr:colOff>
      <xdr:row>42</xdr:row>
      <xdr:rowOff>28575</xdr:rowOff>
    </xdr:from>
    <xdr:to>
      <xdr:col>6</xdr:col>
      <xdr:colOff>161925</xdr:colOff>
      <xdr:row>45</xdr:row>
      <xdr:rowOff>28575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B3ACDD8F-332A-F964-2B3D-E52C4ED47332}"/>
            </a:ext>
          </a:extLst>
        </xdr:cNvPr>
        <xdr:cNvSpPr/>
      </xdr:nvSpPr>
      <xdr:spPr>
        <a:xfrm>
          <a:off x="3857625" y="7067550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Condición 1</a:t>
          </a:r>
        </a:p>
        <a:p>
          <a:pPr algn="l"/>
          <a:r>
            <a:rPr lang="es-MX" sz="1050"/>
            <a:t>FALSO</a:t>
          </a:r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364331</xdr:colOff>
      <xdr:row>42</xdr:row>
      <xdr:rowOff>0</xdr:rowOff>
    </xdr:from>
    <xdr:to>
      <xdr:col>7</xdr:col>
      <xdr:colOff>478631</xdr:colOff>
      <xdr:row>45</xdr:row>
      <xdr:rowOff>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8CAC55F9-4590-FFD5-DE01-1EA9A494FA1C}"/>
            </a:ext>
          </a:extLst>
        </xdr:cNvPr>
        <xdr:cNvSpPr/>
      </xdr:nvSpPr>
      <xdr:spPr>
        <a:xfrm>
          <a:off x="4936331" y="7038975"/>
          <a:ext cx="876300" cy="571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</a:t>
          </a:r>
          <a:endParaRPr lang="es-MX">
            <a:effectLst/>
          </a:endParaRPr>
        </a:p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5</xdr:col>
      <xdr:colOff>95250</xdr:colOff>
      <xdr:row>52</xdr:row>
      <xdr:rowOff>142875</xdr:rowOff>
    </xdr:from>
    <xdr:to>
      <xdr:col>6</xdr:col>
      <xdr:colOff>209550</xdr:colOff>
      <xdr:row>55</xdr:row>
      <xdr:rowOff>142875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521481F-C01B-4AF8-B2A7-E76C1081736D}"/>
            </a:ext>
          </a:extLst>
        </xdr:cNvPr>
        <xdr:cNvSpPr/>
      </xdr:nvSpPr>
      <xdr:spPr>
        <a:xfrm>
          <a:off x="3905250" y="565785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Condición 1</a:t>
          </a:r>
        </a:p>
        <a:p>
          <a:pPr algn="l"/>
          <a:r>
            <a:rPr lang="es-MX" sz="1050"/>
            <a:t>VERDADERO</a:t>
          </a:r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728662</xdr:colOff>
      <xdr:row>52</xdr:row>
      <xdr:rowOff>104775</xdr:rowOff>
    </xdr:from>
    <xdr:to>
      <xdr:col>9</xdr:col>
      <xdr:colOff>80962</xdr:colOff>
      <xdr:row>55</xdr:row>
      <xdr:rowOff>104775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F892836E-23E1-4773-9A7C-0AC89F7E25BB}"/>
            </a:ext>
          </a:extLst>
        </xdr:cNvPr>
        <xdr:cNvSpPr/>
      </xdr:nvSpPr>
      <xdr:spPr>
        <a:xfrm>
          <a:off x="6062662" y="561975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3</a:t>
          </a:r>
          <a:endParaRPr lang="es-MX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9</xdr:col>
      <xdr:colOff>283368</xdr:colOff>
      <xdr:row>52</xdr:row>
      <xdr:rowOff>104775</xdr:rowOff>
    </xdr:from>
    <xdr:to>
      <xdr:col>10</xdr:col>
      <xdr:colOff>397668</xdr:colOff>
      <xdr:row>55</xdr:row>
      <xdr:rowOff>104775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263C5FC2-F017-4C0A-A9BC-A0E4DA718730}"/>
            </a:ext>
          </a:extLst>
        </xdr:cNvPr>
        <xdr:cNvSpPr/>
      </xdr:nvSpPr>
      <xdr:spPr>
        <a:xfrm>
          <a:off x="7141368" y="561975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...</a:t>
          </a:r>
          <a:endParaRPr lang="es-MX" sz="1050">
            <a:effectLst/>
          </a:endParaRPr>
        </a:p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9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600075</xdr:colOff>
      <xdr:row>52</xdr:row>
      <xdr:rowOff>95250</xdr:rowOff>
    </xdr:from>
    <xdr:to>
      <xdr:col>11</xdr:col>
      <xdr:colOff>714375</xdr:colOff>
      <xdr:row>55</xdr:row>
      <xdr:rowOff>95250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268B4A58-CFEC-49C5-A171-83E111A32E6D}"/>
            </a:ext>
          </a:extLst>
        </xdr:cNvPr>
        <xdr:cNvSpPr/>
      </xdr:nvSpPr>
      <xdr:spPr>
        <a:xfrm>
          <a:off x="8220075" y="561022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255</a:t>
          </a:r>
          <a:endParaRPr lang="es-MX" sz="900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440531</xdr:colOff>
      <xdr:row>52</xdr:row>
      <xdr:rowOff>104775</xdr:rowOff>
    </xdr:from>
    <xdr:to>
      <xdr:col>7</xdr:col>
      <xdr:colOff>554831</xdr:colOff>
      <xdr:row>55</xdr:row>
      <xdr:rowOff>104775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3D01793-81E3-4799-8E44-808C10AF65D3}"/>
            </a:ext>
          </a:extLst>
        </xdr:cNvPr>
        <xdr:cNvSpPr/>
      </xdr:nvSpPr>
      <xdr:spPr>
        <a:xfrm>
          <a:off x="5012531" y="561975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</a:t>
          </a:r>
          <a:endParaRPr lang="es-MX">
            <a:effectLst/>
          </a:endParaRPr>
        </a:p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</a:t>
          </a:r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661987</xdr:colOff>
      <xdr:row>56</xdr:row>
      <xdr:rowOff>95250</xdr:rowOff>
    </xdr:from>
    <xdr:to>
      <xdr:col>9</xdr:col>
      <xdr:colOff>14287</xdr:colOff>
      <xdr:row>59</xdr:row>
      <xdr:rowOff>95250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DCD57BDA-77EF-4BBA-94A7-F2DCB19853AA}"/>
            </a:ext>
          </a:extLst>
        </xdr:cNvPr>
        <xdr:cNvSpPr/>
      </xdr:nvSpPr>
      <xdr:spPr>
        <a:xfrm>
          <a:off x="5995987" y="637222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3</a:t>
          </a:r>
          <a:endParaRPr lang="es-MX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9</xdr:col>
      <xdr:colOff>216693</xdr:colOff>
      <xdr:row>56</xdr:row>
      <xdr:rowOff>95250</xdr:rowOff>
    </xdr:from>
    <xdr:to>
      <xdr:col>10</xdr:col>
      <xdr:colOff>330993</xdr:colOff>
      <xdr:row>59</xdr:row>
      <xdr:rowOff>95250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674120F7-7616-4236-8F0D-8B92983B7215}"/>
            </a:ext>
          </a:extLst>
        </xdr:cNvPr>
        <xdr:cNvSpPr/>
      </xdr:nvSpPr>
      <xdr:spPr>
        <a:xfrm>
          <a:off x="7074693" y="637222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...</a:t>
          </a:r>
          <a:endParaRPr lang="es-MX" sz="1050">
            <a:effectLst/>
          </a:endParaRPr>
        </a:p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9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533400</xdr:colOff>
      <xdr:row>56</xdr:row>
      <xdr:rowOff>85725</xdr:rowOff>
    </xdr:from>
    <xdr:to>
      <xdr:col>11</xdr:col>
      <xdr:colOff>647700</xdr:colOff>
      <xdr:row>59</xdr:row>
      <xdr:rowOff>85725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87F1AE26-E1C8-482B-BE57-B4D10C5392BE}"/>
            </a:ext>
          </a:extLst>
        </xdr:cNvPr>
        <xdr:cNvSpPr/>
      </xdr:nvSpPr>
      <xdr:spPr>
        <a:xfrm>
          <a:off x="8153400" y="636270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255</a:t>
          </a:r>
          <a:endParaRPr lang="es-MX" sz="900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VERDADERO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5</xdr:col>
      <xdr:colOff>57150</xdr:colOff>
      <xdr:row>56</xdr:row>
      <xdr:rowOff>123825</xdr:rowOff>
    </xdr:from>
    <xdr:to>
      <xdr:col>6</xdr:col>
      <xdr:colOff>171450</xdr:colOff>
      <xdr:row>59</xdr:row>
      <xdr:rowOff>123825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2149DCB0-FC6C-42BA-B1C4-A189ADDDCEAB}"/>
            </a:ext>
          </a:extLst>
        </xdr:cNvPr>
        <xdr:cNvSpPr/>
      </xdr:nvSpPr>
      <xdr:spPr>
        <a:xfrm>
          <a:off x="3867150" y="640080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Condición 1</a:t>
          </a:r>
        </a:p>
        <a:p>
          <a:pPr algn="l"/>
          <a:r>
            <a:rPr lang="es-MX" sz="1050"/>
            <a:t>VERDADERO</a:t>
          </a:r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373856</xdr:colOff>
      <xdr:row>56</xdr:row>
      <xdr:rowOff>95250</xdr:rowOff>
    </xdr:from>
    <xdr:to>
      <xdr:col>7</xdr:col>
      <xdr:colOff>488156</xdr:colOff>
      <xdr:row>59</xdr:row>
      <xdr:rowOff>95250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F96936F5-809C-4230-BF7D-DAD7306F93BE}"/>
            </a:ext>
          </a:extLst>
        </xdr:cNvPr>
        <xdr:cNvSpPr/>
      </xdr:nvSpPr>
      <xdr:spPr>
        <a:xfrm>
          <a:off x="4945856" y="637222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</a:t>
          </a:r>
          <a:endParaRPr lang="es-MX">
            <a:effectLst/>
          </a:endParaRPr>
        </a:p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7</xdr:col>
      <xdr:colOff>652462</xdr:colOff>
      <xdr:row>60</xdr:row>
      <xdr:rowOff>0</xdr:rowOff>
    </xdr:from>
    <xdr:to>
      <xdr:col>9</xdr:col>
      <xdr:colOff>4762</xdr:colOff>
      <xdr:row>63</xdr:row>
      <xdr:rowOff>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6C5B00E6-41E4-43D6-AF51-D243B937E3B3}"/>
            </a:ext>
          </a:extLst>
        </xdr:cNvPr>
        <xdr:cNvSpPr/>
      </xdr:nvSpPr>
      <xdr:spPr>
        <a:xfrm>
          <a:off x="5986462" y="703897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3</a:t>
          </a:r>
          <a:endParaRPr lang="es-MX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9</xdr:col>
      <xdr:colOff>207168</xdr:colOff>
      <xdr:row>60</xdr:row>
      <xdr:rowOff>0</xdr:rowOff>
    </xdr:from>
    <xdr:to>
      <xdr:col>10</xdr:col>
      <xdr:colOff>321468</xdr:colOff>
      <xdr:row>63</xdr:row>
      <xdr:rowOff>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14F240AB-087A-4C17-9FFB-FC56E8BD7BAD}"/>
            </a:ext>
          </a:extLst>
        </xdr:cNvPr>
        <xdr:cNvSpPr/>
      </xdr:nvSpPr>
      <xdr:spPr>
        <a:xfrm>
          <a:off x="7065168" y="703897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...</a:t>
          </a:r>
          <a:endParaRPr lang="es-MX" sz="1050">
            <a:effectLst/>
          </a:endParaRPr>
        </a:p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 sz="9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10</xdr:col>
      <xdr:colOff>523875</xdr:colOff>
      <xdr:row>59</xdr:row>
      <xdr:rowOff>180975</xdr:rowOff>
    </xdr:from>
    <xdr:to>
      <xdr:col>11</xdr:col>
      <xdr:colOff>638175</xdr:colOff>
      <xdr:row>62</xdr:row>
      <xdr:rowOff>180975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2BB31C0A-5CD6-48FD-8901-DE44E10C28D2}"/>
            </a:ext>
          </a:extLst>
        </xdr:cNvPr>
        <xdr:cNvSpPr/>
      </xdr:nvSpPr>
      <xdr:spPr>
        <a:xfrm>
          <a:off x="8143875" y="702945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255</a:t>
          </a:r>
          <a:endParaRPr lang="es-MX" sz="900">
            <a:effectLst/>
          </a:endParaRPr>
        </a:p>
        <a:p>
          <a:r>
            <a:rPr lang="es-MX" sz="10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 sz="1000">
            <a:effectLst/>
          </a:endParaRPr>
        </a:p>
        <a:p>
          <a:pPr algn="l"/>
          <a:endParaRPr lang="es-MX" sz="1100"/>
        </a:p>
      </xdr:txBody>
    </xdr:sp>
    <xdr:clientData/>
  </xdr:twoCellAnchor>
  <xdr:twoCellAnchor>
    <xdr:from>
      <xdr:col>5</xdr:col>
      <xdr:colOff>47625</xdr:colOff>
      <xdr:row>60</xdr:row>
      <xdr:rowOff>28575</xdr:rowOff>
    </xdr:from>
    <xdr:to>
      <xdr:col>6</xdr:col>
      <xdr:colOff>161925</xdr:colOff>
      <xdr:row>63</xdr:row>
      <xdr:rowOff>28575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EDB68200-19D0-41E5-BB49-F823FD393C9C}"/>
            </a:ext>
          </a:extLst>
        </xdr:cNvPr>
        <xdr:cNvSpPr/>
      </xdr:nvSpPr>
      <xdr:spPr>
        <a:xfrm>
          <a:off x="3857625" y="7067550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Condición 1</a:t>
          </a:r>
        </a:p>
        <a:p>
          <a:pPr algn="l"/>
          <a:r>
            <a:rPr lang="es-MX" sz="1050"/>
            <a:t>FALSO</a:t>
          </a:r>
          <a:endParaRPr lang="es-MX" sz="1100"/>
        </a:p>
        <a:p>
          <a:pPr algn="l"/>
          <a:endParaRPr lang="es-MX" sz="1100"/>
        </a:p>
      </xdr:txBody>
    </xdr:sp>
    <xdr:clientData/>
  </xdr:twoCellAnchor>
  <xdr:twoCellAnchor>
    <xdr:from>
      <xdr:col>6</xdr:col>
      <xdr:colOff>364331</xdr:colOff>
      <xdr:row>60</xdr:row>
      <xdr:rowOff>0</xdr:rowOff>
    </xdr:from>
    <xdr:to>
      <xdr:col>7</xdr:col>
      <xdr:colOff>478631</xdr:colOff>
      <xdr:row>63</xdr:row>
      <xdr:rowOff>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63069701-7413-4E6A-A71D-5C56DA7BA602}"/>
            </a:ext>
          </a:extLst>
        </xdr:cNvPr>
        <xdr:cNvSpPr/>
      </xdr:nvSpPr>
      <xdr:spPr>
        <a:xfrm>
          <a:off x="4936331" y="7038975"/>
          <a:ext cx="876300" cy="5715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Condición 2</a:t>
          </a:r>
          <a:endParaRPr lang="es-MX">
            <a:effectLst/>
          </a:endParaRPr>
        </a:p>
        <a:p>
          <a:r>
            <a:rPr lang="es-MX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FALSO</a:t>
          </a:r>
          <a:endParaRPr lang="es-MX">
            <a:effectLst/>
          </a:endParaRPr>
        </a:p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1257-0B5A-47A1-A0E6-83D5CD47BAA4}">
  <sheetPr codeName="Hoja1"/>
  <dimension ref="A1:L9"/>
  <sheetViews>
    <sheetView showGridLines="0" zoomScale="170" zoomScaleNormal="170" workbookViewId="0"/>
  </sheetViews>
  <sheetFormatPr defaultColWidth="11.42578125" defaultRowHeight="14.45"/>
  <cols>
    <col min="1" max="1" width="22.7109375" customWidth="1"/>
  </cols>
  <sheetData>
    <row r="1" spans="1:12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1">
      <c r="A2" s="23"/>
      <c r="B2" s="30" t="s">
        <v>0</v>
      </c>
      <c r="C2" s="30"/>
      <c r="D2" s="30"/>
      <c r="E2" s="30"/>
      <c r="F2" s="30"/>
      <c r="G2" s="30"/>
      <c r="H2" s="30"/>
      <c r="I2" s="23"/>
      <c r="J2" s="23"/>
      <c r="K2" s="23"/>
      <c r="L2" s="23"/>
    </row>
    <row r="3" spans="1:1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2">
      <c r="B5" s="18" t="s">
        <v>1</v>
      </c>
    </row>
    <row r="6" spans="1:12">
      <c r="B6" s="18" t="s">
        <v>2</v>
      </c>
    </row>
    <row r="7" spans="1:12">
      <c r="B7" s="18" t="s">
        <v>3</v>
      </c>
    </row>
    <row r="8" spans="1:12">
      <c r="B8" s="18" t="s">
        <v>4</v>
      </c>
    </row>
    <row r="9" spans="1:12">
      <c r="B9" s="18" t="s">
        <v>5</v>
      </c>
    </row>
  </sheetData>
  <mergeCells count="1"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5EE5-626D-41A2-9FC0-C8DEFFB58436}">
  <sheetPr codeName="Hoja2"/>
  <dimension ref="A1:P62"/>
  <sheetViews>
    <sheetView showGridLines="0" topLeftCell="A33" zoomScaleNormal="100" workbookViewId="0">
      <selection activeCell="D14" sqref="D14"/>
    </sheetView>
  </sheetViews>
  <sheetFormatPr defaultColWidth="11.42578125" defaultRowHeight="14.45"/>
  <cols>
    <col min="9" max="9" width="19.140625" customWidth="1"/>
    <col min="12" max="12" width="13.7109375" customWidth="1"/>
    <col min="13" max="13" width="11.7109375" bestFit="1" customWidth="1"/>
  </cols>
  <sheetData>
    <row r="1" spans="1:16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.6">
      <c r="A2" s="23"/>
      <c r="B2" s="32" t="s">
        <v>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23"/>
      <c r="P2" s="23"/>
    </row>
    <row r="3" spans="1:16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8" spans="1:16" ht="20.45" thickBot="1">
      <c r="L8" s="31" t="s">
        <v>7</v>
      </c>
      <c r="M8" s="31"/>
      <c r="N8" s="31"/>
    </row>
    <row r="9" spans="1:16" ht="15" thickTop="1"/>
    <row r="10" spans="1:16" ht="15.6">
      <c r="M10" s="1" t="s">
        <v>8</v>
      </c>
      <c r="N10" s="4" t="s">
        <v>9</v>
      </c>
    </row>
    <row r="11" spans="1:16" ht="15.6">
      <c r="M11" s="1" t="s">
        <v>10</v>
      </c>
      <c r="N11" s="4" t="s">
        <v>11</v>
      </c>
    </row>
    <row r="12" spans="1:16" ht="15.6">
      <c r="M12" s="1" t="s">
        <v>12</v>
      </c>
      <c r="N12" s="4" t="s">
        <v>13</v>
      </c>
    </row>
    <row r="13" spans="1:16" ht="15.6">
      <c r="M13" s="1" t="s">
        <v>14</v>
      </c>
      <c r="N13" s="4" t="s">
        <v>15</v>
      </c>
    </row>
    <row r="14" spans="1:16" ht="15.6">
      <c r="M14" s="1" t="s">
        <v>16</v>
      </c>
      <c r="N14" s="4" t="s">
        <v>17</v>
      </c>
    </row>
    <row r="15" spans="1:16" ht="15.6">
      <c r="M15" s="1" t="s">
        <v>18</v>
      </c>
      <c r="N15" s="4" t="s">
        <v>19</v>
      </c>
    </row>
    <row r="17" spans="1:16" ht="18">
      <c r="F17" s="2">
        <v>1</v>
      </c>
      <c r="K17" s="3">
        <v>0</v>
      </c>
    </row>
    <row r="22" spans="1:16">
      <c r="G22" t="s">
        <v>20</v>
      </c>
      <c r="K22" t="s">
        <v>20</v>
      </c>
    </row>
    <row r="23" spans="1:16">
      <c r="G23" t="s">
        <v>21</v>
      </c>
      <c r="K23" t="s">
        <v>21</v>
      </c>
    </row>
    <row r="24" spans="1:16">
      <c r="G24" t="s">
        <v>22</v>
      </c>
      <c r="K24" t="s">
        <v>22</v>
      </c>
    </row>
    <row r="30" spans="1:16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ht="36.6">
      <c r="A31" s="23"/>
      <c r="B31" s="32" t="s">
        <v>23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23"/>
      <c r="P31" s="23"/>
    </row>
    <row r="32" spans="1:16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</row>
    <row r="33" spans="6:13" s="25" customFormat="1"/>
    <row r="34" spans="6:13" s="25" customFormat="1">
      <c r="F34" s="26" t="s">
        <v>24</v>
      </c>
      <c r="G34" s="26"/>
      <c r="H34" s="26" t="s">
        <v>25</v>
      </c>
      <c r="I34" s="26" t="s">
        <v>26</v>
      </c>
      <c r="J34" s="26" t="s">
        <v>27</v>
      </c>
      <c r="K34" s="26"/>
      <c r="L34" s="26" t="s">
        <v>28</v>
      </c>
    </row>
    <row r="36" spans="6:13">
      <c r="M36" t="b">
        <v>1</v>
      </c>
    </row>
    <row r="40" spans="6:13">
      <c r="M40" t="b">
        <v>0</v>
      </c>
    </row>
    <row r="44" spans="6:13">
      <c r="M44" t="b">
        <v>0</v>
      </c>
    </row>
    <row r="49" spans="1:16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</row>
    <row r="50" spans="1:16" ht="36.6">
      <c r="A50" s="23"/>
      <c r="B50" s="32" t="s">
        <v>29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23"/>
      <c r="P50" s="23"/>
    </row>
    <row r="51" spans="1:1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</row>
    <row r="54" spans="1:16">
      <c r="M54" s="12" t="b">
        <v>1</v>
      </c>
    </row>
    <row r="58" spans="1:16">
      <c r="M58" s="12" t="b">
        <v>1</v>
      </c>
    </row>
    <row r="62" spans="1:16">
      <c r="M62" t="b">
        <v>0</v>
      </c>
    </row>
  </sheetData>
  <mergeCells count="4">
    <mergeCell ref="L8:N8"/>
    <mergeCell ref="B2:N2"/>
    <mergeCell ref="B31:N31"/>
    <mergeCell ref="B50:N5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F3E4-494D-4DFD-B937-95AC83EF2000}">
  <sheetPr codeName="Hoja6"/>
  <dimension ref="B4:D27"/>
  <sheetViews>
    <sheetView zoomScaleNormal="100" workbookViewId="0">
      <selection activeCell="E25" sqref="E25"/>
    </sheetView>
  </sheetViews>
  <sheetFormatPr defaultColWidth="11.42578125" defaultRowHeight="14.45"/>
  <cols>
    <col min="2" max="2" width="12" bestFit="1" customWidth="1"/>
    <col min="3" max="3" width="10.7109375" bestFit="1" customWidth="1"/>
    <col min="4" max="4" width="23.7109375" bestFit="1" customWidth="1"/>
  </cols>
  <sheetData>
    <row r="4" spans="2:4" ht="21">
      <c r="B4" s="15" t="s">
        <v>30</v>
      </c>
    </row>
    <row r="6" spans="2:4" ht="21">
      <c r="B6" s="13" t="s">
        <v>31</v>
      </c>
      <c r="C6" s="13" t="s">
        <v>32</v>
      </c>
      <c r="D6" s="13" t="s">
        <v>33</v>
      </c>
    </row>
    <row r="7" spans="2:4">
      <c r="B7" t="s">
        <v>34</v>
      </c>
      <c r="C7">
        <v>15</v>
      </c>
      <c r="D7" t="str">
        <f>IF($C7&gt;18,"Contratado","No Contratado")</f>
        <v>No Contratado</v>
      </c>
    </row>
    <row r="8" spans="2:4">
      <c r="B8" t="s">
        <v>35</v>
      </c>
      <c r="C8">
        <v>18</v>
      </c>
      <c r="D8" t="str">
        <f>IF($C8&gt;=18,"Contratado","No Contratado")</f>
        <v>Contratado</v>
      </c>
    </row>
    <row r="9" spans="2:4">
      <c r="B9" t="s">
        <v>36</v>
      </c>
      <c r="C9">
        <v>17</v>
      </c>
      <c r="D9" t="str">
        <f t="shared" ref="D9:D10" si="0">IF($C9&gt;=18,"Contratado","No Contratado")</f>
        <v>No Contratado</v>
      </c>
    </row>
    <row r="10" spans="2:4">
      <c r="B10" t="s">
        <v>37</v>
      </c>
      <c r="C10">
        <v>22</v>
      </c>
      <c r="D10" t="str">
        <f t="shared" si="0"/>
        <v>Contratado</v>
      </c>
    </row>
    <row r="13" spans="2:4" ht="21">
      <c r="B13" s="15" t="s">
        <v>38</v>
      </c>
    </row>
    <row r="15" spans="2:4" ht="21">
      <c r="B15" s="13" t="s">
        <v>31</v>
      </c>
      <c r="C15" s="13" t="s">
        <v>39</v>
      </c>
      <c r="D15" s="13" t="s">
        <v>40</v>
      </c>
    </row>
    <row r="16" spans="2:4">
      <c r="B16" t="s">
        <v>41</v>
      </c>
      <c r="C16" s="7">
        <v>21000</v>
      </c>
      <c r="D16" s="14">
        <f>IF(C16&gt;=20000,C16*5%+C16,C16)</f>
        <v>22050</v>
      </c>
    </row>
    <row r="17" spans="2:4">
      <c r="B17" t="s">
        <v>42</v>
      </c>
      <c r="C17" s="7">
        <v>35000</v>
      </c>
      <c r="D17" s="14">
        <f t="shared" ref="D17:D19" si="1">IF(C17&gt;=20000,C17*5%+C17,C17)</f>
        <v>36750</v>
      </c>
    </row>
    <row r="18" spans="2:4">
      <c r="B18" t="s">
        <v>43</v>
      </c>
      <c r="C18" s="7">
        <v>28000</v>
      </c>
      <c r="D18" s="14">
        <f t="shared" si="1"/>
        <v>29400</v>
      </c>
    </row>
    <row r="19" spans="2:4">
      <c r="B19" t="s">
        <v>44</v>
      </c>
      <c r="C19" s="7">
        <v>14000</v>
      </c>
      <c r="D19" s="14">
        <f t="shared" si="1"/>
        <v>14000</v>
      </c>
    </row>
    <row r="21" spans="2:4" ht="21">
      <c r="B21" s="15" t="s">
        <v>45</v>
      </c>
    </row>
    <row r="23" spans="2:4" ht="21">
      <c r="B23" s="13" t="s">
        <v>31</v>
      </c>
      <c r="C23" s="13" t="s">
        <v>39</v>
      </c>
      <c r="D23" s="13" t="s">
        <v>46</v>
      </c>
    </row>
    <row r="24" spans="2:4">
      <c r="B24" t="s">
        <v>41</v>
      </c>
      <c r="C24" s="7">
        <v>21000</v>
      </c>
      <c r="D24" s="7">
        <f>IF(C24&lt;20000,500+C24,C24)</f>
        <v>21000</v>
      </c>
    </row>
    <row r="25" spans="2:4">
      <c r="B25" t="s">
        <v>42</v>
      </c>
      <c r="C25" s="7">
        <v>35000</v>
      </c>
      <c r="D25" s="7">
        <f t="shared" ref="D25:D27" si="2">IF(C25&lt;20000,500+C25,C25)</f>
        <v>35000</v>
      </c>
    </row>
    <row r="26" spans="2:4">
      <c r="B26" t="s">
        <v>43</v>
      </c>
      <c r="C26" s="7">
        <v>28000</v>
      </c>
      <c r="D26" s="7">
        <f t="shared" si="2"/>
        <v>28000</v>
      </c>
    </row>
    <row r="27" spans="2:4">
      <c r="B27" t="s">
        <v>44</v>
      </c>
      <c r="C27" s="7">
        <v>14000</v>
      </c>
      <c r="D27" s="7">
        <f t="shared" si="2"/>
        <v>14500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2F88-4E5C-4C74-AEE0-36B5A1CFB71C}">
  <sheetPr codeName="Hoja4"/>
  <dimension ref="A2:J31"/>
  <sheetViews>
    <sheetView topLeftCell="A6" zoomScale="120" zoomScaleNormal="120" workbookViewId="0">
      <selection activeCell="K10" sqref="K10"/>
    </sheetView>
  </sheetViews>
  <sheetFormatPr defaultColWidth="11.42578125" defaultRowHeight="14.45"/>
  <cols>
    <col min="2" max="2" width="13.42578125" bestFit="1" customWidth="1"/>
    <col min="3" max="3" width="20.140625" customWidth="1"/>
    <col min="5" max="5" width="17.42578125" bestFit="1" customWidth="1"/>
    <col min="6" max="6" width="17" bestFit="1" customWidth="1"/>
    <col min="7" max="7" width="15" bestFit="1" customWidth="1"/>
    <col min="8" max="8" width="17.42578125" bestFit="1" customWidth="1"/>
    <col min="9" max="9" width="14.42578125" customWidth="1"/>
  </cols>
  <sheetData>
    <row r="2" spans="1:10">
      <c r="A2" s="5" t="s">
        <v>47</v>
      </c>
    </row>
    <row r="4" spans="1:10">
      <c r="C4" s="4" t="s">
        <v>48</v>
      </c>
      <c r="F4" s="11" t="s">
        <v>49</v>
      </c>
    </row>
    <row r="5" spans="1:10">
      <c r="C5" s="4" t="s">
        <v>50</v>
      </c>
    </row>
    <row r="6" spans="1:10">
      <c r="C6" s="4" t="s">
        <v>51</v>
      </c>
    </row>
    <row r="8" spans="1:10">
      <c r="A8" s="6" t="s">
        <v>52</v>
      </c>
      <c r="B8" s="6" t="s">
        <v>53</v>
      </c>
      <c r="C8" s="9" t="s">
        <v>54</v>
      </c>
      <c r="D8" s="10" t="s">
        <v>39</v>
      </c>
      <c r="E8" s="6" t="s">
        <v>55</v>
      </c>
      <c r="F8" s="9" t="s">
        <v>56</v>
      </c>
      <c r="G8" s="6" t="s">
        <v>57</v>
      </c>
      <c r="H8" s="20" t="s">
        <v>58</v>
      </c>
      <c r="I8" s="20" t="s">
        <v>59</v>
      </c>
      <c r="J8" s="20" t="s">
        <v>60</v>
      </c>
    </row>
    <row r="9" spans="1:10">
      <c r="A9" t="s">
        <v>61</v>
      </c>
      <c r="B9" t="s">
        <v>62</v>
      </c>
      <c r="C9" s="8">
        <v>40798</v>
      </c>
      <c r="D9" s="7">
        <v>56433</v>
      </c>
      <c r="E9" t="s">
        <v>63</v>
      </c>
      <c r="F9" s="8">
        <v>32986</v>
      </c>
      <c r="G9" t="s">
        <v>64</v>
      </c>
      <c r="H9">
        <f ca="1">DATEDIF(C9,TODAY(),"Y")</f>
        <v>14</v>
      </c>
      <c r="I9" t="b">
        <f ca="1">AND(H9&gt;10,D9&gt;50000,E9="Permanente")</f>
        <v>1</v>
      </c>
      <c r="J9" s="17">
        <f ca="1">IF(I9,D9*5%,"No Aplica")</f>
        <v>2821.65</v>
      </c>
    </row>
    <row r="10" spans="1:10">
      <c r="A10" t="s">
        <v>61</v>
      </c>
      <c r="B10" t="s">
        <v>65</v>
      </c>
      <c r="C10" s="8">
        <v>42383</v>
      </c>
      <c r="D10" s="7">
        <v>11653</v>
      </c>
      <c r="E10" t="s">
        <v>63</v>
      </c>
      <c r="F10" s="8">
        <v>24239</v>
      </c>
      <c r="G10" t="s">
        <v>66</v>
      </c>
      <c r="H10">
        <f t="shared" ref="H10:H31" ca="1" si="0">DATEDIF(C10,TODAY(),"Y")</f>
        <v>9</v>
      </c>
      <c r="I10" t="b">
        <f t="shared" ref="I10:I31" ca="1" si="1">AND(H10&gt;10,D10&gt;50000,E10="Permanente")</f>
        <v>0</v>
      </c>
      <c r="J10" s="17" t="str">
        <f t="shared" ref="J10:J31" ca="1" si="2">IF(I10,D10*5%,"No Aplica")</f>
        <v>No Aplica</v>
      </c>
    </row>
    <row r="11" spans="1:10">
      <c r="A11" t="s">
        <v>61</v>
      </c>
      <c r="B11" t="s">
        <v>67</v>
      </c>
      <c r="C11" s="8">
        <v>41699</v>
      </c>
      <c r="D11" s="7">
        <v>49207</v>
      </c>
      <c r="E11" t="s">
        <v>63</v>
      </c>
      <c r="F11" s="8">
        <v>35638</v>
      </c>
      <c r="G11" t="s">
        <v>68</v>
      </c>
      <c r="H11">
        <f t="shared" ca="1" si="0"/>
        <v>11</v>
      </c>
      <c r="I11" t="b">
        <f t="shared" ca="1" si="1"/>
        <v>0</v>
      </c>
      <c r="J11" s="17" t="str">
        <f t="shared" ca="1" si="2"/>
        <v>No Aplica</v>
      </c>
    </row>
    <row r="12" spans="1:10">
      <c r="A12" t="s">
        <v>61</v>
      </c>
      <c r="B12" t="s">
        <v>69</v>
      </c>
      <c r="C12" s="8">
        <v>41121</v>
      </c>
      <c r="D12" s="7">
        <v>113526</v>
      </c>
      <c r="E12" t="s">
        <v>70</v>
      </c>
      <c r="F12" s="8">
        <v>22414</v>
      </c>
      <c r="G12" t="s">
        <v>66</v>
      </c>
      <c r="H12">
        <f t="shared" ca="1" si="0"/>
        <v>13</v>
      </c>
      <c r="I12" t="b">
        <f t="shared" ca="1" si="1"/>
        <v>0</v>
      </c>
      <c r="J12" s="17" t="str">
        <f t="shared" ca="1" si="2"/>
        <v>No Aplica</v>
      </c>
    </row>
    <row r="13" spans="1:10">
      <c r="A13" t="s">
        <v>61</v>
      </c>
      <c r="B13" t="s">
        <v>65</v>
      </c>
      <c r="C13" s="8">
        <v>41487</v>
      </c>
      <c r="D13" s="7">
        <v>26112</v>
      </c>
      <c r="E13" t="s">
        <v>63</v>
      </c>
      <c r="F13" s="8">
        <v>32419</v>
      </c>
      <c r="G13" t="s">
        <v>64</v>
      </c>
      <c r="H13">
        <f t="shared" ca="1" si="0"/>
        <v>12</v>
      </c>
      <c r="I13" t="b">
        <f t="shared" ca="1" si="1"/>
        <v>0</v>
      </c>
      <c r="J13" s="17" t="str">
        <f t="shared" ca="1" si="2"/>
        <v>No Aplica</v>
      </c>
    </row>
    <row r="14" spans="1:10">
      <c r="A14" t="s">
        <v>61</v>
      </c>
      <c r="B14" t="s">
        <v>65</v>
      </c>
      <c r="C14" s="8">
        <v>42768</v>
      </c>
      <c r="D14" s="7">
        <v>96276</v>
      </c>
      <c r="E14" t="s">
        <v>70</v>
      </c>
      <c r="F14" s="8">
        <v>25226</v>
      </c>
      <c r="G14" t="s">
        <v>71</v>
      </c>
      <c r="H14">
        <f t="shared" ca="1" si="0"/>
        <v>8</v>
      </c>
      <c r="I14" t="b">
        <f t="shared" ca="1" si="1"/>
        <v>0</v>
      </c>
      <c r="J14" s="17" t="str">
        <f t="shared" ca="1" si="2"/>
        <v>No Aplica</v>
      </c>
    </row>
    <row r="15" spans="1:10">
      <c r="A15" t="s">
        <v>61</v>
      </c>
      <c r="B15" t="s">
        <v>65</v>
      </c>
      <c r="C15" s="8">
        <v>43170</v>
      </c>
      <c r="D15" s="7">
        <v>37855</v>
      </c>
      <c r="E15" t="s">
        <v>63</v>
      </c>
      <c r="F15" s="8">
        <v>37141</v>
      </c>
      <c r="G15" t="s">
        <v>71</v>
      </c>
      <c r="H15">
        <f t="shared" ca="1" si="0"/>
        <v>7</v>
      </c>
      <c r="I15" t="b">
        <f t="shared" ca="1" si="1"/>
        <v>0</v>
      </c>
      <c r="J15" s="17" t="str">
        <f t="shared" ca="1" si="2"/>
        <v>No Aplica</v>
      </c>
    </row>
    <row r="16" spans="1:10">
      <c r="A16" t="s">
        <v>61</v>
      </c>
      <c r="B16" t="s">
        <v>62</v>
      </c>
      <c r="C16" s="8">
        <v>41312</v>
      </c>
      <c r="D16" s="7">
        <v>62194</v>
      </c>
      <c r="E16" t="s">
        <v>63</v>
      </c>
      <c r="F16" s="8">
        <v>33350</v>
      </c>
      <c r="G16" t="s">
        <v>71</v>
      </c>
      <c r="H16">
        <f t="shared" ca="1" si="0"/>
        <v>12</v>
      </c>
      <c r="I16" t="b">
        <f t="shared" ca="1" si="1"/>
        <v>1</v>
      </c>
      <c r="J16" s="17">
        <f t="shared" ca="1" si="2"/>
        <v>3109.7000000000003</v>
      </c>
    </row>
    <row r="17" spans="1:10">
      <c r="A17" t="s">
        <v>61</v>
      </c>
      <c r="B17" t="s">
        <v>67</v>
      </c>
      <c r="C17" s="8">
        <v>41637</v>
      </c>
      <c r="D17" s="7">
        <v>51164</v>
      </c>
      <c r="E17" t="s">
        <v>63</v>
      </c>
      <c r="F17" s="8">
        <v>22834</v>
      </c>
      <c r="G17" t="s">
        <v>68</v>
      </c>
      <c r="H17">
        <f t="shared" ca="1" si="0"/>
        <v>11</v>
      </c>
      <c r="I17" t="b">
        <f t="shared" ca="1" si="1"/>
        <v>1</v>
      </c>
      <c r="J17" s="17">
        <f t="shared" ca="1" si="2"/>
        <v>2558.2000000000003</v>
      </c>
    </row>
    <row r="18" spans="1:10">
      <c r="A18" t="s">
        <v>61</v>
      </c>
      <c r="B18" t="s">
        <v>62</v>
      </c>
      <c r="C18" s="8">
        <v>40960</v>
      </c>
      <c r="D18" s="7">
        <v>122514</v>
      </c>
      <c r="E18" t="s">
        <v>70</v>
      </c>
      <c r="F18" s="8">
        <v>33907</v>
      </c>
      <c r="G18" t="s">
        <v>71</v>
      </c>
      <c r="H18">
        <f t="shared" ca="1" si="0"/>
        <v>13</v>
      </c>
      <c r="I18" t="b">
        <f t="shared" ca="1" si="1"/>
        <v>0</v>
      </c>
      <c r="J18" s="17" t="str">
        <f t="shared" ca="1" si="2"/>
        <v>No Aplica</v>
      </c>
    </row>
    <row r="19" spans="1:10">
      <c r="A19" t="s">
        <v>61</v>
      </c>
      <c r="B19" t="s">
        <v>62</v>
      </c>
      <c r="C19" s="8">
        <v>42799</v>
      </c>
      <c r="D19" s="7">
        <v>98790</v>
      </c>
      <c r="E19" t="s">
        <v>70</v>
      </c>
      <c r="F19" s="8">
        <v>23457</v>
      </c>
      <c r="G19" t="s">
        <v>72</v>
      </c>
      <c r="H19">
        <f t="shared" ca="1" si="0"/>
        <v>8</v>
      </c>
      <c r="I19" t="b">
        <f t="shared" ca="1" si="1"/>
        <v>0</v>
      </c>
      <c r="J19" s="17" t="str">
        <f t="shared" ca="1" si="2"/>
        <v>No Aplica</v>
      </c>
    </row>
    <row r="20" spans="1:10">
      <c r="A20" t="s">
        <v>61</v>
      </c>
      <c r="B20" t="s">
        <v>67</v>
      </c>
      <c r="C20" s="8">
        <v>43087</v>
      </c>
      <c r="D20" s="7">
        <v>95140</v>
      </c>
      <c r="E20" t="s">
        <v>70</v>
      </c>
      <c r="F20" s="8">
        <v>34242</v>
      </c>
      <c r="G20" t="s">
        <v>71</v>
      </c>
      <c r="H20">
        <f t="shared" ca="1" si="0"/>
        <v>8</v>
      </c>
      <c r="I20" t="b">
        <f t="shared" ca="1" si="1"/>
        <v>0</v>
      </c>
      <c r="J20" s="17" t="str">
        <f t="shared" ca="1" si="2"/>
        <v>No Aplica</v>
      </c>
    </row>
    <row r="21" spans="1:10">
      <c r="A21" t="s">
        <v>61</v>
      </c>
      <c r="B21" t="s">
        <v>73</v>
      </c>
      <c r="C21" s="8">
        <v>42009</v>
      </c>
      <c r="D21" s="7">
        <v>30561</v>
      </c>
      <c r="E21" t="s">
        <v>63</v>
      </c>
      <c r="F21" s="8">
        <v>26740</v>
      </c>
      <c r="G21" t="s">
        <v>66</v>
      </c>
      <c r="H21">
        <f t="shared" ca="1" si="0"/>
        <v>10</v>
      </c>
      <c r="I21" t="b">
        <f t="shared" ca="1" si="1"/>
        <v>0</v>
      </c>
      <c r="J21" s="17" t="str">
        <f t="shared" ca="1" si="2"/>
        <v>No Aplica</v>
      </c>
    </row>
    <row r="22" spans="1:10">
      <c r="A22" t="s">
        <v>61</v>
      </c>
      <c r="B22" t="s">
        <v>73</v>
      </c>
      <c r="C22" s="8">
        <v>43629</v>
      </c>
      <c r="D22" s="7">
        <v>89071</v>
      </c>
      <c r="E22" t="s">
        <v>63</v>
      </c>
      <c r="F22" s="8">
        <v>22454</v>
      </c>
      <c r="G22" t="s">
        <v>66</v>
      </c>
      <c r="H22">
        <f t="shared" ca="1" si="0"/>
        <v>6</v>
      </c>
      <c r="I22" t="b">
        <f t="shared" ca="1" si="1"/>
        <v>0</v>
      </c>
      <c r="J22" s="17" t="str">
        <f t="shared" ca="1" si="2"/>
        <v>No Aplica</v>
      </c>
    </row>
    <row r="23" spans="1:10">
      <c r="A23" t="s">
        <v>61</v>
      </c>
      <c r="B23" t="s">
        <v>73</v>
      </c>
      <c r="C23" s="8">
        <v>43911</v>
      </c>
      <c r="D23" s="7">
        <v>19590</v>
      </c>
      <c r="E23" t="s">
        <v>63</v>
      </c>
      <c r="F23" s="8">
        <v>29474</v>
      </c>
      <c r="G23" t="s">
        <v>71</v>
      </c>
      <c r="H23">
        <f t="shared" ca="1" si="0"/>
        <v>5</v>
      </c>
      <c r="I23" t="b">
        <f t="shared" ca="1" si="1"/>
        <v>0</v>
      </c>
      <c r="J23" s="17" t="str">
        <f t="shared" ca="1" si="2"/>
        <v>No Aplica</v>
      </c>
    </row>
    <row r="24" spans="1:10">
      <c r="A24" t="s">
        <v>61</v>
      </c>
      <c r="B24" t="s">
        <v>67</v>
      </c>
      <c r="C24" s="8">
        <v>42239</v>
      </c>
      <c r="D24" s="7">
        <v>89920</v>
      </c>
      <c r="E24" t="s">
        <v>63</v>
      </c>
      <c r="F24" s="8">
        <v>22521</v>
      </c>
      <c r="G24" t="s">
        <v>71</v>
      </c>
      <c r="H24">
        <f t="shared" ca="1" si="0"/>
        <v>10</v>
      </c>
      <c r="I24" t="b">
        <f t="shared" ca="1" si="1"/>
        <v>0</v>
      </c>
      <c r="J24" s="17" t="str">
        <f t="shared" ca="1" si="2"/>
        <v>No Aplica</v>
      </c>
    </row>
    <row r="25" spans="1:10">
      <c r="A25" t="s">
        <v>61</v>
      </c>
      <c r="B25" t="s">
        <v>65</v>
      </c>
      <c r="C25" s="8">
        <v>42603</v>
      </c>
      <c r="D25" s="7">
        <v>101515</v>
      </c>
      <c r="E25" t="s">
        <v>70</v>
      </c>
      <c r="F25" s="8">
        <v>34271</v>
      </c>
      <c r="G25" t="s">
        <v>64</v>
      </c>
      <c r="H25">
        <f t="shared" ca="1" si="0"/>
        <v>9</v>
      </c>
      <c r="I25" t="b">
        <f t="shared" ca="1" si="1"/>
        <v>0</v>
      </c>
      <c r="J25" s="17" t="str">
        <f t="shared" ca="1" si="2"/>
        <v>No Aplica</v>
      </c>
    </row>
    <row r="26" spans="1:10">
      <c r="A26" t="s">
        <v>61</v>
      </c>
      <c r="B26" t="s">
        <v>67</v>
      </c>
      <c r="C26" s="8">
        <v>43152</v>
      </c>
      <c r="D26" s="7">
        <v>17892</v>
      </c>
      <c r="E26" t="s">
        <v>63</v>
      </c>
      <c r="F26" s="8">
        <v>26335</v>
      </c>
      <c r="G26" t="s">
        <v>68</v>
      </c>
      <c r="H26">
        <f t="shared" ca="1" si="0"/>
        <v>7</v>
      </c>
      <c r="I26" t="b">
        <f t="shared" ca="1" si="1"/>
        <v>0</v>
      </c>
      <c r="J26" s="17" t="str">
        <f t="shared" ca="1" si="2"/>
        <v>No Aplica</v>
      </c>
    </row>
    <row r="27" spans="1:10">
      <c r="A27" t="s">
        <v>61</v>
      </c>
      <c r="B27" t="s">
        <v>73</v>
      </c>
      <c r="C27" s="8">
        <v>43161</v>
      </c>
      <c r="D27" s="7">
        <v>38383</v>
      </c>
      <c r="E27" t="s">
        <v>63</v>
      </c>
      <c r="F27" s="8">
        <v>27475</v>
      </c>
      <c r="G27" t="s">
        <v>66</v>
      </c>
      <c r="H27">
        <f t="shared" ca="1" si="0"/>
        <v>7</v>
      </c>
      <c r="I27" t="b">
        <f t="shared" ca="1" si="1"/>
        <v>0</v>
      </c>
      <c r="J27" s="17" t="str">
        <f t="shared" ca="1" si="2"/>
        <v>No Aplica</v>
      </c>
    </row>
    <row r="28" spans="1:10">
      <c r="A28" t="s">
        <v>61</v>
      </c>
      <c r="B28" t="s">
        <v>73</v>
      </c>
      <c r="C28" s="8">
        <v>41350</v>
      </c>
      <c r="D28" s="7">
        <v>16986</v>
      </c>
      <c r="E28" t="s">
        <v>63</v>
      </c>
      <c r="F28" s="8">
        <v>30934</v>
      </c>
      <c r="G28" t="s">
        <v>72</v>
      </c>
      <c r="H28">
        <f t="shared" ca="1" si="0"/>
        <v>12</v>
      </c>
      <c r="I28" t="b">
        <f t="shared" ca="1" si="1"/>
        <v>0</v>
      </c>
      <c r="J28" s="17" t="str">
        <f t="shared" ca="1" si="2"/>
        <v>No Aplica</v>
      </c>
    </row>
    <row r="29" spans="1:10">
      <c r="A29" t="s">
        <v>61</v>
      </c>
      <c r="B29" t="s">
        <v>69</v>
      </c>
      <c r="C29" s="8">
        <v>43716</v>
      </c>
      <c r="D29" s="7">
        <v>118624</v>
      </c>
      <c r="E29" t="s">
        <v>70</v>
      </c>
      <c r="F29" s="8">
        <v>22060</v>
      </c>
      <c r="G29" t="s">
        <v>66</v>
      </c>
      <c r="H29">
        <f t="shared" ca="1" si="0"/>
        <v>6</v>
      </c>
      <c r="I29" t="b">
        <f t="shared" ca="1" si="1"/>
        <v>0</v>
      </c>
      <c r="J29" s="17" t="str">
        <f t="shared" ca="1" si="2"/>
        <v>No Aplica</v>
      </c>
    </row>
    <row r="30" spans="1:10">
      <c r="A30" t="s">
        <v>61</v>
      </c>
      <c r="B30" t="s">
        <v>73</v>
      </c>
      <c r="C30" s="8">
        <v>43184</v>
      </c>
      <c r="D30" s="7">
        <v>7170</v>
      </c>
      <c r="E30" t="s">
        <v>74</v>
      </c>
      <c r="F30" s="8">
        <v>27693</v>
      </c>
      <c r="G30" t="s">
        <v>71</v>
      </c>
      <c r="H30">
        <f t="shared" ca="1" si="0"/>
        <v>7</v>
      </c>
      <c r="I30" t="b">
        <f t="shared" ca="1" si="1"/>
        <v>0</v>
      </c>
      <c r="J30" s="17" t="str">
        <f t="shared" ca="1" si="2"/>
        <v>No Aplica</v>
      </c>
    </row>
    <row r="31" spans="1:10">
      <c r="A31" t="s">
        <v>61</v>
      </c>
      <c r="B31" t="s">
        <v>73</v>
      </c>
      <c r="C31" s="8">
        <v>42555</v>
      </c>
      <c r="D31" s="7">
        <v>79545</v>
      </c>
      <c r="E31" t="s">
        <v>63</v>
      </c>
      <c r="F31" s="8">
        <v>32771</v>
      </c>
      <c r="G31" t="s">
        <v>66</v>
      </c>
      <c r="H31">
        <f t="shared" ca="1" si="0"/>
        <v>9</v>
      </c>
      <c r="I31" t="b">
        <f t="shared" ca="1" si="1"/>
        <v>0</v>
      </c>
      <c r="J31" s="17" t="str">
        <f t="shared" ca="1" si="2"/>
        <v>No Aplica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E065-57DD-4180-91DC-EFF914507E82}">
  <sheetPr codeName="Hoja5"/>
  <dimension ref="A1:L30"/>
  <sheetViews>
    <sheetView topLeftCell="A6" zoomScaleNormal="100" workbookViewId="0">
      <selection activeCell="M10" sqref="M10"/>
    </sheetView>
  </sheetViews>
  <sheetFormatPr defaultColWidth="11.42578125" defaultRowHeight="14.45"/>
  <cols>
    <col min="5" max="5" width="17.42578125" bestFit="1" customWidth="1"/>
    <col min="6" max="6" width="16" bestFit="1" customWidth="1"/>
    <col min="7" max="7" width="14.42578125" bestFit="1" customWidth="1"/>
    <col min="9" max="9" width="18.85546875" customWidth="1"/>
    <col min="11" max="11" width="13.7109375" customWidth="1"/>
  </cols>
  <sheetData>
    <row r="1" spans="1:12">
      <c r="A1" s="5" t="s">
        <v>75</v>
      </c>
    </row>
    <row r="3" spans="1:12">
      <c r="C3" s="4" t="s">
        <v>76</v>
      </c>
      <c r="G3" s="16" t="s">
        <v>77</v>
      </c>
    </row>
    <row r="4" spans="1:12">
      <c r="C4" s="4" t="s">
        <v>78</v>
      </c>
      <c r="G4" s="16" t="s">
        <v>79</v>
      </c>
    </row>
    <row r="5" spans="1:12">
      <c r="C5" s="4" t="s">
        <v>80</v>
      </c>
    </row>
    <row r="7" spans="1:12" ht="15">
      <c r="A7" s="6" t="s">
        <v>52</v>
      </c>
      <c r="B7" s="6" t="s">
        <v>53</v>
      </c>
      <c r="C7" s="9" t="s">
        <v>54</v>
      </c>
      <c r="D7" s="10" t="s">
        <v>39</v>
      </c>
      <c r="E7" s="6" t="s">
        <v>55</v>
      </c>
      <c r="F7" s="9" t="s">
        <v>56</v>
      </c>
      <c r="G7" s="6" t="s">
        <v>57</v>
      </c>
      <c r="H7" s="6" t="s">
        <v>81</v>
      </c>
      <c r="I7" s="6" t="s">
        <v>59</v>
      </c>
      <c r="J7" s="6" t="s">
        <v>59</v>
      </c>
      <c r="K7" s="6" t="s">
        <v>82</v>
      </c>
      <c r="L7" s="6" t="s">
        <v>83</v>
      </c>
    </row>
    <row r="8" spans="1:12">
      <c r="A8" t="s">
        <v>61</v>
      </c>
      <c r="B8" t="s">
        <v>62</v>
      </c>
      <c r="C8" s="8">
        <v>40798</v>
      </c>
      <c r="D8" s="7">
        <v>56433</v>
      </c>
      <c r="E8" t="s">
        <v>63</v>
      </c>
      <c r="F8" s="8">
        <v>32986</v>
      </c>
      <c r="G8" t="s">
        <v>64</v>
      </c>
      <c r="H8" t="b">
        <f>OR(G8="Almacen",G8="Ventas")</f>
        <v>0</v>
      </c>
      <c r="I8" t="b">
        <f ca="1">AND(DATEDIF(F8,TODAY(),"Y")&gt;35)</f>
        <v>0</v>
      </c>
      <c r="J8" t="b">
        <f>AND(B8&lt;&gt;"Sureste")</f>
        <v>0</v>
      </c>
      <c r="K8" s="27" t="b">
        <f ca="1">AND(H8:J8)</f>
        <v>0</v>
      </c>
      <c r="L8" s="28" t="str">
        <f ca="1">IF(K8,"Aplica","No aplica")</f>
        <v>No aplica</v>
      </c>
    </row>
    <row r="9" spans="1:12">
      <c r="A9" t="s">
        <v>61</v>
      </c>
      <c r="B9" t="s">
        <v>65</v>
      </c>
      <c r="C9" s="8">
        <v>42383</v>
      </c>
      <c r="D9" s="7">
        <v>11653</v>
      </c>
      <c r="E9" t="s">
        <v>63</v>
      </c>
      <c r="F9" s="8">
        <v>24239</v>
      </c>
      <c r="G9" t="s">
        <v>66</v>
      </c>
      <c r="H9" t="b">
        <f t="shared" ref="H9:H30" si="0">OR(G9="Almacen",G9="Ventas")</f>
        <v>0</v>
      </c>
      <c r="I9" t="b">
        <f t="shared" ref="I9:I30" ca="1" si="1">AND(DATEDIF(F9,TODAY(),"Y")&gt;35)</f>
        <v>1</v>
      </c>
      <c r="J9" t="b">
        <f t="shared" ref="J9:J30" si="2">AND(B9&lt;&gt;"Sureste")</f>
        <v>1</v>
      </c>
      <c r="K9" s="27" t="b">
        <f t="shared" ref="K9:K30" ca="1" si="3">AND(H9:J9)</f>
        <v>0</v>
      </c>
      <c r="L9" s="28" t="str">
        <f t="shared" ref="L9:L30" ca="1" si="4">IF(K9,"Aplica","No aplica")</f>
        <v>No aplica</v>
      </c>
    </row>
    <row r="10" spans="1:12">
      <c r="A10" t="s">
        <v>61</v>
      </c>
      <c r="B10" t="s">
        <v>67</v>
      </c>
      <c r="C10" s="8">
        <v>41699</v>
      </c>
      <c r="D10" s="7">
        <v>49207</v>
      </c>
      <c r="E10" t="s">
        <v>63</v>
      </c>
      <c r="F10" s="8">
        <v>35638</v>
      </c>
      <c r="G10" t="s">
        <v>68</v>
      </c>
      <c r="H10" t="b">
        <f t="shared" si="0"/>
        <v>1</v>
      </c>
      <c r="I10" t="b">
        <f t="shared" ca="1" si="1"/>
        <v>0</v>
      </c>
      <c r="J10" t="b">
        <f t="shared" si="2"/>
        <v>1</v>
      </c>
      <c r="K10" s="27" t="b">
        <f t="shared" ca="1" si="3"/>
        <v>0</v>
      </c>
      <c r="L10" s="28" t="str">
        <f t="shared" ca="1" si="4"/>
        <v>No aplica</v>
      </c>
    </row>
    <row r="11" spans="1:12">
      <c r="A11" t="s">
        <v>61</v>
      </c>
      <c r="B11" t="s">
        <v>69</v>
      </c>
      <c r="C11" s="8">
        <v>41121</v>
      </c>
      <c r="D11" s="7">
        <v>113526</v>
      </c>
      <c r="E11" t="s">
        <v>70</v>
      </c>
      <c r="F11" s="8">
        <v>22414</v>
      </c>
      <c r="G11" t="s">
        <v>66</v>
      </c>
      <c r="H11" t="b">
        <f t="shared" si="0"/>
        <v>0</v>
      </c>
      <c r="I11" t="b">
        <f t="shared" ca="1" si="1"/>
        <v>1</v>
      </c>
      <c r="J11" t="b">
        <f t="shared" si="2"/>
        <v>1</v>
      </c>
      <c r="K11" s="27" t="b">
        <f t="shared" ca="1" si="3"/>
        <v>0</v>
      </c>
      <c r="L11" s="28" t="str">
        <f t="shared" ca="1" si="4"/>
        <v>No aplica</v>
      </c>
    </row>
    <row r="12" spans="1:12">
      <c r="A12" t="s">
        <v>61</v>
      </c>
      <c r="B12" t="s">
        <v>65</v>
      </c>
      <c r="C12" s="8">
        <v>41487</v>
      </c>
      <c r="D12" s="7">
        <v>26112</v>
      </c>
      <c r="E12" t="s">
        <v>63</v>
      </c>
      <c r="F12" s="8">
        <v>32419</v>
      </c>
      <c r="G12" t="s">
        <v>64</v>
      </c>
      <c r="H12" t="b">
        <f t="shared" si="0"/>
        <v>0</v>
      </c>
      <c r="I12" t="b">
        <f t="shared" ca="1" si="1"/>
        <v>1</v>
      </c>
      <c r="J12" t="b">
        <f t="shared" si="2"/>
        <v>1</v>
      </c>
      <c r="K12" s="27" t="b">
        <f t="shared" ca="1" si="3"/>
        <v>0</v>
      </c>
      <c r="L12" s="28" t="str">
        <f t="shared" ca="1" si="4"/>
        <v>No aplica</v>
      </c>
    </row>
    <row r="13" spans="1:12">
      <c r="A13" t="s">
        <v>61</v>
      </c>
      <c r="B13" t="s">
        <v>65</v>
      </c>
      <c r="C13" s="8">
        <v>42768</v>
      </c>
      <c r="D13" s="7">
        <v>96276</v>
      </c>
      <c r="E13" t="s">
        <v>70</v>
      </c>
      <c r="F13" s="8">
        <v>25226</v>
      </c>
      <c r="G13" t="s">
        <v>71</v>
      </c>
      <c r="H13" t="b">
        <f t="shared" si="0"/>
        <v>1</v>
      </c>
      <c r="I13" t="b">
        <f t="shared" ca="1" si="1"/>
        <v>1</v>
      </c>
      <c r="J13" t="b">
        <f t="shared" si="2"/>
        <v>1</v>
      </c>
      <c r="K13" s="27" t="b">
        <f t="shared" ca="1" si="3"/>
        <v>1</v>
      </c>
      <c r="L13" s="28" t="str">
        <f t="shared" ca="1" si="4"/>
        <v>Aplica</v>
      </c>
    </row>
    <row r="14" spans="1:12">
      <c r="A14" t="s">
        <v>61</v>
      </c>
      <c r="B14" t="s">
        <v>65</v>
      </c>
      <c r="C14" s="8">
        <v>43170</v>
      </c>
      <c r="D14" s="7">
        <v>37855</v>
      </c>
      <c r="E14" t="s">
        <v>63</v>
      </c>
      <c r="F14" s="8">
        <v>37141</v>
      </c>
      <c r="G14" t="s">
        <v>71</v>
      </c>
      <c r="H14" t="b">
        <f t="shared" si="0"/>
        <v>1</v>
      </c>
      <c r="I14" t="b">
        <f t="shared" ca="1" si="1"/>
        <v>0</v>
      </c>
      <c r="J14" t="b">
        <f t="shared" si="2"/>
        <v>1</v>
      </c>
      <c r="K14" s="27" t="b">
        <f t="shared" ca="1" si="3"/>
        <v>0</v>
      </c>
      <c r="L14" s="28" t="str">
        <f t="shared" ca="1" si="4"/>
        <v>No aplica</v>
      </c>
    </row>
    <row r="15" spans="1:12">
      <c r="A15" t="s">
        <v>61</v>
      </c>
      <c r="B15" t="s">
        <v>62</v>
      </c>
      <c r="C15" s="8">
        <v>41312</v>
      </c>
      <c r="D15" s="7">
        <v>62194</v>
      </c>
      <c r="E15" t="s">
        <v>63</v>
      </c>
      <c r="F15" s="8">
        <v>33350</v>
      </c>
      <c r="G15" t="s">
        <v>71</v>
      </c>
      <c r="H15" t="b">
        <f t="shared" si="0"/>
        <v>1</v>
      </c>
      <c r="I15" t="b">
        <f t="shared" ca="1" si="1"/>
        <v>0</v>
      </c>
      <c r="J15" t="b">
        <f t="shared" si="2"/>
        <v>0</v>
      </c>
      <c r="K15" s="27" t="b">
        <f t="shared" ca="1" si="3"/>
        <v>0</v>
      </c>
      <c r="L15" s="28" t="str">
        <f t="shared" ca="1" si="4"/>
        <v>No aplica</v>
      </c>
    </row>
    <row r="16" spans="1:12">
      <c r="A16" t="s">
        <v>61</v>
      </c>
      <c r="B16" t="s">
        <v>67</v>
      </c>
      <c r="C16" s="8">
        <v>41637</v>
      </c>
      <c r="D16" s="7">
        <v>51164</v>
      </c>
      <c r="E16" t="s">
        <v>63</v>
      </c>
      <c r="F16" s="8">
        <v>22834</v>
      </c>
      <c r="G16" t="s">
        <v>68</v>
      </c>
      <c r="H16" t="b">
        <f t="shared" si="0"/>
        <v>1</v>
      </c>
      <c r="I16" t="b">
        <f t="shared" ca="1" si="1"/>
        <v>1</v>
      </c>
      <c r="J16" t="b">
        <f t="shared" si="2"/>
        <v>1</v>
      </c>
      <c r="K16" s="27" t="b">
        <f t="shared" ca="1" si="3"/>
        <v>1</v>
      </c>
      <c r="L16" s="28" t="str">
        <f t="shared" ca="1" si="4"/>
        <v>Aplica</v>
      </c>
    </row>
    <row r="17" spans="1:12">
      <c r="A17" t="s">
        <v>61</v>
      </c>
      <c r="B17" t="s">
        <v>62</v>
      </c>
      <c r="C17" s="8">
        <v>40960</v>
      </c>
      <c r="D17" s="7">
        <v>122514</v>
      </c>
      <c r="E17" t="s">
        <v>70</v>
      </c>
      <c r="F17" s="8">
        <v>33907</v>
      </c>
      <c r="G17" t="s">
        <v>71</v>
      </c>
      <c r="H17" t="b">
        <f t="shared" si="0"/>
        <v>1</v>
      </c>
      <c r="I17" t="b">
        <f t="shared" ca="1" si="1"/>
        <v>0</v>
      </c>
      <c r="J17" t="b">
        <f t="shared" si="2"/>
        <v>0</v>
      </c>
      <c r="K17" s="27" t="b">
        <f t="shared" ca="1" si="3"/>
        <v>0</v>
      </c>
      <c r="L17" s="28" t="str">
        <f t="shared" ca="1" si="4"/>
        <v>No aplica</v>
      </c>
    </row>
    <row r="18" spans="1:12">
      <c r="A18" t="s">
        <v>61</v>
      </c>
      <c r="B18" t="s">
        <v>62</v>
      </c>
      <c r="C18" s="8">
        <v>42799</v>
      </c>
      <c r="D18" s="7">
        <v>98790</v>
      </c>
      <c r="E18" t="s">
        <v>70</v>
      </c>
      <c r="F18" s="8">
        <v>23457</v>
      </c>
      <c r="G18" t="s">
        <v>72</v>
      </c>
      <c r="H18" t="b">
        <f t="shared" si="0"/>
        <v>0</v>
      </c>
      <c r="I18" t="b">
        <f t="shared" ca="1" si="1"/>
        <v>1</v>
      </c>
      <c r="J18" t="b">
        <f t="shared" si="2"/>
        <v>0</v>
      </c>
      <c r="K18" s="27" t="b">
        <f t="shared" ca="1" si="3"/>
        <v>0</v>
      </c>
      <c r="L18" s="28" t="str">
        <f t="shared" ca="1" si="4"/>
        <v>No aplica</v>
      </c>
    </row>
    <row r="19" spans="1:12">
      <c r="A19" t="s">
        <v>61</v>
      </c>
      <c r="B19" t="s">
        <v>67</v>
      </c>
      <c r="C19" s="8">
        <v>43087</v>
      </c>
      <c r="D19" s="7">
        <v>95140</v>
      </c>
      <c r="E19" t="s">
        <v>70</v>
      </c>
      <c r="F19" s="8">
        <v>34242</v>
      </c>
      <c r="G19" t="s">
        <v>71</v>
      </c>
      <c r="H19" t="b">
        <f t="shared" si="0"/>
        <v>1</v>
      </c>
      <c r="I19" t="b">
        <f t="shared" ca="1" si="1"/>
        <v>0</v>
      </c>
      <c r="J19" t="b">
        <f t="shared" si="2"/>
        <v>1</v>
      </c>
      <c r="K19" s="27" t="b">
        <f t="shared" ca="1" si="3"/>
        <v>0</v>
      </c>
      <c r="L19" s="28" t="str">
        <f t="shared" ca="1" si="4"/>
        <v>No aplica</v>
      </c>
    </row>
    <row r="20" spans="1:12">
      <c r="A20" t="s">
        <v>61</v>
      </c>
      <c r="B20" t="s">
        <v>73</v>
      </c>
      <c r="C20" s="8">
        <v>42009</v>
      </c>
      <c r="D20" s="7">
        <v>30561</v>
      </c>
      <c r="E20" t="s">
        <v>63</v>
      </c>
      <c r="F20" s="8">
        <v>26740</v>
      </c>
      <c r="G20" t="s">
        <v>66</v>
      </c>
      <c r="H20" t="b">
        <f t="shared" si="0"/>
        <v>0</v>
      </c>
      <c r="I20" t="b">
        <f t="shared" ca="1" si="1"/>
        <v>1</v>
      </c>
      <c r="J20" t="b">
        <f t="shared" si="2"/>
        <v>1</v>
      </c>
      <c r="K20" s="27" t="b">
        <f t="shared" ca="1" si="3"/>
        <v>0</v>
      </c>
      <c r="L20" s="28" t="str">
        <f t="shared" ca="1" si="4"/>
        <v>No aplica</v>
      </c>
    </row>
    <row r="21" spans="1:12">
      <c r="A21" t="s">
        <v>61</v>
      </c>
      <c r="B21" t="s">
        <v>73</v>
      </c>
      <c r="C21" s="8">
        <v>43629</v>
      </c>
      <c r="D21" s="7">
        <v>89071</v>
      </c>
      <c r="E21" t="s">
        <v>63</v>
      </c>
      <c r="F21" s="8">
        <v>22454</v>
      </c>
      <c r="G21" t="s">
        <v>66</v>
      </c>
      <c r="H21" t="b">
        <f t="shared" si="0"/>
        <v>0</v>
      </c>
      <c r="I21" t="b">
        <f t="shared" ca="1" si="1"/>
        <v>1</v>
      </c>
      <c r="J21" t="b">
        <f t="shared" si="2"/>
        <v>1</v>
      </c>
      <c r="K21" s="27" t="b">
        <f t="shared" ca="1" si="3"/>
        <v>0</v>
      </c>
      <c r="L21" s="28" t="str">
        <f t="shared" ca="1" si="4"/>
        <v>No aplica</v>
      </c>
    </row>
    <row r="22" spans="1:12">
      <c r="A22" t="s">
        <v>61</v>
      </c>
      <c r="B22" t="s">
        <v>73</v>
      </c>
      <c r="C22" s="8">
        <v>43911</v>
      </c>
      <c r="D22" s="7">
        <v>19590</v>
      </c>
      <c r="E22" t="s">
        <v>63</v>
      </c>
      <c r="F22" s="8">
        <v>29474</v>
      </c>
      <c r="G22" t="s">
        <v>71</v>
      </c>
      <c r="H22" t="b">
        <f t="shared" si="0"/>
        <v>1</v>
      </c>
      <c r="I22" t="b">
        <f t="shared" ca="1" si="1"/>
        <v>1</v>
      </c>
      <c r="J22" t="b">
        <f t="shared" si="2"/>
        <v>1</v>
      </c>
      <c r="K22" s="27" t="b">
        <f t="shared" ca="1" si="3"/>
        <v>1</v>
      </c>
      <c r="L22" s="28" t="str">
        <f t="shared" ca="1" si="4"/>
        <v>Aplica</v>
      </c>
    </row>
    <row r="23" spans="1:12">
      <c r="A23" t="s">
        <v>61</v>
      </c>
      <c r="B23" t="s">
        <v>67</v>
      </c>
      <c r="C23" s="8">
        <v>42239</v>
      </c>
      <c r="D23" s="7">
        <v>89920</v>
      </c>
      <c r="E23" t="s">
        <v>63</v>
      </c>
      <c r="F23" s="8">
        <v>22521</v>
      </c>
      <c r="G23" t="s">
        <v>71</v>
      </c>
      <c r="H23" t="b">
        <f t="shared" si="0"/>
        <v>1</v>
      </c>
      <c r="I23" t="b">
        <f t="shared" ca="1" si="1"/>
        <v>1</v>
      </c>
      <c r="J23" t="b">
        <f t="shared" si="2"/>
        <v>1</v>
      </c>
      <c r="K23" s="27" t="b">
        <f t="shared" ca="1" si="3"/>
        <v>1</v>
      </c>
      <c r="L23" s="28" t="str">
        <f t="shared" ca="1" si="4"/>
        <v>Aplica</v>
      </c>
    </row>
    <row r="24" spans="1:12">
      <c r="A24" t="s">
        <v>61</v>
      </c>
      <c r="B24" t="s">
        <v>65</v>
      </c>
      <c r="C24" s="8">
        <v>42603</v>
      </c>
      <c r="D24" s="7">
        <v>101515</v>
      </c>
      <c r="E24" t="s">
        <v>70</v>
      </c>
      <c r="F24" s="8">
        <v>34271</v>
      </c>
      <c r="G24" t="s">
        <v>64</v>
      </c>
      <c r="H24" t="b">
        <f t="shared" si="0"/>
        <v>0</v>
      </c>
      <c r="I24" t="b">
        <f t="shared" ca="1" si="1"/>
        <v>0</v>
      </c>
      <c r="J24" t="b">
        <f t="shared" si="2"/>
        <v>1</v>
      </c>
      <c r="K24" s="27" t="b">
        <f t="shared" ca="1" si="3"/>
        <v>0</v>
      </c>
      <c r="L24" s="28" t="str">
        <f t="shared" ca="1" si="4"/>
        <v>No aplica</v>
      </c>
    </row>
    <row r="25" spans="1:12">
      <c r="A25" t="s">
        <v>61</v>
      </c>
      <c r="B25" t="s">
        <v>67</v>
      </c>
      <c r="C25" s="8">
        <v>43152</v>
      </c>
      <c r="D25" s="7">
        <v>17892</v>
      </c>
      <c r="E25" t="s">
        <v>63</v>
      </c>
      <c r="F25" s="8">
        <v>26335</v>
      </c>
      <c r="G25" t="s">
        <v>68</v>
      </c>
      <c r="H25" t="b">
        <f t="shared" si="0"/>
        <v>1</v>
      </c>
      <c r="I25" t="b">
        <f t="shared" ca="1" si="1"/>
        <v>1</v>
      </c>
      <c r="J25" t="b">
        <f t="shared" si="2"/>
        <v>1</v>
      </c>
      <c r="K25" s="27" t="b">
        <f t="shared" ca="1" si="3"/>
        <v>1</v>
      </c>
      <c r="L25" s="28" t="str">
        <f t="shared" ca="1" si="4"/>
        <v>Aplica</v>
      </c>
    </row>
    <row r="26" spans="1:12">
      <c r="A26" t="s">
        <v>61</v>
      </c>
      <c r="B26" t="s">
        <v>73</v>
      </c>
      <c r="C26" s="8">
        <v>43161</v>
      </c>
      <c r="D26" s="7">
        <v>38383</v>
      </c>
      <c r="E26" t="s">
        <v>63</v>
      </c>
      <c r="F26" s="8">
        <v>27475</v>
      </c>
      <c r="G26" t="s">
        <v>66</v>
      </c>
      <c r="H26" t="b">
        <f t="shared" si="0"/>
        <v>0</v>
      </c>
      <c r="I26" t="b">
        <f t="shared" ca="1" si="1"/>
        <v>1</v>
      </c>
      <c r="J26" t="b">
        <f t="shared" si="2"/>
        <v>1</v>
      </c>
      <c r="K26" s="27" t="b">
        <f t="shared" ca="1" si="3"/>
        <v>0</v>
      </c>
      <c r="L26" s="28" t="str">
        <f t="shared" ca="1" si="4"/>
        <v>No aplica</v>
      </c>
    </row>
    <row r="27" spans="1:12">
      <c r="A27" t="s">
        <v>61</v>
      </c>
      <c r="B27" t="s">
        <v>73</v>
      </c>
      <c r="C27" s="8">
        <v>41350</v>
      </c>
      <c r="D27" s="7">
        <v>16986</v>
      </c>
      <c r="E27" t="s">
        <v>63</v>
      </c>
      <c r="F27" s="8">
        <v>30934</v>
      </c>
      <c r="G27" t="s">
        <v>72</v>
      </c>
      <c r="H27" t="b">
        <f t="shared" si="0"/>
        <v>0</v>
      </c>
      <c r="I27" t="b">
        <f t="shared" ca="1" si="1"/>
        <v>1</v>
      </c>
      <c r="J27" t="b">
        <f t="shared" si="2"/>
        <v>1</v>
      </c>
      <c r="K27" s="27" t="b">
        <f t="shared" ca="1" si="3"/>
        <v>0</v>
      </c>
      <c r="L27" s="28" t="str">
        <f t="shared" ca="1" si="4"/>
        <v>No aplica</v>
      </c>
    </row>
    <row r="28" spans="1:12">
      <c r="A28" t="s">
        <v>61</v>
      </c>
      <c r="B28" t="s">
        <v>69</v>
      </c>
      <c r="C28" s="8">
        <v>43716</v>
      </c>
      <c r="D28" s="7">
        <v>118624</v>
      </c>
      <c r="E28" t="s">
        <v>70</v>
      </c>
      <c r="F28" s="8">
        <v>22060</v>
      </c>
      <c r="G28" t="s">
        <v>66</v>
      </c>
      <c r="H28" t="b">
        <f t="shared" si="0"/>
        <v>0</v>
      </c>
      <c r="I28" t="b">
        <f t="shared" ca="1" si="1"/>
        <v>1</v>
      </c>
      <c r="J28" t="b">
        <f t="shared" si="2"/>
        <v>1</v>
      </c>
      <c r="K28" s="27" t="b">
        <f t="shared" ca="1" si="3"/>
        <v>0</v>
      </c>
      <c r="L28" s="28" t="str">
        <f t="shared" ca="1" si="4"/>
        <v>No aplica</v>
      </c>
    </row>
    <row r="29" spans="1:12">
      <c r="A29" t="s">
        <v>61</v>
      </c>
      <c r="B29" t="s">
        <v>73</v>
      </c>
      <c r="C29" s="8">
        <v>43184</v>
      </c>
      <c r="D29" s="7">
        <v>7170</v>
      </c>
      <c r="E29" t="s">
        <v>74</v>
      </c>
      <c r="F29" s="8">
        <v>27693</v>
      </c>
      <c r="G29" t="s">
        <v>71</v>
      </c>
      <c r="H29" t="b">
        <f t="shared" si="0"/>
        <v>1</v>
      </c>
      <c r="I29" t="b">
        <f t="shared" ca="1" si="1"/>
        <v>1</v>
      </c>
      <c r="J29" t="b">
        <f t="shared" si="2"/>
        <v>1</v>
      </c>
      <c r="K29" s="27" t="b">
        <f t="shared" ca="1" si="3"/>
        <v>1</v>
      </c>
      <c r="L29" s="28" t="str">
        <f t="shared" ca="1" si="4"/>
        <v>Aplica</v>
      </c>
    </row>
    <row r="30" spans="1:12">
      <c r="A30" t="s">
        <v>61</v>
      </c>
      <c r="B30" t="s">
        <v>73</v>
      </c>
      <c r="C30" s="8">
        <v>42555</v>
      </c>
      <c r="D30" s="7">
        <v>79545</v>
      </c>
      <c r="E30" t="s">
        <v>63</v>
      </c>
      <c r="F30" s="8">
        <v>32771</v>
      </c>
      <c r="G30" t="s">
        <v>66</v>
      </c>
      <c r="H30" t="b">
        <f t="shared" si="0"/>
        <v>0</v>
      </c>
      <c r="I30" t="b">
        <f t="shared" ca="1" si="1"/>
        <v>1</v>
      </c>
      <c r="J30" t="b">
        <f t="shared" si="2"/>
        <v>1</v>
      </c>
      <c r="K30" s="27" t="b">
        <f t="shared" ca="1" si="3"/>
        <v>0</v>
      </c>
      <c r="L30" s="28" t="str">
        <f t="shared" ca="1" si="4"/>
        <v>No aplica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E897-20ED-47A7-B095-153AF0D9D8D6}">
  <dimension ref="A1:P20"/>
  <sheetViews>
    <sheetView topLeftCell="A5" zoomScale="160" zoomScaleNormal="160" workbookViewId="0">
      <selection activeCell="H12" sqref="H12"/>
    </sheetView>
  </sheetViews>
  <sheetFormatPr defaultColWidth="11.42578125" defaultRowHeight="14.45"/>
  <sheetData>
    <row r="1" spans="1:16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28.9">
      <c r="A2" s="33" t="s">
        <v>84</v>
      </c>
      <c r="B2" s="33"/>
      <c r="C2" s="33"/>
      <c r="D2" s="33"/>
      <c r="E2" s="33"/>
      <c r="F2" s="33"/>
      <c r="G2" s="33"/>
      <c r="H2" s="33"/>
      <c r="I2" s="33"/>
      <c r="J2" s="33"/>
      <c r="K2" s="24"/>
      <c r="L2" s="24"/>
      <c r="M2" s="24"/>
      <c r="O2" s="23"/>
      <c r="P2" s="23"/>
    </row>
    <row r="3" spans="1:16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5" spans="1:16">
      <c r="D5" s="22" t="s">
        <v>5</v>
      </c>
    </row>
    <row r="8" spans="1:16">
      <c r="B8" s="21" t="s">
        <v>85</v>
      </c>
      <c r="C8" s="21" t="s">
        <v>86</v>
      </c>
      <c r="D8" s="20" t="s">
        <v>87</v>
      </c>
    </row>
    <row r="9" spans="1:16">
      <c r="B9" s="8">
        <v>45277</v>
      </c>
      <c r="C9">
        <f>MONTH(B9)</f>
        <v>12</v>
      </c>
      <c r="D9" t="str" cm="1">
        <f t="array" ref="D9">_xlfn.SWITCH(C9&gt;0,C9&lt;=2,"1 Bimestre",C9&lt;=4,"2 Bimestre",C9&lt;=6,"3 Bimestre",C9&lt;=8,"4 Bimestre",C9&lt;=10,"5 Bimestre",C9&lt;=12,"6 Bimestre")</f>
        <v>6 Bimestre</v>
      </c>
      <c r="G9" t="s">
        <v>88</v>
      </c>
      <c r="H9" t="s">
        <v>89</v>
      </c>
    </row>
    <row r="10" spans="1:16">
      <c r="B10" s="8">
        <v>45260</v>
      </c>
      <c r="C10">
        <f>MONTH(B10)</f>
        <v>11</v>
      </c>
      <c r="D10" t="str" cm="1">
        <f t="array" ref="D10">_xlfn.SWITCH(C10&gt;0,C10&lt;=2,"1 Bimestre",C10&lt;=4,"2 Bimestre",C10&lt;=6,"3 Bimestre",C10&lt;=8,"4 Bimestre",C10&lt;=10,"5 Bimestre",C10&lt;=12,"6 Bimestre")</f>
        <v>6 Bimestre</v>
      </c>
      <c r="G10" t="s">
        <v>90</v>
      </c>
      <c r="H10" t="s">
        <v>91</v>
      </c>
    </row>
    <row r="11" spans="1:16">
      <c r="B11" s="8">
        <v>45259</v>
      </c>
      <c r="C11">
        <f>MONTH(B11)</f>
        <v>11</v>
      </c>
      <c r="D11" t="str" cm="1">
        <f t="array" ref="D11">_xlfn.SWITCH(C11&gt;0,C11&lt;=2,"1 Bimestre",C11&lt;=4,"2 Bimestre",C11&lt;=6,"3 Bimestre",C11&lt;=8,"4 Bimestre",C11&lt;=10,"5 Bimestre",C11&lt;=12,"6 Bimestre")</f>
        <v>6 Bimestre</v>
      </c>
      <c r="G11" t="s">
        <v>92</v>
      </c>
      <c r="H11" t="s">
        <v>93</v>
      </c>
    </row>
    <row r="12" spans="1:16">
      <c r="B12" s="8">
        <v>45226</v>
      </c>
      <c r="C12">
        <f>MONTH(B12)</f>
        <v>10</v>
      </c>
      <c r="D12" t="str" cm="1">
        <f t="array" ref="D12">_xlfn.SWITCH(C12&gt;0,C12&lt;=2,"1 Bimestre",C12&lt;=4,"2 Bimestre",C12&lt;=6,"3 Bimestre",C12&lt;=8,"4 Bimestre",C12&lt;=10,"5 Bimestre",C12&lt;=12,"6 Bimestre")</f>
        <v>5 Bimestre</v>
      </c>
      <c r="G12" t="s">
        <v>94</v>
      </c>
      <c r="H12" t="s">
        <v>95</v>
      </c>
    </row>
    <row r="13" spans="1:16">
      <c r="B13" s="8">
        <v>45218</v>
      </c>
      <c r="C13">
        <f>MONTH(B13)</f>
        <v>10</v>
      </c>
      <c r="D13" t="str" cm="1">
        <f t="array" ref="D13">_xlfn.SWITCH(C13&gt;0,C13&lt;=2,"1 Bimestre",C13&lt;=4,"2 Bimestre",C13&lt;=6,"3 Bimestre",C13&lt;=8,"4 Bimestre",C13&lt;=10,"5 Bimestre",C13&lt;=12,"6 Bimestre")</f>
        <v>5 Bimestre</v>
      </c>
      <c r="G13" t="s">
        <v>96</v>
      </c>
      <c r="H13" t="s">
        <v>97</v>
      </c>
    </row>
    <row r="14" spans="1:16">
      <c r="B14" s="8">
        <v>45215</v>
      </c>
      <c r="C14">
        <f>MONTH(B14)</f>
        <v>10</v>
      </c>
      <c r="D14" t="str" cm="1">
        <f t="array" ref="D14">_xlfn.SWITCH(C14&gt;0,C14&lt;=2,"1 Bimestre",C14&lt;=4,"2 Bimestre",C14&lt;=6,"3 Bimestre",C14&lt;=8,"4 Bimestre",C14&lt;=10,"5 Bimestre",C14&lt;=12,"6 Bimestre")</f>
        <v>5 Bimestre</v>
      </c>
      <c r="G14" t="s">
        <v>98</v>
      </c>
      <c r="H14" t="s">
        <v>99</v>
      </c>
    </row>
    <row r="15" spans="1:16">
      <c r="B15" s="8">
        <v>45166</v>
      </c>
      <c r="C15">
        <f>MONTH(B15)</f>
        <v>8</v>
      </c>
      <c r="D15" t="str" cm="1">
        <f t="array" ref="D15">_xlfn.SWITCH(C15&gt;0,C15&lt;=2,"1 Bimestre",C15&lt;=4,"2 Bimestre",C15&lt;=6,"3 Bimestre",C15&lt;=8,"4 Bimestre",C15&lt;=10,"5 Bimestre",C15&lt;=12,"6 Bimestre")</f>
        <v>4 Bimestre</v>
      </c>
    </row>
    <row r="16" spans="1:16">
      <c r="B16" s="8">
        <v>45064</v>
      </c>
      <c r="C16">
        <f>MONTH(B16)</f>
        <v>5</v>
      </c>
      <c r="D16" t="str" cm="1">
        <f t="array" ref="D16">_xlfn.SWITCH(C16&gt;0,C16&lt;=2,"1 Bimestre",C16&lt;=4,"2 Bimestre",C16&lt;=6,"3 Bimestre",C16&lt;=8,"4 Bimestre",C16&lt;=10,"5 Bimestre",C16&lt;=12,"6 Bimestre")</f>
        <v>3 Bimestre</v>
      </c>
    </row>
    <row r="17" spans="2:4">
      <c r="B17" s="8">
        <v>45059</v>
      </c>
      <c r="C17">
        <f>MONTH(B17)</f>
        <v>5</v>
      </c>
      <c r="D17" t="str" cm="1">
        <f t="array" ref="D17">_xlfn.SWITCH(C17&gt;0,C17&lt;=2,"1 Bimestre",C17&lt;=4,"2 Bimestre",C17&lt;=6,"3 Bimestre",C17&lt;=8,"4 Bimestre",C17&lt;=10,"5 Bimestre",C17&lt;=12,"6 Bimestre")</f>
        <v>3 Bimestre</v>
      </c>
    </row>
    <row r="18" spans="2:4">
      <c r="B18" s="8">
        <v>45020</v>
      </c>
      <c r="C18">
        <f>MONTH(B18)</f>
        <v>4</v>
      </c>
      <c r="D18" t="str" cm="1">
        <f t="array" ref="D18">_xlfn.SWITCH(C18&gt;0,C18&lt;=2,"1 Bimestre",C18&lt;=4,"2 Bimestre",C18&lt;=6,"3 Bimestre",C18&lt;=8,"4 Bimestre",C18&lt;=10,"5 Bimestre",C18&lt;=12,"6 Bimestre")</f>
        <v>2 Bimestre</v>
      </c>
    </row>
    <row r="19" spans="2:4">
      <c r="B19" s="8">
        <v>44971</v>
      </c>
      <c r="C19">
        <f>MONTH(B19)</f>
        <v>2</v>
      </c>
      <c r="D19" t="str" cm="1">
        <f t="array" ref="D19">_xlfn.SWITCH(C19&gt;0,C19&lt;=2,"1 Bimestre",C19&lt;=4,"2 Bimestre",C19&lt;=6,"3 Bimestre",C19&lt;=8,"4 Bimestre",C19&lt;=10,"5 Bimestre",C19&lt;=12,"6 Bimestre")</f>
        <v>1 Bimestre</v>
      </c>
    </row>
    <row r="20" spans="2:4">
      <c r="B20" s="8">
        <v>44935</v>
      </c>
      <c r="C20">
        <f>MONTH(B20)</f>
        <v>1</v>
      </c>
      <c r="D20" t="str" cm="1">
        <f t="array" ref="D20">_xlfn.SWITCH(C20&gt;0,C20&lt;=2,"1 Bimestre",C20&lt;=4,"2 Bimestre",C20&lt;=6,"3 Bimestre",C20&lt;=8,"4 Bimestre",C20&lt;=10,"5 Bimestre",C20&lt;=12,"6 Bimestre")</f>
        <v>1 Bimestre</v>
      </c>
    </row>
  </sheetData>
  <sortState xmlns:xlrd2="http://schemas.microsoft.com/office/spreadsheetml/2017/richdata2" ref="B9:D20">
    <sortCondition descending="1" ref="B9:B20"/>
  </sortState>
  <mergeCells count="1"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C8CB-631E-4519-9E12-5C49C72614BC}">
  <dimension ref="A1:O25"/>
  <sheetViews>
    <sheetView tabSelected="1" topLeftCell="A6" zoomScale="120" zoomScaleNormal="120" workbookViewId="0">
      <selection activeCell="D15" sqref="D15:D25"/>
    </sheetView>
  </sheetViews>
  <sheetFormatPr defaultColWidth="11.42578125" defaultRowHeight="14.45"/>
  <sheetData>
    <row r="1" spans="1:1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8.9">
      <c r="A2" s="33" t="s">
        <v>100</v>
      </c>
      <c r="B2" s="33"/>
      <c r="C2" s="33"/>
      <c r="D2" s="33"/>
      <c r="E2" s="33"/>
      <c r="F2" s="33"/>
      <c r="G2" s="33"/>
      <c r="H2" s="33"/>
      <c r="I2" s="33"/>
      <c r="J2" s="33"/>
      <c r="K2" s="24"/>
      <c r="L2" s="24"/>
      <c r="M2" s="24"/>
      <c r="N2" s="24"/>
      <c r="O2" s="24"/>
    </row>
    <row r="3" spans="1:1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5" spans="1:15" ht="21">
      <c r="C5" s="19" t="s">
        <v>4</v>
      </c>
    </row>
    <row r="7" spans="1:15">
      <c r="C7" s="21" t="s">
        <v>101</v>
      </c>
      <c r="D7" s="21" t="s">
        <v>102</v>
      </c>
    </row>
    <row r="8" spans="1:15">
      <c r="C8" s="34" t="s">
        <v>103</v>
      </c>
      <c r="D8" s="35">
        <v>25</v>
      </c>
    </row>
    <row r="9" spans="1:15">
      <c r="C9" s="36" t="s">
        <v>104</v>
      </c>
      <c r="D9" s="37">
        <v>32</v>
      </c>
    </row>
    <row r="10" spans="1:15">
      <c r="C10" s="38" t="s">
        <v>105</v>
      </c>
      <c r="D10" s="39">
        <v>56</v>
      </c>
    </row>
    <row r="11" spans="1:15">
      <c r="C11" s="40" t="s">
        <v>106</v>
      </c>
      <c r="D11" s="41">
        <v>88</v>
      </c>
    </row>
    <row r="14" spans="1:15">
      <c r="A14" s="21" t="s">
        <v>101</v>
      </c>
      <c r="B14" s="21" t="s">
        <v>107</v>
      </c>
      <c r="C14" s="20" t="s">
        <v>102</v>
      </c>
    </row>
    <row r="15" spans="1:15">
      <c r="A15" t="s">
        <v>103</v>
      </c>
      <c r="B15">
        <v>246</v>
      </c>
      <c r="C15" s="29">
        <f>VLOOKUP(A15,$C$8:$D$11,2,FALSE)</f>
        <v>25</v>
      </c>
      <c r="D15" s="29" cm="1">
        <f t="array" ref="D15">_xlfn.IFS(A15=$C$8,$D$8,A15=$C$9,$D$9,A15=$C$10,$D$10,A15=$C$11,$D$11)</f>
        <v>25</v>
      </c>
    </row>
    <row r="16" spans="1:15">
      <c r="A16" t="s">
        <v>106</v>
      </c>
      <c r="B16">
        <v>10</v>
      </c>
      <c r="C16" s="29">
        <f t="shared" ref="C16:C25" si="0">VLOOKUP(A16,$C$8:$D$11,2,FALSE)</f>
        <v>88</v>
      </c>
      <c r="D16" s="29" cm="1">
        <f t="array" ref="D16">_xlfn.IFS(A16=$C$8,$D$8,A16=$C$9,$D$9,A16=$C$10,$D$10,A16=$C$11,$D$11)</f>
        <v>88</v>
      </c>
    </row>
    <row r="17" spans="1:4">
      <c r="A17" t="s">
        <v>103</v>
      </c>
      <c r="B17">
        <v>403</v>
      </c>
      <c r="C17" s="29">
        <f t="shared" si="0"/>
        <v>25</v>
      </c>
      <c r="D17" s="29" cm="1">
        <f t="array" ref="D17">_xlfn.IFS(A17=$C$8,$D$8,A17=$C$9,$D$9,A17=$C$10,$D$10,A17=$C$11,$D$11)</f>
        <v>25</v>
      </c>
    </row>
    <row r="18" spans="1:4">
      <c r="A18" t="s">
        <v>104</v>
      </c>
      <c r="B18">
        <v>417</v>
      </c>
      <c r="C18" s="29">
        <f t="shared" si="0"/>
        <v>32</v>
      </c>
      <c r="D18" s="29" cm="1">
        <f t="array" ref="D18">_xlfn.IFS(A18=$C$8,$D$8,A18=$C$9,$D$9,A18=$C$10,$D$10,A18=$C$11,$D$11)</f>
        <v>32</v>
      </c>
    </row>
    <row r="19" spans="1:4">
      <c r="A19" t="s">
        <v>104</v>
      </c>
      <c r="B19">
        <v>146</v>
      </c>
      <c r="C19" s="29">
        <f t="shared" si="0"/>
        <v>32</v>
      </c>
      <c r="D19" s="29" cm="1">
        <f t="array" ref="D19">_xlfn.IFS(A19=$C$8,$D$8,A19=$C$9,$D$9,A19=$C$10,$D$10,A19=$C$11,$D$11)</f>
        <v>32</v>
      </c>
    </row>
    <row r="20" spans="1:4">
      <c r="A20" t="s">
        <v>104</v>
      </c>
      <c r="B20">
        <v>21</v>
      </c>
      <c r="C20" s="29">
        <f t="shared" si="0"/>
        <v>32</v>
      </c>
      <c r="D20" s="29" cm="1">
        <f t="array" ref="D20">_xlfn.IFS(A20=$C$8,$D$8,A20=$C$9,$D$9,A20=$C$10,$D$10,A20=$C$11,$D$11)</f>
        <v>32</v>
      </c>
    </row>
    <row r="21" spans="1:4">
      <c r="A21" t="s">
        <v>105</v>
      </c>
      <c r="B21">
        <v>413</v>
      </c>
      <c r="C21" s="29">
        <f t="shared" si="0"/>
        <v>56</v>
      </c>
      <c r="D21" s="29" cm="1">
        <f t="array" ref="D21">_xlfn.IFS(A21=$C$8,$D$8,A21=$C$9,$D$9,A21=$C$10,$D$10,A21=$C$11,$D$11)</f>
        <v>56</v>
      </c>
    </row>
    <row r="22" spans="1:4">
      <c r="A22" t="s">
        <v>103</v>
      </c>
      <c r="B22">
        <v>477</v>
      </c>
      <c r="C22" s="29">
        <f t="shared" si="0"/>
        <v>25</v>
      </c>
      <c r="D22" s="29" cm="1">
        <f t="array" ref="D22">_xlfn.IFS(A22=$C$8,$D$8,A22=$C$9,$D$9,A22=$C$10,$D$10,A22=$C$11,$D$11)</f>
        <v>25</v>
      </c>
    </row>
    <row r="23" spans="1:4">
      <c r="A23" t="s">
        <v>106</v>
      </c>
      <c r="B23">
        <v>340</v>
      </c>
      <c r="C23" s="29">
        <f t="shared" si="0"/>
        <v>88</v>
      </c>
      <c r="D23" s="29" cm="1">
        <f t="array" ref="D23">_xlfn.IFS(A23=$C$8,$D$8,A23=$C$9,$D$9,A23=$C$10,$D$10,A23=$C$11,$D$11)</f>
        <v>88</v>
      </c>
    </row>
    <row r="24" spans="1:4">
      <c r="A24" t="s">
        <v>106</v>
      </c>
      <c r="B24">
        <v>380</v>
      </c>
      <c r="C24" s="29">
        <f t="shared" si="0"/>
        <v>88</v>
      </c>
      <c r="D24" s="29" cm="1">
        <f t="array" ref="D24">_xlfn.IFS(A24=$C$8,$D$8,A24=$C$9,$D$9,A24=$C$10,$D$10,A24=$C$11,$D$11)</f>
        <v>88</v>
      </c>
    </row>
    <row r="25" spans="1:4">
      <c r="A25" t="s">
        <v>106</v>
      </c>
      <c r="B25">
        <v>325</v>
      </c>
      <c r="C25" s="29">
        <f t="shared" si="0"/>
        <v>88</v>
      </c>
      <c r="D25" s="29" cm="1">
        <f t="array" ref="D25">_xlfn.IFS(A25=$C$8,$D$8,A25=$C$9,$D$9,A25=$C$10,$D$10,A25=$C$11,$D$11)</f>
        <v>88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/>
  <cp:revision/>
  <dcterms:created xsi:type="dcterms:W3CDTF">2022-04-26T00:44:45Z</dcterms:created>
  <dcterms:modified xsi:type="dcterms:W3CDTF">2025-12-26T13:14:23Z</dcterms:modified>
  <cp:category/>
  <cp:contentStatus/>
</cp:coreProperties>
</file>