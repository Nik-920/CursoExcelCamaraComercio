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Miguel\Documents\Formaciones\Camara de Comercio\"/>
    </mc:Choice>
  </mc:AlternateContent>
  <xr:revisionPtr revIDLastSave="0" documentId="8_{3386B4ED-8D59-4EEC-A832-06CBA0CC4620}" xr6:coauthVersionLast="47" xr6:coauthVersionMax="47" xr10:uidLastSave="{00000000-0000-0000-0000-000000000000}"/>
  <bookViews>
    <workbookView xWindow="-108" yWindow="-108" windowWidth="23256" windowHeight="12456" firstSheet="2" activeTab="5" xr2:uid="{0B5E9422-64FA-4C88-B427-22D95CDC22CC}"/>
  </bookViews>
  <sheets>
    <sheet name="UNICOS" sheetId="1" r:id="rId1"/>
    <sheet name="ORDENAR" sheetId="4" r:id="rId2"/>
    <sheet name="ORDENARPOR" sheetId="5" r:id="rId3"/>
    <sheet name="SECUENCIA" sheetId="3" r:id="rId4"/>
    <sheet name="MATRIZALEAT" sheetId="6" r:id="rId5"/>
    <sheet name="FILTRAR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8" l="1" a="1"/>
  <c r="A14" i="8"/>
  <c r="B5" i="6" a="1"/>
  <c r="B5" i="6"/>
  <c r="B4" i="6" a="1"/>
  <c r="B4" i="6"/>
  <c r="F4" i="3"/>
  <c r="E7" i="3" a="1"/>
  <c r="E7" i="3"/>
  <c r="B5" i="3" a="1"/>
  <c r="B5" i="3"/>
  <c r="F2" i="5" a="1"/>
  <c r="F2" i="5"/>
  <c r="F2" i="4" a="1"/>
  <c r="F2" i="4"/>
  <c r="G2" i="1" a="1"/>
  <c r="G2" i="1" s="1"/>
  <c r="B10" i="6" l="1"/>
  <c r="F7" i="3" a="1"/>
  <c r="F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<sst xmlns="http://schemas.openxmlformats.org/spreadsheetml/2006/main" count="112" uniqueCount="29">
  <si>
    <t>Nombre</t>
  </si>
  <si>
    <t>Departamento</t>
  </si>
  <si>
    <t>Edad</t>
  </si>
  <si>
    <t>Salario</t>
  </si>
  <si>
    <t>Juan</t>
  </si>
  <si>
    <t>Ventas</t>
  </si>
  <si>
    <t>María</t>
  </si>
  <si>
    <t>Marketing</t>
  </si>
  <si>
    <t>Carlos</t>
  </si>
  <si>
    <t>Ana</t>
  </si>
  <si>
    <t>Recursos Humanos</t>
  </si>
  <si>
    <t>Luis</t>
  </si>
  <si>
    <t>IT</t>
  </si>
  <si>
    <t>Elena</t>
  </si>
  <si>
    <t>Pedro</t>
  </si>
  <si>
    <t>Sofía</t>
  </si>
  <si>
    <t>Miguel</t>
  </si>
  <si>
    <t>Laura</t>
  </si>
  <si>
    <t>CREDITO</t>
  </si>
  <si>
    <t>TASA ANUAL</t>
  </si>
  <si>
    <t>PERIODO</t>
  </si>
  <si>
    <t>MENSUALIDAD</t>
  </si>
  <si>
    <t>Mensualidad</t>
  </si>
  <si>
    <t>MESES</t>
  </si>
  <si>
    <t>PRODU/MES</t>
  </si>
  <si>
    <t>SKU-01</t>
  </si>
  <si>
    <t>SKU-02</t>
  </si>
  <si>
    <t>SKU-03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</si>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</sst>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3" fontId="0" fillId="0" borderId="0" xfId="0" applyNumberFormat="1"/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70F5A-6941-4FC3-95DC-B5F122D42F80}" name="Tabla1" displayName="Tabla1" ref="A1:D11" totalsRowShown="0" headerRowDxfId="5" dataDxfId="4">
  <autoFilter ref="A1:D11" xr:uid="{9AF70F5A-6941-4FC3-95DC-B5F122D42F80}"/>
  <tableColumns count="4">
    <tableColumn id="1" xr3:uid="{25E9FA2D-4A60-48C6-8B38-23ACED6EBACB}" name="Nombre" dataDxfId="3"/>
    <tableColumn id="2" xr3:uid="{025961C8-4C41-4A7D-9D04-7E34D35DFF6D}" name="Departamento" dataDxfId="2"/>
    <tableColumn id="3" xr3:uid="{F0AD6D58-5A94-457E-AD0F-083095B3C3DA}" name="Edad" dataDxfId="1"/>
    <tableColumn id="4" xr3:uid="{04B09266-21DA-4712-B6A2-94DDC5622FAF}" name="Sal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A072-5EBF-4866-9645-31A7A5E78D96}">
  <dimension ref="A1:G11"/>
  <sheetViews>
    <sheetView workbookViewId="0">
      <selection activeCell="C14" sqref="C14"/>
    </sheetView>
  </sheetViews>
  <sheetFormatPr defaultColWidth="11.42578125" defaultRowHeight="14.45"/>
  <cols>
    <col min="2" max="2" width="19.85546875" customWidth="1"/>
    <col min="7" max="7" width="18" customWidth="1"/>
  </cols>
  <sheetData>
    <row r="1" spans="1:7" ht="21.75" customHeight="1">
      <c r="A1" s="1" t="s">
        <v>0</v>
      </c>
      <c r="B1" s="1" t="s">
        <v>1</v>
      </c>
      <c r="C1" s="1" t="s">
        <v>2</v>
      </c>
      <c r="D1" s="1" t="s">
        <v>3</v>
      </c>
      <c r="G1" s="1" t="s">
        <v>1</v>
      </c>
    </row>
    <row r="2" spans="1:7">
      <c r="A2" s="2" t="s">
        <v>4</v>
      </c>
      <c r="B2" s="2" t="s">
        <v>5</v>
      </c>
      <c r="C2" s="2">
        <v>28</v>
      </c>
      <c r="D2" s="2">
        <v>3000</v>
      </c>
      <c r="G2" t="str" cm="1">
        <f t="array" ref="G2:G5">_xlfn.UNIQUE(B2:B11)</f>
        <v>Ventas</v>
      </c>
    </row>
    <row r="3" spans="1:7">
      <c r="A3" s="2" t="s">
        <v>6</v>
      </c>
      <c r="B3" s="2" t="s">
        <v>7</v>
      </c>
      <c r="C3" s="2">
        <v>35</v>
      </c>
      <c r="D3" s="2">
        <v>4000</v>
      </c>
      <c r="G3" t="str">
        <v>Marketing</v>
      </c>
    </row>
    <row r="4" spans="1:7">
      <c r="A4" s="2" t="s">
        <v>8</v>
      </c>
      <c r="B4" s="2" t="s">
        <v>5</v>
      </c>
      <c r="C4" s="2">
        <v>45</v>
      </c>
      <c r="D4" s="2">
        <v>5000</v>
      </c>
      <c r="G4" t="str">
        <v>Recursos Humanos</v>
      </c>
    </row>
    <row r="5" spans="1:7">
      <c r="A5" s="2" t="s">
        <v>9</v>
      </c>
      <c r="B5" s="2" t="s">
        <v>10</v>
      </c>
      <c r="C5" s="2">
        <v>30</v>
      </c>
      <c r="D5" s="2">
        <v>3500</v>
      </c>
      <c r="G5" t="str">
        <v>IT</v>
      </c>
    </row>
    <row r="6" spans="1:7">
      <c r="A6" s="2" t="s">
        <v>11</v>
      </c>
      <c r="B6" s="2" t="s">
        <v>12</v>
      </c>
      <c r="C6" s="2">
        <v>25</v>
      </c>
      <c r="D6" s="2">
        <v>3200</v>
      </c>
    </row>
    <row r="7" spans="1:7">
      <c r="A7" s="2" t="s">
        <v>13</v>
      </c>
      <c r="B7" s="2" t="s">
        <v>7</v>
      </c>
      <c r="C7" s="2">
        <v>29</v>
      </c>
      <c r="D7" s="2">
        <v>3800</v>
      </c>
    </row>
    <row r="8" spans="1:7">
      <c r="A8" s="2" t="s">
        <v>14</v>
      </c>
      <c r="B8" s="2" t="s">
        <v>5</v>
      </c>
      <c r="C8" s="2">
        <v>32</v>
      </c>
      <c r="D8" s="2">
        <v>3100</v>
      </c>
    </row>
    <row r="9" spans="1:7">
      <c r="A9" s="2" t="s">
        <v>15</v>
      </c>
      <c r="B9" s="2" t="s">
        <v>12</v>
      </c>
      <c r="C9" s="2">
        <v>27</v>
      </c>
      <c r="D9" s="2">
        <v>3400</v>
      </c>
    </row>
    <row r="10" spans="1:7">
      <c r="A10" s="2" t="s">
        <v>16</v>
      </c>
      <c r="B10" s="2" t="s">
        <v>10</v>
      </c>
      <c r="C10" s="2">
        <v>40</v>
      </c>
      <c r="D10" s="2">
        <v>4500</v>
      </c>
    </row>
    <row r="11" spans="1:7">
      <c r="A11" s="2" t="s">
        <v>17</v>
      </c>
      <c r="B11" s="2" t="s">
        <v>7</v>
      </c>
      <c r="C11" s="2">
        <v>33</v>
      </c>
      <c r="D11" s="2">
        <v>3700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442C-9FB6-4739-9A06-A9058977E107}">
  <dimension ref="A1:I11"/>
  <sheetViews>
    <sheetView workbookViewId="0">
      <selection activeCell="H15" sqref="H15"/>
    </sheetView>
  </sheetViews>
  <sheetFormatPr defaultColWidth="11.42578125" defaultRowHeight="14.45"/>
  <cols>
    <col min="2" max="2" width="19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</row>
    <row r="2" spans="1:9">
      <c r="A2" s="2" t="s">
        <v>4</v>
      </c>
      <c r="B2" s="2" t="s">
        <v>5</v>
      </c>
      <c r="C2" s="2">
        <v>28</v>
      </c>
      <c r="D2" s="2">
        <v>3000</v>
      </c>
      <c r="F2" t="str" cm="1">
        <f t="array" ref="F2:I11">_xlfn._xlws.SORT(A2:D11,3,-1)</f>
        <v>Carlos</v>
      </c>
      <c r="G2" t="str">
        <v>Ventas</v>
      </c>
      <c r="H2">
        <v>45</v>
      </c>
      <c r="I2">
        <v>5000</v>
      </c>
    </row>
    <row r="3" spans="1:9">
      <c r="A3" s="2" t="s">
        <v>6</v>
      </c>
      <c r="B3" s="2" t="s">
        <v>7</v>
      </c>
      <c r="C3" s="2">
        <v>35</v>
      </c>
      <c r="D3" s="2">
        <v>4000</v>
      </c>
      <c r="F3" t="str">
        <v>Miguel</v>
      </c>
      <c r="G3" t="str">
        <v>Recursos Humanos</v>
      </c>
      <c r="H3">
        <v>40</v>
      </c>
      <c r="I3">
        <v>4500</v>
      </c>
    </row>
    <row r="4" spans="1:9">
      <c r="A4" s="2" t="s">
        <v>8</v>
      </c>
      <c r="B4" s="2" t="s">
        <v>5</v>
      </c>
      <c r="C4" s="2">
        <v>45</v>
      </c>
      <c r="D4" s="2">
        <v>5000</v>
      </c>
      <c r="F4" t="str">
        <v>María</v>
      </c>
      <c r="G4" t="str">
        <v>Marketing</v>
      </c>
      <c r="H4">
        <v>35</v>
      </c>
      <c r="I4">
        <v>4000</v>
      </c>
    </row>
    <row r="5" spans="1:9">
      <c r="A5" s="2" t="s">
        <v>9</v>
      </c>
      <c r="B5" s="2" t="s">
        <v>10</v>
      </c>
      <c r="C5" s="2">
        <v>30</v>
      </c>
      <c r="D5" s="2">
        <v>3500</v>
      </c>
      <c r="F5" t="str">
        <v>Laura</v>
      </c>
      <c r="G5" t="str">
        <v>Marketing</v>
      </c>
      <c r="H5">
        <v>33</v>
      </c>
      <c r="I5">
        <v>3700</v>
      </c>
    </row>
    <row r="6" spans="1:9">
      <c r="A6" s="2" t="s">
        <v>11</v>
      </c>
      <c r="B6" s="2" t="s">
        <v>12</v>
      </c>
      <c r="C6" s="2">
        <v>25</v>
      </c>
      <c r="D6" s="2">
        <v>3200</v>
      </c>
      <c r="F6" t="str">
        <v>Pedro</v>
      </c>
      <c r="G6" t="str">
        <v>Ventas</v>
      </c>
      <c r="H6">
        <v>32</v>
      </c>
      <c r="I6">
        <v>3100</v>
      </c>
    </row>
    <row r="7" spans="1:9">
      <c r="A7" s="2" t="s">
        <v>13</v>
      </c>
      <c r="B7" s="2" t="s">
        <v>7</v>
      </c>
      <c r="C7" s="2">
        <v>29</v>
      </c>
      <c r="D7" s="2">
        <v>3800</v>
      </c>
      <c r="F7" t="str">
        <v>Ana</v>
      </c>
      <c r="G7" t="str">
        <v>Recursos Humanos</v>
      </c>
      <c r="H7">
        <v>30</v>
      </c>
      <c r="I7">
        <v>3500</v>
      </c>
    </row>
    <row r="8" spans="1:9">
      <c r="A8" s="2" t="s">
        <v>14</v>
      </c>
      <c r="B8" s="2" t="s">
        <v>5</v>
      </c>
      <c r="C8" s="2">
        <v>32</v>
      </c>
      <c r="D8" s="2">
        <v>3100</v>
      </c>
      <c r="F8" t="str">
        <v>Elena</v>
      </c>
      <c r="G8" t="str">
        <v>Marketing</v>
      </c>
      <c r="H8">
        <v>29</v>
      </c>
      <c r="I8">
        <v>3800</v>
      </c>
    </row>
    <row r="9" spans="1:9">
      <c r="A9" s="2" t="s">
        <v>15</v>
      </c>
      <c r="B9" s="2" t="s">
        <v>12</v>
      </c>
      <c r="C9" s="2">
        <v>27</v>
      </c>
      <c r="D9" s="2">
        <v>3400</v>
      </c>
      <c r="F9" t="str">
        <v>Juan</v>
      </c>
      <c r="G9" t="str">
        <v>Ventas</v>
      </c>
      <c r="H9">
        <v>28</v>
      </c>
      <c r="I9">
        <v>3000</v>
      </c>
    </row>
    <row r="10" spans="1:9">
      <c r="A10" s="2" t="s">
        <v>16</v>
      </c>
      <c r="B10" s="2" t="s">
        <v>10</v>
      </c>
      <c r="C10" s="2">
        <v>40</v>
      </c>
      <c r="D10" s="2">
        <v>4500</v>
      </c>
      <c r="F10" t="str">
        <v>Sofía</v>
      </c>
      <c r="G10" t="str">
        <v>IT</v>
      </c>
      <c r="H10">
        <v>27</v>
      </c>
      <c r="I10">
        <v>3400</v>
      </c>
    </row>
    <row r="11" spans="1:9">
      <c r="A11" s="2" t="s">
        <v>17</v>
      </c>
      <c r="B11" s="2" t="s">
        <v>7</v>
      </c>
      <c r="C11" s="2">
        <v>33</v>
      </c>
      <c r="D11" s="2">
        <v>3700</v>
      </c>
      <c r="F11" t="str">
        <v>Luis</v>
      </c>
      <c r="G11" t="str">
        <v>IT</v>
      </c>
      <c r="H11">
        <v>25</v>
      </c>
      <c r="I11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DD91-E6E5-4F30-BDA8-87F0D44C509C}">
  <dimension ref="A1:I11"/>
  <sheetViews>
    <sheetView workbookViewId="0">
      <selection activeCell="F3" sqref="F3"/>
    </sheetView>
  </sheetViews>
  <sheetFormatPr defaultColWidth="11.42578125" defaultRowHeight="14.45"/>
  <cols>
    <col min="2" max="2" width="19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</row>
    <row r="2" spans="1:9">
      <c r="A2" s="2" t="s">
        <v>4</v>
      </c>
      <c r="B2" s="2" t="s">
        <v>5</v>
      </c>
      <c r="C2" s="2">
        <v>28</v>
      </c>
      <c r="D2" s="2">
        <v>3000</v>
      </c>
      <c r="F2" t="str" cm="1">
        <f t="array" ref="F2:I11">_xlfn.SORTBY(A2:D11,A2:A11,1,C2:C11,-1)</f>
        <v>Ana</v>
      </c>
      <c r="G2" t="str">
        <v>Recursos Humanos</v>
      </c>
      <c r="H2">
        <v>30</v>
      </c>
      <c r="I2">
        <v>3500</v>
      </c>
    </row>
    <row r="3" spans="1:9">
      <c r="A3" s="2" t="s">
        <v>6</v>
      </c>
      <c r="B3" s="2" t="s">
        <v>7</v>
      </c>
      <c r="C3" s="2">
        <v>35</v>
      </c>
      <c r="D3" s="2">
        <v>4000</v>
      </c>
      <c r="F3" t="str">
        <v>Carlos</v>
      </c>
      <c r="G3" t="str">
        <v>Ventas</v>
      </c>
      <c r="H3">
        <v>45</v>
      </c>
      <c r="I3">
        <v>5000</v>
      </c>
    </row>
    <row r="4" spans="1:9">
      <c r="A4" s="2" t="s">
        <v>8</v>
      </c>
      <c r="B4" s="2" t="s">
        <v>5</v>
      </c>
      <c r="C4" s="2">
        <v>45</v>
      </c>
      <c r="D4" s="2">
        <v>5000</v>
      </c>
      <c r="F4" t="str">
        <v>Elena</v>
      </c>
      <c r="G4" t="str">
        <v>Marketing</v>
      </c>
      <c r="H4">
        <v>29</v>
      </c>
      <c r="I4">
        <v>3800</v>
      </c>
    </row>
    <row r="5" spans="1:9">
      <c r="A5" s="2" t="s">
        <v>9</v>
      </c>
      <c r="B5" s="2" t="s">
        <v>10</v>
      </c>
      <c r="C5" s="2">
        <v>30</v>
      </c>
      <c r="D5" s="2">
        <v>3500</v>
      </c>
      <c r="F5" t="str">
        <v>Juan</v>
      </c>
      <c r="G5" t="str">
        <v>Ventas</v>
      </c>
      <c r="H5">
        <v>28</v>
      </c>
      <c r="I5">
        <v>3000</v>
      </c>
    </row>
    <row r="6" spans="1:9">
      <c r="A6" s="2" t="s">
        <v>11</v>
      </c>
      <c r="B6" s="2" t="s">
        <v>12</v>
      </c>
      <c r="C6" s="2">
        <v>25</v>
      </c>
      <c r="D6" s="2">
        <v>3200</v>
      </c>
      <c r="F6" t="str">
        <v>Laura</v>
      </c>
      <c r="G6" t="str">
        <v>Marketing</v>
      </c>
      <c r="H6">
        <v>33</v>
      </c>
      <c r="I6">
        <v>3700</v>
      </c>
    </row>
    <row r="7" spans="1:9">
      <c r="A7" s="2" t="s">
        <v>13</v>
      </c>
      <c r="B7" s="2" t="s">
        <v>7</v>
      </c>
      <c r="C7" s="2">
        <v>29</v>
      </c>
      <c r="D7" s="2">
        <v>3800</v>
      </c>
      <c r="F7" t="str">
        <v>Luis</v>
      </c>
      <c r="G7" t="str">
        <v>IT</v>
      </c>
      <c r="H7">
        <v>25</v>
      </c>
      <c r="I7">
        <v>3200</v>
      </c>
    </row>
    <row r="8" spans="1:9">
      <c r="A8" s="2" t="s">
        <v>14</v>
      </c>
      <c r="B8" s="2" t="s">
        <v>5</v>
      </c>
      <c r="C8" s="2">
        <v>32</v>
      </c>
      <c r="D8" s="2">
        <v>3100</v>
      </c>
      <c r="F8" t="str">
        <v>María</v>
      </c>
      <c r="G8" t="str">
        <v>Marketing</v>
      </c>
      <c r="H8">
        <v>35</v>
      </c>
      <c r="I8">
        <v>4000</v>
      </c>
    </row>
    <row r="9" spans="1:9">
      <c r="A9" s="2" t="s">
        <v>15</v>
      </c>
      <c r="B9" s="2" t="s">
        <v>12</v>
      </c>
      <c r="C9" s="2">
        <v>27</v>
      </c>
      <c r="D9" s="2">
        <v>3400</v>
      </c>
      <c r="F9" t="str">
        <v>Miguel</v>
      </c>
      <c r="G9" t="str">
        <v>Recursos Humanos</v>
      </c>
      <c r="H9">
        <v>40</v>
      </c>
      <c r="I9">
        <v>4500</v>
      </c>
    </row>
    <row r="10" spans="1:9">
      <c r="A10" s="2" t="s">
        <v>16</v>
      </c>
      <c r="B10" s="2" t="s">
        <v>10</v>
      </c>
      <c r="C10" s="2">
        <v>40</v>
      </c>
      <c r="D10" s="2">
        <v>4500</v>
      </c>
      <c r="F10" t="str">
        <v>Pedro</v>
      </c>
      <c r="G10" t="str">
        <v>Ventas</v>
      </c>
      <c r="H10">
        <v>32</v>
      </c>
      <c r="I10">
        <v>3100</v>
      </c>
    </row>
    <row r="11" spans="1:9">
      <c r="A11" s="2" t="s">
        <v>17</v>
      </c>
      <c r="B11" s="2" t="s">
        <v>7</v>
      </c>
      <c r="C11" s="2">
        <v>33</v>
      </c>
      <c r="D11" s="2">
        <v>3700</v>
      </c>
      <c r="F11" t="str">
        <v>Sofía</v>
      </c>
      <c r="G11" t="str">
        <v>IT</v>
      </c>
      <c r="H11">
        <v>27</v>
      </c>
      <c r="I11">
        <v>3400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B48F-A017-409D-A86C-1FC4971141C6}">
  <dimension ref="B1:I16"/>
  <sheetViews>
    <sheetView workbookViewId="0">
      <selection activeCell="N6" sqref="I4:N6"/>
    </sheetView>
  </sheetViews>
  <sheetFormatPr defaultColWidth="11.42578125" defaultRowHeight="14.45"/>
  <cols>
    <col min="5" max="5" width="16.5703125" customWidth="1"/>
    <col min="6" max="6" width="16" customWidth="1"/>
    <col min="9" max="9" width="11.42578125" style="5"/>
  </cols>
  <sheetData>
    <row r="1" spans="2:6">
      <c r="E1" t="s">
        <v>18</v>
      </c>
      <c r="F1" s="3">
        <v>500000</v>
      </c>
    </row>
    <row r="2" spans="2:6">
      <c r="E2" t="s">
        <v>19</v>
      </c>
      <c r="F2" s="4">
        <v>0.12</v>
      </c>
    </row>
    <row r="3" spans="2:6">
      <c r="E3" t="s">
        <v>20</v>
      </c>
      <c r="F3">
        <v>7</v>
      </c>
    </row>
    <row r="4" spans="2:6">
      <c r="E4" t="s">
        <v>21</v>
      </c>
      <c r="F4" s="3">
        <f>PMT($F$2/12,$F$3,-$F$1)</f>
        <v>74314.1414570583</v>
      </c>
    </row>
    <row r="5" spans="2:6">
      <c r="B5" cm="1">
        <f t="array" ref="B5:B16">_xlfn.SEQUENCE(12)</f>
        <v>1</v>
      </c>
    </row>
    <row r="6" spans="2:6">
      <c r="B6">
        <v>2</v>
      </c>
      <c r="E6" t="s">
        <v>20</v>
      </c>
      <c r="F6" t="s">
        <v>22</v>
      </c>
    </row>
    <row r="7" spans="2:6">
      <c r="B7">
        <v>3</v>
      </c>
      <c r="E7" cm="1">
        <f t="array" ref="E7:E13">_xlfn.SEQUENCE($F$3)</f>
        <v>1</v>
      </c>
      <c r="F7" s="3" cm="1">
        <f t="array" ref="F7:F13">$F$4+_xlfn.ANCHORARRAY(E7)-_xlfn.ANCHORARRAY(E7)</f>
        <v>74314.1414570583</v>
      </c>
    </row>
    <row r="8" spans="2:6">
      <c r="B8">
        <v>4</v>
      </c>
      <c r="E8">
        <v>2</v>
      </c>
      <c r="F8" s="3">
        <v>74314.1414570583</v>
      </c>
    </row>
    <row r="9" spans="2:6">
      <c r="B9">
        <v>5</v>
      </c>
      <c r="E9">
        <v>3</v>
      </c>
      <c r="F9" s="3">
        <v>74314.1414570583</v>
      </c>
    </row>
    <row r="10" spans="2:6">
      <c r="B10">
        <v>6</v>
      </c>
      <c r="E10">
        <v>4</v>
      </c>
      <c r="F10" s="3">
        <v>74314.1414570583</v>
      </c>
    </row>
    <row r="11" spans="2:6">
      <c r="B11">
        <v>7</v>
      </c>
      <c r="E11">
        <v>5</v>
      </c>
      <c r="F11" s="3">
        <v>74314.1414570583</v>
      </c>
    </row>
    <row r="12" spans="2:6">
      <c r="B12">
        <v>8</v>
      </c>
      <c r="E12">
        <v>6</v>
      </c>
      <c r="F12" s="3">
        <v>74314.1414570583</v>
      </c>
    </row>
    <row r="13" spans="2:6">
      <c r="B13">
        <v>9</v>
      </c>
      <c r="E13">
        <v>7</v>
      </c>
      <c r="F13">
        <v>74314.1414570583</v>
      </c>
    </row>
    <row r="14" spans="2:6">
      <c r="B14">
        <v>10</v>
      </c>
    </row>
    <row r="15" spans="2:6">
      <c r="B15">
        <v>11</v>
      </c>
    </row>
    <row r="16" spans="2:6">
      <c r="B16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E2D8-B661-456D-99A2-8160D6A5106D}">
  <dimension ref="A2:F10"/>
  <sheetViews>
    <sheetView workbookViewId="0">
      <selection activeCell="B12" sqref="B12"/>
    </sheetView>
  </sheetViews>
  <sheetFormatPr defaultColWidth="11.42578125" defaultRowHeight="14.45"/>
  <cols>
    <col min="1" max="1" width="14.7109375" customWidth="1"/>
  </cols>
  <sheetData>
    <row r="2" spans="1:6">
      <c r="B2" s="5" t="s">
        <v>23</v>
      </c>
      <c r="C2">
        <v>5</v>
      </c>
    </row>
    <row r="3" spans="1:6">
      <c r="B3" s="5"/>
    </row>
    <row r="4" spans="1:6">
      <c r="A4" t="s">
        <v>24</v>
      </c>
      <c r="B4" s="5" t="str" cm="1">
        <f t="array" ref="B4:F4">UPPER(TEXT(TRANSPOSE(DATE(2024,_xlfn.SEQUENCE(C2),1)),"MMMM"))</f>
        <v>ENERO</v>
      </c>
      <c r="C4" t="str">
        <v>FEBRERO</v>
      </c>
      <c r="D4" t="str">
        <v>MARZO</v>
      </c>
      <c r="E4" t="str">
        <v>ABRIL</v>
      </c>
      <c r="F4" t="str">
        <v>MAYO</v>
      </c>
    </row>
    <row r="5" spans="1:6">
      <c r="A5" t="s">
        <v>25</v>
      </c>
      <c r="B5" cm="1">
        <f t="array" aca="1" ref="B5:F7" ca="1">_xlfn.RANDARRAY(3,C2,10,50,TRUE)</f>
        <v>30</v>
      </c>
      <c r="C5">
        <f ca="1"/>
        <v>34</v>
      </c>
      <c r="D5">
        <f ca="1"/>
        <v>26</v>
      </c>
      <c r="E5">
        <f ca="1"/>
        <v>38</v>
      </c>
      <c r="F5">
        <f ca="1"/>
        <v>17</v>
      </c>
    </row>
    <row r="6" spans="1:6">
      <c r="A6" t="s">
        <v>26</v>
      </c>
      <c r="B6">
        <f ca="1"/>
        <v>40</v>
      </c>
      <c r="C6">
        <f ca="1"/>
        <v>50</v>
      </c>
      <c r="D6">
        <f ca="1"/>
        <v>24</v>
      </c>
      <c r="E6">
        <f ca="1"/>
        <v>24</v>
      </c>
      <c r="F6">
        <f ca="1"/>
        <v>24</v>
      </c>
    </row>
    <row r="7" spans="1:6">
      <c r="A7" t="s">
        <v>27</v>
      </c>
      <c r="B7">
        <f ca="1"/>
        <v>26</v>
      </c>
      <c r="C7">
        <f ca="1"/>
        <v>29</v>
      </c>
      <c r="D7">
        <f ca="1"/>
        <v>46</v>
      </c>
      <c r="E7">
        <f ca="1"/>
        <v>23</v>
      </c>
      <c r="F7">
        <f ca="1"/>
        <v>30</v>
      </c>
    </row>
    <row r="10" spans="1:6">
      <c r="A10" t="s">
        <v>28</v>
      </c>
      <c r="B10">
        <f ca="1">SUM(_xlfn.ANCHORARRAY(B5))</f>
        <v>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2D69-4D67-42DA-8673-F8134463A3CC}">
  <dimension ref="A1:H16"/>
  <sheetViews>
    <sheetView tabSelected="1" workbookViewId="0">
      <selection activeCell="A15" sqref="A15"/>
    </sheetView>
  </sheetViews>
  <sheetFormatPr defaultColWidth="11.42578125" defaultRowHeight="14.45"/>
  <cols>
    <col min="2" max="2" width="19.85546875" customWidth="1"/>
    <col min="7" max="7" width="13.71093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</row>
    <row r="2" spans="1:8">
      <c r="A2" s="2" t="s">
        <v>4</v>
      </c>
      <c r="B2" s="2" t="s">
        <v>5</v>
      </c>
      <c r="C2" s="2">
        <v>28</v>
      </c>
      <c r="D2" s="2">
        <v>3000</v>
      </c>
      <c r="G2" t="s">
        <v>2</v>
      </c>
      <c r="H2">
        <v>25</v>
      </c>
    </row>
    <row r="3" spans="1:8">
      <c r="A3" s="2" t="s">
        <v>6</v>
      </c>
      <c r="B3" s="2" t="s">
        <v>7</v>
      </c>
      <c r="C3" s="2">
        <v>35</v>
      </c>
      <c r="D3" s="2">
        <v>4000</v>
      </c>
      <c r="G3" t="s">
        <v>1</v>
      </c>
      <c r="H3" s="6" t="s">
        <v>5</v>
      </c>
    </row>
    <row r="4" spans="1:8">
      <c r="A4" s="2" t="s">
        <v>8</v>
      </c>
      <c r="B4" s="2" t="s">
        <v>5</v>
      </c>
      <c r="C4" s="2">
        <v>45</v>
      </c>
      <c r="D4" s="2">
        <v>5000</v>
      </c>
    </row>
    <row r="5" spans="1:8">
      <c r="A5" s="2" t="s">
        <v>9</v>
      </c>
      <c r="B5" s="2" t="s">
        <v>10</v>
      </c>
      <c r="C5" s="2">
        <v>30</v>
      </c>
      <c r="D5" s="2">
        <v>3500</v>
      </c>
    </row>
    <row r="6" spans="1:8">
      <c r="A6" s="2" t="s">
        <v>11</v>
      </c>
      <c r="B6" s="2" t="s">
        <v>12</v>
      </c>
      <c r="C6" s="2">
        <v>25</v>
      </c>
      <c r="D6" s="2">
        <v>3200</v>
      </c>
    </row>
    <row r="7" spans="1:8">
      <c r="A7" s="2" t="s">
        <v>13</v>
      </c>
      <c r="B7" s="2" t="s">
        <v>7</v>
      </c>
      <c r="C7" s="2">
        <v>29</v>
      </c>
      <c r="D7" s="2">
        <v>3800</v>
      </c>
    </row>
    <row r="8" spans="1:8">
      <c r="A8" s="2" t="s">
        <v>14</v>
      </c>
      <c r="B8" s="2" t="s">
        <v>5</v>
      </c>
      <c r="C8" s="2">
        <v>32</v>
      </c>
      <c r="D8" s="2">
        <v>3100</v>
      </c>
    </row>
    <row r="9" spans="1:8">
      <c r="A9" s="2" t="s">
        <v>15</v>
      </c>
      <c r="B9" s="2" t="s">
        <v>12</v>
      </c>
      <c r="C9" s="2">
        <v>27</v>
      </c>
      <c r="D9" s="2">
        <v>3400</v>
      </c>
    </row>
    <row r="10" spans="1:8">
      <c r="A10" s="2" t="s">
        <v>16</v>
      </c>
      <c r="B10" s="2" t="s">
        <v>10</v>
      </c>
      <c r="C10" s="2">
        <v>40</v>
      </c>
      <c r="D10" s="2">
        <v>4500</v>
      </c>
    </row>
    <row r="11" spans="1:8">
      <c r="A11" s="2" t="s">
        <v>17</v>
      </c>
      <c r="B11" s="2" t="s">
        <v>7</v>
      </c>
      <c r="C11" s="2">
        <v>33</v>
      </c>
      <c r="D11" s="2">
        <v>3700</v>
      </c>
    </row>
    <row r="14" spans="1:8">
      <c r="A14" t="str" cm="1">
        <f t="array" ref="A14:D16">_xlfn._xlws.FILTER($A$1:$D$11,(C1:C11&gt;H2)*(B1:B11=H3),"No hay registros")</f>
        <v>Juan</v>
      </c>
      <c r="B14" t="str">
        <v>Ventas</v>
      </c>
      <c r="C14">
        <v>28</v>
      </c>
      <c r="D14">
        <v>3000</v>
      </c>
    </row>
    <row r="15" spans="1:8">
      <c r="A15" t="str">
        <v>Carlos</v>
      </c>
      <c r="B15" t="str">
        <v>Ventas</v>
      </c>
      <c r="C15">
        <v>45</v>
      </c>
      <c r="D15">
        <v>5000</v>
      </c>
    </row>
    <row r="16" spans="1:8">
      <c r="A16" t="str">
        <v>Pedro</v>
      </c>
      <c r="B16" t="str">
        <v>Ventas</v>
      </c>
      <c r="C16">
        <v>32</v>
      </c>
      <c r="D16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Ramirez</dc:creator>
  <cp:keywords/>
  <dc:description/>
  <cp:lastModifiedBy/>
  <cp:revision/>
  <dcterms:created xsi:type="dcterms:W3CDTF">2024-09-14T00:54:14Z</dcterms:created>
  <dcterms:modified xsi:type="dcterms:W3CDTF">2025-12-26T17:22:11Z</dcterms:modified>
  <cp:category/>
  <cp:contentStatus/>
</cp:coreProperties>
</file>