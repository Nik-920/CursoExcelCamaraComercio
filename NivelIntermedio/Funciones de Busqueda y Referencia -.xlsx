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1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guel\Downloads\"/>
    </mc:Choice>
  </mc:AlternateContent>
  <xr:revisionPtr revIDLastSave="0" documentId="8_{F678270E-4F3B-4E14-9631-58957459760A}" xr6:coauthVersionLast="47" xr6:coauthVersionMax="47" xr10:uidLastSave="{00000000-0000-0000-0000-000000000000}"/>
  <bookViews>
    <workbookView xWindow="-108" yWindow="-108" windowWidth="23256" windowHeight="12456" xr2:uid="{03E1FA2E-282D-481E-B826-58CB0DAC00DE}"/>
  </bookViews>
  <sheets>
    <sheet name="Introduccion" sheetId="1" r:id="rId1"/>
    <sheet name="BUSCARV" sheetId="2" r:id="rId2"/>
    <sheet name="BUSCARH" sheetId="3" r:id="rId3"/>
    <sheet name="BUSCARX" sheetId="4" r:id="rId4"/>
    <sheet name="COINCIDIR" sheetId="5" r:id="rId5"/>
    <sheet name="INDICE" sheetId="6" r:id="rId6"/>
    <sheet name="AGRUPARPOR" sheetId="7" r:id="rId7"/>
    <sheet name="PIVOTARPOR" sheetId="12" r:id="rId8"/>
    <sheet name="APILARV" sheetId="9" r:id="rId9"/>
    <sheet name="APILARH" sheetId="10" r:id="rId10"/>
    <sheet name="TRANSPONER" sheetId="11" r:id="rId11"/>
  </sheets>
  <definedNames>
    <definedName name="_xlnm._FilterDatabase" localSheetId="6" hidden="1">AGRUPARPOR!$A$4:$F$29</definedName>
    <definedName name="_xlnm._FilterDatabase" localSheetId="7" hidden="1">PIVOTARPOR!$A$4:$F$29</definedName>
    <definedName name="Empleados">BUSCARV!$H$28:$I$37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6" l="1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10" i="5" a="1"/>
  <c r="D10" i="5" s="1"/>
  <c r="I12" i="9"/>
  <c r="I11" i="9"/>
  <c r="D15" i="9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5" i="7"/>
  <c r="R24" i="2"/>
  <c r="M73" i="2"/>
  <c r="B73" i="2"/>
  <c r="B74" i="2"/>
  <c r="B7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<sst xmlns="http://schemas.openxmlformats.org/spreadsheetml/2006/main" count="511" uniqueCount="138">
  <si>
    <t>=BUSCARV(valor_buscado;matriz_tabla;indicador_columnas;rango)</t>
  </si>
  <si>
    <t>valor_buscado</t>
  </si>
  <si>
    <t>Texto</t>
  </si>
  <si>
    <t>Numero</t>
  </si>
  <si>
    <t>Fecha</t>
  </si>
  <si>
    <t>matriz_tabla</t>
  </si>
  <si>
    <t>Rango Celdas</t>
  </si>
  <si>
    <t>Tabla</t>
  </si>
  <si>
    <t>indicador_columnas</t>
  </si>
  <si>
    <t>Valor Numerico</t>
  </si>
  <si>
    <t>rango</t>
  </si>
  <si>
    <t>aproximada</t>
  </si>
  <si>
    <t>exacta</t>
  </si>
  <si>
    <t>BUSQUEDA TEXTO</t>
  </si>
  <si>
    <t>Producto</t>
  </si>
  <si>
    <t>Mediano</t>
  </si>
  <si>
    <t>Grande</t>
  </si>
  <si>
    <t>Jumbo</t>
  </si>
  <si>
    <t>Espresso</t>
  </si>
  <si>
    <t>Latte</t>
  </si>
  <si>
    <t>Cappuccino</t>
  </si>
  <si>
    <t>Americano</t>
  </si>
  <si>
    <t>Mocha</t>
  </si>
  <si>
    <t>Macchiato</t>
  </si>
  <si>
    <t>Flat White</t>
  </si>
  <si>
    <t>Frappuccino</t>
  </si>
  <si>
    <t>Cortado</t>
  </si>
  <si>
    <t>Café con Leche</t>
  </si>
  <si>
    <t>Precio</t>
  </si>
  <si>
    <t>ID Empleado</t>
  </si>
  <si>
    <t>Nombre</t>
  </si>
  <si>
    <t>Departamento</t>
  </si>
  <si>
    <t>Juan Pérez</t>
  </si>
  <si>
    <t>Ventas</t>
  </si>
  <si>
    <t>María López</t>
  </si>
  <si>
    <t>Marketing</t>
  </si>
  <si>
    <t>Carlos Ruiz</t>
  </si>
  <si>
    <t>IT</t>
  </si>
  <si>
    <t>Ana Gómez</t>
  </si>
  <si>
    <t>RRHH</t>
  </si>
  <si>
    <t>Luis Torres</t>
  </si>
  <si>
    <t>Finanzas</t>
  </si>
  <si>
    <t>BUSQUEDA NUMERO</t>
  </si>
  <si>
    <t>Venta</t>
  </si>
  <si>
    <t>Comision</t>
  </si>
  <si>
    <t>% Comision</t>
  </si>
  <si>
    <t>% Comsion</t>
  </si>
  <si>
    <t>Sueldo</t>
  </si>
  <si>
    <t>FUNCIONES DE BUSQUEDA Y REFERENCIA</t>
  </si>
  <si>
    <r>
      <t>Las funciones de</t>
    </r>
    <r>
      <rPr>
        <b/>
        <sz val="11"/>
        <color theme="1"/>
        <rFont val="Aptos Narrow"/>
        <family val="2"/>
      </rPr>
      <t xml:space="preserve"> búsqueda y referencia</t>
    </r>
    <r>
      <rPr>
        <sz val="11"/>
        <color theme="1"/>
        <rFont val="Aptos Narrow"/>
        <family val="2"/>
        <scheme val="minor"/>
      </rPr>
      <t xml:space="preserve"> en Microsoft Excel, como BUSCARV y BUSCARH, son herramientas que te</t>
    </r>
    <r>
      <rPr>
        <b/>
        <i/>
        <u/>
        <sz val="11"/>
        <color theme="9" tint="-0.499984740745262"/>
        <rFont val="Aptos Narrow"/>
        <family val="2"/>
        <scheme val="minor"/>
      </rPr>
      <t xml:space="preserve"> permiten encontrar datos específicos en tus hojas de cálculo</t>
    </r>
    <r>
      <rPr>
        <sz val="11"/>
        <color theme="1"/>
        <rFont val="Aptos Narrow"/>
        <family val="2"/>
        <scheme val="minor"/>
      </rPr>
      <t xml:space="preserve">. Por ejemplo, si tienes una tabla con nombres y notas de estudiantes, puedes usar BUSCARV para encontrar rápidamente la nota de un alumno en particular. Estas funciones te ayudan a manejar y analizar tus datos de manera más fácil y eficiente, sin tener que buscarlos manualmente.
</t>
    </r>
  </si>
  <si>
    <t>ID Venta</t>
  </si>
  <si>
    <t>Tamaño</t>
  </si>
  <si>
    <t>Cantidad</t>
  </si>
  <si>
    <t>Precio Tabla</t>
  </si>
  <si>
    <t>Inicio</t>
  </si>
  <si>
    <t>Final</t>
  </si>
  <si>
    <t>EMP001</t>
  </si>
  <si>
    <t>EMP002</t>
  </si>
  <si>
    <t>EMP003</t>
  </si>
  <si>
    <t>EMP004</t>
  </si>
  <si>
    <t>EMP005</t>
  </si>
  <si>
    <t>Salario</t>
  </si>
  <si>
    <t>Fecha Ingreso</t>
  </si>
  <si>
    <t>=BUSCARH(valor_buscado;matriz_buscar_en;indicador_filas;ordenado)</t>
  </si>
  <si>
    <t>=BUSCARX(valor_buscado;matriz_buscada;matriz_devuelta;si_no_se_encuentra;modo_de_coincidencia;modo_de_búsqueda)</t>
  </si>
  <si>
    <t>Talla</t>
  </si>
  <si>
    <t>Color</t>
  </si>
  <si>
    <t>Fecha de Venta</t>
  </si>
  <si>
    <t>Short</t>
  </si>
  <si>
    <t>XL</t>
  </si>
  <si>
    <t>Negro</t>
  </si>
  <si>
    <t>Blusa</t>
  </si>
  <si>
    <t>L</t>
  </si>
  <si>
    <t>Azul</t>
  </si>
  <si>
    <t>Falda</t>
  </si>
  <si>
    <t>Verde</t>
  </si>
  <si>
    <t>Vestido</t>
  </si>
  <si>
    <t>M</t>
  </si>
  <si>
    <t>S</t>
  </si>
  <si>
    <t>Blanco</t>
  </si>
  <si>
    <t>Camiseta</t>
  </si>
  <si>
    <t>Rojo</t>
  </si>
  <si>
    <t>Sudadera</t>
  </si>
  <si>
    <t>Gris</t>
  </si>
  <si>
    <t>Amarillo</t>
  </si>
  <si>
    <t>Pantalón</t>
  </si>
  <si>
    <t>Jeans</t>
  </si>
  <si>
    <t>Chaqueta</t>
  </si>
  <si>
    <t>=AGRUPARPOR(row_fields;values;function;field_headers;total_depth;sort_order;filter_array;field_relationship)</t>
  </si>
  <si>
    <t>=PIVOTARPOR(row_fields;col_fields;values;function;field_headers;row_total_depth;row_sort_order;col_total_depth;col_sort_order;filter_array;relative_to)</t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</si>
  <si>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</si>
  <si>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</si>
  <si>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</si>
  <si>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</si>
  <si>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</si>
  <si>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</si>
  <si>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</si>
  <si>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</si>
  <si>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</si>
  <si>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</si>
  <si>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</si>
  <si>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</si>
  <si>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</si>
  <si>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Producto A</t>
  </si>
  <si>
    <t>Producto B</t>
  </si>
  <si>
    <t>Producto C</t>
  </si>
  <si>
    <t>=TRANSPONER(matriz)</t>
  </si>
  <si>
    <t>Total Ventas</t>
  </si>
  <si>
    <t>Televisor</t>
  </si>
  <si>
    <t>Laptop</t>
  </si>
  <si>
    <t>Smartphone</t>
  </si>
  <si>
    <t>Tablet</t>
  </si>
  <si>
    <t>Audífonos</t>
  </si>
  <si>
    <t>Teclado</t>
  </si>
  <si>
    <t>Mouse</t>
  </si>
  <si>
    <t>Impresora</t>
  </si>
  <si>
    <t>Monitor</t>
  </si>
  <si>
    <t>Cámara Web</t>
  </si>
  <si>
    <t>Consola de Videojuegos</t>
  </si>
  <si>
    <t>Parlante Bluetooth</t>
  </si>
  <si>
    <t>=APILARV(matriz1;matriz2;...)</t>
  </si>
  <si>
    <t>=APILARH(matriz1;matriz2;...)</t>
  </si>
  <si>
    <t>Automovil</t>
  </si>
  <si>
    <t>Producto2</t>
  </si>
  <si>
    <t>=COINCIDIR(valor_buscado;matriz_buscada;tipo_de_coincidencia)</t>
  </si>
  <si>
    <t>=INDICE(matriz;núm_fila;núm_columna)</t>
  </si>
  <si>
    <t>Ventas Ene-Jun</t>
  </si>
  <si>
    <t>Manzana</t>
  </si>
  <si>
    <t>Plátano</t>
  </si>
  <si>
    <t>Naranja</t>
  </si>
  <si>
    <t>Fresa</t>
  </si>
  <si>
    <t>Piña</t>
  </si>
  <si>
    <t>ID</t>
  </si>
  <si>
    <t>Ventas Jul-Dic</t>
  </si>
  <si>
    <t>Kiwi</t>
  </si>
  <si>
    <t>Melon</t>
  </si>
  <si>
    <t>Limon</t>
  </si>
  <si>
    <t>Sandia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</si>
</sst>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S/&quot;\ #,##0.00;[Red]\-&quot;S/&quot;\ #,##0.00"/>
    <numFmt numFmtId="164" formatCode="_-[$$-80A]* #,##0.00_-;\-[$$-80A]* #,##0.00_-;_-[$$-80A]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b/>
      <sz val="14"/>
      <color theme="9" tint="-0.499984740745262"/>
      <name val="Aptos Narrow"/>
      <family val="2"/>
      <scheme val="minor"/>
    </font>
    <font>
      <b/>
      <sz val="16"/>
      <color rgb="FF006600"/>
      <name val="Aptos Narrow"/>
      <family val="2"/>
      <scheme val="minor"/>
    </font>
    <font>
      <b/>
      <i/>
      <u/>
      <sz val="11"/>
      <color theme="9" tint="-0.499984740745262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9" tint="-0.499984740745262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1" applyNumberFormat="0" applyFill="0" applyAlignment="0" applyProtection="0"/>
  </cellStyleXfs>
  <cellXfs count="33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quotePrefix="1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8" fontId="0" fillId="0" borderId="0" xfId="0" applyNumberFormat="1"/>
    <xf numFmtId="10" fontId="0" fillId="0" borderId="0" xfId="1" applyNumberFormat="1" applyFont="1"/>
    <xf numFmtId="0" fontId="3" fillId="0" borderId="1" xfId="3"/>
    <xf numFmtId="0" fontId="0" fillId="0" borderId="2" xfId="0" applyBorder="1"/>
    <xf numFmtId="0" fontId="0" fillId="3" borderId="0" xfId="0" applyFill="1"/>
    <xf numFmtId="0" fontId="0" fillId="0" borderId="0" xfId="0" applyAlignment="1">
      <alignment horizontal="left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8" fontId="3" fillId="0" borderId="1" xfId="3" applyNumberFormat="1"/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9" fillId="0" borderId="0" xfId="0" applyFont="1"/>
    <xf numFmtId="0" fontId="2" fillId="2" borderId="3" xfId="2" applyBorder="1" applyAlignment="1">
      <alignment vertical="center" wrapText="1"/>
    </xf>
    <xf numFmtId="0" fontId="3" fillId="0" borderId="3" xfId="0" applyFont="1" applyBorder="1"/>
    <xf numFmtId="14" fontId="3" fillId="0" borderId="3" xfId="0" applyNumberFormat="1" applyFont="1" applyBorder="1"/>
    <xf numFmtId="0" fontId="11" fillId="0" borderId="0" xfId="0" quotePrefix="1" applyFont="1"/>
    <xf numFmtId="0" fontId="12" fillId="2" borderId="3" xfId="2" applyFont="1" applyBorder="1" applyAlignment="1">
      <alignment horizontal="center" vertical="top"/>
    </xf>
    <xf numFmtId="9" fontId="0" fillId="0" borderId="0" xfId="1" applyFont="1"/>
    <xf numFmtId="0" fontId="13" fillId="4" borderId="4" xfId="0" applyFont="1" applyFill="1" applyBorder="1"/>
    <xf numFmtId="0" fontId="0" fillId="5" borderId="4" xfId="0" applyFill="1" applyBorder="1"/>
    <xf numFmtId="0" fontId="0" fillId="0" borderId="4" xfId="0" applyBorder="1"/>
    <xf numFmtId="0" fontId="4" fillId="0" borderId="0" xfId="0" quotePrefix="1" applyFont="1"/>
    <xf numFmtId="0" fontId="6" fillId="3" borderId="0" xfId="0" applyFont="1" applyFill="1" applyAlignment="1">
      <alignment horizontal="center"/>
    </xf>
    <xf numFmtId="0" fontId="0" fillId="0" borderId="0" xfId="0" applyAlignment="1">
      <alignment horizontal="left" wrapText="1"/>
    </xf>
  </cellXfs>
  <cellStyles count="4">
    <cellStyle name="Bueno" xfId="2" builtinId="26"/>
    <cellStyle name="Normal" xfId="0" builtinId="0"/>
    <cellStyle name="Porcentaje" xfId="1" builtinId="5"/>
    <cellStyle name="Total" xfId="3" builtinId="25"/>
  </cellStyles>
  <dxfs count="48"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4" formatCode="_-[$$-80A]* #,##0.00_-;\-[$$-80A]* #,##0.00_-;_-[$$-80A]* &quot;-&quot;??_-;_-@_-"/>
    </dxf>
    <dxf>
      <alignment horizontal="general" vertical="center" textRotation="0" wrapText="1" indent="0" justifyLastLine="0" shrinkToFit="0" readingOrder="0"/>
    </dxf>
    <dxf>
      <numFmt numFmtId="164" formatCode="_-[$$-80A]* #,##0.00_-;\-[$$-80A]* #,##0.00_-;_-[$$-80A]* &quot;-&quot;??_-;_-@_-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4" formatCode="_-[$$-80A]* #,##0.00_-;\-[$$-80A]* #,##0.00_-;_-[$$-80A]* &quot;-&quot;??_-;_-@_-"/>
      <alignment horizontal="general" vertical="center" textRotation="0" wrapText="1" indent="0" justifyLastLine="0" shrinkToFit="0" readingOrder="0"/>
    </dxf>
    <dxf>
      <numFmt numFmtId="164" formatCode="_-[$$-80A]* #,##0.00_-;\-[$$-80A]* #,##0.00_-;_-[$$-80A]* &quot;-&quot;??_-;_-@_-"/>
      <alignment horizontal="general" vertical="center" textRotation="0" wrapText="1" indent="0" justifyLastLine="0" shrinkToFit="0" readingOrder="0"/>
    </dxf>
    <dxf>
      <numFmt numFmtId="164" formatCode="_-[$$-80A]* #,##0.00_-;\-[$$-80A]* #,##0.00_-;_-[$$-80A]* &quot;-&quot;??_-;_-@_-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2" formatCode="&quot;S/&quot;\ #,##0.00;[Red]\-&quot;S/&quot;\ #,##0.0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numFmt numFmtId="164" formatCode="_-[$$-80A]* #,##0.00_-;\-[$$-80A]* #,##0.00_-;_-[$$-80A]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2</xdr:col>
      <xdr:colOff>140853</xdr:colOff>
      <xdr:row>12</xdr:row>
      <xdr:rowOff>72335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7FD051-9075-261F-1CBB-BD84D52B5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" y="1915160"/>
          <a:ext cx="933333" cy="43809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5</xdr:col>
      <xdr:colOff>655731</xdr:colOff>
      <xdr:row>12</xdr:row>
      <xdr:rowOff>40640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0694FA0-D46B-3A3E-316A-621C2A856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7440" y="1915160"/>
          <a:ext cx="2240691" cy="40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1021080</xdr:colOff>
      <xdr:row>2</xdr:row>
      <xdr:rowOff>137160</xdr:rowOff>
    </xdr:from>
    <xdr:to>
      <xdr:col>3</xdr:col>
      <xdr:colOff>152400</xdr:colOff>
      <xdr:row>6</xdr:row>
      <xdr:rowOff>106680</xdr:rowOff>
    </xdr:to>
    <xdr:sp macro="" textlink="">
      <xdr:nvSpPr>
        <xdr:cNvPr id="2" name="Abrir llave 1">
          <a:extLst>
            <a:ext uri="{FF2B5EF4-FFF2-40B4-BE49-F238E27FC236}">
              <a16:creationId xmlns:a16="http://schemas.microsoft.com/office/drawing/2014/main" id="{358E5A73-6798-0AC2-379D-11EE8316BB33}"/>
            </a:ext>
          </a:extLst>
        </xdr:cNvPr>
        <xdr:cNvSpPr/>
      </xdr:nvSpPr>
      <xdr:spPr>
        <a:xfrm>
          <a:off x="2606040" y="868680"/>
          <a:ext cx="327660" cy="70104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998220</xdr:colOff>
      <xdr:row>7</xdr:row>
      <xdr:rowOff>152400</xdr:rowOff>
    </xdr:from>
    <xdr:to>
      <xdr:col>3</xdr:col>
      <xdr:colOff>129540</xdr:colOff>
      <xdr:row>11</xdr:row>
      <xdr:rowOff>121920</xdr:rowOff>
    </xdr:to>
    <xdr:sp macro="" textlink="">
      <xdr:nvSpPr>
        <xdr:cNvPr id="3" name="Abrir llave 2">
          <a:extLst>
            <a:ext uri="{FF2B5EF4-FFF2-40B4-BE49-F238E27FC236}">
              <a16:creationId xmlns:a16="http://schemas.microsoft.com/office/drawing/2014/main" id="{BDA28D22-E108-443F-BB6B-EB8E8D5AE8D5}"/>
            </a:ext>
          </a:extLst>
        </xdr:cNvPr>
        <xdr:cNvSpPr/>
      </xdr:nvSpPr>
      <xdr:spPr>
        <a:xfrm>
          <a:off x="2583180" y="1798320"/>
          <a:ext cx="327660" cy="70104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1021080</xdr:colOff>
      <xdr:row>15</xdr:row>
      <xdr:rowOff>129540</xdr:rowOff>
    </xdr:from>
    <xdr:to>
      <xdr:col>3</xdr:col>
      <xdr:colOff>152400</xdr:colOff>
      <xdr:row>19</xdr:row>
      <xdr:rowOff>99060</xdr:rowOff>
    </xdr:to>
    <xdr:sp macro="" textlink="">
      <xdr:nvSpPr>
        <xdr:cNvPr id="4" name="Abrir llave 3">
          <a:extLst>
            <a:ext uri="{FF2B5EF4-FFF2-40B4-BE49-F238E27FC236}">
              <a16:creationId xmlns:a16="http://schemas.microsoft.com/office/drawing/2014/main" id="{26227E54-C0DF-4913-A802-343007AFC271}"/>
            </a:ext>
          </a:extLst>
        </xdr:cNvPr>
        <xdr:cNvSpPr/>
      </xdr:nvSpPr>
      <xdr:spPr>
        <a:xfrm>
          <a:off x="2606040" y="3238500"/>
          <a:ext cx="327660" cy="70104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CEEB8-B626-4924-BEB1-1AB29D41959A}" name="Precios" displayName="Precios" ref="H27:I37" totalsRowShown="0">
  <autoFilter ref="H27:I37" xr:uid="{8BACEEB8-B626-4924-BEB1-1AB29D41959A}"/>
  <tableColumns count="2">
    <tableColumn id="1" xr3:uid="{3503A890-7727-4388-B19C-FB6224B78515}" name="Producto"/>
    <tableColumn id="2" xr3:uid="{61F974A8-0C61-4EEE-93E0-2A1179599885}" name="Precio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8D7D31-C30D-43BE-BAD7-9DEAD19F1A29}" name="BD_Empleados" displayName="BD_Empleados" ref="F71:I76" totalsRowShown="0" headerRowDxfId="46" dataDxfId="45">
  <autoFilter ref="F71:I76" xr:uid="{EE8D7D31-C30D-43BE-BAD7-9DEAD19F1A29}"/>
  <tableColumns count="4">
    <tableColumn id="1" xr3:uid="{B312140B-2412-4F89-AA44-6226BFD21660}" name="ID Empleado" dataDxfId="44"/>
    <tableColumn id="2" xr3:uid="{E6A95FEA-1F88-4A5F-8ED0-3D3455A92AE1}" name="Nombre" dataDxfId="43"/>
    <tableColumn id="3" xr3:uid="{AB040D60-6381-4C64-A7A2-6D21332B6EEC}" name="Departamento" dataDxfId="42"/>
    <tableColumn id="4" xr3:uid="{091EF1DD-8EC4-4634-9F01-390C787FAB09}" name="Sueldo" dataDxfId="41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FFBBD7-811E-480F-959F-FC2FDA752ACE}" name="ListaPrecioTamaño" displayName="ListaPrecioTamaño" ref="Q27:T37" totalsRowShown="0" headerRowDxfId="40" dataDxfId="39">
  <autoFilter ref="Q27:T37" xr:uid="{CBFFBBD7-811E-480F-959F-FC2FDA752ACE}"/>
  <tableColumns count="4">
    <tableColumn id="1" xr3:uid="{5718821B-85F2-4E9C-A9EF-ADDE8922EDA9}" name="Producto" dataDxfId="38"/>
    <tableColumn id="2" xr3:uid="{E924FA28-7B17-4566-8F14-0F3A66E62553}" name="Mediano" dataDxfId="37"/>
    <tableColumn id="3" xr3:uid="{8A0453D1-CE3C-4386-B268-07DDD9FF3BC0}" name="Grande" dataDxfId="36"/>
    <tableColumn id="4" xr3:uid="{7856D023-1CF9-4F9C-AFEF-51DD8FAF7059}" name="Jumbo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5952E8F-E871-46C8-934C-F6CCC642CF6A}" name="ListaPrecio2" displayName="ListaPrecio2" ref="G5:I15" totalsRowShown="0" headerRowDxfId="34" dataDxfId="33">
  <autoFilter ref="G5:I15" xr:uid="{95952E8F-E871-46C8-934C-F6CCC642CF6A}"/>
  <tableColumns count="3">
    <tableColumn id="1" xr3:uid="{B8E4FD4A-1259-478C-AE54-45DF6E15F49F}" name="Producto" dataDxfId="32"/>
    <tableColumn id="2" xr3:uid="{4EAD741A-8EAA-4A94-89AF-75EA1FE805BA}" name="Precio" dataDxfId="31"/>
    <tableColumn id="3" xr3:uid="{1E931998-0DDA-482E-B1DF-EF5808C7C52F}" name="Producto2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19EFC8-A98E-400B-982A-DB9524720797}" name="Precios9" displayName="Precios9" ref="H5:I15" totalsRowShown="0">
  <autoFilter ref="H5:I15" xr:uid="{A119EFC8-A98E-400B-982A-DB9524720797}"/>
  <tableColumns count="2">
    <tableColumn id="1" xr3:uid="{518320FC-EDB1-43AC-A24C-801927398A00}" name="Producto"/>
    <tableColumn id="2" xr3:uid="{707D77FB-0ABF-40B0-A8F4-04173326D7E6}" name="Precio" dataDxfId="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7E9559-D1B6-4DB7-BA9A-02D1A58D9FC3}" name="Periodo1" displayName="Periodo1" ref="A4:D15" totalsRowShown="0" headerRowDxfId="28" dataDxfId="27">
  <autoFilter ref="A4:D15" xr:uid="{2D7E9559-D1B6-4DB7-BA9A-02D1A58D9FC3}"/>
  <tableColumns count="4">
    <tableColumn id="1" xr3:uid="{5C2625C0-42FC-4222-A581-D6355F640447}" name="Producto" dataDxfId="26"/>
    <tableColumn id="2" xr3:uid="{EFD942DC-DAF3-4037-B790-1A4023E94B98}" name="Cantidad" dataDxfId="25"/>
    <tableColumn id="3" xr3:uid="{65428C58-A20F-4797-B750-5AAE0C276CBB}" name="Precio" dataDxfId="24"/>
    <tableColumn id="4" xr3:uid="{88CD8833-BE52-4D10-A3DC-6842F02CE7FF}" name="Total Ventas" dataDxfId="2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55C54E-38F6-43DF-8423-A5918D1BE0FE}" name="Periodo2" displayName="Periodo2" ref="F4:I12" totalsRowShown="0" headerRowDxfId="22" dataDxfId="21">
  <autoFilter ref="F4:I12" xr:uid="{D455C54E-38F6-43DF-8423-A5918D1BE0FE}"/>
  <tableColumns count="4">
    <tableColumn id="1" xr3:uid="{AC35E0C5-E314-4EC5-A191-CB43E69CD677}" name="Producto" dataDxfId="20"/>
    <tableColumn id="2" xr3:uid="{A900EC96-D20F-4B73-B5CB-820BE0C4CAEA}" name="Cantidad" dataDxfId="19"/>
    <tableColumn id="3" xr3:uid="{0938FAE0-CBF5-41F1-8D6E-A9707FE6B3D2}" name="Precio" dataDxfId="18"/>
    <tableColumn id="4" xr3:uid="{865CABDA-24EC-48B2-8DE4-7F9B89765CBB}" name="Total Ventas" dataDxfId="17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B9EF63-AF22-44B3-859E-850E90991987}" name="Periodo3" displayName="Periodo3" ref="K4:N12" totalsRowShown="0" headerRowDxfId="16" dataDxfId="15">
  <autoFilter ref="K4:N12" xr:uid="{BEB9EF63-AF22-44B3-859E-850E90991987}"/>
  <tableColumns count="4">
    <tableColumn id="1" xr3:uid="{AE3AD72F-2431-41D3-9509-DE4725DF9931}" name="Producto" dataDxfId="14"/>
    <tableColumn id="2" xr3:uid="{3F9CE63E-9173-4372-85CD-EBDD97E2AC6F}" name="Cantidad" dataDxfId="13"/>
    <tableColumn id="3" xr3:uid="{876C6344-D576-49CC-B8AE-505471FD2E6B}" name="Precio" dataDxfId="12"/>
    <tableColumn id="4" xr3:uid="{C612B664-C042-4FCB-A563-080A881C84BC}" name="Total Ventas" dataDxfId="11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A12549-7D60-4B06-85B0-E32F01F968C2}" name="VentasH1" displayName="VentasH1" ref="A4:C13" totalsRowShown="0" headerRowDxfId="10" dataDxfId="9">
  <autoFilter ref="A4:C13" xr:uid="{13A12549-7D60-4B06-85B0-E32F01F968C2}"/>
  <tableColumns count="3">
    <tableColumn id="1" xr3:uid="{6EF42944-3E3A-4EBC-B3C2-B0BDAD08B353}" name="ID" dataDxfId="8"/>
    <tableColumn id="2" xr3:uid="{730F0EC0-7F8E-472D-B467-9A9F5E5D0D6B}" name="Producto" dataDxfId="7"/>
    <tableColumn id="3" xr3:uid="{83ECBBE5-2E42-40B9-9BE9-CD5F50E5621C}" name="Ventas Ene-Jun" dataDxfId="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9C281-568B-4A25-AB38-862A24798D51}" name="VentasH2" displayName="VentasH2" ref="E4:G13" totalsRowShown="0" headerRowDxfId="5" dataDxfId="4">
  <autoFilter ref="E4:G13" xr:uid="{0179C281-568B-4A25-AB38-862A24798D51}"/>
  <tableColumns count="3">
    <tableColumn id="1" xr3:uid="{B005F291-4EC6-493F-BBC5-933DBE42F767}" name="ID" dataDxfId="3"/>
    <tableColumn id="2" xr3:uid="{59EFE6B3-66BC-41B9-BE82-FE0DE5E8C38D}" name="Producto" dataDxfId="2"/>
    <tableColumn id="3" xr3:uid="{7EF89646-373C-448D-9CC2-36CB79B8A962}" name="Ventas Jul-Dic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A7C9-7080-4B43-91D7-1311FACA2135}">
  <dimension ref="A1:L14"/>
  <sheetViews>
    <sheetView showGridLines="0" tabSelected="1" zoomScale="150" zoomScaleNormal="150" workbookViewId="0">
      <selection activeCell="G11" sqref="G11"/>
    </sheetView>
  </sheetViews>
  <sheetFormatPr baseColWidth="10" defaultRowHeight="14.4" x14ac:dyDescent="0.3"/>
  <sheetData>
    <row r="1" spans="1:12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x14ac:dyDescent="0.4">
      <c r="A2" s="13"/>
      <c r="B2" s="31" t="s">
        <v>48</v>
      </c>
      <c r="C2" s="31"/>
      <c r="D2" s="31"/>
      <c r="E2" s="31"/>
      <c r="F2" s="31"/>
      <c r="G2" s="31"/>
      <c r="H2" s="31"/>
      <c r="I2" s="31"/>
      <c r="J2" s="31"/>
      <c r="K2" s="13"/>
      <c r="L2" s="13"/>
    </row>
    <row r="3" spans="1:12" x14ac:dyDescent="0.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5" spans="1:12" ht="14.4" customHeight="1" x14ac:dyDescent="0.3">
      <c r="B5" s="32" t="s">
        <v>49</v>
      </c>
      <c r="C5" s="32"/>
      <c r="D5" s="32"/>
      <c r="E5" s="32"/>
      <c r="F5" s="32"/>
      <c r="G5" s="32"/>
      <c r="H5" s="32"/>
      <c r="I5" s="32"/>
      <c r="J5" s="32"/>
    </row>
    <row r="6" spans="1:12" x14ac:dyDescent="0.3">
      <c r="B6" s="32"/>
      <c r="C6" s="32"/>
      <c r="D6" s="32"/>
      <c r="E6" s="32"/>
      <c r="F6" s="32"/>
      <c r="G6" s="32"/>
      <c r="H6" s="32"/>
      <c r="I6" s="32"/>
      <c r="J6" s="32"/>
    </row>
    <row r="7" spans="1:12" x14ac:dyDescent="0.3">
      <c r="B7" s="32"/>
      <c r="C7" s="32"/>
      <c r="D7" s="32"/>
      <c r="E7" s="32"/>
      <c r="F7" s="32"/>
      <c r="G7" s="32"/>
      <c r="H7" s="32"/>
      <c r="I7" s="32"/>
      <c r="J7" s="32"/>
    </row>
    <row r="8" spans="1:12" x14ac:dyDescent="0.3">
      <c r="B8" s="32"/>
      <c r="C8" s="32"/>
      <c r="D8" s="32"/>
      <c r="E8" s="32"/>
      <c r="F8" s="32"/>
      <c r="G8" s="32"/>
      <c r="H8" s="32"/>
      <c r="I8" s="32"/>
      <c r="J8" s="32"/>
    </row>
    <row r="9" spans="1:12" x14ac:dyDescent="0.3">
      <c r="B9" s="14"/>
      <c r="C9" s="14"/>
      <c r="D9" s="14"/>
      <c r="E9" s="14"/>
      <c r="F9" s="14"/>
      <c r="G9" s="14"/>
      <c r="H9" s="14"/>
      <c r="I9" s="14"/>
      <c r="J9" s="14"/>
    </row>
    <row r="10" spans="1:12" x14ac:dyDescent="0.3">
      <c r="B10" s="14"/>
      <c r="C10" s="14"/>
      <c r="D10" s="14"/>
      <c r="E10" s="14"/>
      <c r="F10" s="14"/>
      <c r="G10" s="14"/>
      <c r="H10" s="14"/>
      <c r="I10" s="14"/>
      <c r="J10" s="14"/>
    </row>
    <row r="11" spans="1:12" x14ac:dyDescent="0.3">
      <c r="B11" s="14"/>
      <c r="C11" s="14"/>
      <c r="D11" s="14"/>
      <c r="E11" s="14"/>
      <c r="F11" s="14"/>
      <c r="G11" s="14"/>
      <c r="H11" s="14"/>
      <c r="I11" s="14"/>
      <c r="J11" s="14"/>
    </row>
    <row r="12" spans="1:12" x14ac:dyDescent="0.3">
      <c r="B12" s="14"/>
      <c r="C12" s="14"/>
      <c r="D12" s="14"/>
      <c r="E12" s="14"/>
      <c r="F12" s="14"/>
      <c r="G12" s="14"/>
      <c r="H12" s="14"/>
      <c r="I12" s="14"/>
      <c r="J12" s="14"/>
    </row>
    <row r="13" spans="1:12" x14ac:dyDescent="0.3">
      <c r="B13" s="14"/>
      <c r="C13" s="14"/>
      <c r="D13" s="14"/>
      <c r="E13" s="14"/>
      <c r="F13" s="14"/>
      <c r="G13" s="14"/>
      <c r="H13" s="14"/>
      <c r="I13" s="14"/>
      <c r="J13" s="14"/>
    </row>
    <row r="14" spans="1:12" x14ac:dyDescent="0.3">
      <c r="B14" s="14"/>
      <c r="C14" s="14"/>
      <c r="D14" s="14"/>
      <c r="E14" s="14"/>
      <c r="F14" s="14"/>
      <c r="G14" s="14"/>
      <c r="H14" s="14"/>
      <c r="I14" s="14"/>
      <c r="J14" s="14"/>
    </row>
  </sheetData>
  <mergeCells count="2">
    <mergeCell ref="B2:J2"/>
    <mergeCell ref="B5:J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4BA6E-3339-42BE-825A-17768286B1C6}">
  <dimension ref="A1:Z85"/>
  <sheetViews>
    <sheetView zoomScale="120" zoomScaleNormal="120" workbookViewId="0"/>
  </sheetViews>
  <sheetFormatPr baseColWidth="10" defaultRowHeight="14.4" x14ac:dyDescent="0.3"/>
  <cols>
    <col min="2" max="2" width="21.33203125" customWidth="1"/>
    <col min="3" max="3" width="17.44140625" customWidth="1"/>
    <col min="4" max="4" width="13.88671875" bestFit="1" customWidth="1"/>
    <col min="6" max="6" width="15.6640625" customWidth="1"/>
    <col min="8" max="8" width="17.109375" customWidth="1"/>
    <col min="14" max="15" width="12.109375" bestFit="1" customWidth="1"/>
    <col min="16" max="16" width="19.44140625" bestFit="1" customWidth="1"/>
    <col min="17" max="17" width="38.44140625" customWidth="1"/>
  </cols>
  <sheetData>
    <row r="1" spans="3:4" ht="18" x14ac:dyDescent="0.35">
      <c r="C1" s="5" t="s">
        <v>0</v>
      </c>
    </row>
    <row r="4" spans="3:4" x14ac:dyDescent="0.3">
      <c r="D4" t="s">
        <v>2</v>
      </c>
    </row>
    <row r="5" spans="3:4" x14ac:dyDescent="0.3">
      <c r="C5" s="3" t="s">
        <v>1</v>
      </c>
      <c r="D5" t="s">
        <v>3</v>
      </c>
    </row>
    <row r="6" spans="3:4" x14ac:dyDescent="0.3">
      <c r="C6" s="3"/>
      <c r="D6" t="s">
        <v>4</v>
      </c>
    </row>
    <row r="7" spans="3:4" x14ac:dyDescent="0.3">
      <c r="C7" s="3"/>
    </row>
    <row r="8" spans="3:4" x14ac:dyDescent="0.3">
      <c r="C8" s="3"/>
    </row>
    <row r="9" spans="3:4" x14ac:dyDescent="0.3">
      <c r="C9" s="3"/>
      <c r="D9" t="s">
        <v>6</v>
      </c>
    </row>
    <row r="10" spans="3:4" x14ac:dyDescent="0.3">
      <c r="C10" s="3" t="s">
        <v>5</v>
      </c>
    </row>
    <row r="11" spans="3:4" x14ac:dyDescent="0.3">
      <c r="C11" s="3"/>
      <c r="D11" t="s">
        <v>7</v>
      </c>
    </row>
    <row r="12" spans="3:4" x14ac:dyDescent="0.3">
      <c r="C12" s="3"/>
    </row>
    <row r="13" spans="3:4" x14ac:dyDescent="0.3">
      <c r="C13" s="3"/>
    </row>
    <row r="14" spans="3:4" x14ac:dyDescent="0.3">
      <c r="C14" s="3"/>
    </row>
    <row r="15" spans="3:4" x14ac:dyDescent="0.3">
      <c r="C15" s="3" t="s">
        <v>8</v>
      </c>
      <c r="D15" s="1" t="s">
        <v>9</v>
      </c>
    </row>
    <row r="16" spans="3:4" x14ac:dyDescent="0.3">
      <c r="C16" s="4"/>
    </row>
    <row r="17" spans="1:26" x14ac:dyDescent="0.3">
      <c r="C17" s="4"/>
      <c r="D17" t="s">
        <v>11</v>
      </c>
      <c r="E17" t="b">
        <v>1</v>
      </c>
      <c r="F17">
        <v>1</v>
      </c>
    </row>
    <row r="18" spans="1:26" x14ac:dyDescent="0.3">
      <c r="C18" s="3" t="s">
        <v>10</v>
      </c>
    </row>
    <row r="19" spans="1:26" x14ac:dyDescent="0.3">
      <c r="C19" s="4"/>
      <c r="D19" t="s">
        <v>12</v>
      </c>
      <c r="E19" t="b">
        <v>0</v>
      </c>
      <c r="F19">
        <v>0</v>
      </c>
    </row>
    <row r="20" spans="1:26" x14ac:dyDescent="0.3">
      <c r="C20" s="4"/>
    </row>
    <row r="24" spans="1:26" x14ac:dyDescent="0.3">
      <c r="A24" s="2" t="s">
        <v>13</v>
      </c>
      <c r="R24">
        <f>MATCH(X32,ListaPrecioTamaño[[#Headers],[Mediano]:[Jumbo]],0)</f>
        <v>3</v>
      </c>
    </row>
    <row r="26" spans="1:26" x14ac:dyDescent="0.3">
      <c r="A26" s="6" t="s">
        <v>50</v>
      </c>
      <c r="B26" s="6" t="s">
        <v>14</v>
      </c>
      <c r="C26" s="6" t="s">
        <v>52</v>
      </c>
      <c r="D26" s="6" t="s">
        <v>28</v>
      </c>
      <c r="E26" s="6" t="s">
        <v>53</v>
      </c>
    </row>
    <row r="27" spans="1:26" x14ac:dyDescent="0.3">
      <c r="A27" s="7">
        <v>1</v>
      </c>
      <c r="B27" s="7" t="s">
        <v>18</v>
      </c>
      <c r="C27" s="7">
        <v>2</v>
      </c>
      <c r="D27" s="16"/>
      <c r="E27" s="16"/>
      <c r="H27" t="s">
        <v>14</v>
      </c>
      <c r="I27" t="s">
        <v>28</v>
      </c>
      <c r="Q27" s="6" t="s">
        <v>14</v>
      </c>
      <c r="R27" s="6" t="s">
        <v>15</v>
      </c>
      <c r="S27" s="6" t="s">
        <v>16</v>
      </c>
      <c r="T27" s="6" t="s">
        <v>17</v>
      </c>
      <c r="V27" s="6" t="s">
        <v>50</v>
      </c>
      <c r="W27" s="6" t="s">
        <v>14</v>
      </c>
      <c r="X27" s="6" t="s">
        <v>51</v>
      </c>
      <c r="Y27" s="6" t="s">
        <v>52</v>
      </c>
      <c r="Z27" s="6" t="s">
        <v>28</v>
      </c>
    </row>
    <row r="28" spans="1:26" x14ac:dyDescent="0.3">
      <c r="A28" s="7">
        <v>2</v>
      </c>
      <c r="B28" s="7" t="s">
        <v>20</v>
      </c>
      <c r="C28" s="7">
        <v>1</v>
      </c>
      <c r="D28" s="16"/>
      <c r="E28" s="16"/>
      <c r="H28" t="s">
        <v>18</v>
      </c>
      <c r="I28" s="16">
        <v>2.5</v>
      </c>
      <c r="Q28" s="7" t="s">
        <v>18</v>
      </c>
      <c r="R28" s="15">
        <v>2.5</v>
      </c>
      <c r="S28" s="15">
        <v>3</v>
      </c>
      <c r="T28" s="15">
        <v>3.5</v>
      </c>
      <c r="V28" s="7">
        <v>1</v>
      </c>
      <c r="W28" s="7" t="s">
        <v>18</v>
      </c>
      <c r="X28" s="7" t="s">
        <v>15</v>
      </c>
      <c r="Y28" s="7">
        <v>2</v>
      </c>
      <c r="Z28" s="16"/>
    </row>
    <row r="29" spans="1:26" x14ac:dyDescent="0.3">
      <c r="A29" s="7">
        <v>3</v>
      </c>
      <c r="B29" s="7" t="s">
        <v>19</v>
      </c>
      <c r="C29" s="7">
        <v>1</v>
      </c>
      <c r="D29" s="16"/>
      <c r="E29" s="16"/>
      <c r="H29" t="s">
        <v>19</v>
      </c>
      <c r="I29" s="16">
        <v>3</v>
      </c>
      <c r="Q29" s="7" t="s">
        <v>19</v>
      </c>
      <c r="R29" s="15">
        <v>3</v>
      </c>
      <c r="S29" s="15">
        <v>3.5</v>
      </c>
      <c r="T29" s="15">
        <v>4</v>
      </c>
      <c r="V29" s="7">
        <v>2</v>
      </c>
      <c r="W29" s="7" t="s">
        <v>20</v>
      </c>
      <c r="X29" s="7" t="s">
        <v>17</v>
      </c>
      <c r="Y29" s="7">
        <v>1</v>
      </c>
      <c r="Z29" s="16"/>
    </row>
    <row r="30" spans="1:26" x14ac:dyDescent="0.3">
      <c r="A30" s="7">
        <v>4</v>
      </c>
      <c r="B30" s="7" t="s">
        <v>21</v>
      </c>
      <c r="C30" s="7">
        <v>4</v>
      </c>
      <c r="D30" s="16"/>
      <c r="E30" s="16"/>
      <c r="H30" t="s">
        <v>20</v>
      </c>
      <c r="I30" s="16">
        <v>3</v>
      </c>
      <c r="Q30" s="7" t="s">
        <v>20</v>
      </c>
      <c r="R30" s="15">
        <v>3</v>
      </c>
      <c r="S30" s="15">
        <v>3.5</v>
      </c>
      <c r="T30" s="15">
        <v>4.5</v>
      </c>
      <c r="V30" s="7">
        <v>3</v>
      </c>
      <c r="W30" s="7" t="s">
        <v>19</v>
      </c>
      <c r="X30" s="7" t="s">
        <v>16</v>
      </c>
      <c r="Y30" s="7">
        <v>1</v>
      </c>
      <c r="Z30" s="16"/>
    </row>
    <row r="31" spans="1:26" x14ac:dyDescent="0.3">
      <c r="A31" s="7">
        <v>5</v>
      </c>
      <c r="B31" s="7" t="s">
        <v>22</v>
      </c>
      <c r="C31" s="7">
        <v>1</v>
      </c>
      <c r="D31" s="16"/>
      <c r="E31" s="16"/>
      <c r="H31" t="s">
        <v>21</v>
      </c>
      <c r="I31" s="16">
        <v>2.5</v>
      </c>
      <c r="Q31" s="7" t="s">
        <v>21</v>
      </c>
      <c r="R31" s="15">
        <v>2.5</v>
      </c>
      <c r="S31" s="15">
        <v>3</v>
      </c>
      <c r="T31" s="15">
        <v>3.5</v>
      </c>
      <c r="V31" s="7">
        <v>4</v>
      </c>
      <c r="W31" s="7" t="s">
        <v>21</v>
      </c>
      <c r="X31" s="7" t="s">
        <v>15</v>
      </c>
      <c r="Y31" s="7">
        <v>4</v>
      </c>
      <c r="Z31" s="16"/>
    </row>
    <row r="32" spans="1:26" x14ac:dyDescent="0.3">
      <c r="A32" s="7">
        <v>6</v>
      </c>
      <c r="B32" s="7" t="s">
        <v>23</v>
      </c>
      <c r="C32" s="7">
        <v>3</v>
      </c>
      <c r="D32" s="16"/>
      <c r="E32" s="16"/>
      <c r="H32" t="s">
        <v>22</v>
      </c>
      <c r="I32" s="16">
        <v>3</v>
      </c>
      <c r="Q32" s="7" t="s">
        <v>22</v>
      </c>
      <c r="R32" s="15">
        <v>3</v>
      </c>
      <c r="S32" s="15">
        <v>3.5</v>
      </c>
      <c r="T32" s="15">
        <v>4.5</v>
      </c>
      <c r="V32" s="7">
        <v>5</v>
      </c>
      <c r="W32" s="7" t="s">
        <v>22</v>
      </c>
      <c r="X32" s="7" t="s">
        <v>17</v>
      </c>
      <c r="Y32" s="7">
        <v>1</v>
      </c>
      <c r="Z32" s="16"/>
    </row>
    <row r="33" spans="1:26" x14ac:dyDescent="0.3">
      <c r="A33" s="7">
        <v>7</v>
      </c>
      <c r="B33" s="7" t="s">
        <v>24</v>
      </c>
      <c r="C33" s="7">
        <v>2</v>
      </c>
      <c r="D33" s="16"/>
      <c r="E33" s="16"/>
      <c r="H33" t="s">
        <v>23</v>
      </c>
      <c r="I33" s="16">
        <v>3</v>
      </c>
      <c r="Q33" s="7" t="s">
        <v>23</v>
      </c>
      <c r="R33" s="15">
        <v>3</v>
      </c>
      <c r="S33" s="15">
        <v>3.5</v>
      </c>
      <c r="T33" s="15">
        <v>4</v>
      </c>
      <c r="V33" s="7">
        <v>6</v>
      </c>
      <c r="W33" s="7" t="s">
        <v>23</v>
      </c>
      <c r="X33" s="7" t="s">
        <v>16</v>
      </c>
      <c r="Y33" s="7">
        <v>3</v>
      </c>
      <c r="Z33" s="16"/>
    </row>
    <row r="34" spans="1:26" x14ac:dyDescent="0.3">
      <c r="A34" s="7">
        <v>8</v>
      </c>
      <c r="B34" s="7" t="s">
        <v>25</v>
      </c>
      <c r="C34" s="7">
        <v>2</v>
      </c>
      <c r="D34" s="16"/>
      <c r="E34" s="16"/>
      <c r="H34" t="s">
        <v>24</v>
      </c>
      <c r="I34" s="16">
        <v>2.5</v>
      </c>
      <c r="Q34" s="7" t="s">
        <v>24</v>
      </c>
      <c r="R34" s="15">
        <v>2.5</v>
      </c>
      <c r="S34" s="15">
        <v>3</v>
      </c>
      <c r="T34" s="15">
        <v>3.5</v>
      </c>
      <c r="V34" s="7">
        <v>7</v>
      </c>
      <c r="W34" s="7" t="s">
        <v>24</v>
      </c>
      <c r="X34" s="7" t="s">
        <v>15</v>
      </c>
      <c r="Y34" s="7">
        <v>2</v>
      </c>
      <c r="Z34" s="16"/>
    </row>
    <row r="35" spans="1:26" x14ac:dyDescent="0.3">
      <c r="A35" s="7">
        <v>9</v>
      </c>
      <c r="B35" s="7" t="s">
        <v>26</v>
      </c>
      <c r="C35" s="7">
        <v>1</v>
      </c>
      <c r="D35" s="16"/>
      <c r="E35" s="16"/>
      <c r="H35" t="s">
        <v>25</v>
      </c>
      <c r="I35" s="16">
        <v>3</v>
      </c>
      <c r="Q35" s="7" t="s">
        <v>25</v>
      </c>
      <c r="R35" s="15">
        <v>3</v>
      </c>
      <c r="S35" s="15">
        <v>3.5</v>
      </c>
      <c r="T35" s="15">
        <v>4.5</v>
      </c>
      <c r="V35" s="7">
        <v>8</v>
      </c>
      <c r="W35" s="7" t="s">
        <v>25</v>
      </c>
      <c r="X35" s="7" t="s">
        <v>17</v>
      </c>
      <c r="Y35" s="7">
        <v>2</v>
      </c>
      <c r="Z35" s="16"/>
    </row>
    <row r="36" spans="1:26" x14ac:dyDescent="0.3">
      <c r="A36" s="7">
        <v>10</v>
      </c>
      <c r="B36" s="7" t="s">
        <v>27</v>
      </c>
      <c r="C36" s="7">
        <v>1</v>
      </c>
      <c r="D36" s="16"/>
      <c r="E36" s="16"/>
      <c r="H36" t="s">
        <v>26</v>
      </c>
      <c r="I36" s="16">
        <v>3</v>
      </c>
      <c r="Q36" s="7" t="s">
        <v>26</v>
      </c>
      <c r="R36" s="15">
        <v>3</v>
      </c>
      <c r="S36" s="15">
        <v>3.5</v>
      </c>
      <c r="T36" s="15">
        <v>4</v>
      </c>
      <c r="V36" s="7">
        <v>9</v>
      </c>
      <c r="W36" s="7" t="s">
        <v>26</v>
      </c>
      <c r="X36" s="7" t="s">
        <v>16</v>
      </c>
      <c r="Y36" s="7">
        <v>1</v>
      </c>
      <c r="Z36" s="16"/>
    </row>
    <row r="37" spans="1:26" ht="28.8" x14ac:dyDescent="0.3">
      <c r="A37" s="7">
        <v>11</v>
      </c>
      <c r="B37" s="7" t="s">
        <v>18</v>
      </c>
      <c r="C37" s="7">
        <v>2</v>
      </c>
      <c r="D37" s="16"/>
      <c r="E37" s="16"/>
      <c r="H37" t="s">
        <v>27</v>
      </c>
      <c r="I37" s="16">
        <v>2.5</v>
      </c>
      <c r="Q37" s="7" t="s">
        <v>27</v>
      </c>
      <c r="R37" s="15">
        <v>2.5</v>
      </c>
      <c r="S37" s="15">
        <v>3</v>
      </c>
      <c r="T37" s="15">
        <v>3.5</v>
      </c>
      <c r="V37" s="7">
        <v>10</v>
      </c>
      <c r="W37" s="7" t="s">
        <v>27</v>
      </c>
      <c r="X37" s="7" t="s">
        <v>15</v>
      </c>
      <c r="Y37" s="7">
        <v>1</v>
      </c>
      <c r="Z37" s="16"/>
    </row>
    <row r="38" spans="1:26" x14ac:dyDescent="0.3">
      <c r="A38" s="7">
        <v>12</v>
      </c>
      <c r="B38" s="7" t="s">
        <v>18</v>
      </c>
      <c r="C38" s="7">
        <v>1</v>
      </c>
      <c r="D38" s="16"/>
      <c r="E38" s="16"/>
      <c r="V38" s="7">
        <v>11</v>
      </c>
      <c r="W38" s="7" t="s">
        <v>18</v>
      </c>
      <c r="X38" s="7" t="s">
        <v>15</v>
      </c>
      <c r="Y38" s="7">
        <v>2</v>
      </c>
      <c r="Z38" s="16"/>
    </row>
    <row r="39" spans="1:26" x14ac:dyDescent="0.3">
      <c r="A39" s="7">
        <v>13</v>
      </c>
      <c r="B39" s="7" t="s">
        <v>26</v>
      </c>
      <c r="C39" s="7">
        <v>1</v>
      </c>
      <c r="D39" s="16"/>
      <c r="E39" s="16"/>
      <c r="V39" s="7">
        <v>12</v>
      </c>
      <c r="W39" s="7" t="s">
        <v>18</v>
      </c>
      <c r="X39" s="7" t="s">
        <v>16</v>
      </c>
      <c r="Y39" s="7">
        <v>1</v>
      </c>
      <c r="Z39" s="16"/>
    </row>
    <row r="40" spans="1:26" x14ac:dyDescent="0.3">
      <c r="A40" s="7">
        <v>14</v>
      </c>
      <c r="B40" s="7" t="s">
        <v>27</v>
      </c>
      <c r="C40" s="7">
        <v>3</v>
      </c>
      <c r="D40" s="16"/>
      <c r="E40" s="16"/>
      <c r="V40" s="7">
        <v>13</v>
      </c>
      <c r="W40" s="7" t="s">
        <v>26</v>
      </c>
      <c r="X40" s="7" t="s">
        <v>17</v>
      </c>
      <c r="Y40" s="7">
        <v>1</v>
      </c>
      <c r="Z40" s="16"/>
    </row>
    <row r="41" spans="1:26" ht="12.6" customHeight="1" x14ac:dyDescent="0.3">
      <c r="A41" s="7">
        <v>15</v>
      </c>
      <c r="B41" s="7" t="s">
        <v>27</v>
      </c>
      <c r="C41" s="7">
        <v>2</v>
      </c>
      <c r="D41" s="16"/>
      <c r="E41" s="16"/>
      <c r="V41" s="7">
        <v>14</v>
      </c>
      <c r="W41" s="7" t="s">
        <v>27</v>
      </c>
      <c r="X41" s="7" t="s">
        <v>15</v>
      </c>
      <c r="Y41" s="7">
        <v>3</v>
      </c>
      <c r="Z41" s="16"/>
    </row>
    <row r="42" spans="1:26" ht="28.8" x14ac:dyDescent="0.3">
      <c r="A42" s="7">
        <v>16</v>
      </c>
      <c r="B42" s="7" t="s">
        <v>22</v>
      </c>
      <c r="C42" s="7">
        <v>1</v>
      </c>
      <c r="D42" s="16"/>
      <c r="E42" s="16"/>
      <c r="V42" s="7">
        <v>15</v>
      </c>
      <c r="W42" s="7" t="s">
        <v>27</v>
      </c>
      <c r="X42" s="7" t="s">
        <v>16</v>
      </c>
      <c r="Y42" s="7">
        <v>2</v>
      </c>
      <c r="Z42" s="16"/>
    </row>
    <row r="43" spans="1:26" x14ac:dyDescent="0.3">
      <c r="A43" s="7">
        <v>17</v>
      </c>
      <c r="B43" s="7" t="s">
        <v>24</v>
      </c>
      <c r="C43" s="7">
        <v>2</v>
      </c>
      <c r="D43" s="16"/>
      <c r="E43" s="16"/>
      <c r="V43" s="7">
        <v>16</v>
      </c>
      <c r="W43" s="7" t="s">
        <v>22</v>
      </c>
      <c r="X43" s="7" t="s">
        <v>17</v>
      </c>
      <c r="Y43" s="7">
        <v>1</v>
      </c>
      <c r="Z43" s="16"/>
    </row>
    <row r="44" spans="1:26" x14ac:dyDescent="0.3">
      <c r="A44" s="7">
        <v>18</v>
      </c>
      <c r="B44" s="7" t="s">
        <v>18</v>
      </c>
      <c r="C44" s="7">
        <v>3</v>
      </c>
      <c r="D44" s="16"/>
      <c r="E44" s="16"/>
      <c r="V44" s="7">
        <v>17</v>
      </c>
      <c r="W44" s="7" t="s">
        <v>24</v>
      </c>
      <c r="X44" s="7" t="s">
        <v>15</v>
      </c>
      <c r="Y44" s="7">
        <v>2</v>
      </c>
      <c r="Z44" s="16"/>
    </row>
    <row r="45" spans="1:26" x14ac:dyDescent="0.3">
      <c r="A45" s="7">
        <v>19</v>
      </c>
      <c r="B45" s="7" t="s">
        <v>19</v>
      </c>
      <c r="C45" s="7">
        <v>2</v>
      </c>
      <c r="D45" s="16"/>
      <c r="E45" s="16"/>
      <c r="V45" s="7">
        <v>18</v>
      </c>
      <c r="W45" s="7" t="s">
        <v>18</v>
      </c>
      <c r="X45" s="7" t="s">
        <v>16</v>
      </c>
      <c r="Y45" s="7">
        <v>3</v>
      </c>
      <c r="Z45" s="16"/>
    </row>
    <row r="46" spans="1:26" x14ac:dyDescent="0.3">
      <c r="A46" s="7">
        <v>20</v>
      </c>
      <c r="B46" s="7" t="s">
        <v>22</v>
      </c>
      <c r="C46" s="7">
        <v>1</v>
      </c>
      <c r="D46" s="16"/>
      <c r="E46" s="16"/>
      <c r="V46" s="7">
        <v>19</v>
      </c>
      <c r="W46" s="7" t="s">
        <v>19</v>
      </c>
      <c r="X46" s="7" t="s">
        <v>17</v>
      </c>
      <c r="Y46" s="7">
        <v>2</v>
      </c>
      <c r="Z46" s="16"/>
    </row>
    <row r="47" spans="1:26" x14ac:dyDescent="0.3">
      <c r="V47" s="7">
        <v>20</v>
      </c>
      <c r="W47" s="7" t="s">
        <v>22</v>
      </c>
      <c r="X47" s="7" t="s">
        <v>15</v>
      </c>
      <c r="Y47" s="7">
        <v>1</v>
      </c>
      <c r="Z47" s="16"/>
    </row>
    <row r="69" spans="1:17" x14ac:dyDescent="0.3">
      <c r="A69" s="2" t="s">
        <v>42</v>
      </c>
    </row>
    <row r="70" spans="1:17" x14ac:dyDescent="0.3">
      <c r="B70">
        <v>2</v>
      </c>
      <c r="C70">
        <v>4</v>
      </c>
      <c r="D70">
        <v>3</v>
      </c>
      <c r="J70" s="12"/>
    </row>
    <row r="71" spans="1:17" x14ac:dyDescent="0.3">
      <c r="A71" s="8" t="s">
        <v>29</v>
      </c>
      <c r="B71" s="8" t="s">
        <v>30</v>
      </c>
      <c r="C71" s="8" t="s">
        <v>47</v>
      </c>
      <c r="D71" s="8" t="s">
        <v>31</v>
      </c>
      <c r="F71" s="8" t="s">
        <v>29</v>
      </c>
      <c r="G71" s="8" t="s">
        <v>30</v>
      </c>
      <c r="H71" s="8" t="s">
        <v>31</v>
      </c>
      <c r="I71" s="8" t="s">
        <v>47</v>
      </c>
      <c r="J71" s="12"/>
      <c r="L71" t="s">
        <v>43</v>
      </c>
      <c r="M71" s="9">
        <v>75000</v>
      </c>
      <c r="O71" s="4" t="s">
        <v>54</v>
      </c>
      <c r="P71" s="4" t="s">
        <v>55</v>
      </c>
      <c r="Q71" s="4" t="s">
        <v>46</v>
      </c>
    </row>
    <row r="72" spans="1:17" x14ac:dyDescent="0.3">
      <c r="A72" s="7">
        <v>1001</v>
      </c>
      <c r="B72" t="str">
        <f>VLOOKUP($A72,BD_Empleados[#All],B$70,0)</f>
        <v>Juan Pérez</v>
      </c>
      <c r="F72" s="7">
        <v>1001</v>
      </c>
      <c r="G72" s="7" t="s">
        <v>32</v>
      </c>
      <c r="H72" s="7" t="s">
        <v>33</v>
      </c>
      <c r="I72" s="9">
        <v>5000</v>
      </c>
      <c r="J72" s="12"/>
      <c r="L72" t="s">
        <v>45</v>
      </c>
      <c r="M72" s="10"/>
      <c r="O72" s="9">
        <v>0</v>
      </c>
      <c r="P72" s="9">
        <v>14999.99</v>
      </c>
      <c r="Q72" s="10">
        <v>5.0000000000000001E-3</v>
      </c>
    </row>
    <row r="73" spans="1:17" ht="15" thickBot="1" x14ac:dyDescent="0.35">
      <c r="A73" s="7">
        <v>1005</v>
      </c>
      <c r="B73" t="str">
        <f>VLOOKUP($A73,BD_Empleados[#All],B$70,0)</f>
        <v>Luis Torres</v>
      </c>
      <c r="F73" s="7">
        <v>1002</v>
      </c>
      <c r="G73" s="7" t="s">
        <v>34</v>
      </c>
      <c r="H73" s="7" t="s">
        <v>35</v>
      </c>
      <c r="I73" s="9">
        <v>1500</v>
      </c>
      <c r="J73" s="12"/>
      <c r="L73" s="11" t="s">
        <v>44</v>
      </c>
      <c r="M73" s="17">
        <f>M71*M72</f>
        <v>0</v>
      </c>
      <c r="O73" s="9">
        <v>15000</v>
      </c>
      <c r="P73" s="9">
        <v>34999.99</v>
      </c>
      <c r="Q73" s="10">
        <v>2.5000000000000001E-2</v>
      </c>
    </row>
    <row r="74" spans="1:17" ht="15" thickTop="1" x14ac:dyDescent="0.3">
      <c r="A74" s="7">
        <v>1003</v>
      </c>
      <c r="B74" t="str">
        <f>VLOOKUP($A74,BD_Empleados[#All],B$70,0)</f>
        <v>Carlos Ruiz</v>
      </c>
      <c r="F74" s="7">
        <v>1003</v>
      </c>
      <c r="G74" s="7" t="s">
        <v>36</v>
      </c>
      <c r="H74" s="7" t="s">
        <v>37</v>
      </c>
      <c r="I74" s="9">
        <v>3800</v>
      </c>
      <c r="J74" s="12"/>
      <c r="O74" s="9">
        <v>35000</v>
      </c>
      <c r="P74" s="9">
        <v>99999.99</v>
      </c>
      <c r="Q74" s="10">
        <v>0.05</v>
      </c>
    </row>
    <row r="75" spans="1:17" x14ac:dyDescent="0.3">
      <c r="A75" s="7"/>
      <c r="B75" s="7"/>
      <c r="C75" s="7"/>
      <c r="F75" s="7">
        <v>1004</v>
      </c>
      <c r="G75" s="7" t="s">
        <v>38</v>
      </c>
      <c r="H75" s="7" t="s">
        <v>39</v>
      </c>
      <c r="I75" s="9">
        <v>4200</v>
      </c>
      <c r="J75" s="12"/>
      <c r="O75" s="9">
        <v>100000</v>
      </c>
      <c r="P75" s="9">
        <v>999999999999</v>
      </c>
      <c r="Q75" s="10">
        <v>7.4999999999999997E-2</v>
      </c>
    </row>
    <row r="76" spans="1:17" x14ac:dyDescent="0.3">
      <c r="A76" s="7"/>
      <c r="B76" s="7"/>
      <c r="C76" s="7"/>
      <c r="F76" s="7">
        <v>1005</v>
      </c>
      <c r="G76" s="7" t="s">
        <v>40</v>
      </c>
      <c r="H76" s="7" t="s">
        <v>41</v>
      </c>
      <c r="I76" s="9">
        <v>2750</v>
      </c>
      <c r="J76" s="12"/>
    </row>
    <row r="77" spans="1:17" x14ac:dyDescent="0.3">
      <c r="B77" s="7"/>
      <c r="C77" s="7"/>
      <c r="J77" s="12"/>
    </row>
    <row r="78" spans="1:17" x14ac:dyDescent="0.3">
      <c r="B78" s="7"/>
      <c r="C78" s="7"/>
      <c r="J78" s="12"/>
    </row>
    <row r="79" spans="1:17" x14ac:dyDescent="0.3">
      <c r="J79" s="12"/>
    </row>
    <row r="80" spans="1:17" x14ac:dyDescent="0.3">
      <c r="J80" s="12"/>
    </row>
    <row r="81" spans="10:10" x14ac:dyDescent="0.3">
      <c r="J81" s="12"/>
    </row>
    <row r="82" spans="10:10" x14ac:dyDescent="0.3">
      <c r="J82" s="12"/>
    </row>
    <row r="83" spans="10:10" x14ac:dyDescent="0.3">
      <c r="J83" s="12"/>
    </row>
    <row r="84" spans="10:10" x14ac:dyDescent="0.3">
      <c r="J84" s="12"/>
    </row>
    <row r="85" spans="10:10" x14ac:dyDescent="0.3">
      <c r="J85" s="12"/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BB9-30B6-4CAE-81C8-CBD326EFFFA6}">
  <dimension ref="A2:G13"/>
  <sheetViews>
    <sheetView workbookViewId="0">
      <selection activeCell="D4" sqref="D4"/>
    </sheetView>
  </sheetViews>
  <sheetFormatPr baseColWidth="10" defaultRowHeight="14.4" x14ac:dyDescent="0.3"/>
  <cols>
    <col min="2" max="2" width="22.77734375" customWidth="1"/>
  </cols>
  <sheetData>
    <row r="2" spans="1:7" ht="18" x14ac:dyDescent="0.35">
      <c r="B2" s="5" t="s">
        <v>63</v>
      </c>
    </row>
    <row r="4" spans="1:7" x14ac:dyDescent="0.3">
      <c r="C4" s="21" t="s">
        <v>29</v>
      </c>
      <c r="D4" s="22" t="s">
        <v>58</v>
      </c>
    </row>
    <row r="5" spans="1:7" x14ac:dyDescent="0.3">
      <c r="C5" s="21" t="s">
        <v>30</v>
      </c>
      <c r="D5" s="22"/>
    </row>
    <row r="6" spans="1:7" ht="28.8" x14ac:dyDescent="0.3">
      <c r="C6" s="21" t="s">
        <v>31</v>
      </c>
      <c r="D6" s="23"/>
    </row>
    <row r="9" spans="1:7" x14ac:dyDescent="0.3">
      <c r="A9" s="20">
        <v>1</v>
      </c>
      <c r="B9" s="8" t="s">
        <v>29</v>
      </c>
      <c r="C9" s="8" t="s">
        <v>56</v>
      </c>
      <c r="D9" s="8" t="s">
        <v>57</v>
      </c>
      <c r="E9" s="8" t="s">
        <v>58</v>
      </c>
      <c r="F9" s="8" t="s">
        <v>59</v>
      </c>
      <c r="G9" s="8" t="s">
        <v>60</v>
      </c>
    </row>
    <row r="10" spans="1:7" x14ac:dyDescent="0.3">
      <c r="A10" s="20">
        <v>2</v>
      </c>
      <c r="B10" s="8" t="s">
        <v>30</v>
      </c>
      <c r="C10" s="7" t="s">
        <v>32</v>
      </c>
      <c r="D10" s="7" t="s">
        <v>34</v>
      </c>
      <c r="E10" s="7" t="s">
        <v>36</v>
      </c>
      <c r="F10" s="7" t="s">
        <v>38</v>
      </c>
      <c r="G10" s="7" t="s">
        <v>40</v>
      </c>
    </row>
    <row r="11" spans="1:7" x14ac:dyDescent="0.3">
      <c r="A11" s="20">
        <v>3</v>
      </c>
      <c r="B11" s="8" t="s">
        <v>31</v>
      </c>
      <c r="C11" s="7" t="s">
        <v>33</v>
      </c>
      <c r="D11" s="7" t="s">
        <v>35</v>
      </c>
      <c r="E11" s="7" t="s">
        <v>37</v>
      </c>
      <c r="F11" s="7" t="s">
        <v>39</v>
      </c>
      <c r="G11" s="7" t="s">
        <v>41</v>
      </c>
    </row>
    <row r="12" spans="1:7" x14ac:dyDescent="0.3">
      <c r="A12" s="20">
        <v>4</v>
      </c>
      <c r="B12" s="8" t="s">
        <v>61</v>
      </c>
      <c r="C12" s="7">
        <v>2500</v>
      </c>
      <c r="D12" s="7">
        <v>2700</v>
      </c>
      <c r="E12" s="7">
        <v>3000</v>
      </c>
      <c r="F12" s="7">
        <v>2800</v>
      </c>
      <c r="G12" s="7">
        <v>3200</v>
      </c>
    </row>
    <row r="13" spans="1:7" x14ac:dyDescent="0.3">
      <c r="A13" s="20">
        <v>5</v>
      </c>
      <c r="B13" s="8" t="s">
        <v>62</v>
      </c>
      <c r="C13" s="19">
        <v>42064</v>
      </c>
      <c r="D13" s="19">
        <v>42536</v>
      </c>
      <c r="E13" s="19">
        <v>43000</v>
      </c>
      <c r="F13" s="19">
        <v>43444</v>
      </c>
      <c r="G13" s="19">
        <v>43590</v>
      </c>
    </row>
  </sheetData>
  <dataValidations count="1">
    <dataValidation type="list" allowBlank="1" showInputMessage="1" showErrorMessage="1" sqref="D4" xr:uid="{AE6F1E64-CA8F-45B8-86BC-2BE3A5431B9F}">
      <formula1>$C$9:$G$9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8EEA-3AB4-4F74-9374-7857BEDDAAEF}">
  <dimension ref="A2:I25"/>
  <sheetViews>
    <sheetView workbookViewId="0"/>
  </sheetViews>
  <sheetFormatPr baseColWidth="10" defaultRowHeight="14.4" x14ac:dyDescent="0.3"/>
  <cols>
    <col min="2" max="2" width="13.33203125" bestFit="1" customWidth="1"/>
    <col min="7" max="7" width="18.44140625" customWidth="1"/>
  </cols>
  <sheetData>
    <row r="2" spans="1:9" ht="23.4" x14ac:dyDescent="0.45">
      <c r="B2" s="24" t="s">
        <v>64</v>
      </c>
    </row>
    <row r="5" spans="1:9" x14ac:dyDescent="0.3">
      <c r="A5" s="6" t="s">
        <v>50</v>
      </c>
      <c r="B5" s="6" t="s">
        <v>14</v>
      </c>
      <c r="C5" s="6" t="s">
        <v>52</v>
      </c>
      <c r="D5" s="6" t="s">
        <v>28</v>
      </c>
      <c r="F5" s="6"/>
      <c r="G5" t="s">
        <v>14</v>
      </c>
      <c r="H5" t="s">
        <v>28</v>
      </c>
      <c r="I5" s="6" t="s">
        <v>123</v>
      </c>
    </row>
    <row r="6" spans="1:9" x14ac:dyDescent="0.3">
      <c r="A6" s="7">
        <v>1</v>
      </c>
      <c r="B6" s="7" t="s">
        <v>18</v>
      </c>
      <c r="C6" s="7">
        <v>2</v>
      </c>
      <c r="D6" s="7"/>
      <c r="G6" t="s">
        <v>18</v>
      </c>
      <c r="H6" s="16">
        <v>2.5</v>
      </c>
      <c r="I6" s="7" t="s">
        <v>18</v>
      </c>
    </row>
    <row r="7" spans="1:9" x14ac:dyDescent="0.3">
      <c r="A7" s="7">
        <v>2</v>
      </c>
      <c r="B7" s="7" t="s">
        <v>20</v>
      </c>
      <c r="C7" s="7">
        <v>1</v>
      </c>
      <c r="D7" s="7"/>
      <c r="G7" t="s">
        <v>19</v>
      </c>
      <c r="H7" s="16">
        <v>3</v>
      </c>
      <c r="I7" s="7" t="s">
        <v>19</v>
      </c>
    </row>
    <row r="8" spans="1:9" x14ac:dyDescent="0.3">
      <c r="A8" s="7">
        <v>3</v>
      </c>
      <c r="B8" s="7" t="s">
        <v>19</v>
      </c>
      <c r="C8" s="7">
        <v>1</v>
      </c>
      <c r="D8" s="7"/>
      <c r="G8" t="s">
        <v>20</v>
      </c>
      <c r="H8" s="16">
        <v>3</v>
      </c>
      <c r="I8" s="7" t="s">
        <v>20</v>
      </c>
    </row>
    <row r="9" spans="1:9" x14ac:dyDescent="0.3">
      <c r="A9" s="7">
        <v>4</v>
      </c>
      <c r="B9" s="7" t="s">
        <v>21</v>
      </c>
      <c r="C9" s="7">
        <v>4</v>
      </c>
      <c r="D9" s="7"/>
      <c r="G9" t="s">
        <v>21</v>
      </c>
      <c r="H9" s="16">
        <v>2.5</v>
      </c>
      <c r="I9" s="7" t="s">
        <v>21</v>
      </c>
    </row>
    <row r="10" spans="1:9" x14ac:dyDescent="0.3">
      <c r="A10" s="7">
        <v>5</v>
      </c>
      <c r="B10" s="7" t="s">
        <v>22</v>
      </c>
      <c r="C10" s="7">
        <v>1</v>
      </c>
      <c r="D10" s="7"/>
      <c r="G10" t="s">
        <v>22</v>
      </c>
      <c r="H10" s="16">
        <v>3</v>
      </c>
      <c r="I10" s="7" t="s">
        <v>22</v>
      </c>
    </row>
    <row r="11" spans="1:9" x14ac:dyDescent="0.3">
      <c r="A11" s="7">
        <v>6</v>
      </c>
      <c r="B11" s="7" t="s">
        <v>23</v>
      </c>
      <c r="C11" s="7">
        <v>3</v>
      </c>
      <c r="D11" s="7"/>
      <c r="G11" t="s">
        <v>23</v>
      </c>
      <c r="H11" s="16">
        <v>3</v>
      </c>
      <c r="I11" s="7" t="s">
        <v>23</v>
      </c>
    </row>
    <row r="12" spans="1:9" x14ac:dyDescent="0.3">
      <c r="A12" s="7">
        <v>7</v>
      </c>
      <c r="B12" s="7" t="s">
        <v>24</v>
      </c>
      <c r="C12" s="7">
        <v>2</v>
      </c>
      <c r="D12" s="7"/>
      <c r="G12" t="s">
        <v>24</v>
      </c>
      <c r="H12" s="16">
        <v>2.5</v>
      </c>
      <c r="I12" s="7" t="s">
        <v>24</v>
      </c>
    </row>
    <row r="13" spans="1:9" x14ac:dyDescent="0.3">
      <c r="A13" s="7">
        <v>8</v>
      </c>
      <c r="B13" s="7" t="s">
        <v>25</v>
      </c>
      <c r="C13" s="7">
        <v>2</v>
      </c>
      <c r="D13" s="7"/>
      <c r="G13" t="s">
        <v>25</v>
      </c>
      <c r="H13" s="16">
        <v>3</v>
      </c>
      <c r="I13" s="7" t="s">
        <v>25</v>
      </c>
    </row>
    <row r="14" spans="1:9" x14ac:dyDescent="0.3">
      <c r="A14" s="7">
        <v>9</v>
      </c>
      <c r="B14" s="7" t="s">
        <v>26</v>
      </c>
      <c r="C14" s="7">
        <v>1</v>
      </c>
      <c r="D14" s="7"/>
      <c r="G14" t="s">
        <v>26</v>
      </c>
      <c r="H14" s="16">
        <v>3</v>
      </c>
      <c r="I14" s="7" t="s">
        <v>26</v>
      </c>
    </row>
    <row r="15" spans="1:9" ht="28.8" x14ac:dyDescent="0.3">
      <c r="A15" s="7">
        <v>10</v>
      </c>
      <c r="B15" s="7" t="s">
        <v>27</v>
      </c>
      <c r="C15" s="7">
        <v>1</v>
      </c>
      <c r="D15" s="7"/>
      <c r="G15" t="s">
        <v>27</v>
      </c>
      <c r="H15" s="16">
        <v>2.5</v>
      </c>
      <c r="I15" s="7" t="s">
        <v>27</v>
      </c>
    </row>
    <row r="16" spans="1:9" x14ac:dyDescent="0.3">
      <c r="A16" s="7">
        <v>11</v>
      </c>
      <c r="B16" s="7" t="s">
        <v>18</v>
      </c>
      <c r="C16" s="7">
        <v>2</v>
      </c>
      <c r="D16" s="7"/>
    </row>
    <row r="17" spans="1:4" x14ac:dyDescent="0.3">
      <c r="A17" s="7">
        <v>12</v>
      </c>
      <c r="B17" s="7" t="s">
        <v>18</v>
      </c>
      <c r="C17" s="7">
        <v>1</v>
      </c>
      <c r="D17" s="7"/>
    </row>
    <row r="18" spans="1:4" x14ac:dyDescent="0.3">
      <c r="A18" s="7">
        <v>13</v>
      </c>
      <c r="B18" s="7" t="s">
        <v>26</v>
      </c>
      <c r="C18" s="7">
        <v>1</v>
      </c>
      <c r="D18" s="7"/>
    </row>
    <row r="19" spans="1:4" x14ac:dyDescent="0.3">
      <c r="A19" s="7">
        <v>14</v>
      </c>
      <c r="B19" s="7" t="s">
        <v>27</v>
      </c>
      <c r="C19" s="7">
        <v>3</v>
      </c>
      <c r="D19" s="7"/>
    </row>
    <row r="20" spans="1:4" x14ac:dyDescent="0.3">
      <c r="A20" s="7">
        <v>15</v>
      </c>
      <c r="B20" s="7" t="s">
        <v>27</v>
      </c>
      <c r="C20" s="7">
        <v>2</v>
      </c>
      <c r="D20" s="7"/>
    </row>
    <row r="21" spans="1:4" x14ac:dyDescent="0.3">
      <c r="A21" s="7">
        <v>16</v>
      </c>
      <c r="B21" s="7" t="s">
        <v>22</v>
      </c>
      <c r="C21" s="7">
        <v>1</v>
      </c>
      <c r="D21" s="7"/>
    </row>
    <row r="22" spans="1:4" x14ac:dyDescent="0.3">
      <c r="A22" s="7">
        <v>17</v>
      </c>
      <c r="B22" s="7" t="s">
        <v>24</v>
      </c>
      <c r="C22" s="7">
        <v>2</v>
      </c>
      <c r="D22" s="7"/>
    </row>
    <row r="23" spans="1:4" x14ac:dyDescent="0.3">
      <c r="A23" s="7">
        <v>18</v>
      </c>
      <c r="B23" s="7" t="s">
        <v>18</v>
      </c>
      <c r="C23" s="7">
        <v>3</v>
      </c>
      <c r="D23" s="7"/>
    </row>
    <row r="24" spans="1:4" x14ac:dyDescent="0.3">
      <c r="A24" s="7">
        <v>19</v>
      </c>
      <c r="B24" s="7" t="s">
        <v>19</v>
      </c>
      <c r="C24" s="7">
        <v>2</v>
      </c>
      <c r="D24" s="7"/>
    </row>
    <row r="25" spans="1:4" x14ac:dyDescent="0.3">
      <c r="A25" s="7">
        <v>20</v>
      </c>
      <c r="B25" s="7" t="s">
        <v>22</v>
      </c>
      <c r="C25" s="7">
        <v>1</v>
      </c>
      <c r="D25" s="7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8998B-FF1C-4028-85D3-67153E58685D}">
  <dimension ref="B1:M13"/>
  <sheetViews>
    <sheetView zoomScale="150" zoomScaleNormal="150" workbookViewId="0"/>
  </sheetViews>
  <sheetFormatPr baseColWidth="10" defaultRowHeight="14.4" x14ac:dyDescent="0.3"/>
  <cols>
    <col min="2" max="2" width="13" customWidth="1"/>
  </cols>
  <sheetData>
    <row r="1" spans="2:13" ht="23.4" x14ac:dyDescent="0.45">
      <c r="B1" s="24" t="s">
        <v>124</v>
      </c>
    </row>
    <row r="2" spans="2:13" x14ac:dyDescent="0.3">
      <c r="D2" t="s">
        <v>19</v>
      </c>
    </row>
    <row r="3" spans="2:13" x14ac:dyDescent="0.3">
      <c r="B3" s="27" t="s">
        <v>14</v>
      </c>
    </row>
    <row r="4" spans="2:13" x14ac:dyDescent="0.3">
      <c r="B4" s="28" t="s">
        <v>18</v>
      </c>
    </row>
    <row r="5" spans="2:13" x14ac:dyDescent="0.3">
      <c r="B5" s="29" t="s">
        <v>19</v>
      </c>
    </row>
    <row r="6" spans="2:13" x14ac:dyDescent="0.3">
      <c r="B6" s="28" t="s">
        <v>20</v>
      </c>
    </row>
    <row r="7" spans="2:13" x14ac:dyDescent="0.3">
      <c r="B7" s="29" t="s">
        <v>21</v>
      </c>
    </row>
    <row r="8" spans="2:13" x14ac:dyDescent="0.3">
      <c r="B8" s="28" t="s">
        <v>22</v>
      </c>
    </row>
    <row r="9" spans="2:13" x14ac:dyDescent="0.3">
      <c r="B9" s="29" t="s">
        <v>23</v>
      </c>
    </row>
    <row r="10" spans="2:13" x14ac:dyDescent="0.3">
      <c r="B10" s="28" t="s">
        <v>19</v>
      </c>
      <c r="D10" t="str" cm="1">
        <f t="array" ref="D10:M10">TRANSPOSE(B4:B13)</f>
        <v>Espresso</v>
      </c>
      <c r="E10" t="str">
        <v>Latte</v>
      </c>
      <c r="F10" t="str">
        <v>Cappuccino</v>
      </c>
      <c r="G10" t="str">
        <v>Americano</v>
      </c>
      <c r="H10" t="str">
        <v>Mocha</v>
      </c>
      <c r="I10" t="str">
        <v>Macchiato</v>
      </c>
      <c r="J10" t="str">
        <v>Latte</v>
      </c>
      <c r="K10" t="str">
        <v>Frappuccino</v>
      </c>
      <c r="L10" t="str">
        <v>Cortado</v>
      </c>
      <c r="M10" t="str">
        <v>Café con Leche</v>
      </c>
    </row>
    <row r="11" spans="2:13" x14ac:dyDescent="0.3">
      <c r="B11" s="29" t="s">
        <v>25</v>
      </c>
    </row>
    <row r="12" spans="2:13" x14ac:dyDescent="0.3">
      <c r="B12" s="28" t="s">
        <v>26</v>
      </c>
    </row>
    <row r="13" spans="2:13" x14ac:dyDescent="0.3">
      <c r="B13" s="29" t="s">
        <v>27</v>
      </c>
    </row>
  </sheetData>
  <conditionalFormatting sqref="B4:B13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112AD-A9EA-4C68-AADF-20B4F7F1CB33}">
  <dimension ref="A2:I24"/>
  <sheetViews>
    <sheetView workbookViewId="0">
      <selection activeCell="E5" sqref="E5"/>
    </sheetView>
  </sheetViews>
  <sheetFormatPr baseColWidth="10" defaultRowHeight="14.4" x14ac:dyDescent="0.3"/>
  <cols>
    <col min="8" max="8" width="13.33203125" bestFit="1" customWidth="1"/>
    <col min="9" max="9" width="11.77734375" customWidth="1"/>
  </cols>
  <sheetData>
    <row r="2" spans="1:9" x14ac:dyDescent="0.3">
      <c r="B2" s="30" t="s">
        <v>125</v>
      </c>
    </row>
    <row r="4" spans="1:9" x14ac:dyDescent="0.3">
      <c r="A4" s="6" t="s">
        <v>50</v>
      </c>
      <c r="B4" s="6" t="s">
        <v>14</v>
      </c>
      <c r="C4" s="6" t="s">
        <v>52</v>
      </c>
      <c r="D4" s="6" t="s">
        <v>28</v>
      </c>
      <c r="E4" s="6" t="s">
        <v>53</v>
      </c>
    </row>
    <row r="5" spans="1:9" x14ac:dyDescent="0.3">
      <c r="A5" s="7">
        <v>1</v>
      </c>
      <c r="B5" s="7" t="s">
        <v>18</v>
      </c>
      <c r="C5" s="7">
        <v>2</v>
      </c>
      <c r="D5" s="16">
        <f t="shared" ref="D5:D24" si="0">VLOOKUP(B5,Empleados,2,FALSE)</f>
        <v>2.5</v>
      </c>
      <c r="E5" s="16"/>
      <c r="H5" t="s">
        <v>14</v>
      </c>
      <c r="I5" t="s">
        <v>28</v>
      </c>
    </row>
    <row r="6" spans="1:9" x14ac:dyDescent="0.3">
      <c r="A6" s="7">
        <v>2</v>
      </c>
      <c r="B6" s="7" t="s">
        <v>20</v>
      </c>
      <c r="C6" s="7">
        <v>1</v>
      </c>
      <c r="D6" s="16">
        <f t="shared" si="0"/>
        <v>3</v>
      </c>
      <c r="E6" s="16"/>
      <c r="H6" t="s">
        <v>18</v>
      </c>
      <c r="I6" s="16">
        <v>2.5</v>
      </c>
    </row>
    <row r="7" spans="1:9" x14ac:dyDescent="0.3">
      <c r="A7" s="7">
        <v>3</v>
      </c>
      <c r="B7" s="7" t="s">
        <v>19</v>
      </c>
      <c r="C7" s="7">
        <v>1</v>
      </c>
      <c r="D7" s="16">
        <f t="shared" si="0"/>
        <v>3</v>
      </c>
      <c r="E7" s="16"/>
      <c r="H7" t="s">
        <v>19</v>
      </c>
      <c r="I7" s="16">
        <v>3</v>
      </c>
    </row>
    <row r="8" spans="1:9" x14ac:dyDescent="0.3">
      <c r="A8" s="7">
        <v>4</v>
      </c>
      <c r="B8" s="7" t="s">
        <v>21</v>
      </c>
      <c r="C8" s="7">
        <v>4</v>
      </c>
      <c r="D8" s="16">
        <f t="shared" si="0"/>
        <v>2.5</v>
      </c>
      <c r="E8" s="16"/>
      <c r="H8" t="s">
        <v>20</v>
      </c>
      <c r="I8" s="16">
        <v>3</v>
      </c>
    </row>
    <row r="9" spans="1:9" x14ac:dyDescent="0.3">
      <c r="A9" s="7">
        <v>5</v>
      </c>
      <c r="B9" s="7" t="s">
        <v>22</v>
      </c>
      <c r="C9" s="7">
        <v>1</v>
      </c>
      <c r="D9" s="16">
        <f t="shared" si="0"/>
        <v>3</v>
      </c>
      <c r="E9" s="16"/>
      <c r="H9" t="s">
        <v>21</v>
      </c>
      <c r="I9" s="16">
        <v>2.5</v>
      </c>
    </row>
    <row r="10" spans="1:9" x14ac:dyDescent="0.3">
      <c r="A10" s="7">
        <v>6</v>
      </c>
      <c r="B10" s="7" t="s">
        <v>23</v>
      </c>
      <c r="C10" s="7">
        <v>3</v>
      </c>
      <c r="D10" s="16">
        <f t="shared" si="0"/>
        <v>3</v>
      </c>
      <c r="E10" s="16"/>
      <c r="H10" t="s">
        <v>22</v>
      </c>
      <c r="I10" s="16">
        <v>3</v>
      </c>
    </row>
    <row r="11" spans="1:9" x14ac:dyDescent="0.3">
      <c r="A11" s="7">
        <v>7</v>
      </c>
      <c r="B11" s="7" t="s">
        <v>24</v>
      </c>
      <c r="C11" s="7">
        <v>2</v>
      </c>
      <c r="D11" s="16">
        <f t="shared" si="0"/>
        <v>2.5</v>
      </c>
      <c r="E11" s="16"/>
      <c r="H11" t="s">
        <v>23</v>
      </c>
      <c r="I11" s="16">
        <v>3</v>
      </c>
    </row>
    <row r="12" spans="1:9" x14ac:dyDescent="0.3">
      <c r="A12" s="7">
        <v>8</v>
      </c>
      <c r="B12" s="7" t="s">
        <v>25</v>
      </c>
      <c r="C12" s="7">
        <v>2</v>
      </c>
      <c r="D12" s="16">
        <f t="shared" si="0"/>
        <v>3</v>
      </c>
      <c r="E12" s="16"/>
      <c r="H12" t="s">
        <v>24</v>
      </c>
      <c r="I12" s="16">
        <v>2.5</v>
      </c>
    </row>
    <row r="13" spans="1:9" x14ac:dyDescent="0.3">
      <c r="A13" s="7">
        <v>9</v>
      </c>
      <c r="B13" s="7" t="s">
        <v>26</v>
      </c>
      <c r="C13" s="7">
        <v>1</v>
      </c>
      <c r="D13" s="16">
        <f t="shared" si="0"/>
        <v>3</v>
      </c>
      <c r="E13" s="16"/>
      <c r="H13" t="s">
        <v>25</v>
      </c>
      <c r="I13" s="16">
        <v>3</v>
      </c>
    </row>
    <row r="14" spans="1:9" ht="28.8" x14ac:dyDescent="0.3">
      <c r="A14" s="7">
        <v>10</v>
      </c>
      <c r="B14" s="7" t="s">
        <v>27</v>
      </c>
      <c r="C14" s="7">
        <v>1</v>
      </c>
      <c r="D14" s="16">
        <f t="shared" si="0"/>
        <v>2.5</v>
      </c>
      <c r="E14" s="16"/>
      <c r="H14" t="s">
        <v>26</v>
      </c>
      <c r="I14" s="16">
        <v>3</v>
      </c>
    </row>
    <row r="15" spans="1:9" x14ac:dyDescent="0.3">
      <c r="A15" s="7">
        <v>11</v>
      </c>
      <c r="B15" s="7" t="s">
        <v>18</v>
      </c>
      <c r="C15" s="7">
        <v>2</v>
      </c>
      <c r="D15" s="16">
        <f t="shared" si="0"/>
        <v>2.5</v>
      </c>
      <c r="E15" s="16"/>
      <c r="H15" t="s">
        <v>27</v>
      </c>
      <c r="I15" s="16">
        <v>2.5</v>
      </c>
    </row>
    <row r="16" spans="1:9" x14ac:dyDescent="0.3">
      <c r="A16" s="7">
        <v>12</v>
      </c>
      <c r="B16" s="7" t="s">
        <v>18</v>
      </c>
      <c r="C16" s="7">
        <v>1</v>
      </c>
      <c r="D16" s="16">
        <f t="shared" si="0"/>
        <v>2.5</v>
      </c>
      <c r="E16" s="16"/>
    </row>
    <row r="17" spans="1:5" x14ac:dyDescent="0.3">
      <c r="A17" s="7">
        <v>13</v>
      </c>
      <c r="B17" s="7" t="s">
        <v>26</v>
      </c>
      <c r="C17" s="7">
        <v>1</v>
      </c>
      <c r="D17" s="16">
        <f t="shared" si="0"/>
        <v>3</v>
      </c>
      <c r="E17" s="16"/>
    </row>
    <row r="18" spans="1:5" ht="28.8" x14ac:dyDescent="0.3">
      <c r="A18" s="7">
        <v>14</v>
      </c>
      <c r="B18" s="7" t="s">
        <v>27</v>
      </c>
      <c r="C18" s="7">
        <v>3</v>
      </c>
      <c r="D18" s="16">
        <f t="shared" si="0"/>
        <v>2.5</v>
      </c>
      <c r="E18" s="16"/>
    </row>
    <row r="19" spans="1:5" ht="28.8" x14ac:dyDescent="0.3">
      <c r="A19" s="7">
        <v>15</v>
      </c>
      <c r="B19" s="7" t="s">
        <v>27</v>
      </c>
      <c r="C19" s="7">
        <v>2</v>
      </c>
      <c r="D19" s="16">
        <f t="shared" si="0"/>
        <v>2.5</v>
      </c>
      <c r="E19" s="16"/>
    </row>
    <row r="20" spans="1:5" x14ac:dyDescent="0.3">
      <c r="A20" s="7">
        <v>16</v>
      </c>
      <c r="B20" s="7" t="s">
        <v>22</v>
      </c>
      <c r="C20" s="7">
        <v>1</v>
      </c>
      <c r="D20" s="16">
        <f t="shared" si="0"/>
        <v>3</v>
      </c>
      <c r="E20" s="16"/>
    </row>
    <row r="21" spans="1:5" x14ac:dyDescent="0.3">
      <c r="A21" s="7">
        <v>17</v>
      </c>
      <c r="B21" s="7" t="s">
        <v>24</v>
      </c>
      <c r="C21" s="7">
        <v>2</v>
      </c>
      <c r="D21" s="16">
        <f t="shared" si="0"/>
        <v>2.5</v>
      </c>
      <c r="E21" s="16"/>
    </row>
    <row r="22" spans="1:5" x14ac:dyDescent="0.3">
      <c r="A22" s="7">
        <v>18</v>
      </c>
      <c r="B22" s="7" t="s">
        <v>18</v>
      </c>
      <c r="C22" s="7">
        <v>3</v>
      </c>
      <c r="D22" s="16">
        <f t="shared" si="0"/>
        <v>2.5</v>
      </c>
      <c r="E22" s="16"/>
    </row>
    <row r="23" spans="1:5" x14ac:dyDescent="0.3">
      <c r="A23" s="7">
        <v>19</v>
      </c>
      <c r="B23" s="7" t="s">
        <v>19</v>
      </c>
      <c r="C23" s="7">
        <v>2</v>
      </c>
      <c r="D23" s="16">
        <f t="shared" si="0"/>
        <v>3</v>
      </c>
      <c r="E23" s="16"/>
    </row>
    <row r="24" spans="1:5" x14ac:dyDescent="0.3">
      <c r="A24" s="7">
        <v>20</v>
      </c>
      <c r="B24" s="7" t="s">
        <v>22</v>
      </c>
      <c r="C24" s="7">
        <v>1</v>
      </c>
      <c r="D24" s="16">
        <f t="shared" si="0"/>
        <v>3</v>
      </c>
      <c r="E24" s="1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58E5-B75B-471B-9675-5907CF74B1C1}">
  <dimension ref="A2:K29"/>
  <sheetViews>
    <sheetView workbookViewId="0">
      <selection activeCell="J5" sqref="J5"/>
    </sheetView>
  </sheetViews>
  <sheetFormatPr baseColWidth="10" defaultRowHeight="14.4" x14ac:dyDescent="0.3"/>
  <cols>
    <col min="1" max="1" width="13" bestFit="1" customWidth="1"/>
    <col min="5" max="5" width="13.5546875" bestFit="1" customWidth="1"/>
    <col min="6" max="6" width="19" bestFit="1" customWidth="1"/>
  </cols>
  <sheetData>
    <row r="2" spans="1:8" ht="23.4" x14ac:dyDescent="0.45">
      <c r="B2" s="24" t="s">
        <v>88</v>
      </c>
    </row>
    <row r="4" spans="1:8" x14ac:dyDescent="0.3">
      <c r="A4" s="25" t="s">
        <v>14</v>
      </c>
      <c r="B4" s="25" t="s">
        <v>65</v>
      </c>
      <c r="C4" s="25" t="s">
        <v>66</v>
      </c>
      <c r="D4" s="25" t="s">
        <v>52</v>
      </c>
      <c r="E4" s="25" t="s">
        <v>67</v>
      </c>
      <c r="F4" s="25" t="s">
        <v>52</v>
      </c>
      <c r="G4" s="25" t="s">
        <v>28</v>
      </c>
      <c r="H4" s="25" t="s">
        <v>33</v>
      </c>
    </row>
    <row r="5" spans="1:8" x14ac:dyDescent="0.3">
      <c r="A5" t="s">
        <v>86</v>
      </c>
      <c r="B5" t="s">
        <v>77</v>
      </c>
      <c r="C5" t="s">
        <v>73</v>
      </c>
      <c r="D5">
        <v>9</v>
      </c>
      <c r="E5" s="18">
        <v>45295</v>
      </c>
      <c r="F5">
        <v>9</v>
      </c>
      <c r="G5">
        <v>79.010000000000005</v>
      </c>
      <c r="H5">
        <f>F5*G5</f>
        <v>711.09</v>
      </c>
    </row>
    <row r="6" spans="1:8" x14ac:dyDescent="0.3">
      <c r="A6" t="s">
        <v>85</v>
      </c>
      <c r="B6" t="s">
        <v>78</v>
      </c>
      <c r="C6" t="s">
        <v>75</v>
      </c>
      <c r="D6">
        <v>9</v>
      </c>
      <c r="E6" s="18">
        <v>45299</v>
      </c>
      <c r="F6">
        <v>9</v>
      </c>
      <c r="G6">
        <v>68.28</v>
      </c>
      <c r="H6">
        <f t="shared" ref="H6:H29" si="0">F6*G6</f>
        <v>614.52</v>
      </c>
    </row>
    <row r="7" spans="1:8" x14ac:dyDescent="0.3">
      <c r="A7" t="s">
        <v>85</v>
      </c>
      <c r="B7" t="s">
        <v>69</v>
      </c>
      <c r="C7" t="s">
        <v>81</v>
      </c>
      <c r="D7">
        <v>5</v>
      </c>
      <c r="E7" s="18">
        <v>45300</v>
      </c>
      <c r="F7">
        <v>5</v>
      </c>
      <c r="G7">
        <v>38.159999999999997</v>
      </c>
      <c r="H7">
        <f t="shared" si="0"/>
        <v>190.79999999999998</v>
      </c>
    </row>
    <row r="8" spans="1:8" x14ac:dyDescent="0.3">
      <c r="A8" t="s">
        <v>80</v>
      </c>
      <c r="B8" t="s">
        <v>69</v>
      </c>
      <c r="C8" t="s">
        <v>84</v>
      </c>
      <c r="D8">
        <v>9</v>
      </c>
      <c r="E8" s="18">
        <v>45306</v>
      </c>
      <c r="F8">
        <v>9</v>
      </c>
      <c r="G8">
        <v>66.77</v>
      </c>
      <c r="H8">
        <f t="shared" si="0"/>
        <v>600.92999999999995</v>
      </c>
    </row>
    <row r="9" spans="1:8" x14ac:dyDescent="0.3">
      <c r="A9" t="s">
        <v>71</v>
      </c>
      <c r="B9" t="s">
        <v>78</v>
      </c>
      <c r="C9" t="s">
        <v>79</v>
      </c>
      <c r="D9">
        <v>6</v>
      </c>
      <c r="E9" s="18">
        <v>45308</v>
      </c>
      <c r="F9">
        <v>6</v>
      </c>
      <c r="G9">
        <v>26.9</v>
      </c>
      <c r="H9">
        <f t="shared" si="0"/>
        <v>161.39999999999998</v>
      </c>
    </row>
    <row r="10" spans="1:8" x14ac:dyDescent="0.3">
      <c r="A10" t="s">
        <v>68</v>
      </c>
      <c r="B10" t="s">
        <v>69</v>
      </c>
      <c r="C10" t="s">
        <v>70</v>
      </c>
      <c r="D10">
        <v>10</v>
      </c>
      <c r="E10" s="18">
        <v>45318</v>
      </c>
      <c r="F10">
        <v>10</v>
      </c>
      <c r="G10">
        <v>58.56</v>
      </c>
      <c r="H10">
        <f t="shared" si="0"/>
        <v>585.6</v>
      </c>
    </row>
    <row r="11" spans="1:8" x14ac:dyDescent="0.3">
      <c r="A11" t="s">
        <v>85</v>
      </c>
      <c r="B11" t="s">
        <v>69</v>
      </c>
      <c r="C11" t="s">
        <v>84</v>
      </c>
      <c r="D11">
        <v>3</v>
      </c>
      <c r="E11" s="18">
        <v>45344</v>
      </c>
      <c r="F11">
        <v>3</v>
      </c>
      <c r="G11">
        <v>21.33</v>
      </c>
      <c r="H11">
        <f t="shared" si="0"/>
        <v>63.989999999999995</v>
      </c>
    </row>
    <row r="12" spans="1:8" x14ac:dyDescent="0.3">
      <c r="A12" t="s">
        <v>80</v>
      </c>
      <c r="B12" t="s">
        <v>78</v>
      </c>
      <c r="C12" t="s">
        <v>81</v>
      </c>
      <c r="D12">
        <v>7</v>
      </c>
      <c r="E12" s="18">
        <v>45366</v>
      </c>
      <c r="F12">
        <v>7</v>
      </c>
      <c r="G12">
        <v>53.84</v>
      </c>
      <c r="H12">
        <f t="shared" si="0"/>
        <v>376.88</v>
      </c>
    </row>
    <row r="13" spans="1:8" x14ac:dyDescent="0.3">
      <c r="A13" t="s">
        <v>68</v>
      </c>
      <c r="B13" t="s">
        <v>77</v>
      </c>
      <c r="C13" t="s">
        <v>73</v>
      </c>
      <c r="D13">
        <v>5</v>
      </c>
      <c r="E13" s="18">
        <v>45377</v>
      </c>
      <c r="F13">
        <v>5</v>
      </c>
      <c r="G13">
        <v>76.510000000000005</v>
      </c>
      <c r="H13">
        <f t="shared" si="0"/>
        <v>382.55</v>
      </c>
    </row>
    <row r="14" spans="1:8" x14ac:dyDescent="0.3">
      <c r="A14" t="s">
        <v>68</v>
      </c>
      <c r="B14" t="s">
        <v>72</v>
      </c>
      <c r="C14" t="s">
        <v>73</v>
      </c>
      <c r="D14">
        <v>3</v>
      </c>
      <c r="E14" s="18">
        <v>45378</v>
      </c>
      <c r="F14">
        <v>3</v>
      </c>
      <c r="G14">
        <v>53.87</v>
      </c>
      <c r="H14">
        <f t="shared" si="0"/>
        <v>161.60999999999999</v>
      </c>
    </row>
    <row r="15" spans="1:8" x14ac:dyDescent="0.3">
      <c r="A15" t="s">
        <v>80</v>
      </c>
      <c r="B15" t="s">
        <v>77</v>
      </c>
      <c r="C15" t="s">
        <v>81</v>
      </c>
      <c r="D15">
        <v>9</v>
      </c>
      <c r="E15" s="18">
        <v>45380</v>
      </c>
      <c r="F15">
        <v>9</v>
      </c>
      <c r="G15">
        <v>48.33</v>
      </c>
      <c r="H15">
        <f t="shared" si="0"/>
        <v>434.96999999999997</v>
      </c>
    </row>
    <row r="16" spans="1:8" x14ac:dyDescent="0.3">
      <c r="A16" t="s">
        <v>68</v>
      </c>
      <c r="B16" t="s">
        <v>78</v>
      </c>
      <c r="C16" t="s">
        <v>75</v>
      </c>
      <c r="D16">
        <v>2</v>
      </c>
      <c r="E16" s="18">
        <v>45385</v>
      </c>
      <c r="F16">
        <v>2</v>
      </c>
      <c r="G16">
        <v>42.09</v>
      </c>
      <c r="H16">
        <f t="shared" si="0"/>
        <v>84.18</v>
      </c>
    </row>
    <row r="17" spans="1:11" x14ac:dyDescent="0.3">
      <c r="A17" t="s">
        <v>87</v>
      </c>
      <c r="B17" t="s">
        <v>78</v>
      </c>
      <c r="C17" t="s">
        <v>75</v>
      </c>
      <c r="D17">
        <v>1</v>
      </c>
      <c r="E17" s="18">
        <v>45413</v>
      </c>
      <c r="F17">
        <v>1</v>
      </c>
      <c r="G17">
        <v>40.6</v>
      </c>
      <c r="H17">
        <f t="shared" si="0"/>
        <v>40.6</v>
      </c>
    </row>
    <row r="18" spans="1:11" x14ac:dyDescent="0.3">
      <c r="A18" t="s">
        <v>87</v>
      </c>
      <c r="B18" t="s">
        <v>72</v>
      </c>
      <c r="C18" t="s">
        <v>83</v>
      </c>
      <c r="D18">
        <v>4</v>
      </c>
      <c r="E18" s="18">
        <v>45415</v>
      </c>
      <c r="F18">
        <v>4</v>
      </c>
      <c r="G18">
        <v>87.59</v>
      </c>
      <c r="H18">
        <f t="shared" si="0"/>
        <v>350.36</v>
      </c>
    </row>
    <row r="19" spans="1:11" x14ac:dyDescent="0.3">
      <c r="A19" t="s">
        <v>74</v>
      </c>
      <c r="B19" t="s">
        <v>69</v>
      </c>
      <c r="C19" t="s">
        <v>75</v>
      </c>
      <c r="D19">
        <v>8</v>
      </c>
      <c r="E19" s="18">
        <v>45420</v>
      </c>
      <c r="F19">
        <v>8</v>
      </c>
      <c r="G19">
        <v>26.63</v>
      </c>
      <c r="H19">
        <f t="shared" si="0"/>
        <v>213.04</v>
      </c>
      <c r="K19" s="26"/>
    </row>
    <row r="20" spans="1:11" x14ac:dyDescent="0.3">
      <c r="A20" t="s">
        <v>82</v>
      </c>
      <c r="B20" t="s">
        <v>72</v>
      </c>
      <c r="C20" t="s">
        <v>73</v>
      </c>
      <c r="D20">
        <v>2</v>
      </c>
      <c r="E20" s="18">
        <v>45421</v>
      </c>
      <c r="F20">
        <v>2</v>
      </c>
      <c r="G20">
        <v>23.08</v>
      </c>
      <c r="H20">
        <f t="shared" si="0"/>
        <v>46.16</v>
      </c>
      <c r="K20" s="26"/>
    </row>
    <row r="21" spans="1:11" x14ac:dyDescent="0.3">
      <c r="A21" t="s">
        <v>71</v>
      </c>
      <c r="B21" t="s">
        <v>72</v>
      </c>
      <c r="C21" t="s">
        <v>73</v>
      </c>
      <c r="D21">
        <v>3</v>
      </c>
      <c r="E21" s="18">
        <v>45423</v>
      </c>
      <c r="F21">
        <v>3</v>
      </c>
      <c r="G21">
        <v>61.41</v>
      </c>
      <c r="H21">
        <f t="shared" si="0"/>
        <v>184.23</v>
      </c>
      <c r="K21" s="26"/>
    </row>
    <row r="22" spans="1:11" x14ac:dyDescent="0.3">
      <c r="A22" t="s">
        <v>82</v>
      </c>
      <c r="B22" t="s">
        <v>77</v>
      </c>
      <c r="C22" t="s">
        <v>70</v>
      </c>
      <c r="D22">
        <v>9</v>
      </c>
      <c r="E22" s="18">
        <v>45423</v>
      </c>
      <c r="F22">
        <v>9</v>
      </c>
      <c r="G22">
        <v>56.3</v>
      </c>
      <c r="H22">
        <f t="shared" si="0"/>
        <v>506.7</v>
      </c>
      <c r="K22" s="26"/>
    </row>
    <row r="23" spans="1:11" x14ac:dyDescent="0.3">
      <c r="A23" t="s">
        <v>80</v>
      </c>
      <c r="B23" t="s">
        <v>72</v>
      </c>
      <c r="C23" t="s">
        <v>83</v>
      </c>
      <c r="D23">
        <v>6</v>
      </c>
      <c r="E23" s="18">
        <v>45425</v>
      </c>
      <c r="F23">
        <v>6</v>
      </c>
      <c r="G23">
        <v>55.73</v>
      </c>
      <c r="H23">
        <f t="shared" si="0"/>
        <v>334.38</v>
      </c>
      <c r="K23" s="26"/>
    </row>
    <row r="24" spans="1:11" x14ac:dyDescent="0.3">
      <c r="A24" t="s">
        <v>87</v>
      </c>
      <c r="B24" t="s">
        <v>77</v>
      </c>
      <c r="C24" t="s">
        <v>79</v>
      </c>
      <c r="D24">
        <v>7</v>
      </c>
      <c r="E24" s="18">
        <v>45429</v>
      </c>
      <c r="F24">
        <v>7</v>
      </c>
      <c r="G24">
        <v>65.459999999999994</v>
      </c>
      <c r="H24">
        <f t="shared" si="0"/>
        <v>458.21999999999997</v>
      </c>
      <c r="K24" s="26"/>
    </row>
    <row r="25" spans="1:11" x14ac:dyDescent="0.3">
      <c r="A25" t="s">
        <v>71</v>
      </c>
      <c r="B25" t="s">
        <v>69</v>
      </c>
      <c r="C25" t="s">
        <v>81</v>
      </c>
      <c r="D25">
        <v>10</v>
      </c>
      <c r="E25" s="18">
        <v>45442</v>
      </c>
      <c r="F25">
        <v>10</v>
      </c>
      <c r="G25">
        <v>20.99</v>
      </c>
      <c r="H25">
        <f t="shared" si="0"/>
        <v>209.89999999999998</v>
      </c>
      <c r="K25" s="26"/>
    </row>
    <row r="26" spans="1:11" x14ac:dyDescent="0.3">
      <c r="A26" t="s">
        <v>74</v>
      </c>
      <c r="B26" t="s">
        <v>72</v>
      </c>
      <c r="C26" t="s">
        <v>84</v>
      </c>
      <c r="D26">
        <v>1</v>
      </c>
      <c r="E26" s="18">
        <v>45450</v>
      </c>
      <c r="F26">
        <v>1</v>
      </c>
      <c r="G26">
        <v>43.46</v>
      </c>
      <c r="H26">
        <f t="shared" si="0"/>
        <v>43.46</v>
      </c>
      <c r="K26" s="26"/>
    </row>
    <row r="27" spans="1:11" x14ac:dyDescent="0.3">
      <c r="A27" t="s">
        <v>68</v>
      </c>
      <c r="B27" t="s">
        <v>77</v>
      </c>
      <c r="C27" t="s">
        <v>70</v>
      </c>
      <c r="D27">
        <v>10</v>
      </c>
      <c r="E27" s="18">
        <v>45457</v>
      </c>
      <c r="F27">
        <v>10</v>
      </c>
      <c r="G27">
        <v>59.49</v>
      </c>
      <c r="H27">
        <f t="shared" si="0"/>
        <v>594.9</v>
      </c>
      <c r="K27" s="26"/>
    </row>
    <row r="28" spans="1:11" x14ac:dyDescent="0.3">
      <c r="A28" t="s">
        <v>76</v>
      </c>
      <c r="B28" t="s">
        <v>77</v>
      </c>
      <c r="C28" t="s">
        <v>70</v>
      </c>
      <c r="D28">
        <v>10</v>
      </c>
      <c r="E28" s="18">
        <v>45465</v>
      </c>
      <c r="F28">
        <v>10</v>
      </c>
      <c r="G28">
        <v>64.53</v>
      </c>
      <c r="H28">
        <f t="shared" si="0"/>
        <v>645.29999999999995</v>
      </c>
      <c r="K28" s="26"/>
    </row>
    <row r="29" spans="1:11" x14ac:dyDescent="0.3">
      <c r="A29" t="s">
        <v>85</v>
      </c>
      <c r="B29" t="s">
        <v>69</v>
      </c>
      <c r="C29" t="s">
        <v>79</v>
      </c>
      <c r="D29">
        <v>9</v>
      </c>
      <c r="E29" s="18">
        <v>45466</v>
      </c>
      <c r="F29">
        <v>9</v>
      </c>
      <c r="G29">
        <v>23.5</v>
      </c>
      <c r="H29">
        <f t="shared" si="0"/>
        <v>211.5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63848-29D8-44F1-8546-C7C5620E39AE}">
  <dimension ref="A2:R38"/>
  <sheetViews>
    <sheetView workbookViewId="0"/>
  </sheetViews>
  <sheetFormatPr baseColWidth="10" defaultRowHeight="14.4" x14ac:dyDescent="0.3"/>
  <cols>
    <col min="1" max="1" width="13" bestFit="1" customWidth="1"/>
    <col min="5" max="5" width="13.5546875" bestFit="1" customWidth="1"/>
    <col min="6" max="6" width="19" bestFit="1" customWidth="1"/>
  </cols>
  <sheetData>
    <row r="2" spans="1:18" ht="23.4" x14ac:dyDescent="0.45">
      <c r="B2" s="24" t="s">
        <v>89</v>
      </c>
    </row>
    <row r="4" spans="1:18" x14ac:dyDescent="0.3">
      <c r="A4" s="25" t="s">
        <v>14</v>
      </c>
      <c r="B4" s="25" t="s">
        <v>65</v>
      </c>
      <c r="C4" s="25" t="s">
        <v>66</v>
      </c>
      <c r="D4" s="25" t="s">
        <v>52</v>
      </c>
      <c r="E4" s="25" t="s">
        <v>67</v>
      </c>
      <c r="F4" s="25" t="s">
        <v>52</v>
      </c>
      <c r="G4" s="25" t="s">
        <v>28</v>
      </c>
      <c r="H4" s="25" t="s">
        <v>33</v>
      </c>
    </row>
    <row r="5" spans="1:18" x14ac:dyDescent="0.3">
      <c r="A5" t="s">
        <v>86</v>
      </c>
      <c r="B5" t="s">
        <v>77</v>
      </c>
      <c r="C5" t="s">
        <v>73</v>
      </c>
      <c r="D5">
        <v>9</v>
      </c>
      <c r="E5" s="18">
        <v>45295</v>
      </c>
      <c r="F5">
        <v>9</v>
      </c>
      <c r="G5">
        <v>79.010000000000005</v>
      </c>
      <c r="H5">
        <f>F5*G5</f>
        <v>711.09</v>
      </c>
    </row>
    <row r="6" spans="1:18" x14ac:dyDescent="0.3">
      <c r="A6" t="s">
        <v>85</v>
      </c>
      <c r="B6" t="s">
        <v>78</v>
      </c>
      <c r="C6" t="s">
        <v>75</v>
      </c>
      <c r="D6">
        <v>9</v>
      </c>
      <c r="E6" s="18">
        <v>45299</v>
      </c>
      <c r="F6">
        <v>9</v>
      </c>
      <c r="G6">
        <v>68.28</v>
      </c>
      <c r="H6">
        <f t="shared" ref="H6:H29" si="0">F6*G6</f>
        <v>614.52</v>
      </c>
    </row>
    <row r="7" spans="1:18" x14ac:dyDescent="0.3">
      <c r="A7" t="s">
        <v>85</v>
      </c>
      <c r="B7" t="s">
        <v>69</v>
      </c>
      <c r="C7" t="s">
        <v>81</v>
      </c>
      <c r="D7">
        <v>5</v>
      </c>
      <c r="E7" s="18">
        <v>45300</v>
      </c>
      <c r="F7">
        <v>5</v>
      </c>
      <c r="G7">
        <v>38.159999999999997</v>
      </c>
      <c r="H7">
        <f t="shared" si="0"/>
        <v>190.79999999999998</v>
      </c>
    </row>
    <row r="8" spans="1:18" x14ac:dyDescent="0.3">
      <c r="A8" t="s">
        <v>80</v>
      </c>
      <c r="B8" t="s">
        <v>69</v>
      </c>
      <c r="C8" t="s">
        <v>84</v>
      </c>
      <c r="D8">
        <v>9</v>
      </c>
      <c r="E8" s="18">
        <v>45306</v>
      </c>
      <c r="F8">
        <v>9</v>
      </c>
      <c r="G8">
        <v>66.77</v>
      </c>
      <c r="H8">
        <f t="shared" si="0"/>
        <v>600.92999999999995</v>
      </c>
      <c r="K8" s="16"/>
      <c r="L8" s="16"/>
      <c r="M8" s="16"/>
      <c r="N8" s="16"/>
      <c r="O8" s="16"/>
      <c r="P8" s="16"/>
      <c r="Q8" s="16"/>
      <c r="R8" s="16"/>
    </row>
    <row r="9" spans="1:18" x14ac:dyDescent="0.3">
      <c r="A9" t="s">
        <v>71</v>
      </c>
      <c r="B9" t="s">
        <v>78</v>
      </c>
      <c r="C9" t="s">
        <v>79</v>
      </c>
      <c r="D9">
        <v>6</v>
      </c>
      <c r="E9" s="18">
        <v>45308</v>
      </c>
      <c r="F9">
        <v>6</v>
      </c>
      <c r="G9">
        <v>26.9</v>
      </c>
      <c r="H9">
        <f t="shared" si="0"/>
        <v>161.39999999999998</v>
      </c>
      <c r="K9" s="16"/>
      <c r="L9" s="16"/>
      <c r="M9" s="16"/>
      <c r="N9" s="16"/>
      <c r="O9" s="16"/>
      <c r="P9" s="16"/>
      <c r="Q9" s="16"/>
      <c r="R9" s="16"/>
    </row>
    <row r="10" spans="1:18" x14ac:dyDescent="0.3">
      <c r="A10" t="s">
        <v>68</v>
      </c>
      <c r="B10" t="s">
        <v>69</v>
      </c>
      <c r="C10" t="s">
        <v>70</v>
      </c>
      <c r="D10">
        <v>10</v>
      </c>
      <c r="E10" s="18">
        <v>45318</v>
      </c>
      <c r="F10">
        <v>10</v>
      </c>
      <c r="G10">
        <v>58.56</v>
      </c>
      <c r="H10">
        <f t="shared" si="0"/>
        <v>585.6</v>
      </c>
      <c r="K10" s="16"/>
      <c r="L10" s="16"/>
      <c r="M10" s="16"/>
      <c r="N10" s="16"/>
      <c r="O10" s="16"/>
      <c r="P10" s="16"/>
      <c r="Q10" s="16"/>
      <c r="R10" s="16"/>
    </row>
    <row r="11" spans="1:18" x14ac:dyDescent="0.3">
      <c r="A11" t="s">
        <v>85</v>
      </c>
      <c r="B11" t="s">
        <v>69</v>
      </c>
      <c r="C11" t="s">
        <v>84</v>
      </c>
      <c r="D11">
        <v>3</v>
      </c>
      <c r="E11" s="18">
        <v>45344</v>
      </c>
      <c r="F11">
        <v>3</v>
      </c>
      <c r="G11">
        <v>21.33</v>
      </c>
      <c r="H11">
        <f t="shared" si="0"/>
        <v>63.989999999999995</v>
      </c>
      <c r="K11" s="16"/>
      <c r="L11" s="16"/>
      <c r="M11" s="16"/>
      <c r="N11" s="16"/>
      <c r="O11" s="16"/>
      <c r="P11" s="16"/>
      <c r="Q11" s="16"/>
      <c r="R11" s="16"/>
    </row>
    <row r="12" spans="1:18" x14ac:dyDescent="0.3">
      <c r="A12" t="s">
        <v>80</v>
      </c>
      <c r="B12" t="s">
        <v>78</v>
      </c>
      <c r="C12" t="s">
        <v>81</v>
      </c>
      <c r="D12">
        <v>7</v>
      </c>
      <c r="E12" s="18">
        <v>45366</v>
      </c>
      <c r="F12">
        <v>7</v>
      </c>
      <c r="G12">
        <v>53.84</v>
      </c>
      <c r="H12">
        <f t="shared" si="0"/>
        <v>376.88</v>
      </c>
      <c r="K12" s="16"/>
      <c r="L12" s="16"/>
      <c r="M12" s="16"/>
      <c r="N12" s="16"/>
      <c r="O12" s="16"/>
      <c r="P12" s="16"/>
      <c r="Q12" s="16"/>
      <c r="R12" s="16"/>
    </row>
    <row r="13" spans="1:18" x14ac:dyDescent="0.3">
      <c r="A13" t="s">
        <v>68</v>
      </c>
      <c r="B13" t="s">
        <v>77</v>
      </c>
      <c r="C13" t="s">
        <v>73</v>
      </c>
      <c r="D13">
        <v>5</v>
      </c>
      <c r="E13" s="18">
        <v>45377</v>
      </c>
      <c r="F13">
        <v>5</v>
      </c>
      <c r="G13">
        <v>76.510000000000005</v>
      </c>
      <c r="H13">
        <f t="shared" si="0"/>
        <v>382.55</v>
      </c>
      <c r="K13" s="16"/>
      <c r="L13" s="16"/>
      <c r="M13" s="16"/>
      <c r="N13" s="16"/>
      <c r="O13" s="16"/>
      <c r="P13" s="16"/>
      <c r="Q13" s="16"/>
      <c r="R13" s="16"/>
    </row>
    <row r="14" spans="1:18" x14ac:dyDescent="0.3">
      <c r="A14" t="s">
        <v>68</v>
      </c>
      <c r="B14" t="s">
        <v>72</v>
      </c>
      <c r="C14" t="s">
        <v>73</v>
      </c>
      <c r="D14">
        <v>3</v>
      </c>
      <c r="E14" s="18">
        <v>45378</v>
      </c>
      <c r="F14">
        <v>3</v>
      </c>
      <c r="G14">
        <v>53.87</v>
      </c>
      <c r="H14">
        <f t="shared" si="0"/>
        <v>161.60999999999999</v>
      </c>
      <c r="K14" s="16"/>
      <c r="L14" s="16"/>
      <c r="M14" s="16"/>
      <c r="N14" s="16"/>
      <c r="O14" s="16"/>
      <c r="P14" s="16"/>
      <c r="Q14" s="16"/>
      <c r="R14" s="16"/>
    </row>
    <row r="15" spans="1:18" x14ac:dyDescent="0.3">
      <c r="A15" t="s">
        <v>80</v>
      </c>
      <c r="B15" t="s">
        <v>77</v>
      </c>
      <c r="C15" t="s">
        <v>81</v>
      </c>
      <c r="D15">
        <v>9</v>
      </c>
      <c r="E15" s="18">
        <v>45380</v>
      </c>
      <c r="F15">
        <v>9</v>
      </c>
      <c r="G15">
        <v>48.33</v>
      </c>
      <c r="H15">
        <f t="shared" si="0"/>
        <v>434.96999999999997</v>
      </c>
      <c r="K15" s="16"/>
      <c r="L15" s="16"/>
      <c r="M15" s="16"/>
      <c r="N15" s="16"/>
      <c r="O15" s="16"/>
      <c r="P15" s="16"/>
      <c r="Q15" s="16"/>
      <c r="R15" s="16"/>
    </row>
    <row r="16" spans="1:18" x14ac:dyDescent="0.3">
      <c r="A16" t="s">
        <v>68</v>
      </c>
      <c r="B16" t="s">
        <v>78</v>
      </c>
      <c r="C16" t="s">
        <v>75</v>
      </c>
      <c r="D16">
        <v>2</v>
      </c>
      <c r="E16" s="18">
        <v>45385</v>
      </c>
      <c r="F16">
        <v>2</v>
      </c>
      <c r="G16">
        <v>42.09</v>
      </c>
      <c r="H16">
        <f t="shared" si="0"/>
        <v>84.18</v>
      </c>
      <c r="K16" s="16"/>
      <c r="L16" s="16"/>
      <c r="M16" s="16"/>
      <c r="N16" s="16"/>
      <c r="O16" s="16"/>
      <c r="P16" s="16"/>
      <c r="Q16" s="16"/>
      <c r="R16" s="16"/>
    </row>
    <row r="17" spans="1:18" x14ac:dyDescent="0.3">
      <c r="A17" t="s">
        <v>87</v>
      </c>
      <c r="B17" t="s">
        <v>78</v>
      </c>
      <c r="C17" t="s">
        <v>75</v>
      </c>
      <c r="D17">
        <v>1</v>
      </c>
      <c r="E17" s="18">
        <v>45413</v>
      </c>
      <c r="F17">
        <v>1</v>
      </c>
      <c r="G17">
        <v>40.6</v>
      </c>
      <c r="H17">
        <f t="shared" si="0"/>
        <v>40.6</v>
      </c>
      <c r="K17" s="16"/>
      <c r="L17" s="16"/>
      <c r="M17" s="16"/>
      <c r="N17" s="16"/>
      <c r="O17" s="16"/>
      <c r="P17" s="16"/>
      <c r="Q17" s="16"/>
      <c r="R17" s="16"/>
    </row>
    <row r="18" spans="1:18" x14ac:dyDescent="0.3">
      <c r="A18" t="s">
        <v>87</v>
      </c>
      <c r="B18" t="s">
        <v>72</v>
      </c>
      <c r="C18" t="s">
        <v>83</v>
      </c>
      <c r="D18">
        <v>4</v>
      </c>
      <c r="E18" s="18">
        <v>45415</v>
      </c>
      <c r="F18">
        <v>4</v>
      </c>
      <c r="G18">
        <v>87.59</v>
      </c>
      <c r="H18">
        <f t="shared" si="0"/>
        <v>350.36</v>
      </c>
    </row>
    <row r="19" spans="1:18" x14ac:dyDescent="0.3">
      <c r="A19" t="s">
        <v>74</v>
      </c>
      <c r="B19" t="s">
        <v>69</v>
      </c>
      <c r="C19" t="s">
        <v>75</v>
      </c>
      <c r="D19">
        <v>8</v>
      </c>
      <c r="E19" s="18">
        <v>45420</v>
      </c>
      <c r="F19">
        <v>8</v>
      </c>
      <c r="G19">
        <v>26.63</v>
      </c>
      <c r="H19">
        <f t="shared" si="0"/>
        <v>213.04</v>
      </c>
    </row>
    <row r="20" spans="1:18" x14ac:dyDescent="0.3">
      <c r="A20" t="s">
        <v>82</v>
      </c>
      <c r="B20" t="s">
        <v>72</v>
      </c>
      <c r="C20" t="s">
        <v>73</v>
      </c>
      <c r="D20">
        <v>2</v>
      </c>
      <c r="E20" s="18">
        <v>45421</v>
      </c>
      <c r="F20">
        <v>2</v>
      </c>
      <c r="G20">
        <v>23.08</v>
      </c>
      <c r="H20">
        <f t="shared" si="0"/>
        <v>46.16</v>
      </c>
    </row>
    <row r="21" spans="1:18" x14ac:dyDescent="0.3">
      <c r="A21" t="s">
        <v>71</v>
      </c>
      <c r="B21" t="s">
        <v>72</v>
      </c>
      <c r="C21" t="s">
        <v>73</v>
      </c>
      <c r="D21">
        <v>3</v>
      </c>
      <c r="E21" s="18">
        <v>45423</v>
      </c>
      <c r="F21">
        <v>3</v>
      </c>
      <c r="G21">
        <v>61.41</v>
      </c>
      <c r="H21">
        <f t="shared" si="0"/>
        <v>184.23</v>
      </c>
      <c r="K21" s="26"/>
    </row>
    <row r="22" spans="1:18" x14ac:dyDescent="0.3">
      <c r="A22" t="s">
        <v>82</v>
      </c>
      <c r="B22" t="s">
        <v>77</v>
      </c>
      <c r="C22" t="s">
        <v>70</v>
      </c>
      <c r="D22">
        <v>9</v>
      </c>
      <c r="E22" s="18">
        <v>45423</v>
      </c>
      <c r="F22">
        <v>9</v>
      </c>
      <c r="G22">
        <v>56.3</v>
      </c>
      <c r="H22">
        <f t="shared" si="0"/>
        <v>506.7</v>
      </c>
      <c r="K22" s="26"/>
    </row>
    <row r="23" spans="1:18" x14ac:dyDescent="0.3">
      <c r="A23" t="s">
        <v>80</v>
      </c>
      <c r="B23" t="s">
        <v>72</v>
      </c>
      <c r="C23" t="s">
        <v>83</v>
      </c>
      <c r="D23">
        <v>6</v>
      </c>
      <c r="E23" s="18">
        <v>45425</v>
      </c>
      <c r="F23">
        <v>6</v>
      </c>
      <c r="G23">
        <v>55.73</v>
      </c>
      <c r="H23">
        <f t="shared" si="0"/>
        <v>334.38</v>
      </c>
      <c r="K23" s="26"/>
    </row>
    <row r="24" spans="1:18" x14ac:dyDescent="0.3">
      <c r="A24" t="s">
        <v>87</v>
      </c>
      <c r="B24" t="s">
        <v>77</v>
      </c>
      <c r="C24" t="s">
        <v>79</v>
      </c>
      <c r="D24">
        <v>7</v>
      </c>
      <c r="E24" s="18">
        <v>45429</v>
      </c>
      <c r="F24">
        <v>7</v>
      </c>
      <c r="G24">
        <v>65.459999999999994</v>
      </c>
      <c r="H24">
        <f t="shared" si="0"/>
        <v>458.21999999999997</v>
      </c>
      <c r="K24" s="26"/>
    </row>
    <row r="25" spans="1:18" x14ac:dyDescent="0.3">
      <c r="A25" t="s">
        <v>71</v>
      </c>
      <c r="B25" t="s">
        <v>69</v>
      </c>
      <c r="C25" t="s">
        <v>81</v>
      </c>
      <c r="D25">
        <v>10</v>
      </c>
      <c r="E25" s="18">
        <v>45442</v>
      </c>
      <c r="F25">
        <v>10</v>
      </c>
      <c r="G25">
        <v>20.99</v>
      </c>
      <c r="H25">
        <f t="shared" si="0"/>
        <v>209.89999999999998</v>
      </c>
      <c r="K25" s="26"/>
    </row>
    <row r="26" spans="1:18" x14ac:dyDescent="0.3">
      <c r="A26" t="s">
        <v>74</v>
      </c>
      <c r="B26" t="s">
        <v>72</v>
      </c>
      <c r="C26" t="s">
        <v>84</v>
      </c>
      <c r="D26">
        <v>1</v>
      </c>
      <c r="E26" s="18">
        <v>45450</v>
      </c>
      <c r="F26">
        <v>1</v>
      </c>
      <c r="G26">
        <v>43.46</v>
      </c>
      <c r="H26">
        <f t="shared" si="0"/>
        <v>43.46</v>
      </c>
      <c r="K26" s="26"/>
    </row>
    <row r="27" spans="1:18" x14ac:dyDescent="0.3">
      <c r="A27" t="s">
        <v>68</v>
      </c>
      <c r="B27" t="s">
        <v>77</v>
      </c>
      <c r="C27" t="s">
        <v>70</v>
      </c>
      <c r="D27">
        <v>10</v>
      </c>
      <c r="E27" s="18">
        <v>45457</v>
      </c>
      <c r="F27">
        <v>10</v>
      </c>
      <c r="G27">
        <v>59.49</v>
      </c>
      <c r="H27">
        <f t="shared" si="0"/>
        <v>594.9</v>
      </c>
      <c r="K27" s="26"/>
    </row>
    <row r="28" spans="1:18" x14ac:dyDescent="0.3">
      <c r="A28" t="s">
        <v>76</v>
      </c>
      <c r="B28" t="s">
        <v>77</v>
      </c>
      <c r="C28" t="s">
        <v>70</v>
      </c>
      <c r="D28">
        <v>10</v>
      </c>
      <c r="E28" s="18">
        <v>45465</v>
      </c>
      <c r="F28">
        <v>10</v>
      </c>
      <c r="G28">
        <v>64.53</v>
      </c>
      <c r="H28">
        <f t="shared" si="0"/>
        <v>645.29999999999995</v>
      </c>
      <c r="K28" s="26"/>
    </row>
    <row r="29" spans="1:18" x14ac:dyDescent="0.3">
      <c r="A29" t="s">
        <v>85</v>
      </c>
      <c r="B29" t="s">
        <v>69</v>
      </c>
      <c r="C29" t="s">
        <v>79</v>
      </c>
      <c r="D29">
        <v>9</v>
      </c>
      <c r="E29" s="18">
        <v>45466</v>
      </c>
      <c r="F29">
        <v>9</v>
      </c>
      <c r="G29">
        <v>23.5</v>
      </c>
      <c r="H29">
        <f t="shared" si="0"/>
        <v>211.5</v>
      </c>
    </row>
    <row r="34" spans="11:18" x14ac:dyDescent="0.3">
      <c r="K34" s="16"/>
      <c r="L34" s="16"/>
      <c r="M34" s="16"/>
      <c r="N34" s="16"/>
      <c r="O34" s="16"/>
      <c r="P34" s="16"/>
      <c r="Q34" s="16"/>
      <c r="R34" s="16"/>
    </row>
    <row r="35" spans="11:18" x14ac:dyDescent="0.3">
      <c r="K35" s="16"/>
      <c r="L35" s="16"/>
      <c r="M35" s="16"/>
      <c r="N35" s="16"/>
      <c r="O35" s="16"/>
      <c r="P35" s="16"/>
      <c r="Q35" s="16"/>
      <c r="R35" s="16"/>
    </row>
    <row r="36" spans="11:18" x14ac:dyDescent="0.3">
      <c r="K36" s="16"/>
      <c r="L36" s="16"/>
      <c r="M36" s="16"/>
      <c r="N36" s="16"/>
      <c r="O36" s="16"/>
      <c r="P36" s="16"/>
      <c r="Q36" s="16"/>
      <c r="R36" s="16"/>
    </row>
    <row r="37" spans="11:18" x14ac:dyDescent="0.3">
      <c r="K37" s="16"/>
      <c r="L37" s="16"/>
      <c r="M37" s="16"/>
      <c r="N37" s="16"/>
      <c r="O37" s="16"/>
      <c r="P37" s="16"/>
      <c r="Q37" s="16"/>
      <c r="R37" s="16"/>
    </row>
    <row r="38" spans="11:18" x14ac:dyDescent="0.3">
      <c r="K38" s="16"/>
      <c r="L38" s="16"/>
      <c r="M38" s="16"/>
      <c r="N38" s="16"/>
      <c r="O38" s="16"/>
      <c r="P38" s="16"/>
      <c r="Q38" s="16"/>
      <c r="R38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BD0E-1FAD-4953-834B-7D6FEC4ACE7C}">
  <dimension ref="A2:N15"/>
  <sheetViews>
    <sheetView zoomScale="110" zoomScaleNormal="110" workbookViewId="0"/>
  </sheetViews>
  <sheetFormatPr baseColWidth="10" defaultRowHeight="14.4" x14ac:dyDescent="0.3"/>
  <cols>
    <col min="1" max="1" width="11.44140625" bestFit="1" customWidth="1"/>
    <col min="4" max="4" width="12.5546875" customWidth="1"/>
    <col min="6" max="6" width="23.5546875" customWidth="1"/>
    <col min="9" max="9" width="12.5546875" customWidth="1"/>
    <col min="11" max="11" width="20.109375" bestFit="1" customWidth="1"/>
    <col min="14" max="14" width="12.5546875" customWidth="1"/>
  </cols>
  <sheetData>
    <row r="2" spans="1:14" ht="23.4" x14ac:dyDescent="0.45">
      <c r="B2" s="24" t="s">
        <v>120</v>
      </c>
    </row>
    <row r="4" spans="1:14" x14ac:dyDescent="0.3">
      <c r="A4" s="6" t="s">
        <v>14</v>
      </c>
      <c r="B4" s="6" t="s">
        <v>52</v>
      </c>
      <c r="C4" s="6" t="s">
        <v>28</v>
      </c>
      <c r="D4" s="6" t="s">
        <v>107</v>
      </c>
      <c r="F4" s="6" t="s">
        <v>14</v>
      </c>
      <c r="G4" s="6" t="s">
        <v>52</v>
      </c>
      <c r="H4" s="6" t="s">
        <v>28</v>
      </c>
      <c r="I4" s="6" t="s">
        <v>107</v>
      </c>
      <c r="K4" s="6" t="s">
        <v>14</v>
      </c>
      <c r="L4" s="6" t="s">
        <v>52</v>
      </c>
      <c r="M4" s="6" t="s">
        <v>28</v>
      </c>
      <c r="N4" s="6" t="s">
        <v>107</v>
      </c>
    </row>
    <row r="5" spans="1:14" x14ac:dyDescent="0.3">
      <c r="A5" s="7" t="s">
        <v>108</v>
      </c>
      <c r="B5" s="7">
        <v>10</v>
      </c>
      <c r="C5" s="7">
        <v>500</v>
      </c>
      <c r="D5" s="7">
        <v>5000</v>
      </c>
      <c r="F5" s="7" t="s">
        <v>109</v>
      </c>
      <c r="G5" s="7">
        <v>6</v>
      </c>
      <c r="H5" s="7">
        <v>700</v>
      </c>
      <c r="I5" s="7">
        <v>4200</v>
      </c>
      <c r="K5" s="7" t="s">
        <v>110</v>
      </c>
      <c r="L5" s="7">
        <v>9</v>
      </c>
      <c r="M5" s="7">
        <v>300</v>
      </c>
      <c r="N5" s="7">
        <v>2700</v>
      </c>
    </row>
    <row r="6" spans="1:14" x14ac:dyDescent="0.3">
      <c r="A6" s="7" t="s">
        <v>109</v>
      </c>
      <c r="B6" s="7">
        <v>7</v>
      </c>
      <c r="C6" s="7">
        <v>700</v>
      </c>
      <c r="D6" s="7">
        <v>4900</v>
      </c>
      <c r="F6" s="7" t="s">
        <v>110</v>
      </c>
      <c r="G6" s="7">
        <v>10</v>
      </c>
      <c r="H6" s="7">
        <v>300</v>
      </c>
      <c r="I6" s="7">
        <v>3000</v>
      </c>
      <c r="K6" s="7" t="s">
        <v>118</v>
      </c>
      <c r="L6" s="7">
        <v>7</v>
      </c>
      <c r="M6" s="7">
        <v>400</v>
      </c>
      <c r="N6" s="7">
        <v>2800</v>
      </c>
    </row>
    <row r="7" spans="1:14" x14ac:dyDescent="0.3">
      <c r="A7" s="7" t="s">
        <v>110</v>
      </c>
      <c r="B7" s="7">
        <v>8</v>
      </c>
      <c r="C7" s="7">
        <v>300</v>
      </c>
      <c r="D7" s="7">
        <v>2400</v>
      </c>
      <c r="F7" s="7" t="s">
        <v>108</v>
      </c>
      <c r="G7" s="7">
        <v>4</v>
      </c>
      <c r="H7" s="7">
        <v>500</v>
      </c>
      <c r="I7" s="7">
        <v>2000</v>
      </c>
      <c r="K7" s="7" t="s">
        <v>108</v>
      </c>
      <c r="L7" s="7">
        <v>3</v>
      </c>
      <c r="M7" s="7">
        <v>500</v>
      </c>
      <c r="N7" s="7">
        <v>1500</v>
      </c>
    </row>
    <row r="8" spans="1:14" x14ac:dyDescent="0.3">
      <c r="A8" s="7" t="s">
        <v>111</v>
      </c>
      <c r="B8" s="7">
        <v>5</v>
      </c>
      <c r="C8" s="7">
        <v>200</v>
      </c>
      <c r="D8" s="7">
        <v>1000</v>
      </c>
      <c r="F8" s="7" t="s">
        <v>118</v>
      </c>
      <c r="G8" s="7">
        <v>8</v>
      </c>
      <c r="H8" s="7">
        <v>400</v>
      </c>
      <c r="I8" s="7">
        <v>3200</v>
      </c>
      <c r="K8" s="7" t="s">
        <v>109</v>
      </c>
      <c r="L8" s="7">
        <v>5</v>
      </c>
      <c r="M8" s="7">
        <v>700</v>
      </c>
      <c r="N8" s="7">
        <v>3500</v>
      </c>
    </row>
    <row r="9" spans="1:14" x14ac:dyDescent="0.3">
      <c r="A9" s="7" t="s">
        <v>112</v>
      </c>
      <c r="B9" s="7">
        <v>12</v>
      </c>
      <c r="C9" s="7">
        <v>50</v>
      </c>
      <c r="D9" s="7">
        <v>600</v>
      </c>
      <c r="F9" s="7" t="s">
        <v>119</v>
      </c>
      <c r="G9" s="7">
        <v>5</v>
      </c>
      <c r="H9" s="7">
        <v>100</v>
      </c>
      <c r="I9" s="7">
        <v>500</v>
      </c>
      <c r="K9" s="7" t="s">
        <v>116</v>
      </c>
      <c r="L9" s="7">
        <v>4</v>
      </c>
      <c r="M9" s="7">
        <v>180</v>
      </c>
      <c r="N9" s="7">
        <v>720</v>
      </c>
    </row>
    <row r="10" spans="1:14" x14ac:dyDescent="0.3">
      <c r="A10" s="7" t="s">
        <v>113</v>
      </c>
      <c r="B10" s="7">
        <v>9</v>
      </c>
      <c r="C10" s="7">
        <v>40</v>
      </c>
      <c r="D10" s="7">
        <v>360</v>
      </c>
      <c r="F10" s="7" t="s">
        <v>111</v>
      </c>
      <c r="G10" s="7">
        <v>7</v>
      </c>
      <c r="H10" s="7">
        <v>200</v>
      </c>
      <c r="I10" s="7">
        <v>1400</v>
      </c>
      <c r="K10" s="7" t="s">
        <v>112</v>
      </c>
      <c r="L10" s="7">
        <v>12</v>
      </c>
      <c r="M10" s="7">
        <v>50</v>
      </c>
      <c r="N10" s="7">
        <v>600</v>
      </c>
    </row>
    <row r="11" spans="1:14" x14ac:dyDescent="0.3">
      <c r="A11" s="7" t="s">
        <v>114</v>
      </c>
      <c r="B11" s="7">
        <v>15</v>
      </c>
      <c r="C11" s="7">
        <v>25</v>
      </c>
      <c r="D11" s="7">
        <v>375</v>
      </c>
      <c r="F11" s="7" t="s">
        <v>111</v>
      </c>
      <c r="G11" s="7">
        <v>1000</v>
      </c>
      <c r="H11" s="7">
        <v>200</v>
      </c>
      <c r="I11" s="7">
        <f>Periodo2[[#This Row],[Cantidad]]*Periodo2[[#This Row],[Precio]]</f>
        <v>200000</v>
      </c>
      <c r="K11" s="7" t="s">
        <v>117</v>
      </c>
      <c r="L11" s="7">
        <v>10</v>
      </c>
      <c r="M11" s="7">
        <v>120</v>
      </c>
      <c r="N11" s="7">
        <v>1200</v>
      </c>
    </row>
    <row r="12" spans="1:14" x14ac:dyDescent="0.3">
      <c r="A12" s="7" t="s">
        <v>115</v>
      </c>
      <c r="B12" s="7">
        <v>3</v>
      </c>
      <c r="C12" s="7">
        <v>150</v>
      </c>
      <c r="D12" s="7">
        <v>450</v>
      </c>
      <c r="F12" s="7" t="s">
        <v>111</v>
      </c>
      <c r="G12" s="7">
        <v>2000</v>
      </c>
      <c r="H12" s="7">
        <v>200</v>
      </c>
      <c r="I12" s="7">
        <f>Periodo2[[#This Row],[Cantidad]]*Periodo2[[#This Row],[Precio]]</f>
        <v>400000</v>
      </c>
      <c r="K12" s="7" t="s">
        <v>115</v>
      </c>
      <c r="L12" s="7">
        <v>6</v>
      </c>
      <c r="M12" s="7">
        <v>150</v>
      </c>
      <c r="N12" s="7">
        <v>900</v>
      </c>
    </row>
    <row r="13" spans="1:14" x14ac:dyDescent="0.3">
      <c r="A13" s="7" t="s">
        <v>116</v>
      </c>
      <c r="B13" s="7">
        <v>6</v>
      </c>
      <c r="C13" s="7">
        <v>180</v>
      </c>
      <c r="D13" s="7">
        <v>1080</v>
      </c>
      <c r="F13" s="7"/>
      <c r="G13" s="7"/>
      <c r="H13" s="7"/>
      <c r="I13" s="7"/>
      <c r="K13" s="7"/>
      <c r="L13" s="7"/>
      <c r="M13" s="7"/>
      <c r="N13" s="7"/>
    </row>
    <row r="14" spans="1:14" x14ac:dyDescent="0.3">
      <c r="A14" s="7" t="s">
        <v>117</v>
      </c>
      <c r="B14" s="7">
        <v>4</v>
      </c>
      <c r="C14" s="7">
        <v>120</v>
      </c>
      <c r="D14" s="7">
        <v>480</v>
      </c>
      <c r="F14" s="7"/>
      <c r="G14" s="7"/>
      <c r="H14" s="7"/>
      <c r="I14" s="7"/>
      <c r="K14" s="7"/>
      <c r="L14" s="7"/>
      <c r="M14" s="7"/>
      <c r="N14" s="7"/>
    </row>
    <row r="15" spans="1:14" x14ac:dyDescent="0.3">
      <c r="A15" s="7" t="s">
        <v>122</v>
      </c>
      <c r="B15" s="7">
        <v>100</v>
      </c>
      <c r="C15" s="7">
        <v>500000</v>
      </c>
      <c r="D15" s="7">
        <f>Periodo1[[#This Row],[Cantidad]]*Periodo1[[#This Row],[Precio]]</f>
        <v>50000000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4A088-B584-4E1A-90C5-C9E8E5B007B7}">
  <dimension ref="A2:N17"/>
  <sheetViews>
    <sheetView zoomScale="112" zoomScaleNormal="112" workbookViewId="0"/>
  </sheetViews>
  <sheetFormatPr baseColWidth="10" defaultRowHeight="14.4" x14ac:dyDescent="0.3"/>
  <cols>
    <col min="1" max="1" width="4.21875" customWidth="1"/>
    <col min="2" max="2" width="9.77734375" customWidth="1"/>
    <col min="3" max="3" width="14.44140625" customWidth="1"/>
    <col min="4" max="4" width="11.109375" bestFit="1" customWidth="1"/>
    <col min="5" max="5" width="4.21875" customWidth="1"/>
    <col min="6" max="6" width="9.77734375" customWidth="1"/>
    <col min="7" max="7" width="13.77734375" customWidth="1"/>
    <col min="8" max="8" width="13.33203125" bestFit="1" customWidth="1"/>
    <col min="11" max="11" width="20.109375" bestFit="1" customWidth="1"/>
    <col min="13" max="13" width="13.33203125" bestFit="1" customWidth="1"/>
  </cols>
  <sheetData>
    <row r="2" spans="1:14" ht="23.4" x14ac:dyDescent="0.45">
      <c r="B2" s="24" t="s">
        <v>121</v>
      </c>
    </row>
    <row r="4" spans="1:14" x14ac:dyDescent="0.3">
      <c r="A4" s="7" t="s">
        <v>132</v>
      </c>
      <c r="B4" s="7" t="s">
        <v>14</v>
      </c>
      <c r="C4" s="7" t="s">
        <v>126</v>
      </c>
      <c r="D4" s="6"/>
      <c r="E4" s="7" t="s">
        <v>132</v>
      </c>
      <c r="F4" s="7" t="s">
        <v>14</v>
      </c>
      <c r="G4" s="7" t="s">
        <v>133</v>
      </c>
      <c r="H4" s="6"/>
      <c r="I4" s="6"/>
      <c r="K4" s="6"/>
      <c r="L4" s="6"/>
      <c r="M4" s="6"/>
      <c r="N4" s="6"/>
    </row>
    <row r="5" spans="1:14" x14ac:dyDescent="0.3">
      <c r="A5" s="7">
        <v>1</v>
      </c>
      <c r="B5" s="7" t="s">
        <v>127</v>
      </c>
      <c r="C5" s="7">
        <v>5000</v>
      </c>
      <c r="D5" s="7"/>
      <c r="E5" s="7">
        <v>1</v>
      </c>
      <c r="F5" s="7" t="s">
        <v>127</v>
      </c>
      <c r="G5" s="7">
        <v>6000</v>
      </c>
      <c r="H5" s="7"/>
      <c r="I5" s="7"/>
      <c r="K5" s="7"/>
      <c r="L5" s="7"/>
      <c r="M5" s="7"/>
      <c r="N5" s="7"/>
    </row>
    <row r="6" spans="1:14" x14ac:dyDescent="0.3">
      <c r="A6" s="7">
        <v>2</v>
      </c>
      <c r="B6" s="7" t="s">
        <v>128</v>
      </c>
      <c r="C6" s="7">
        <v>3500</v>
      </c>
      <c r="D6" s="7"/>
      <c r="E6" s="7">
        <v>2</v>
      </c>
      <c r="F6" s="7" t="s">
        <v>128</v>
      </c>
      <c r="G6" s="7">
        <v>4000</v>
      </c>
      <c r="H6" s="7"/>
      <c r="I6" s="7"/>
      <c r="K6" s="7"/>
      <c r="L6" s="7"/>
      <c r="M6" s="7"/>
      <c r="N6" s="7"/>
    </row>
    <row r="7" spans="1:14" x14ac:dyDescent="0.3">
      <c r="A7" s="7">
        <v>3</v>
      </c>
      <c r="B7" s="7" t="s">
        <v>129</v>
      </c>
      <c r="C7" s="7">
        <v>4200</v>
      </c>
      <c r="D7" s="7"/>
      <c r="E7" s="7">
        <v>3</v>
      </c>
      <c r="F7" s="7" t="s">
        <v>129</v>
      </c>
      <c r="G7" s="7">
        <v>4800</v>
      </c>
      <c r="H7" s="7"/>
      <c r="I7" s="7"/>
      <c r="K7" s="7"/>
      <c r="L7" s="7"/>
      <c r="M7" s="7"/>
      <c r="N7" s="7"/>
    </row>
    <row r="8" spans="1:14" x14ac:dyDescent="0.3">
      <c r="A8" s="7">
        <v>4</v>
      </c>
      <c r="B8" s="7" t="s">
        <v>130</v>
      </c>
      <c r="C8" s="7">
        <v>2800</v>
      </c>
      <c r="D8" s="7"/>
      <c r="E8" s="7">
        <v>4</v>
      </c>
      <c r="F8" s="7" t="s">
        <v>130</v>
      </c>
      <c r="G8" s="7">
        <v>3200</v>
      </c>
      <c r="H8" s="7"/>
      <c r="I8" s="7"/>
      <c r="K8" s="7"/>
      <c r="L8" s="7"/>
      <c r="M8" s="7"/>
      <c r="N8" s="7"/>
    </row>
    <row r="9" spans="1:14" x14ac:dyDescent="0.3">
      <c r="A9" s="7">
        <v>5</v>
      </c>
      <c r="B9" s="7" t="s">
        <v>131</v>
      </c>
      <c r="C9" s="7">
        <v>3000</v>
      </c>
      <c r="D9" s="7"/>
      <c r="E9" s="7">
        <v>5</v>
      </c>
      <c r="F9" s="7" t="s">
        <v>131</v>
      </c>
      <c r="G9" s="7">
        <v>3500</v>
      </c>
      <c r="H9" s="7"/>
      <c r="I9" s="7"/>
      <c r="K9" s="7"/>
      <c r="L9" s="7"/>
      <c r="M9" s="7"/>
      <c r="N9" s="7"/>
    </row>
    <row r="10" spans="1:14" x14ac:dyDescent="0.3">
      <c r="A10" s="7">
        <v>6</v>
      </c>
      <c r="B10" s="7" t="s">
        <v>134</v>
      </c>
      <c r="C10" s="7">
        <v>4800</v>
      </c>
      <c r="D10" s="7"/>
      <c r="E10" s="7">
        <v>6</v>
      </c>
      <c r="F10" s="7" t="s">
        <v>134</v>
      </c>
      <c r="G10" s="7">
        <v>8000</v>
      </c>
      <c r="H10" s="7"/>
      <c r="I10" s="7"/>
      <c r="K10" s="7"/>
      <c r="L10" s="7"/>
      <c r="M10" s="7"/>
      <c r="N10" s="7"/>
    </row>
    <row r="11" spans="1:14" x14ac:dyDescent="0.3">
      <c r="A11" s="7">
        <v>7</v>
      </c>
      <c r="B11" s="7" t="s">
        <v>135</v>
      </c>
      <c r="C11" s="7">
        <v>3600</v>
      </c>
      <c r="D11" s="7"/>
      <c r="E11" s="7">
        <v>7</v>
      </c>
      <c r="F11" s="7" t="s">
        <v>135</v>
      </c>
      <c r="G11" s="7">
        <v>250</v>
      </c>
      <c r="H11" s="7"/>
      <c r="I11" s="7"/>
      <c r="K11" s="7"/>
      <c r="L11" s="7"/>
      <c r="M11" s="7"/>
      <c r="N11" s="7"/>
    </row>
    <row r="12" spans="1:14" x14ac:dyDescent="0.3">
      <c r="A12" s="7">
        <v>8</v>
      </c>
      <c r="B12" s="7" t="s">
        <v>136</v>
      </c>
      <c r="C12" s="7">
        <v>4700</v>
      </c>
      <c r="D12" s="7"/>
      <c r="E12" s="7">
        <v>8</v>
      </c>
      <c r="F12" s="7" t="s">
        <v>136</v>
      </c>
      <c r="G12" s="7">
        <v>6000</v>
      </c>
      <c r="H12" s="7"/>
      <c r="I12" s="7"/>
      <c r="K12" s="7"/>
      <c r="L12" s="7"/>
      <c r="M12" s="7"/>
      <c r="N12" s="7"/>
    </row>
    <row r="13" spans="1:14" x14ac:dyDescent="0.3">
      <c r="A13" s="7">
        <v>9</v>
      </c>
      <c r="B13" s="7" t="s">
        <v>137</v>
      </c>
      <c r="C13" s="7"/>
      <c r="D13" s="7"/>
      <c r="E13" s="7">
        <v>9</v>
      </c>
      <c r="F13" s="7" t="s">
        <v>137</v>
      </c>
      <c r="G13" s="7">
        <v>10000</v>
      </c>
      <c r="H13" s="7"/>
      <c r="I13" s="7"/>
      <c r="N13" s="7"/>
    </row>
    <row r="14" spans="1:14" x14ac:dyDescent="0.3">
      <c r="A14" s="7"/>
      <c r="B14" s="7"/>
      <c r="C14" s="7"/>
      <c r="D14" s="7"/>
      <c r="F14" s="7"/>
      <c r="G14" s="7"/>
      <c r="H14" s="7"/>
      <c r="I14" s="7"/>
      <c r="N14" s="7"/>
    </row>
    <row r="16" spans="1:14" x14ac:dyDescent="0.3">
      <c r="B16" s="7"/>
      <c r="C16" s="7"/>
      <c r="D16" s="7"/>
    </row>
    <row r="17" spans="2:4" x14ac:dyDescent="0.3">
      <c r="B17" s="7"/>
      <c r="C17" s="7"/>
      <c r="D17" s="7"/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942A-03A4-4C26-BEBC-A565B14B6454}">
  <dimension ref="B2:S16"/>
  <sheetViews>
    <sheetView zoomScale="120" zoomScaleNormal="120" workbookViewId="0"/>
  </sheetViews>
  <sheetFormatPr baseColWidth="10" defaultRowHeight="14.4" x14ac:dyDescent="0.3"/>
  <cols>
    <col min="3" max="5" width="12.109375" bestFit="1" customWidth="1"/>
    <col min="7" max="7" width="10.109375" bestFit="1" customWidth="1"/>
    <col min="8" max="19" width="12.21875" bestFit="1" customWidth="1"/>
  </cols>
  <sheetData>
    <row r="2" spans="2:19" ht="23.4" x14ac:dyDescent="0.45">
      <c r="B2" s="24" t="s">
        <v>106</v>
      </c>
    </row>
    <row r="4" spans="2:19" x14ac:dyDescent="0.3">
      <c r="B4" t="s">
        <v>90</v>
      </c>
      <c r="C4" t="s">
        <v>103</v>
      </c>
      <c r="D4" t="s">
        <v>104</v>
      </c>
      <c r="E4" t="s">
        <v>105</v>
      </c>
    </row>
    <row r="5" spans="2:19" x14ac:dyDescent="0.3">
      <c r="B5" t="s">
        <v>91</v>
      </c>
      <c r="C5" s="9">
        <v>15000</v>
      </c>
      <c r="D5" s="9">
        <v>17347.777773338043</v>
      </c>
      <c r="E5" s="9">
        <v>3254.7547242796063</v>
      </c>
    </row>
    <row r="6" spans="2:19" x14ac:dyDescent="0.3">
      <c r="B6" t="s">
        <v>92</v>
      </c>
      <c r="C6" s="9">
        <v>40188.218609108902</v>
      </c>
      <c r="D6" s="9">
        <v>4254.1381945055764</v>
      </c>
      <c r="E6" s="9">
        <v>22565.531660147171</v>
      </c>
    </row>
    <row r="7" spans="2:19" x14ac:dyDescent="0.3">
      <c r="B7" t="s">
        <v>93</v>
      </c>
      <c r="C7" s="9">
        <v>4911.3706160928632</v>
      </c>
      <c r="D7" s="9">
        <v>1969.3386794374892</v>
      </c>
      <c r="E7" s="9">
        <v>13487.335130435116</v>
      </c>
    </row>
    <row r="8" spans="2:19" x14ac:dyDescent="0.3">
      <c r="B8" t="s">
        <v>94</v>
      </c>
      <c r="C8" s="9">
        <v>29423.701771965803</v>
      </c>
      <c r="D8" s="9">
        <v>27072.113677123896</v>
      </c>
      <c r="E8" s="9">
        <v>9464.5400918942833</v>
      </c>
    </row>
    <row r="9" spans="2:19" x14ac:dyDescent="0.3">
      <c r="B9" t="s">
        <v>95</v>
      </c>
      <c r="C9" s="9">
        <v>12263.104482015384</v>
      </c>
      <c r="D9" s="9">
        <v>26813.743170481706</v>
      </c>
      <c r="E9" s="9">
        <v>1449.1574457691677</v>
      </c>
    </row>
    <row r="10" spans="2:19" x14ac:dyDescent="0.3">
      <c r="B10" t="s">
        <v>96</v>
      </c>
      <c r="C10" s="9">
        <v>48394.47630826581</v>
      </c>
      <c r="D10" s="9">
        <v>16430.814122009586</v>
      </c>
      <c r="E10" s="9">
        <v>31217.415652494623</v>
      </c>
    </row>
    <row r="11" spans="2:19" x14ac:dyDescent="0.3">
      <c r="B11" t="s">
        <v>97</v>
      </c>
      <c r="C11" s="9">
        <v>9101.5346474692487</v>
      </c>
      <c r="D11" s="9">
        <v>29323.758474069262</v>
      </c>
      <c r="E11" s="9">
        <v>15751.64581544057</v>
      </c>
    </row>
    <row r="12" spans="2:19" x14ac:dyDescent="0.3">
      <c r="B12" t="s">
        <v>98</v>
      </c>
      <c r="C12" s="9">
        <v>16439.206202703092</v>
      </c>
      <c r="D12" s="9">
        <v>44488.695344360021</v>
      </c>
      <c r="E12" s="9">
        <v>40399.731906627203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</row>
    <row r="13" spans="2:19" x14ac:dyDescent="0.3">
      <c r="B13" t="s">
        <v>99</v>
      </c>
      <c r="C13" s="9">
        <v>47481.795415914501</v>
      </c>
      <c r="D13" s="9">
        <v>25737.52103439506</v>
      </c>
      <c r="E13" s="9">
        <v>21497.568552696626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</row>
    <row r="14" spans="2:19" x14ac:dyDescent="0.3">
      <c r="B14" t="s">
        <v>100</v>
      </c>
      <c r="C14" s="9">
        <v>33329.539869217486</v>
      </c>
      <c r="D14" s="9">
        <v>7075.4772302189958</v>
      </c>
      <c r="E14" s="9">
        <v>7732.6597635734142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</row>
    <row r="15" spans="2:19" x14ac:dyDescent="0.3">
      <c r="B15" t="s">
        <v>101</v>
      </c>
      <c r="C15" s="9">
        <v>27455.886259313695</v>
      </c>
      <c r="D15" s="9">
        <v>20762.732321215248</v>
      </c>
      <c r="E15" s="9">
        <v>38520.166275686446</v>
      </c>
    </row>
    <row r="16" spans="2:19" x14ac:dyDescent="0.3">
      <c r="B16" t="s">
        <v>102</v>
      </c>
      <c r="C16" s="9">
        <v>965.43022761974134</v>
      </c>
      <c r="D16" s="9">
        <v>36367.324826534707</v>
      </c>
      <c r="E16" s="9">
        <v>25451.921913634316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Introduccion</vt:lpstr>
      <vt:lpstr>BUSCARV</vt:lpstr>
      <vt:lpstr>BUSCARH</vt:lpstr>
      <vt:lpstr>BUSCARX</vt:lpstr>
      <vt:lpstr>COINCIDIR</vt:lpstr>
      <vt:lpstr>INDICE</vt:lpstr>
      <vt:lpstr>AGRUPARPOR</vt:lpstr>
      <vt:lpstr>PIVOTARPOR</vt:lpstr>
      <vt:lpstr>APILARV</vt:lpstr>
      <vt:lpstr>APILARH</vt:lpstr>
      <vt:lpstr>TRANSPONER</vt:lpstr>
      <vt:lpstr>Empleados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Mike Ramirez</cp:lastModifiedBy>
  <dcterms:created xsi:type="dcterms:W3CDTF">2024-09-14T19:04:50Z</dcterms:created>
  <dcterms:modified xsi:type="dcterms:W3CDTF">2024-09-24T19:40:25Z</dcterms:modified>
</cp:coreProperties>
</file>