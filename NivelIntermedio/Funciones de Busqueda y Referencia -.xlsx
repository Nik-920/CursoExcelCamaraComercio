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C:\Users\Miguel\Downloads\"/>
    </mc:Choice>
  </mc:AlternateContent>
  <xr:revisionPtr revIDLastSave="0" documentId="8_{7661634B-DA96-4335-BEAC-01C4EC13FD04}" xr6:coauthVersionLast="47" xr6:coauthVersionMax="47" xr10:uidLastSave="{00000000-0000-0000-0000-000000000000}"/>
  <bookViews>
    <workbookView xWindow="-108" yWindow="-108" windowWidth="23256" windowHeight="12456" firstSheet="6" activeTab="10" xr2:uid="{03E1FA2E-282D-481E-B826-58CB0DAC00DE}"/>
  </bookViews>
  <sheets>
    <sheet name="Introduccion" sheetId="1" r:id="rId1"/>
    <sheet name="BUSCARV" sheetId="2" r:id="rId2"/>
    <sheet name="BUSCARH" sheetId="3" r:id="rId3"/>
    <sheet name="BUSCARX" sheetId="4" r:id="rId4"/>
    <sheet name="COINCIDIR" sheetId="5" r:id="rId5"/>
    <sheet name="INDICE" sheetId="6" r:id="rId6"/>
    <sheet name="AGRUPARPOR" sheetId="7" r:id="rId7"/>
    <sheet name="PIVOTARPOR" sheetId="12" r:id="rId8"/>
    <sheet name="APILARV" sheetId="9" r:id="rId9"/>
    <sheet name="APILARH" sheetId="10" r:id="rId10"/>
    <sheet name="TRANSPONER" sheetId="11" r:id="rId11"/>
  </sheets>
  <definedNames>
    <definedName name="_xlnm._FilterDatabase" localSheetId="6" hidden="1">AGRUPARPOR!$A$4:$F$29</definedName>
    <definedName name="_xlnm._FilterDatabase" localSheetId="7" hidden="1">PIVOTARPOR!$A$4:$F$29</definedName>
    <definedName name="Empleados">BUSCARV!$H$28:$I$37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1" l="1" a="1"/>
  <c r="G4" i="11"/>
  <c r="I5" i="10" a="1"/>
  <c r="I5" i="10"/>
  <c r="F17" i="9" a="1"/>
  <c r="F17" i="9"/>
  <c r="J5" i="12" a="1"/>
  <c r="J5" i="12"/>
  <c r="J5" i="7" a="1"/>
  <c r="J5" i="7"/>
  <c r="F30" i="7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5" i="6"/>
  <c r="A4" i="5" a="1"/>
  <c r="A4" i="5"/>
  <c r="D4" i="5"/>
  <c r="E11" i="5"/>
  <c r="F11" i="5"/>
  <c r="G11" i="5"/>
  <c r="H11" i="5"/>
  <c r="I11" i="5"/>
  <c r="J11" i="5"/>
  <c r="K11" i="5"/>
  <c r="L11" i="5"/>
  <c r="M11" i="5"/>
  <c r="D11" i="5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6" i="4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28" i="2"/>
  <c r="M52" i="2"/>
  <c r="D53" i="2"/>
  <c r="D54" i="2"/>
  <c r="D52" i="2"/>
  <c r="C53" i="2"/>
  <c r="C54" i="2"/>
  <c r="C52" i="2"/>
  <c r="D6" i="3"/>
  <c r="D5" i="3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27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10" i="5" a="1"/>
  <c r="D10" i="5" s="1"/>
  <c r="I12" i="9"/>
  <c r="I11" i="9"/>
  <c r="D15" i="9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5" i="7"/>
  <c r="R24" i="2"/>
  <c r="M53" i="2"/>
  <c r="B53" i="2"/>
  <c r="B54" i="2"/>
  <c r="B5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<sst xmlns="http://schemas.openxmlformats.org/spreadsheetml/2006/main" count="513" uniqueCount="139">
  <si>
    <t>FUNCIONES DE BUSQUEDA Y REFERENCIA</t>
  </si>
  <si>
    <r>
      <t>Las funciones de</t>
    </r>
    <r>
      <rPr>
        <b/>
        <sz val="11"/>
        <color theme="1"/>
        <rFont val="Aptos Narrow"/>
        <family val="2"/>
      </rPr>
      <t xml:space="preserve"> búsqueda y referencia</t>
    </r>
    <r>
      <rPr>
        <sz val="11"/>
        <color theme="1"/>
        <rFont val="Aptos Narrow"/>
        <family val="2"/>
        <scheme val="minor"/>
      </rPr>
      <t xml:space="preserve"> en Microsoft Excel, como BUSCARV y BUSCARH, son herramientas que te</t>
    </r>
    <r>
      <rPr>
        <b/>
        <i/>
        <u/>
        <sz val="11"/>
        <color theme="9" tint="-0.499984740745262"/>
        <rFont val="Aptos Narrow"/>
        <family val="2"/>
        <scheme val="minor"/>
      </rPr>
      <t xml:space="preserve"> permiten encontrar datos específicos en tus hojas de cálculo</t>
    </r>
    <r>
      <rPr>
        <sz val="11"/>
        <color theme="1"/>
        <rFont val="Aptos Narrow"/>
        <family val="2"/>
        <scheme val="minor"/>
      </rPr>
      <t xml:space="preserve">. Por ejemplo, si tienes una tabla con nombres y notas de estudiantes, puedes usar BUSCARV para encontrar rápidamente la nota de un alumno en particular. Estas funciones te ayudan a manejar y analizar tus datos de manera más fácil y eficiente, sin tener que buscarlos manualmente.
</t>
    </r>
  </si>
  <si>
    <t>=BUSCARV(valor_buscado;matriz_tabla;indicador_columnas;rango)</t>
  </si>
  <si>
    <t>Texto</t>
  </si>
  <si>
    <t>valor_buscado</t>
  </si>
  <si>
    <t>Numero</t>
  </si>
  <si>
    <t>Fecha</t>
  </si>
  <si>
    <t>Rango Celdas</t>
  </si>
  <si>
    <t>matriz_tabla</t>
  </si>
  <si>
    <t>Tabla</t>
  </si>
  <si>
    <t>indicador_columnas</t>
  </si>
  <si>
    <t>Valor Numerico</t>
  </si>
  <si>
    <t>aproximada</t>
  </si>
  <si>
    <t>rango</t>
  </si>
  <si>
    <t>exacta</t>
  </si>
  <si>
    <t>BUSQUEDA TEXTO</t>
  </si>
  <si>
    <t>ID Venta</t>
  </si>
  <si>
    <t>Producto</t>
  </si>
  <si>
    <t>Cantidad</t>
  </si>
  <si>
    <t>Precio</t>
  </si>
  <si>
    <t>Precio Tabla</t>
  </si>
  <si>
    <t>Espresso</t>
  </si>
  <si>
    <t>Mediano</t>
  </si>
  <si>
    <t>Grande</t>
  </si>
  <si>
    <t>Jumbo</t>
  </si>
  <si>
    <t>Tamaño</t>
  </si>
  <si>
    <t>Cappuccino</t>
  </si>
  <si>
    <t>Latte</t>
  </si>
  <si>
    <t>Americano</t>
  </si>
  <si>
    <t>Mocha</t>
  </si>
  <si>
    <t>Macchiato</t>
  </si>
  <si>
    <t>Flat White</t>
  </si>
  <si>
    <t>Frappuccino</t>
  </si>
  <si>
    <t>Cortado</t>
  </si>
  <si>
    <t>Café con Leche</t>
  </si>
  <si>
    <t>BUSQUEDA NUMERO</t>
  </si>
  <si>
    <t>ID Empleado</t>
  </si>
  <si>
    <t>Nombre</t>
  </si>
  <si>
    <t>Sueldo</t>
  </si>
  <si>
    <t>Departamento</t>
  </si>
  <si>
    <t>Venta</t>
  </si>
  <si>
    <t>Inicio</t>
  </si>
  <si>
    <t>Final</t>
  </si>
  <si>
    <t>% Comsion</t>
  </si>
  <si>
    <t>Juan Pérez</t>
  </si>
  <si>
    <t>Ventas</t>
  </si>
  <si>
    <t>% Comision</t>
  </si>
  <si>
    <t>María López</t>
  </si>
  <si>
    <t>Marketing</t>
  </si>
  <si>
    <t>Comision</t>
  </si>
  <si>
    <t>Carlos Ruiz</t>
  </si>
  <si>
    <t>IT</t>
  </si>
  <si>
    <t>Ana Gómez</t>
  </si>
  <si>
    <t>RRHH</t>
  </si>
  <si>
    <t>Luis Torres</t>
  </si>
  <si>
    <t>Finanzas</t>
  </si>
  <si>
    <t>=BUSCARH(valor_buscado;matriz_buscar_en;indicador_filas;ordenado)</t>
  </si>
  <si>
    <t>EMP002</t>
  </si>
  <si>
    <t>EMP001</t>
  </si>
  <si>
    <t>EMP003</t>
  </si>
  <si>
    <t>EMP004</t>
  </si>
  <si>
    <t>EMP005</t>
  </si>
  <si>
    <t>Salario</t>
  </si>
  <si>
    <t>Fecha Ingreso</t>
  </si>
  <si>
    <t>=BUSCARX(valor_buscado;matriz_buscada;matriz_devuelta;si_no_se_encuentra;modo_de_coincidencia;modo_de_búsqueda)</t>
  </si>
  <si>
    <t>Producto2</t>
  </si>
  <si>
    <t>=COINCIDIR(valor_buscado;matriz_buscada;tipo_de_coincidencia)</t>
  </si>
  <si>
    <t>=INDICE(matriz;núm_fila;núm_columna)</t>
  </si>
  <si>
    <t>=AGRUPARPOR(row_fields;values;function;field_headers;total_depth;sort_order;filter_array;field_relationship)</t>
  </si>
  <si>
    <t>Talla</t>
  </si>
  <si>
    <t>Color</t>
  </si>
  <si>
    <t>Fecha de Venta</t>
  </si>
  <si>
    <t>Jeans</t>
  </si>
  <si>
    <t>M</t>
  </si>
  <si>
    <t>Azul</t>
  </si>
  <si>
    <t>Pantalón</t>
  </si>
  <si>
    <t>S</t>
  </si>
  <si>
    <t>Verde</t>
  </si>
  <si>
    <t>XL</t>
  </si>
  <si>
    <t>Rojo</t>
  </si>
  <si>
    <t>Camiseta</t>
  </si>
  <si>
    <t>Amarillo</t>
  </si>
  <si>
    <t>Blusa</t>
  </si>
  <si>
    <t>Blanco</t>
  </si>
  <si>
    <t>Short</t>
  </si>
  <si>
    <t>Negro</t>
  </si>
  <si>
    <t>L</t>
  </si>
  <si>
    <t>Chaqueta</t>
  </si>
  <si>
    <t>Gris</t>
  </si>
  <si>
    <t>Falda</t>
  </si>
  <si>
    <t>Sudadera</t>
  </si>
  <si>
    <t>Vestido</t>
  </si>
  <si>
    <t>=PIVOTARPOR(row_fields;col_fields;values;function;field_headers;row_total_depth;row_sort_order;col_total_depth;col_sort_order;filter_array;relative_to)</t>
  </si>
  <si>
    <t>=APILARV(matriz1;matriz2;...)</t>
  </si>
  <si>
    <t>Total Ventas</t>
  </si>
  <si>
    <t>Televisor</t>
  </si>
  <si>
    <t>Laptop</t>
  </si>
  <si>
    <t>Smartphone</t>
  </si>
  <si>
    <t>Consola de Videojuegos</t>
  </si>
  <si>
    <t>Tablet</t>
  </si>
  <si>
    <t>Audífonos</t>
  </si>
  <si>
    <t>Parlante Bluetooth</t>
  </si>
  <si>
    <t>Monitor</t>
  </si>
  <si>
    <t>Teclado</t>
  </si>
  <si>
    <t>Mouse</t>
  </si>
  <si>
    <t>Cámara Web</t>
  </si>
  <si>
    <t>Impresora</t>
  </si>
  <si>
    <t>Automovil</t>
  </si>
  <si>
    <t>=APILARH(matriz1;matriz2;...)</t>
  </si>
  <si>
    <t>ID</t>
  </si>
  <si>
    <t>Ventas Ene-Jun</t>
  </si>
  <si>
    <t>Ventas Jul-Dic</t>
  </si>
  <si>
    <t>Manzana</t>
  </si>
  <si>
    <t>Plátano</t>
  </si>
  <si>
    <t>Naranja</t>
  </si>
  <si>
    <t>Fresa</t>
  </si>
  <si>
    <t>Piña</t>
  </si>
  <si>
    <t>Kiwi</t>
  </si>
  <si>
    <t>Melon</t>
  </si>
  <si>
    <t>Limon</t>
  </si>
  <si>
    <t>Sandia</t>
  </si>
  <si>
    <t>kiwi</t>
  </si>
  <si>
    <t>=TRANSPONER(matriz)</t>
  </si>
  <si>
    <t>Mes</t>
  </si>
  <si>
    <t>Producto A</t>
  </si>
  <si>
    <t>Producto B</t>
  </si>
  <si>
    <t>Producto C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</si>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</sst>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S/&quot;\ #,##0.00;[Red]\-&quot;S/&quot;\ #,##0.00"/>
    <numFmt numFmtId="165" formatCode="_-[$$-80A]* #,##0.00_-;\-[$$-80A]* #,##0.00_-;_-[$$-80A]* &quot;-&quot;??_-;_-@_-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  <font>
      <b/>
      <sz val="14"/>
      <color theme="9" tint="-0.499984740745262"/>
      <name val="Aptos Narrow"/>
      <family val="2"/>
      <scheme val="minor"/>
    </font>
    <font>
      <b/>
      <sz val="16"/>
      <color rgb="FF006600"/>
      <name val="Aptos Narrow"/>
      <family val="2"/>
      <scheme val="minor"/>
    </font>
    <font>
      <b/>
      <i/>
      <u/>
      <sz val="11"/>
      <color theme="9" tint="-0.499984740745262"/>
      <name val="Aptos Narrow"/>
      <family val="2"/>
      <scheme val="minor"/>
    </font>
    <font>
      <b/>
      <sz val="11"/>
      <color theme="1"/>
      <name val="Aptos Narrow"/>
      <family val="2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9" tint="-0.499984740745262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ck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0" borderId="1" applyNumberFormat="0" applyFill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quotePrefix="1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164" fontId="0" fillId="0" borderId="0" xfId="0" applyNumberFormat="1"/>
    <xf numFmtId="10" fontId="0" fillId="0" borderId="0" xfId="1" applyNumberFormat="1" applyFont="1"/>
    <xf numFmtId="0" fontId="3" fillId="0" borderId="1" xfId="3"/>
    <xf numFmtId="0" fontId="0" fillId="0" borderId="2" xfId="0" applyBorder="1"/>
    <xf numFmtId="0" fontId="0" fillId="3" borderId="0" xfId="0" applyFill="1"/>
    <xf numFmtId="0" fontId="0" fillId="0" borderId="0" xfId="0" applyAlignment="1">
      <alignment horizontal="left"/>
    </xf>
    <xf numFmtId="165" fontId="0" fillId="0" borderId="0" xfId="0" applyNumberFormat="1" applyAlignment="1">
      <alignment vertical="center" wrapText="1"/>
    </xf>
    <xf numFmtId="165" fontId="0" fillId="0" borderId="0" xfId="0" applyNumberFormat="1"/>
    <xf numFmtId="164" fontId="3" fillId="0" borderId="1" xfId="3" applyNumberFormat="1"/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9" fillId="0" borderId="0" xfId="0" applyFont="1"/>
    <xf numFmtId="0" fontId="2" fillId="2" borderId="3" xfId="2" applyBorder="1" applyAlignment="1">
      <alignment vertical="center" wrapText="1"/>
    </xf>
    <xf numFmtId="0" fontId="3" fillId="0" borderId="3" xfId="0" applyFont="1" applyBorder="1"/>
    <xf numFmtId="14" fontId="3" fillId="0" borderId="3" xfId="0" applyNumberFormat="1" applyFont="1" applyBorder="1"/>
    <xf numFmtId="0" fontId="11" fillId="0" borderId="0" xfId="0" quotePrefix="1" applyFont="1"/>
    <xf numFmtId="0" fontId="12" fillId="2" borderId="3" xfId="2" applyFont="1" applyBorder="1" applyAlignment="1">
      <alignment horizontal="center" vertical="top"/>
    </xf>
    <xf numFmtId="9" fontId="0" fillId="0" borderId="0" xfId="1" applyFont="1"/>
    <xf numFmtId="0" fontId="13" fillId="4" borderId="4" xfId="0" applyFont="1" applyFill="1" applyBorder="1"/>
    <xf numFmtId="0" fontId="0" fillId="5" borderId="4" xfId="0" applyFill="1" applyBorder="1"/>
    <xf numFmtId="0" fontId="0" fillId="0" borderId="4" xfId="0" applyBorder="1"/>
    <xf numFmtId="0" fontId="4" fillId="0" borderId="0" xfId="0" quotePrefix="1" applyFont="1"/>
    <xf numFmtId="43" fontId="0" fillId="0" borderId="0" xfId="0" applyNumberFormat="1" applyAlignment="1">
      <alignment vertical="center" wrapText="1"/>
    </xf>
    <xf numFmtId="0" fontId="6" fillId="3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43" fontId="0" fillId="0" borderId="0" xfId="0" applyNumberFormat="1"/>
  </cellXfs>
  <cellStyles count="4">
    <cellStyle name="Bueno" xfId="2" builtinId="26"/>
    <cellStyle name="Normal" xfId="0" builtinId="0"/>
    <cellStyle name="Porcentaje" xfId="1" builtinId="5"/>
    <cellStyle name="Total" xfId="3" builtinId="25"/>
  </cellStyles>
  <dxfs count="4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65" formatCode="_-[$$-80A]* #,##0.00_-;\-[$$-80A]* #,##0.00_-;_-[$$-80A]* &quot;-&quot;??_-;_-@_-"/>
    </dxf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1" indent="0" justifyLastLine="0" shrinkToFit="0" readingOrder="0"/>
    </dxf>
    <dxf>
      <numFmt numFmtId="165" formatCode="_-[$$-80A]* #,##0.00_-;\-[$$-80A]* #,##0.00_-;_-[$$-80A]* &quot;-&quot;??_-;_-@_-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65" formatCode="_-[$$-80A]* #,##0.00_-;\-[$$-80A]* #,##0.00_-;_-[$$-80A]* &quot;-&quot;??_-;_-@_-"/>
      <alignment horizontal="general" vertical="center" textRotation="0" wrapText="1" indent="0" justifyLastLine="0" shrinkToFit="0" readingOrder="0"/>
    </dxf>
    <dxf>
      <numFmt numFmtId="165" formatCode="_-[$$-80A]* #,##0.00_-;\-[$$-80A]* #,##0.00_-;_-[$$-80A]* &quot;-&quot;??_-;_-@_-"/>
      <alignment horizontal="general" vertical="center" textRotation="0" wrapText="1" indent="0" justifyLastLine="0" shrinkToFit="0" readingOrder="0"/>
    </dxf>
    <dxf>
      <numFmt numFmtId="165" formatCode="_-[$$-80A]* #,##0.00_-;\-[$$-80A]* #,##0.00_-;_-[$$-80A]* &quot;-&quot;??_-;_-@_-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64" formatCode="&quot;S/&quot;\ #,##0.00;[Red]\-&quot;S/&quot;\ #,##0.0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numFmt numFmtId="165" formatCode="_-[$$-80A]* #,##0.00_-;\-[$$-80A]* #,##0.00_-;_-[$$-80A]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2</xdr:col>
      <xdr:colOff>140853</xdr:colOff>
      <xdr:row>12</xdr:row>
      <xdr:rowOff>72335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97FD051-9075-261F-1CBB-BD84D52B5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1915160"/>
          <a:ext cx="933333" cy="43809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5</xdr:col>
      <xdr:colOff>655731</xdr:colOff>
      <xdr:row>12</xdr:row>
      <xdr:rowOff>40640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694FA0-D46B-3A3E-316A-621C2A856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77440" y="1915160"/>
          <a:ext cx="2240691" cy="406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1021080</xdr:colOff>
      <xdr:row>2</xdr:row>
      <xdr:rowOff>137160</xdr:rowOff>
    </xdr:from>
    <xdr:to>
      <xdr:col>3</xdr:col>
      <xdr:colOff>152400</xdr:colOff>
      <xdr:row>6</xdr:row>
      <xdr:rowOff>106680</xdr:rowOff>
    </xdr:to>
    <xdr:sp macro="" textlink="">
      <xdr:nvSpPr>
        <xdr:cNvPr id="2" name="Abrir llave 1">
          <a:extLst>
            <a:ext uri="{FF2B5EF4-FFF2-40B4-BE49-F238E27FC236}">
              <a16:creationId xmlns:a16="http://schemas.microsoft.com/office/drawing/2014/main" id="{358E5A73-6798-0AC2-379D-11EE8316BB33}"/>
            </a:ext>
          </a:extLst>
        </xdr:cNvPr>
        <xdr:cNvSpPr/>
      </xdr:nvSpPr>
      <xdr:spPr>
        <a:xfrm>
          <a:off x="2606040" y="868680"/>
          <a:ext cx="327660" cy="701040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998220</xdr:colOff>
      <xdr:row>7</xdr:row>
      <xdr:rowOff>152400</xdr:rowOff>
    </xdr:from>
    <xdr:to>
      <xdr:col>3</xdr:col>
      <xdr:colOff>129540</xdr:colOff>
      <xdr:row>11</xdr:row>
      <xdr:rowOff>121920</xdr:rowOff>
    </xdr:to>
    <xdr:sp macro="" textlink="">
      <xdr:nvSpPr>
        <xdr:cNvPr id="3" name="Abrir llave 2">
          <a:extLst>
            <a:ext uri="{FF2B5EF4-FFF2-40B4-BE49-F238E27FC236}">
              <a16:creationId xmlns:a16="http://schemas.microsoft.com/office/drawing/2014/main" id="{BDA28D22-E108-443F-BB6B-EB8E8D5AE8D5}"/>
            </a:ext>
          </a:extLst>
        </xdr:cNvPr>
        <xdr:cNvSpPr/>
      </xdr:nvSpPr>
      <xdr:spPr>
        <a:xfrm>
          <a:off x="2583180" y="1798320"/>
          <a:ext cx="327660" cy="701040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1021080</xdr:colOff>
      <xdr:row>15</xdr:row>
      <xdr:rowOff>129540</xdr:rowOff>
    </xdr:from>
    <xdr:to>
      <xdr:col>3</xdr:col>
      <xdr:colOff>152400</xdr:colOff>
      <xdr:row>19</xdr:row>
      <xdr:rowOff>99060</xdr:rowOff>
    </xdr:to>
    <xdr:sp macro="" textlink="">
      <xdr:nvSpPr>
        <xdr:cNvPr id="4" name="Abrir llave 3">
          <a:extLst>
            <a:ext uri="{FF2B5EF4-FFF2-40B4-BE49-F238E27FC236}">
              <a16:creationId xmlns:a16="http://schemas.microsoft.com/office/drawing/2014/main" id="{26227E54-C0DF-4913-A802-343007AFC271}"/>
            </a:ext>
          </a:extLst>
        </xdr:cNvPr>
        <xdr:cNvSpPr/>
      </xdr:nvSpPr>
      <xdr:spPr>
        <a:xfrm>
          <a:off x="2606040" y="3238500"/>
          <a:ext cx="327660" cy="701040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ACEEB8-B626-4924-BEB1-1AB29D41959A}" name="Precios" displayName="Precios" ref="H27:I37" totalsRowShown="0">
  <autoFilter ref="H27:I37" xr:uid="{8BACEEB8-B626-4924-BEB1-1AB29D41959A}"/>
  <tableColumns count="2">
    <tableColumn id="1" xr3:uid="{3503A890-7727-4388-B19C-FB6224B78515}" name="Producto"/>
    <tableColumn id="2" xr3:uid="{61F974A8-0C61-4EEE-93E0-2A1179599885}" name="Precio" dataDxfId="4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8D7D31-C30D-43BE-BAD7-9DEAD19F1A29}" name="BD_Empleados" displayName="BD_Empleados" ref="F51:I56" totalsRowShown="0" headerRowDxfId="46" dataDxfId="45">
  <autoFilter ref="F51:I56" xr:uid="{EE8D7D31-C30D-43BE-BAD7-9DEAD19F1A29}"/>
  <tableColumns count="4">
    <tableColumn id="1" xr3:uid="{B312140B-2412-4F89-AA44-6226BFD21660}" name="ID Empleado" dataDxfId="44"/>
    <tableColumn id="2" xr3:uid="{E6A95FEA-1F88-4A5F-8ED0-3D3455A92AE1}" name="Nombre" dataDxfId="43"/>
    <tableColumn id="3" xr3:uid="{AB040D60-6381-4C64-A7A2-6D21332B6EEC}" name="Departamento" dataDxfId="42"/>
    <tableColumn id="4" xr3:uid="{091EF1DD-8EC4-4634-9F01-390C787FAB09}" name="Sueldo" dataDxfId="41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FFBBD7-811E-480F-959F-FC2FDA752ACE}" name="ListaPrecioTamaño" displayName="ListaPrecioTamaño" ref="Q27:T37" totalsRowShown="0" headerRowDxfId="40" dataDxfId="39">
  <autoFilter ref="Q27:T37" xr:uid="{CBFFBBD7-811E-480F-959F-FC2FDA752ACE}"/>
  <tableColumns count="4">
    <tableColumn id="1" xr3:uid="{5718821B-85F2-4E9C-A9EF-ADDE8922EDA9}" name="Producto" dataDxfId="38"/>
    <tableColumn id="2" xr3:uid="{E924FA28-7B17-4566-8F14-0F3A66E62553}" name="Mediano" dataDxfId="37"/>
    <tableColumn id="3" xr3:uid="{8A0453D1-CE3C-4386-B268-07DDD9FF3BC0}" name="Grande" dataDxfId="36"/>
    <tableColumn id="4" xr3:uid="{7856D023-1CF9-4F9C-AFEF-51DD8FAF7059}" name="Jumbo" dataDxfId="3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952E8F-E871-46C8-934C-F6CCC642CF6A}" name="ListaPrecio2" displayName="ListaPrecio2" ref="G5:I15" totalsRowShown="0" headerRowDxfId="34" dataDxfId="33">
  <autoFilter ref="G5:I15" xr:uid="{95952E8F-E871-46C8-934C-F6CCC642CF6A}"/>
  <tableColumns count="3">
    <tableColumn id="1" xr3:uid="{B8E4FD4A-1259-478C-AE54-45DF6E15F49F}" name="Producto" dataDxfId="32"/>
    <tableColumn id="2" xr3:uid="{4EAD741A-8EAA-4A94-89AF-75EA1FE805BA}" name="Precio" dataDxfId="31"/>
    <tableColumn id="3" xr3:uid="{1E931998-0DDA-482E-B1DF-EF5808C7C52F}" name="Producto2" dataDxfId="3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119EFC8-A98E-400B-982A-DB9524720797}" name="Precios9" displayName="Precios9" ref="H5:I15" totalsRowShown="0">
  <autoFilter ref="H5:I15" xr:uid="{A119EFC8-A98E-400B-982A-DB9524720797}"/>
  <tableColumns count="2">
    <tableColumn id="1" xr3:uid="{518320FC-EDB1-43AC-A24C-801927398A00}" name="Producto"/>
    <tableColumn id="2" xr3:uid="{707D77FB-0ABF-40B0-A8F4-04173326D7E6}" name="Precio" dataDxfId="2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7E9559-D1B6-4DB7-BA9A-02D1A58D9FC3}" name="Periodo1" displayName="Periodo1" ref="A4:D15" totalsRowShown="0" headerRowDxfId="27" dataDxfId="26">
  <autoFilter ref="A4:D15" xr:uid="{2D7E9559-D1B6-4DB7-BA9A-02D1A58D9FC3}"/>
  <tableColumns count="4">
    <tableColumn id="1" xr3:uid="{5C2625C0-42FC-4222-A581-D6355F640447}" name="Producto" dataDxfId="25"/>
    <tableColumn id="2" xr3:uid="{EFD942DC-DAF3-4037-B790-1A4023E94B98}" name="Cantidad" dataDxfId="24"/>
    <tableColumn id="3" xr3:uid="{65428C58-A20F-4797-B750-5AAE0C276CBB}" name="Precio" dataDxfId="23"/>
    <tableColumn id="4" xr3:uid="{88CD8833-BE52-4D10-A3DC-6842F02CE7FF}" name="Total Ventas" dataDxfId="2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55C54E-38F6-43DF-8423-A5918D1BE0FE}" name="Periodo2" displayName="Periodo2" ref="F4:I12" totalsRowShown="0" headerRowDxfId="21" dataDxfId="20">
  <autoFilter ref="F4:I12" xr:uid="{D455C54E-38F6-43DF-8423-A5918D1BE0FE}"/>
  <tableColumns count="4">
    <tableColumn id="1" xr3:uid="{AC35E0C5-E314-4EC5-A191-CB43E69CD677}" name="Producto" dataDxfId="19"/>
    <tableColumn id="2" xr3:uid="{A900EC96-D20F-4B73-B5CB-820BE0C4CAEA}" name="Cantidad" dataDxfId="18"/>
    <tableColumn id="3" xr3:uid="{0938FAE0-CBF5-41F1-8D6E-A9707FE6B3D2}" name="Precio" dataDxfId="17"/>
    <tableColumn id="4" xr3:uid="{865CABDA-24EC-48B2-8DE4-7F9B89765CBB}" name="Total Ventas" dataDxfId="16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EB9EF63-AF22-44B3-859E-850E90991987}" name="Periodo3" displayName="Periodo3" ref="K4:N12" totalsRowShown="0" headerRowDxfId="15" dataDxfId="14">
  <autoFilter ref="K4:N12" xr:uid="{BEB9EF63-AF22-44B3-859E-850E90991987}"/>
  <tableColumns count="4">
    <tableColumn id="1" xr3:uid="{AE3AD72F-2431-41D3-9509-DE4725DF9931}" name="Producto" dataDxfId="13"/>
    <tableColumn id="2" xr3:uid="{3F9CE63E-9173-4372-85CD-EBDD97E2AC6F}" name="Cantidad" dataDxfId="12"/>
    <tableColumn id="3" xr3:uid="{876C6344-D576-49CC-B8AE-505471FD2E6B}" name="Precio" dataDxfId="11"/>
    <tableColumn id="4" xr3:uid="{C612B664-C042-4FCB-A563-080A881C84BC}" name="Total Ventas" dataDxfId="10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3A12549-7D60-4B06-85B0-E32F01F968C2}" name="VentasH1" displayName="VentasH1" ref="A4:C14" totalsRowShown="0" headerRowDxfId="9" dataDxfId="8">
  <autoFilter ref="A4:C14" xr:uid="{13A12549-7D60-4B06-85B0-E32F01F968C2}"/>
  <tableColumns count="3">
    <tableColumn id="1" xr3:uid="{6EF42944-3E3A-4EBC-B3C2-B0BDAD08B353}" name="ID" dataDxfId="7"/>
    <tableColumn id="2" xr3:uid="{730F0EC0-7F8E-472D-B467-9A9F5E5D0D6B}" name="Producto" dataDxfId="6"/>
    <tableColumn id="3" xr3:uid="{83ECBBE5-2E42-40B9-9BE9-CD5F50E5621C}" name="Ventas Ene-Jun" dataDxfId="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179C281-568B-4A25-AB38-862A24798D51}" name="VentasH2" displayName="VentasH2" ref="E4:G14" totalsRowShown="0" headerRowDxfId="4" dataDxfId="3">
  <autoFilter ref="E4:G14" xr:uid="{0179C281-568B-4A25-AB38-862A24798D51}"/>
  <tableColumns count="3">
    <tableColumn id="1" xr3:uid="{B005F291-4EC6-493F-BBC5-933DBE42F767}" name="ID" dataDxfId="2"/>
    <tableColumn id="2" xr3:uid="{59EFE6B3-66BC-41B9-BE82-FE0DE5E8C38D}" name="Producto" dataDxfId="1"/>
    <tableColumn id="3" xr3:uid="{7EF89646-373C-448D-9CC2-36CB79B8A962}" name="Ventas Jul-Di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5A7C9-7080-4B43-91D7-1311FACA2135}">
  <dimension ref="A1:L14"/>
  <sheetViews>
    <sheetView showGridLines="0" zoomScale="150" zoomScaleNormal="150" workbookViewId="0">
      <selection activeCell="G11" sqref="G11"/>
    </sheetView>
  </sheetViews>
  <sheetFormatPr defaultColWidth="11.42578125" defaultRowHeight="14.45"/>
  <sheetData>
    <row r="1" spans="1:12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21">
      <c r="A2" s="13"/>
      <c r="B2" s="32" t="s">
        <v>0</v>
      </c>
      <c r="C2" s="32"/>
      <c r="D2" s="32"/>
      <c r="E2" s="32"/>
      <c r="F2" s="32"/>
      <c r="G2" s="32"/>
      <c r="H2" s="32"/>
      <c r="I2" s="32"/>
      <c r="J2" s="32"/>
      <c r="K2" s="13"/>
      <c r="L2" s="13"/>
    </row>
    <row r="3" spans="1:1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5" spans="1:12" ht="14.45" customHeight="1">
      <c r="B5" s="33" t="s">
        <v>1</v>
      </c>
      <c r="C5" s="33"/>
      <c r="D5" s="33"/>
      <c r="E5" s="33"/>
      <c r="F5" s="33"/>
      <c r="G5" s="33"/>
      <c r="H5" s="33"/>
      <c r="I5" s="33"/>
      <c r="J5" s="33"/>
    </row>
    <row r="6" spans="1:12">
      <c r="B6" s="33"/>
      <c r="C6" s="33"/>
      <c r="D6" s="33"/>
      <c r="E6" s="33"/>
      <c r="F6" s="33"/>
      <c r="G6" s="33"/>
      <c r="H6" s="33"/>
      <c r="I6" s="33"/>
      <c r="J6" s="33"/>
    </row>
    <row r="7" spans="1:12">
      <c r="B7" s="33"/>
      <c r="C7" s="33"/>
      <c r="D7" s="33"/>
      <c r="E7" s="33"/>
      <c r="F7" s="33"/>
      <c r="G7" s="33"/>
      <c r="H7" s="33"/>
      <c r="I7" s="33"/>
      <c r="J7" s="33"/>
    </row>
    <row r="8" spans="1:12">
      <c r="B8" s="33"/>
      <c r="C8" s="33"/>
      <c r="D8" s="33"/>
      <c r="E8" s="33"/>
      <c r="F8" s="33"/>
      <c r="G8" s="33"/>
      <c r="H8" s="33"/>
      <c r="I8" s="33"/>
      <c r="J8" s="33"/>
    </row>
    <row r="9" spans="1:12">
      <c r="B9" s="14"/>
      <c r="C9" s="14"/>
      <c r="D9" s="14"/>
      <c r="E9" s="14"/>
      <c r="F9" s="14"/>
      <c r="G9" s="14"/>
      <c r="H9" s="14"/>
      <c r="I9" s="14"/>
      <c r="J9" s="14"/>
    </row>
    <row r="10" spans="1:12">
      <c r="B10" s="14"/>
      <c r="C10" s="14"/>
      <c r="D10" s="14"/>
      <c r="E10" s="14"/>
      <c r="F10" s="14"/>
      <c r="G10" s="14"/>
      <c r="H10" s="14"/>
      <c r="I10" s="14"/>
      <c r="J10" s="14"/>
    </row>
    <row r="11" spans="1:12">
      <c r="B11" s="14"/>
      <c r="C11" s="14"/>
      <c r="D11" s="14"/>
      <c r="E11" s="14"/>
      <c r="F11" s="14"/>
      <c r="G11" s="14"/>
      <c r="H11" s="14"/>
      <c r="I11" s="14"/>
      <c r="J11" s="14"/>
    </row>
    <row r="12" spans="1:12">
      <c r="B12" s="14"/>
      <c r="C12" s="14"/>
      <c r="D12" s="14"/>
      <c r="E12" s="14"/>
      <c r="F12" s="14"/>
      <c r="G12" s="14"/>
      <c r="H12" s="14"/>
      <c r="I12" s="14"/>
      <c r="J12" s="14"/>
    </row>
    <row r="13" spans="1:12">
      <c r="B13" s="14"/>
      <c r="C13" s="14"/>
      <c r="D13" s="14"/>
      <c r="E13" s="14"/>
      <c r="F13" s="14"/>
      <c r="G13" s="14"/>
      <c r="H13" s="14"/>
      <c r="I13" s="14"/>
      <c r="J13" s="14"/>
    </row>
    <row r="14" spans="1:12">
      <c r="B14" s="14"/>
      <c r="C14" s="14"/>
      <c r="D14" s="14"/>
      <c r="E14" s="14"/>
      <c r="F14" s="14"/>
      <c r="G14" s="14"/>
      <c r="H14" s="14"/>
      <c r="I14" s="14"/>
      <c r="J14" s="14"/>
    </row>
  </sheetData>
  <mergeCells count="2">
    <mergeCell ref="B2:J2"/>
    <mergeCell ref="B5:J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4BA6E-3339-42BE-825A-17768286B1C6}">
  <dimension ref="A1:Z78"/>
  <sheetViews>
    <sheetView topLeftCell="C32" zoomScale="120" zoomScaleNormal="120" workbookViewId="0">
      <selection activeCell="AA28" sqref="AA28"/>
    </sheetView>
  </sheetViews>
  <sheetFormatPr defaultColWidth="11.42578125" defaultRowHeight="14.45"/>
  <cols>
    <col min="2" max="2" width="21.28515625" customWidth="1"/>
    <col min="3" max="3" width="17.42578125" customWidth="1"/>
    <col min="4" max="4" width="15.42578125" customWidth="1"/>
    <col min="6" max="6" width="15.7109375" customWidth="1"/>
    <col min="8" max="8" width="17.140625" customWidth="1"/>
    <col min="14" max="15" width="12.140625" bestFit="1" customWidth="1"/>
    <col min="16" max="16" width="22.28515625" customWidth="1"/>
    <col min="17" max="17" width="38.42578125" customWidth="1"/>
  </cols>
  <sheetData>
    <row r="1" spans="3:4" ht="18">
      <c r="C1" s="5" t="s">
        <v>2</v>
      </c>
    </row>
    <row r="4" spans="3:4">
      <c r="D4" t="s">
        <v>3</v>
      </c>
    </row>
    <row r="5" spans="3:4">
      <c r="C5" s="3" t="s">
        <v>4</v>
      </c>
      <c r="D5" t="s">
        <v>5</v>
      </c>
    </row>
    <row r="6" spans="3:4">
      <c r="C6" s="3"/>
      <c r="D6" t="s">
        <v>6</v>
      </c>
    </row>
    <row r="7" spans="3:4">
      <c r="C7" s="3"/>
    </row>
    <row r="8" spans="3:4">
      <c r="C8" s="3"/>
    </row>
    <row r="9" spans="3:4">
      <c r="C9" s="3"/>
      <c r="D9" t="s">
        <v>7</v>
      </c>
    </row>
    <row r="10" spans="3:4">
      <c r="C10" s="3" t="s">
        <v>8</v>
      </c>
    </row>
    <row r="11" spans="3:4">
      <c r="C11" s="3"/>
      <c r="D11" t="s">
        <v>9</v>
      </c>
    </row>
    <row r="12" spans="3:4">
      <c r="C12" s="3"/>
    </row>
    <row r="13" spans="3:4">
      <c r="C13" s="3"/>
    </row>
    <row r="14" spans="3:4">
      <c r="C14" s="3"/>
    </row>
    <row r="15" spans="3:4">
      <c r="C15" s="3" t="s">
        <v>10</v>
      </c>
      <c r="D15" s="1" t="s">
        <v>11</v>
      </c>
    </row>
    <row r="16" spans="3:4">
      <c r="C16" s="4"/>
    </row>
    <row r="17" spans="1:26">
      <c r="C17" s="4"/>
      <c r="D17" t="s">
        <v>12</v>
      </c>
      <c r="E17" t="b">
        <v>1</v>
      </c>
      <c r="F17">
        <v>1</v>
      </c>
    </row>
    <row r="18" spans="1:26">
      <c r="C18" s="3" t="s">
        <v>13</v>
      </c>
    </row>
    <row r="19" spans="1:26">
      <c r="C19" s="4"/>
      <c r="D19" t="s">
        <v>14</v>
      </c>
      <c r="E19" t="b">
        <v>0</v>
      </c>
      <c r="F19">
        <v>0</v>
      </c>
    </row>
    <row r="20" spans="1:26">
      <c r="C20" s="4"/>
    </row>
    <row r="24" spans="1:26">
      <c r="A24" s="2" t="s">
        <v>15</v>
      </c>
      <c r="R24">
        <f>MATCH(X32,ListaPrecioTamaño[[#Headers],[Mediano]:[Jumbo]],0)</f>
        <v>3</v>
      </c>
    </row>
    <row r="26" spans="1:26">
      <c r="A26" s="6" t="s">
        <v>16</v>
      </c>
      <c r="B26" s="6" t="s">
        <v>17</v>
      </c>
      <c r="C26" s="6" t="s">
        <v>18</v>
      </c>
      <c r="D26" s="6" t="s">
        <v>19</v>
      </c>
      <c r="E26" s="6" t="s">
        <v>20</v>
      </c>
    </row>
    <row r="27" spans="1:26">
      <c r="A27" s="7">
        <v>1</v>
      </c>
      <c r="B27" s="7" t="s">
        <v>21</v>
      </c>
      <c r="C27" s="7">
        <v>2</v>
      </c>
      <c r="D27" s="16">
        <f>VLOOKUP($B27,Precios[],2,FALSE)</f>
        <v>2.5</v>
      </c>
      <c r="E27" s="16">
        <f>VLOOKUP($B27,Precios[#All],2,FALSE)</f>
        <v>2.5</v>
      </c>
      <c r="H27" t="s">
        <v>17</v>
      </c>
      <c r="I27" t="s">
        <v>19</v>
      </c>
      <c r="Q27" s="6" t="s">
        <v>17</v>
      </c>
      <c r="R27" s="6" t="s">
        <v>22</v>
      </c>
      <c r="S27" s="6" t="s">
        <v>23</v>
      </c>
      <c r="T27" s="6" t="s">
        <v>24</v>
      </c>
      <c r="V27" s="6" t="s">
        <v>16</v>
      </c>
      <c r="W27" s="6" t="s">
        <v>17</v>
      </c>
      <c r="X27" s="6" t="s">
        <v>25</v>
      </c>
      <c r="Y27" s="6" t="s">
        <v>18</v>
      </c>
      <c r="Z27" s="6" t="s">
        <v>19</v>
      </c>
    </row>
    <row r="28" spans="1:26">
      <c r="A28" s="7">
        <v>2</v>
      </c>
      <c r="B28" s="7" t="s">
        <v>26</v>
      </c>
      <c r="C28" s="7">
        <v>1</v>
      </c>
      <c r="D28" s="16">
        <f>VLOOKUP(B28,Precios[],2,FALSE)</f>
        <v>3</v>
      </c>
      <c r="E28" s="16">
        <f>VLOOKUP($B28,Precios[#All],2,FALSE)</f>
        <v>3</v>
      </c>
      <c r="H28" t="s">
        <v>21</v>
      </c>
      <c r="I28" s="16">
        <v>2.5</v>
      </c>
      <c r="Q28" s="7" t="s">
        <v>21</v>
      </c>
      <c r="R28" s="15">
        <v>2.5</v>
      </c>
      <c r="S28" s="15">
        <v>3</v>
      </c>
      <c r="T28" s="15">
        <v>3.5</v>
      </c>
      <c r="V28" s="7">
        <v>1</v>
      </c>
      <c r="W28" s="7" t="s">
        <v>21</v>
      </c>
      <c r="X28" s="7" t="s">
        <v>22</v>
      </c>
      <c r="Y28" s="7">
        <v>2</v>
      </c>
      <c r="Z28" s="16">
        <f>VLOOKUP(W28,ListaPrecioTamaño[],MATCH(X28,ListaPrecioTamaño[[#Headers],[Mediano]:[Jumbo]],0)+1,FALSE)*Y28</f>
        <v>5</v>
      </c>
    </row>
    <row r="29" spans="1:26">
      <c r="A29" s="7">
        <v>3</v>
      </c>
      <c r="B29" s="7" t="s">
        <v>27</v>
      </c>
      <c r="C29" s="7">
        <v>1</v>
      </c>
      <c r="D29" s="16">
        <f>VLOOKUP(B29,Precios[],2,FALSE)</f>
        <v>3</v>
      </c>
      <c r="E29" s="16">
        <f>VLOOKUP($B29,Precios[#All],2,FALSE)</f>
        <v>3</v>
      </c>
      <c r="H29" t="s">
        <v>27</v>
      </c>
      <c r="I29" s="16">
        <v>3</v>
      </c>
      <c r="Q29" s="7" t="s">
        <v>27</v>
      </c>
      <c r="R29" s="15">
        <v>3</v>
      </c>
      <c r="S29" s="15">
        <v>3.5</v>
      </c>
      <c r="T29" s="15">
        <v>4</v>
      </c>
      <c r="V29" s="7">
        <v>2</v>
      </c>
      <c r="W29" s="7" t="s">
        <v>26</v>
      </c>
      <c r="X29" s="7" t="s">
        <v>24</v>
      </c>
      <c r="Y29" s="7">
        <v>1</v>
      </c>
      <c r="Z29" s="16">
        <f>VLOOKUP(W29,ListaPrecioTamaño[],MATCH(X29,ListaPrecioTamaño[[#Headers],[Mediano]:[Jumbo]],0)+1,FALSE)*Y29</f>
        <v>4.5</v>
      </c>
    </row>
    <row r="30" spans="1:26">
      <c r="A30" s="7">
        <v>4</v>
      </c>
      <c r="B30" s="7" t="s">
        <v>28</v>
      </c>
      <c r="C30" s="7">
        <v>4</v>
      </c>
      <c r="D30" s="16">
        <f>VLOOKUP(B30,Precios[],2,FALSE)</f>
        <v>2.5</v>
      </c>
      <c r="E30" s="16">
        <f>VLOOKUP($B30,Precios[#All],2,FALSE)</f>
        <v>2.5</v>
      </c>
      <c r="H30" t="s">
        <v>26</v>
      </c>
      <c r="I30" s="16">
        <v>3</v>
      </c>
      <c r="Q30" s="7" t="s">
        <v>26</v>
      </c>
      <c r="R30" s="15">
        <v>3</v>
      </c>
      <c r="S30" s="15">
        <v>3.5</v>
      </c>
      <c r="T30" s="15">
        <v>4.5</v>
      </c>
      <c r="V30" s="7">
        <v>3</v>
      </c>
      <c r="W30" s="7" t="s">
        <v>27</v>
      </c>
      <c r="X30" s="7" t="s">
        <v>23</v>
      </c>
      <c r="Y30" s="7">
        <v>1</v>
      </c>
      <c r="Z30" s="16">
        <f>VLOOKUP(W30,ListaPrecioTamaño[],MATCH(X30,ListaPrecioTamaño[[#Headers],[Mediano]:[Jumbo]],0)+1,FALSE)*Y30</f>
        <v>3.5</v>
      </c>
    </row>
    <row r="31" spans="1:26">
      <c r="A31" s="7">
        <v>5</v>
      </c>
      <c r="B31" s="7" t="s">
        <v>29</v>
      </c>
      <c r="C31" s="7">
        <v>1</v>
      </c>
      <c r="D31" s="16">
        <f>VLOOKUP(B31,Precios[],2,FALSE)</f>
        <v>3</v>
      </c>
      <c r="E31" s="16">
        <f>VLOOKUP($B31,Precios[#All],2,FALSE)</f>
        <v>3</v>
      </c>
      <c r="H31" t="s">
        <v>28</v>
      </c>
      <c r="I31" s="16">
        <v>2.5</v>
      </c>
      <c r="Q31" s="7" t="s">
        <v>28</v>
      </c>
      <c r="R31" s="15">
        <v>2.5</v>
      </c>
      <c r="S31" s="15">
        <v>3</v>
      </c>
      <c r="T31" s="15">
        <v>3.5</v>
      </c>
      <c r="V31" s="7">
        <v>4</v>
      </c>
      <c r="W31" s="7" t="s">
        <v>28</v>
      </c>
      <c r="X31" s="7" t="s">
        <v>22</v>
      </c>
      <c r="Y31" s="7">
        <v>4</v>
      </c>
      <c r="Z31" s="16">
        <f>VLOOKUP(W31,ListaPrecioTamaño[],MATCH(X31,ListaPrecioTamaño[[#Headers],[Mediano]:[Jumbo]],0)+1,FALSE)*Y31</f>
        <v>10</v>
      </c>
    </row>
    <row r="32" spans="1:26">
      <c r="A32" s="7">
        <v>6</v>
      </c>
      <c r="B32" s="7" t="s">
        <v>30</v>
      </c>
      <c r="C32" s="7">
        <v>3</v>
      </c>
      <c r="D32" s="16">
        <f>VLOOKUP(B32,Precios[],2,FALSE)</f>
        <v>3</v>
      </c>
      <c r="E32" s="16">
        <f>VLOOKUP($B32,Precios[#All],2,FALSE)</f>
        <v>3</v>
      </c>
      <c r="H32" t="s">
        <v>29</v>
      </c>
      <c r="I32" s="16">
        <v>3</v>
      </c>
      <c r="Q32" s="7" t="s">
        <v>29</v>
      </c>
      <c r="R32" s="15">
        <v>3</v>
      </c>
      <c r="S32" s="15">
        <v>3.5</v>
      </c>
      <c r="T32" s="15">
        <v>4.5</v>
      </c>
      <c r="V32" s="7">
        <v>5</v>
      </c>
      <c r="W32" s="7" t="s">
        <v>29</v>
      </c>
      <c r="X32" s="7" t="s">
        <v>24</v>
      </c>
      <c r="Y32" s="7">
        <v>1</v>
      </c>
      <c r="Z32" s="16">
        <f>VLOOKUP(W32,ListaPrecioTamaño[],MATCH(X32,ListaPrecioTamaño[[#Headers],[Mediano]:[Jumbo]],0)+1,FALSE)*Y32</f>
        <v>4.5</v>
      </c>
    </row>
    <row r="33" spans="1:26">
      <c r="A33" s="7">
        <v>7</v>
      </c>
      <c r="B33" s="7" t="s">
        <v>31</v>
      </c>
      <c r="C33" s="7">
        <v>2</v>
      </c>
      <c r="D33" s="16">
        <f>VLOOKUP(B33,Precios[],2,FALSE)</f>
        <v>2.5</v>
      </c>
      <c r="E33" s="16">
        <f>VLOOKUP($B33,Precios[#All],2,FALSE)</f>
        <v>2.5</v>
      </c>
      <c r="H33" t="s">
        <v>30</v>
      </c>
      <c r="I33" s="16">
        <v>3</v>
      </c>
      <c r="Q33" s="7" t="s">
        <v>30</v>
      </c>
      <c r="R33" s="15">
        <v>3</v>
      </c>
      <c r="S33" s="15">
        <v>3.5</v>
      </c>
      <c r="T33" s="15">
        <v>4</v>
      </c>
      <c r="V33" s="7">
        <v>6</v>
      </c>
      <c r="W33" s="7" t="s">
        <v>30</v>
      </c>
      <c r="X33" s="7" t="s">
        <v>23</v>
      </c>
      <c r="Y33" s="7">
        <v>3</v>
      </c>
      <c r="Z33" s="16">
        <f>VLOOKUP(W33,ListaPrecioTamaño[],MATCH(X33,ListaPrecioTamaño[[#Headers],[Mediano]:[Jumbo]],0)+1,FALSE)*Y33</f>
        <v>10.5</v>
      </c>
    </row>
    <row r="34" spans="1:26">
      <c r="A34" s="7">
        <v>8</v>
      </c>
      <c r="B34" s="7" t="s">
        <v>32</v>
      </c>
      <c r="C34" s="7">
        <v>2</v>
      </c>
      <c r="D34" s="16">
        <f>VLOOKUP(B34,Precios[],2,FALSE)</f>
        <v>3</v>
      </c>
      <c r="E34" s="16">
        <f>VLOOKUP($B34,Precios[#All],2,FALSE)</f>
        <v>3</v>
      </c>
      <c r="H34" t="s">
        <v>31</v>
      </c>
      <c r="I34" s="16">
        <v>2.5</v>
      </c>
      <c r="Q34" s="7" t="s">
        <v>31</v>
      </c>
      <c r="R34" s="15">
        <v>2.5</v>
      </c>
      <c r="S34" s="15">
        <v>3</v>
      </c>
      <c r="T34" s="15">
        <v>3.5</v>
      </c>
      <c r="V34" s="7">
        <v>7</v>
      </c>
      <c r="W34" s="7" t="s">
        <v>31</v>
      </c>
      <c r="X34" s="7" t="s">
        <v>22</v>
      </c>
      <c r="Y34" s="7">
        <v>2</v>
      </c>
      <c r="Z34" s="16">
        <f>VLOOKUP(W34,ListaPrecioTamaño[],MATCH(X34,ListaPrecioTamaño[[#Headers],[Mediano]:[Jumbo]],0)+1,FALSE)*Y34</f>
        <v>5</v>
      </c>
    </row>
    <row r="35" spans="1:26">
      <c r="A35" s="7">
        <v>9</v>
      </c>
      <c r="B35" s="7" t="s">
        <v>33</v>
      </c>
      <c r="C35" s="7">
        <v>1</v>
      </c>
      <c r="D35" s="16">
        <f>VLOOKUP(B35,Precios[],2,FALSE)</f>
        <v>3</v>
      </c>
      <c r="E35" s="16">
        <f>VLOOKUP($B35,Precios[#All],2,FALSE)</f>
        <v>3</v>
      </c>
      <c r="H35" t="s">
        <v>32</v>
      </c>
      <c r="I35" s="16">
        <v>3</v>
      </c>
      <c r="Q35" s="7" t="s">
        <v>32</v>
      </c>
      <c r="R35" s="15">
        <v>3</v>
      </c>
      <c r="S35" s="15">
        <v>3.5</v>
      </c>
      <c r="T35" s="15">
        <v>4.5</v>
      </c>
      <c r="V35" s="7">
        <v>8</v>
      </c>
      <c r="W35" s="7" t="s">
        <v>32</v>
      </c>
      <c r="X35" s="7" t="s">
        <v>24</v>
      </c>
      <c r="Y35" s="7">
        <v>2</v>
      </c>
      <c r="Z35" s="16">
        <f>VLOOKUP(W35,ListaPrecioTamaño[],MATCH(X35,ListaPrecioTamaño[[#Headers],[Mediano]:[Jumbo]],0)+1,FALSE)*Y35</f>
        <v>9</v>
      </c>
    </row>
    <row r="36" spans="1:26">
      <c r="A36" s="7">
        <v>10</v>
      </c>
      <c r="B36" s="7" t="s">
        <v>34</v>
      </c>
      <c r="C36" s="7">
        <v>1</v>
      </c>
      <c r="D36" s="16">
        <f>VLOOKUP(B36,Precios[],2,FALSE)</f>
        <v>2.5</v>
      </c>
      <c r="E36" s="16">
        <f>VLOOKUP($B36,Precios[#All],2,FALSE)</f>
        <v>2.5</v>
      </c>
      <c r="H36" t="s">
        <v>33</v>
      </c>
      <c r="I36" s="16">
        <v>3</v>
      </c>
      <c r="Q36" s="7" t="s">
        <v>33</v>
      </c>
      <c r="R36" s="15">
        <v>3</v>
      </c>
      <c r="S36" s="15">
        <v>3.5</v>
      </c>
      <c r="T36" s="15">
        <v>4</v>
      </c>
      <c r="V36" s="7">
        <v>9</v>
      </c>
      <c r="W36" s="7" t="s">
        <v>33</v>
      </c>
      <c r="X36" s="7" t="s">
        <v>23</v>
      </c>
      <c r="Y36" s="7">
        <v>1</v>
      </c>
      <c r="Z36" s="16">
        <f>VLOOKUP(W36,ListaPrecioTamaño[],MATCH(X36,ListaPrecioTamaño[[#Headers],[Mediano]:[Jumbo]],0)+1,FALSE)*Y36</f>
        <v>3.5</v>
      </c>
    </row>
    <row r="37" spans="1:26" ht="28.9">
      <c r="A37" s="7">
        <v>11</v>
      </c>
      <c r="B37" s="7" t="s">
        <v>21</v>
      </c>
      <c r="C37" s="7">
        <v>2</v>
      </c>
      <c r="D37" s="16">
        <f>VLOOKUP(B37,Precios[],2,FALSE)</f>
        <v>2.5</v>
      </c>
      <c r="E37" s="16">
        <f>VLOOKUP($B37,Precios[#All],2,FALSE)</f>
        <v>2.5</v>
      </c>
      <c r="H37" t="s">
        <v>34</v>
      </c>
      <c r="I37" s="16">
        <v>2.5</v>
      </c>
      <c r="Q37" s="7" t="s">
        <v>34</v>
      </c>
      <c r="R37" s="15">
        <v>2.5</v>
      </c>
      <c r="S37" s="15">
        <v>3</v>
      </c>
      <c r="T37" s="15">
        <v>3.5</v>
      </c>
      <c r="V37" s="7">
        <v>10</v>
      </c>
      <c r="W37" s="7" t="s">
        <v>34</v>
      </c>
      <c r="X37" s="7" t="s">
        <v>22</v>
      </c>
      <c r="Y37" s="7">
        <v>1</v>
      </c>
      <c r="Z37" s="16">
        <f>VLOOKUP(W37,ListaPrecioTamaño[],MATCH(X37,ListaPrecioTamaño[[#Headers],[Mediano]:[Jumbo]],0)+1,FALSE)*Y37</f>
        <v>2.5</v>
      </c>
    </row>
    <row r="38" spans="1:26">
      <c r="A38" s="7">
        <v>12</v>
      </c>
      <c r="B38" s="7" t="s">
        <v>21</v>
      </c>
      <c r="C38" s="7">
        <v>1</v>
      </c>
      <c r="D38" s="16">
        <f>VLOOKUP(B38,Precios[],2,FALSE)</f>
        <v>2.5</v>
      </c>
      <c r="E38" s="16">
        <f>VLOOKUP($B38,Precios[#All],2,FALSE)</f>
        <v>2.5</v>
      </c>
      <c r="V38" s="7">
        <v>11</v>
      </c>
      <c r="W38" s="7" t="s">
        <v>21</v>
      </c>
      <c r="X38" s="7" t="s">
        <v>22</v>
      </c>
      <c r="Y38" s="7">
        <v>2</v>
      </c>
      <c r="Z38" s="16">
        <f>VLOOKUP(W38,ListaPrecioTamaño[],MATCH(X38,ListaPrecioTamaño[[#Headers],[Mediano]:[Jumbo]],0)+1,FALSE)*Y38</f>
        <v>5</v>
      </c>
    </row>
    <row r="39" spans="1:26">
      <c r="A39" s="7">
        <v>13</v>
      </c>
      <c r="B39" s="7" t="s">
        <v>33</v>
      </c>
      <c r="C39" s="7">
        <v>1</v>
      </c>
      <c r="D39" s="16">
        <f>VLOOKUP(B39,Precios[],2,FALSE)</f>
        <v>3</v>
      </c>
      <c r="E39" s="16">
        <f>VLOOKUP($B39,Precios[#All],2,FALSE)</f>
        <v>3</v>
      </c>
      <c r="V39" s="7">
        <v>12</v>
      </c>
      <c r="W39" s="7" t="s">
        <v>21</v>
      </c>
      <c r="X39" s="7" t="s">
        <v>23</v>
      </c>
      <c r="Y39" s="7">
        <v>1</v>
      </c>
      <c r="Z39" s="16">
        <f>VLOOKUP(W39,ListaPrecioTamaño[],MATCH(X39,ListaPrecioTamaño[[#Headers],[Mediano]:[Jumbo]],0)+1,FALSE)*Y39</f>
        <v>3</v>
      </c>
    </row>
    <row r="40" spans="1:26">
      <c r="A40" s="7">
        <v>14</v>
      </c>
      <c r="B40" s="7" t="s">
        <v>34</v>
      </c>
      <c r="C40" s="7">
        <v>3</v>
      </c>
      <c r="D40" s="16">
        <f>VLOOKUP(B40,Precios[],2,FALSE)</f>
        <v>2.5</v>
      </c>
      <c r="E40" s="16">
        <f>VLOOKUP($B40,Precios[#All],2,FALSE)</f>
        <v>2.5</v>
      </c>
      <c r="V40" s="7">
        <v>13</v>
      </c>
      <c r="W40" s="7" t="s">
        <v>33</v>
      </c>
      <c r="X40" s="7" t="s">
        <v>24</v>
      </c>
      <c r="Y40" s="7">
        <v>1</v>
      </c>
      <c r="Z40" s="16">
        <f>VLOOKUP(W40,ListaPrecioTamaño[],MATCH(X40,ListaPrecioTamaño[[#Headers],[Mediano]:[Jumbo]],0)+1,FALSE)*Y40</f>
        <v>4</v>
      </c>
    </row>
    <row r="41" spans="1:26" ht="12.6" customHeight="1">
      <c r="A41" s="7">
        <v>15</v>
      </c>
      <c r="B41" s="7" t="s">
        <v>34</v>
      </c>
      <c r="C41" s="7">
        <v>2</v>
      </c>
      <c r="D41" s="16">
        <f>VLOOKUP(B41,Precios[],2,FALSE)</f>
        <v>2.5</v>
      </c>
      <c r="E41" s="16">
        <f>VLOOKUP($B41,Precios[#All],2,FALSE)</f>
        <v>2.5</v>
      </c>
      <c r="V41" s="7">
        <v>14</v>
      </c>
      <c r="W41" s="7" t="s">
        <v>34</v>
      </c>
      <c r="X41" s="7" t="s">
        <v>22</v>
      </c>
      <c r="Y41" s="7">
        <v>3</v>
      </c>
      <c r="Z41" s="16">
        <f>VLOOKUP(W41,ListaPrecioTamaño[],MATCH(X41,ListaPrecioTamaño[[#Headers],[Mediano]:[Jumbo]],0)+1,FALSE)*Y41</f>
        <v>7.5</v>
      </c>
    </row>
    <row r="42" spans="1:26" ht="28.9">
      <c r="A42" s="7">
        <v>16</v>
      </c>
      <c r="B42" s="7" t="s">
        <v>29</v>
      </c>
      <c r="C42" s="7">
        <v>1</v>
      </c>
      <c r="D42" s="16">
        <f>VLOOKUP(B42,Precios[],2,FALSE)</f>
        <v>3</v>
      </c>
      <c r="E42" s="16">
        <f>VLOOKUP($B42,Precios[#All],2,FALSE)</f>
        <v>3</v>
      </c>
      <c r="V42" s="7">
        <v>15</v>
      </c>
      <c r="W42" s="7" t="s">
        <v>34</v>
      </c>
      <c r="X42" s="7" t="s">
        <v>23</v>
      </c>
      <c r="Y42" s="7">
        <v>2</v>
      </c>
      <c r="Z42" s="16">
        <f>VLOOKUP(W42,ListaPrecioTamaño[],MATCH(X42,ListaPrecioTamaño[[#Headers],[Mediano]:[Jumbo]],0)+1,FALSE)*Y42</f>
        <v>6</v>
      </c>
    </row>
    <row r="43" spans="1:26">
      <c r="A43" s="7">
        <v>17</v>
      </c>
      <c r="B43" s="7" t="s">
        <v>31</v>
      </c>
      <c r="C43" s="7">
        <v>2</v>
      </c>
      <c r="D43" s="16">
        <f>VLOOKUP(B43,Precios[],2,FALSE)</f>
        <v>2.5</v>
      </c>
      <c r="E43" s="16">
        <f>VLOOKUP($B43,Precios[#All],2,FALSE)</f>
        <v>2.5</v>
      </c>
      <c r="V43" s="7">
        <v>16</v>
      </c>
      <c r="W43" s="7" t="s">
        <v>29</v>
      </c>
      <c r="X43" s="7" t="s">
        <v>24</v>
      </c>
      <c r="Y43" s="7">
        <v>1</v>
      </c>
      <c r="Z43" s="16">
        <f>VLOOKUP(W43,ListaPrecioTamaño[],MATCH(X43,ListaPrecioTamaño[[#Headers],[Mediano]:[Jumbo]],0)+1,FALSE)*Y43</f>
        <v>4.5</v>
      </c>
    </row>
    <row r="44" spans="1:26">
      <c r="A44" s="7">
        <v>18</v>
      </c>
      <c r="B44" s="7" t="s">
        <v>21</v>
      </c>
      <c r="C44" s="7">
        <v>3</v>
      </c>
      <c r="D44" s="16">
        <f>VLOOKUP(B44,Precios[],2,FALSE)</f>
        <v>2.5</v>
      </c>
      <c r="E44" s="16">
        <f>VLOOKUP($B44,Precios[#All],2,FALSE)</f>
        <v>2.5</v>
      </c>
      <c r="V44" s="7">
        <v>17</v>
      </c>
      <c r="W44" s="7" t="s">
        <v>31</v>
      </c>
      <c r="X44" s="7" t="s">
        <v>22</v>
      </c>
      <c r="Y44" s="7">
        <v>2</v>
      </c>
      <c r="Z44" s="16">
        <f>VLOOKUP(W44,ListaPrecioTamaño[],MATCH(X44,ListaPrecioTamaño[[#Headers],[Mediano]:[Jumbo]],0)+1,FALSE)*Y44</f>
        <v>5</v>
      </c>
    </row>
    <row r="45" spans="1:26">
      <c r="A45" s="7">
        <v>19</v>
      </c>
      <c r="B45" s="7" t="s">
        <v>27</v>
      </c>
      <c r="C45" s="7">
        <v>2</v>
      </c>
      <c r="D45" s="16">
        <f>VLOOKUP(B45,Precios[],2,FALSE)</f>
        <v>3</v>
      </c>
      <c r="E45" s="16">
        <f>VLOOKUP($B45,Precios[#All],2,FALSE)</f>
        <v>3</v>
      </c>
      <c r="V45" s="7">
        <v>18</v>
      </c>
      <c r="W45" s="7" t="s">
        <v>21</v>
      </c>
      <c r="X45" s="7" t="s">
        <v>23</v>
      </c>
      <c r="Y45" s="7">
        <v>3</v>
      </c>
      <c r="Z45" s="16">
        <f>VLOOKUP(W45,ListaPrecioTamaño[],MATCH(X45,ListaPrecioTamaño[[#Headers],[Mediano]:[Jumbo]],0)+1,FALSE)*Y45</f>
        <v>9</v>
      </c>
    </row>
    <row r="46" spans="1:26">
      <c r="A46" s="7">
        <v>20</v>
      </c>
      <c r="B46" s="7" t="s">
        <v>29</v>
      </c>
      <c r="C46" s="7">
        <v>1</v>
      </c>
      <c r="D46" s="16">
        <f>VLOOKUP(B46,Precios[],2,FALSE)</f>
        <v>3</v>
      </c>
      <c r="E46" s="16">
        <f>VLOOKUP($B46,Precios[#All],2,FALSE)</f>
        <v>3</v>
      </c>
      <c r="V46" s="7">
        <v>19</v>
      </c>
      <c r="W46" s="7" t="s">
        <v>27</v>
      </c>
      <c r="X46" s="7" t="s">
        <v>24</v>
      </c>
      <c r="Y46" s="7">
        <v>2</v>
      </c>
      <c r="Z46" s="16">
        <f>VLOOKUP(W46,ListaPrecioTamaño[],MATCH(X46,ListaPrecioTamaño[[#Headers],[Mediano]:[Jumbo]],0)+1,FALSE)*Y46</f>
        <v>8</v>
      </c>
    </row>
    <row r="47" spans="1:26">
      <c r="V47" s="7">
        <v>20</v>
      </c>
      <c r="W47" s="7" t="s">
        <v>29</v>
      </c>
      <c r="X47" s="7" t="s">
        <v>22</v>
      </c>
      <c r="Y47" s="7">
        <v>1</v>
      </c>
      <c r="Z47" s="16">
        <f>VLOOKUP(W47,ListaPrecioTamaño[],MATCH(X47,ListaPrecioTamaño[[#Headers],[Mediano]:[Jumbo]],0)+1,FALSE)*Y47</f>
        <v>3</v>
      </c>
    </row>
    <row r="49" spans="1:17">
      <c r="A49" s="2" t="s">
        <v>35</v>
      </c>
    </row>
    <row r="50" spans="1:17">
      <c r="B50">
        <v>2</v>
      </c>
      <c r="C50">
        <v>4</v>
      </c>
      <c r="D50">
        <v>3</v>
      </c>
      <c r="J50" s="12"/>
    </row>
    <row r="51" spans="1:17">
      <c r="A51" s="8" t="s">
        <v>36</v>
      </c>
      <c r="B51" s="8" t="s">
        <v>37</v>
      </c>
      <c r="C51" s="8" t="s">
        <v>38</v>
      </c>
      <c r="D51" s="8" t="s">
        <v>39</v>
      </c>
      <c r="F51" s="8" t="s">
        <v>36</v>
      </c>
      <c r="G51" s="8" t="s">
        <v>37</v>
      </c>
      <c r="H51" s="8" t="s">
        <v>39</v>
      </c>
      <c r="I51" s="8" t="s">
        <v>38</v>
      </c>
      <c r="J51" s="12"/>
      <c r="L51" t="s">
        <v>40</v>
      </c>
      <c r="M51" s="9">
        <v>75000</v>
      </c>
      <c r="O51" s="4" t="s">
        <v>41</v>
      </c>
      <c r="P51" s="4" t="s">
        <v>42</v>
      </c>
      <c r="Q51" s="4" t="s">
        <v>43</v>
      </c>
    </row>
    <row r="52" spans="1:17">
      <c r="A52" s="7">
        <v>1001</v>
      </c>
      <c r="B52" t="str">
        <f>VLOOKUP($A52,BD_Empleados[#All],B$50,0)</f>
        <v>Juan Pérez</v>
      </c>
      <c r="C52">
        <f>VLOOKUP($A52,BD_Empleados[],4,0)</f>
        <v>5000</v>
      </c>
      <c r="D52" t="str">
        <f>VLOOKUP($A52,BD_Empleados[],3,0)</f>
        <v>Ventas</v>
      </c>
      <c r="F52" s="7">
        <v>1001</v>
      </c>
      <c r="G52" s="7" t="s">
        <v>44</v>
      </c>
      <c r="H52" s="7" t="s">
        <v>45</v>
      </c>
      <c r="I52" s="9">
        <v>5000</v>
      </c>
      <c r="J52" s="12"/>
      <c r="L52" t="s">
        <v>46</v>
      </c>
      <c r="M52" s="10">
        <f>VLOOKUP(M51,O52:Q55,3,TRUE)</f>
        <v>0.05</v>
      </c>
      <c r="O52" s="9">
        <v>0</v>
      </c>
      <c r="P52" s="9">
        <v>14999.99</v>
      </c>
      <c r="Q52" s="10">
        <v>5.0000000000000001E-3</v>
      </c>
    </row>
    <row r="53" spans="1:17" ht="15" thickBot="1">
      <c r="A53" s="7">
        <v>1005</v>
      </c>
      <c r="B53" t="str">
        <f>VLOOKUP($A53,BD_Empleados[#All],B$50,0)</f>
        <v>Luis Torres</v>
      </c>
      <c r="C53">
        <f>VLOOKUP($A53,BD_Empleados[],4,0)</f>
        <v>2750</v>
      </c>
      <c r="D53" t="str">
        <f>VLOOKUP($A53,BD_Empleados[],3,0)</f>
        <v>Finanzas</v>
      </c>
      <c r="F53" s="7">
        <v>1002</v>
      </c>
      <c r="G53" s="7" t="s">
        <v>47</v>
      </c>
      <c r="H53" s="7" t="s">
        <v>48</v>
      </c>
      <c r="I53" s="9">
        <v>1500</v>
      </c>
      <c r="J53" s="12"/>
      <c r="L53" s="11" t="s">
        <v>49</v>
      </c>
      <c r="M53" s="17">
        <f>M51*M52</f>
        <v>3750</v>
      </c>
      <c r="O53" s="9">
        <v>15000</v>
      </c>
      <c r="P53" s="9">
        <v>34999.99</v>
      </c>
      <c r="Q53" s="10">
        <v>2.5000000000000001E-2</v>
      </c>
    </row>
    <row r="54" spans="1:17" ht="15" thickTop="1">
      <c r="A54" s="7">
        <v>1003</v>
      </c>
      <c r="B54" t="str">
        <f>VLOOKUP($A54,BD_Empleados[#All],B$50,0)</f>
        <v>Carlos Ruiz</v>
      </c>
      <c r="C54">
        <f>VLOOKUP($A54,BD_Empleados[],4,0)</f>
        <v>3800</v>
      </c>
      <c r="D54" t="str">
        <f>VLOOKUP($A54,BD_Empleados[],3,0)</f>
        <v>IT</v>
      </c>
      <c r="F54" s="7">
        <v>1003</v>
      </c>
      <c r="G54" s="7" t="s">
        <v>50</v>
      </c>
      <c r="H54" s="7" t="s">
        <v>51</v>
      </c>
      <c r="I54" s="9">
        <v>3800</v>
      </c>
      <c r="J54" s="12"/>
      <c r="O54" s="9">
        <v>35000</v>
      </c>
      <c r="P54" s="9">
        <v>99999.99</v>
      </c>
      <c r="Q54" s="10">
        <v>0.05</v>
      </c>
    </row>
    <row r="55" spans="1:17">
      <c r="A55" s="7"/>
      <c r="B55" s="7"/>
      <c r="C55" s="7"/>
      <c r="F55" s="7">
        <v>1004</v>
      </c>
      <c r="G55" s="7" t="s">
        <v>52</v>
      </c>
      <c r="H55" s="7" t="s">
        <v>53</v>
      </c>
      <c r="I55" s="9">
        <v>4200</v>
      </c>
      <c r="J55" s="12"/>
      <c r="O55" s="9">
        <v>100000</v>
      </c>
      <c r="P55" s="9">
        <v>999999999999</v>
      </c>
      <c r="Q55" s="10">
        <v>7.4999999999999997E-2</v>
      </c>
    </row>
    <row r="56" spans="1:17">
      <c r="A56" s="7"/>
      <c r="B56" s="7"/>
      <c r="C56" s="7"/>
      <c r="F56" s="7">
        <v>1005</v>
      </c>
      <c r="G56" s="7" t="s">
        <v>54</v>
      </c>
      <c r="H56" s="7" t="s">
        <v>55</v>
      </c>
      <c r="I56" s="9">
        <v>2750</v>
      </c>
      <c r="J56" s="12"/>
    </row>
    <row r="57" spans="1:17">
      <c r="B57" s="7"/>
      <c r="C57" s="7"/>
      <c r="J57" s="12"/>
    </row>
    <row r="58" spans="1:17">
      <c r="B58" s="7"/>
      <c r="C58" s="7"/>
      <c r="J58" s="12"/>
    </row>
    <row r="59" spans="1:17">
      <c r="J59" s="12"/>
    </row>
    <row r="60" spans="1:17">
      <c r="J60" s="12"/>
    </row>
    <row r="61" spans="1:17">
      <c r="J61" s="12"/>
    </row>
    <row r="62" spans="1:17">
      <c r="J62" s="12"/>
    </row>
    <row r="63" spans="1:17">
      <c r="J63" s="12"/>
    </row>
    <row r="64" spans="1:17">
      <c r="J64" s="12"/>
    </row>
    <row r="65" spans="10:10">
      <c r="J65" s="12"/>
    </row>
    <row r="69" spans="10:10" ht="15"/>
    <row r="71" spans="10:10" ht="15"/>
    <row r="72" spans="10:10" ht="15"/>
    <row r="73" spans="10:10" ht="15"/>
    <row r="74" spans="10:10" ht="15"/>
    <row r="75" spans="10:10" ht="15"/>
    <row r="76" spans="10:10" ht="15"/>
    <row r="77" spans="10:10" ht="15"/>
    <row r="78" spans="10:10" ht="15"/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F2BB9-30B6-4CAE-81C8-CBD326EFFFA6}">
  <dimension ref="A2:G13"/>
  <sheetViews>
    <sheetView workbookViewId="0">
      <selection activeCell="D4" sqref="D4"/>
    </sheetView>
  </sheetViews>
  <sheetFormatPr defaultColWidth="11.42578125" defaultRowHeight="14.45"/>
  <cols>
    <col min="2" max="2" width="22.7109375" customWidth="1"/>
  </cols>
  <sheetData>
    <row r="2" spans="1:7" ht="18">
      <c r="B2" s="5" t="s">
        <v>56</v>
      </c>
    </row>
    <row r="4" spans="1:7">
      <c r="C4" s="21" t="s">
        <v>36</v>
      </c>
      <c r="D4" s="22" t="s">
        <v>57</v>
      </c>
    </row>
    <row r="5" spans="1:7">
      <c r="C5" s="21" t="s">
        <v>37</v>
      </c>
      <c r="D5" s="22" t="str">
        <f>HLOOKUP(D4,B9:G13,2,FALSE)</f>
        <v>María López</v>
      </c>
    </row>
    <row r="6" spans="1:7" ht="28.9">
      <c r="C6" s="21" t="s">
        <v>39</v>
      </c>
      <c r="D6" s="23" t="str">
        <f>HLOOKUP(D4,B9:G13,3,0)</f>
        <v>Marketing</v>
      </c>
    </row>
    <row r="9" spans="1:7">
      <c r="A9" s="20">
        <v>1</v>
      </c>
      <c r="B9" s="8" t="s">
        <v>36</v>
      </c>
      <c r="C9" s="8" t="s">
        <v>58</v>
      </c>
      <c r="D9" s="8" t="s">
        <v>57</v>
      </c>
      <c r="E9" s="8" t="s">
        <v>59</v>
      </c>
      <c r="F9" s="8" t="s">
        <v>60</v>
      </c>
      <c r="G9" s="8" t="s">
        <v>61</v>
      </c>
    </row>
    <row r="10" spans="1:7">
      <c r="A10" s="20">
        <v>2</v>
      </c>
      <c r="B10" s="8" t="s">
        <v>37</v>
      </c>
      <c r="C10" s="7" t="s">
        <v>44</v>
      </c>
      <c r="D10" s="7" t="s">
        <v>47</v>
      </c>
      <c r="E10" s="7" t="s">
        <v>50</v>
      </c>
      <c r="F10" s="7" t="s">
        <v>52</v>
      </c>
      <c r="G10" s="7" t="s">
        <v>54</v>
      </c>
    </row>
    <row r="11" spans="1:7">
      <c r="A11" s="20">
        <v>3</v>
      </c>
      <c r="B11" s="8" t="s">
        <v>39</v>
      </c>
      <c r="C11" s="7" t="s">
        <v>45</v>
      </c>
      <c r="D11" s="7" t="s">
        <v>48</v>
      </c>
      <c r="E11" s="7" t="s">
        <v>51</v>
      </c>
      <c r="F11" s="7" t="s">
        <v>53</v>
      </c>
      <c r="G11" s="7" t="s">
        <v>55</v>
      </c>
    </row>
    <row r="12" spans="1:7">
      <c r="A12" s="20">
        <v>4</v>
      </c>
      <c r="B12" s="8" t="s">
        <v>62</v>
      </c>
      <c r="C12" s="7">
        <v>2500</v>
      </c>
      <c r="D12" s="7">
        <v>2700</v>
      </c>
      <c r="E12" s="7">
        <v>3000</v>
      </c>
      <c r="F12" s="7">
        <v>2800</v>
      </c>
      <c r="G12" s="7">
        <v>3200</v>
      </c>
    </row>
    <row r="13" spans="1:7">
      <c r="A13" s="20">
        <v>5</v>
      </c>
      <c r="B13" s="8" t="s">
        <v>63</v>
      </c>
      <c r="C13" s="19">
        <v>42064</v>
      </c>
      <c r="D13" s="19">
        <v>42536</v>
      </c>
      <c r="E13" s="19">
        <v>43000</v>
      </c>
      <c r="F13" s="19">
        <v>43444</v>
      </c>
      <c r="G13" s="19">
        <v>43590</v>
      </c>
    </row>
  </sheetData>
  <dataValidations count="1">
    <dataValidation type="list" allowBlank="1" showInputMessage="1" showErrorMessage="1" sqref="D4" xr:uid="{AE6F1E64-CA8F-45B8-86BC-2BE3A5431B9F}">
      <formula1>$C$9:$G$9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78EEA-3AB4-4F74-9374-7857BEDDAAEF}">
  <dimension ref="A2:I25"/>
  <sheetViews>
    <sheetView topLeftCell="A5" workbookViewId="0">
      <selection activeCell="E7" sqref="E7"/>
    </sheetView>
  </sheetViews>
  <sheetFormatPr defaultColWidth="11.42578125" defaultRowHeight="14.45"/>
  <cols>
    <col min="2" max="2" width="13.28515625" bestFit="1" customWidth="1"/>
    <col min="4" max="4" width="14.85546875" customWidth="1"/>
    <col min="7" max="7" width="18.42578125" customWidth="1"/>
  </cols>
  <sheetData>
    <row r="2" spans="1:9" ht="23.45">
      <c r="B2" s="24" t="s">
        <v>64</v>
      </c>
    </row>
    <row r="5" spans="1:9">
      <c r="A5" s="6" t="s">
        <v>16</v>
      </c>
      <c r="B5" s="6" t="s">
        <v>17</v>
      </c>
      <c r="C5" s="6" t="s">
        <v>18</v>
      </c>
      <c r="D5" s="6" t="s">
        <v>19</v>
      </c>
      <c r="F5" s="6"/>
      <c r="G5" t="s">
        <v>17</v>
      </c>
      <c r="H5" t="s">
        <v>19</v>
      </c>
      <c r="I5" s="6" t="s">
        <v>65</v>
      </c>
    </row>
    <row r="6" spans="1:9" ht="15">
      <c r="A6" s="7">
        <v>1</v>
      </c>
      <c r="B6" s="7" t="s">
        <v>21</v>
      </c>
      <c r="C6" s="7">
        <v>2</v>
      </c>
      <c r="D6" s="31">
        <f>_xlfn.XLOOKUP(B6,ListaPrecio2[Producto2],ListaPrecio2[Precio],"No Aplica",0,1)*C6</f>
        <v>5</v>
      </c>
      <c r="G6" t="s">
        <v>21</v>
      </c>
      <c r="H6" s="16">
        <v>2.5</v>
      </c>
      <c r="I6" s="7" t="s">
        <v>21</v>
      </c>
    </row>
    <row r="7" spans="1:9" ht="15">
      <c r="A7" s="7">
        <v>2</v>
      </c>
      <c r="B7" s="7" t="s">
        <v>26</v>
      </c>
      <c r="C7" s="7">
        <v>1</v>
      </c>
      <c r="D7" s="31">
        <f>_xlfn.XLOOKUP(B7,ListaPrecio2[Producto2],ListaPrecio2[Precio],"No Aplica",0,1)*C7</f>
        <v>3</v>
      </c>
      <c r="G7" t="s">
        <v>27</v>
      </c>
      <c r="H7" s="16">
        <v>3</v>
      </c>
      <c r="I7" s="7" t="s">
        <v>27</v>
      </c>
    </row>
    <row r="8" spans="1:9" ht="15">
      <c r="A8" s="7">
        <v>3</v>
      </c>
      <c r="B8" s="7" t="s">
        <v>27</v>
      </c>
      <c r="C8" s="7">
        <v>1</v>
      </c>
      <c r="D8" s="31">
        <f>_xlfn.XLOOKUP(B8,ListaPrecio2[Producto2],ListaPrecio2[Precio],"No Aplica",0,1)*C8</f>
        <v>3</v>
      </c>
      <c r="G8" t="s">
        <v>26</v>
      </c>
      <c r="H8" s="16">
        <v>3</v>
      </c>
      <c r="I8" s="7" t="s">
        <v>26</v>
      </c>
    </row>
    <row r="9" spans="1:9" ht="15">
      <c r="A9" s="7">
        <v>4</v>
      </c>
      <c r="B9" s="7" t="s">
        <v>28</v>
      </c>
      <c r="C9" s="7">
        <v>4</v>
      </c>
      <c r="D9" s="31">
        <f>_xlfn.XLOOKUP(B9,ListaPrecio2[Producto2],ListaPrecio2[Precio],"No Aplica",0,1)*C9</f>
        <v>10</v>
      </c>
      <c r="G9" t="s">
        <v>28</v>
      </c>
      <c r="H9" s="16">
        <v>2.5</v>
      </c>
      <c r="I9" s="7" t="s">
        <v>28</v>
      </c>
    </row>
    <row r="10" spans="1:9" ht="15">
      <c r="A10" s="7">
        <v>5</v>
      </c>
      <c r="B10" s="7" t="s">
        <v>29</v>
      </c>
      <c r="C10" s="7">
        <v>1</v>
      </c>
      <c r="D10" s="31">
        <f>_xlfn.XLOOKUP(B10,ListaPrecio2[Producto2],ListaPrecio2[Precio],"No Aplica",0,1)*C10</f>
        <v>3</v>
      </c>
      <c r="G10" t="s">
        <v>29</v>
      </c>
      <c r="H10" s="16">
        <v>3</v>
      </c>
      <c r="I10" s="7" t="s">
        <v>29</v>
      </c>
    </row>
    <row r="11" spans="1:9" ht="15">
      <c r="A11" s="7">
        <v>6</v>
      </c>
      <c r="B11" s="7" t="s">
        <v>30</v>
      </c>
      <c r="C11" s="7">
        <v>3</v>
      </c>
      <c r="D11" s="31">
        <f>_xlfn.XLOOKUP(B11,ListaPrecio2[Producto2],ListaPrecio2[Precio],"No Aplica",0,1)*C11</f>
        <v>9</v>
      </c>
      <c r="G11" t="s">
        <v>30</v>
      </c>
      <c r="H11" s="16">
        <v>3</v>
      </c>
      <c r="I11" s="7" t="s">
        <v>30</v>
      </c>
    </row>
    <row r="12" spans="1:9" ht="15">
      <c r="A12" s="7">
        <v>7</v>
      </c>
      <c r="B12" s="7" t="s">
        <v>31</v>
      </c>
      <c r="C12" s="7">
        <v>2</v>
      </c>
      <c r="D12" s="31">
        <f>_xlfn.XLOOKUP(B12,ListaPrecio2[Producto2],ListaPrecio2[Precio],"No Aplica",0,1)*C12</f>
        <v>5</v>
      </c>
      <c r="G12" t="s">
        <v>31</v>
      </c>
      <c r="H12" s="16">
        <v>2.5</v>
      </c>
      <c r="I12" s="7" t="s">
        <v>31</v>
      </c>
    </row>
    <row r="13" spans="1:9" ht="15">
      <c r="A13" s="7">
        <v>8</v>
      </c>
      <c r="B13" s="7" t="s">
        <v>32</v>
      </c>
      <c r="C13" s="7">
        <v>2</v>
      </c>
      <c r="D13" s="31">
        <f>_xlfn.XLOOKUP(B13,ListaPrecio2[Producto2],ListaPrecio2[Precio],"No Aplica",0,1)*C13</f>
        <v>6</v>
      </c>
      <c r="G13" t="s">
        <v>32</v>
      </c>
      <c r="H13" s="16">
        <v>3</v>
      </c>
      <c r="I13" s="7" t="s">
        <v>32</v>
      </c>
    </row>
    <row r="14" spans="1:9" ht="15">
      <c r="A14" s="7">
        <v>9</v>
      </c>
      <c r="B14" s="7" t="s">
        <v>33</v>
      </c>
      <c r="C14" s="7">
        <v>1</v>
      </c>
      <c r="D14" s="31">
        <f>_xlfn.XLOOKUP(B14,ListaPrecio2[Producto2],ListaPrecio2[Precio],"No Aplica",0,1)*C14</f>
        <v>3</v>
      </c>
      <c r="G14" t="s">
        <v>33</v>
      </c>
      <c r="H14" s="16">
        <v>3</v>
      </c>
      <c r="I14" s="7" t="s">
        <v>33</v>
      </c>
    </row>
    <row r="15" spans="1:9" ht="29.25">
      <c r="A15" s="7">
        <v>10</v>
      </c>
      <c r="B15" s="7" t="s">
        <v>34</v>
      </c>
      <c r="C15" s="7">
        <v>1</v>
      </c>
      <c r="D15" s="31">
        <f>_xlfn.XLOOKUP(B15,ListaPrecio2[Producto2],ListaPrecio2[Precio],"No Aplica",0,1)*C15</f>
        <v>2.5</v>
      </c>
      <c r="G15" t="s">
        <v>34</v>
      </c>
      <c r="H15" s="16">
        <v>2.5</v>
      </c>
      <c r="I15" s="7" t="s">
        <v>34</v>
      </c>
    </row>
    <row r="16" spans="1:9" ht="15">
      <c r="A16" s="7">
        <v>11</v>
      </c>
      <c r="B16" s="7" t="s">
        <v>21</v>
      </c>
      <c r="C16" s="7">
        <v>2</v>
      </c>
      <c r="D16" s="31">
        <f>_xlfn.XLOOKUP(B16,ListaPrecio2[Producto2],ListaPrecio2[Precio],"No Aplica",0,1)*C16</f>
        <v>5</v>
      </c>
    </row>
    <row r="17" spans="1:4" ht="15">
      <c r="A17" s="7">
        <v>12</v>
      </c>
      <c r="B17" s="7" t="s">
        <v>21</v>
      </c>
      <c r="C17" s="7">
        <v>1</v>
      </c>
      <c r="D17" s="31">
        <f>_xlfn.XLOOKUP(B17,ListaPrecio2[Producto2],ListaPrecio2[Precio],"No Aplica",0,1)*C17</f>
        <v>2.5</v>
      </c>
    </row>
    <row r="18" spans="1:4" ht="15">
      <c r="A18" s="7">
        <v>13</v>
      </c>
      <c r="B18" s="7" t="s">
        <v>33</v>
      </c>
      <c r="C18" s="7">
        <v>1</v>
      </c>
      <c r="D18" s="31">
        <f>_xlfn.XLOOKUP(B18,ListaPrecio2[Producto2],ListaPrecio2[Precio],"No Aplica",0,1)*C18</f>
        <v>3</v>
      </c>
    </row>
    <row r="19" spans="1:4" ht="29.25">
      <c r="A19" s="7">
        <v>14</v>
      </c>
      <c r="B19" s="7" t="s">
        <v>34</v>
      </c>
      <c r="C19" s="7">
        <v>3</v>
      </c>
      <c r="D19" s="31">
        <f>_xlfn.XLOOKUP(B19,ListaPrecio2[Producto2],ListaPrecio2[Precio],"No Aplica",0,1)*C19</f>
        <v>7.5</v>
      </c>
    </row>
    <row r="20" spans="1:4" ht="29.25">
      <c r="A20" s="7">
        <v>15</v>
      </c>
      <c r="B20" s="7" t="s">
        <v>34</v>
      </c>
      <c r="C20" s="7">
        <v>2</v>
      </c>
      <c r="D20" s="31">
        <f>_xlfn.XLOOKUP(B20,ListaPrecio2[Producto2],ListaPrecio2[Precio],"No Aplica",0,1)*C20</f>
        <v>5</v>
      </c>
    </row>
    <row r="21" spans="1:4" ht="15">
      <c r="A21" s="7">
        <v>16</v>
      </c>
      <c r="B21" s="7" t="s">
        <v>29</v>
      </c>
      <c r="C21" s="7">
        <v>1</v>
      </c>
      <c r="D21" s="31">
        <f>_xlfn.XLOOKUP(B21,ListaPrecio2[Producto2],ListaPrecio2[Precio],"No Aplica",0,1)*C21</f>
        <v>3</v>
      </c>
    </row>
    <row r="22" spans="1:4" ht="15">
      <c r="A22" s="7">
        <v>17</v>
      </c>
      <c r="B22" s="7" t="s">
        <v>31</v>
      </c>
      <c r="C22" s="7">
        <v>2</v>
      </c>
      <c r="D22" s="31">
        <f>_xlfn.XLOOKUP(B22,ListaPrecio2[Producto2],ListaPrecio2[Precio],"No Aplica",0,1)*C22</f>
        <v>5</v>
      </c>
    </row>
    <row r="23" spans="1:4" ht="15">
      <c r="A23" s="7">
        <v>18</v>
      </c>
      <c r="B23" s="7" t="s">
        <v>21</v>
      </c>
      <c r="C23" s="7">
        <v>3</v>
      </c>
      <c r="D23" s="31">
        <f>_xlfn.XLOOKUP(B23,ListaPrecio2[Producto2],ListaPrecio2[Precio],"No Aplica",0,1)*C23</f>
        <v>7.5</v>
      </c>
    </row>
    <row r="24" spans="1:4" ht="15">
      <c r="A24" s="7">
        <v>19</v>
      </c>
      <c r="B24" s="7" t="s">
        <v>27</v>
      </c>
      <c r="C24" s="7">
        <v>2</v>
      </c>
      <c r="D24" s="31">
        <f>_xlfn.XLOOKUP(B24,ListaPrecio2[Producto2],ListaPrecio2[Precio],"No Aplica",0,1)*C24</f>
        <v>6</v>
      </c>
    </row>
    <row r="25" spans="1:4" ht="15">
      <c r="A25" s="7">
        <v>20</v>
      </c>
      <c r="B25" s="7" t="s">
        <v>29</v>
      </c>
      <c r="C25" s="7">
        <v>1</v>
      </c>
      <c r="D25" s="31">
        <f>_xlfn.XLOOKUP(B25,ListaPrecio2[Producto2],ListaPrecio2[Precio],"No Aplica",0,1)*C25</f>
        <v>3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8998B-FF1C-4028-85D3-67153E58685D}">
  <dimension ref="A1:M13"/>
  <sheetViews>
    <sheetView zoomScale="150" zoomScaleNormal="150" workbookViewId="0">
      <selection activeCell="D15" sqref="D15"/>
    </sheetView>
  </sheetViews>
  <sheetFormatPr defaultColWidth="11.42578125" defaultRowHeight="14.45"/>
  <cols>
    <col min="2" max="2" width="13" customWidth="1"/>
  </cols>
  <sheetData>
    <row r="1" spans="1:13" ht="23.45">
      <c r="B1" s="24" t="s">
        <v>66</v>
      </c>
    </row>
    <row r="3" spans="1:13">
      <c r="B3" s="27" t="s">
        <v>17</v>
      </c>
      <c r="D3" t="s">
        <v>27</v>
      </c>
    </row>
    <row r="4" spans="1:13">
      <c r="A4" cm="1">
        <f t="array" ref="A4:A13">_xlfn.SEQUENCE(10)</f>
        <v>1</v>
      </c>
      <c r="B4" s="28" t="s">
        <v>21</v>
      </c>
      <c r="D4">
        <f>_xlfn.XMATCH(D3,B4:B13,0,-1)</f>
        <v>7</v>
      </c>
    </row>
    <row r="5" spans="1:13">
      <c r="A5">
        <v>2</v>
      </c>
      <c r="B5" s="29" t="s">
        <v>27</v>
      </c>
    </row>
    <row r="6" spans="1:13">
      <c r="A6">
        <v>3</v>
      </c>
      <c r="B6" s="28" t="s">
        <v>26</v>
      </c>
    </row>
    <row r="7" spans="1:13">
      <c r="A7">
        <v>4</v>
      </c>
      <c r="B7" s="29" t="s">
        <v>28</v>
      </c>
    </row>
    <row r="8" spans="1:13">
      <c r="A8">
        <v>5</v>
      </c>
      <c r="B8" s="28" t="s">
        <v>29</v>
      </c>
    </row>
    <row r="9" spans="1:13">
      <c r="A9">
        <v>6</v>
      </c>
      <c r="B9" s="29" t="s">
        <v>30</v>
      </c>
    </row>
    <row r="10" spans="1:13">
      <c r="A10">
        <v>7</v>
      </c>
      <c r="B10" s="28" t="s">
        <v>27</v>
      </c>
      <c r="D10" t="str" cm="1">
        <f t="array" ref="D10:M10">TRANSPOSE(B4:B13)</f>
        <v>Espresso</v>
      </c>
      <c r="E10" t="str">
        <v>Latte</v>
      </c>
      <c r="F10" t="str">
        <v>Cappuccino</v>
      </c>
      <c r="G10" t="str">
        <v>Americano</v>
      </c>
      <c r="H10" t="str">
        <v>Mocha</v>
      </c>
      <c r="I10" t="str">
        <v>Macchiato</v>
      </c>
      <c r="J10" t="str">
        <v>Latte</v>
      </c>
      <c r="K10" t="str">
        <v>Frappuccino</v>
      </c>
      <c r="L10" t="str">
        <v>Cortado</v>
      </c>
      <c r="M10" t="str">
        <v>Café con Leche</v>
      </c>
    </row>
    <row r="11" spans="1:13">
      <c r="A11">
        <v>8</v>
      </c>
      <c r="B11" s="29" t="s">
        <v>32</v>
      </c>
      <c r="D11">
        <f>MATCH(D10,$B$4:$B$13,0)</f>
        <v>1</v>
      </c>
      <c r="E11">
        <f t="shared" ref="E11:M11" si="0">MATCH(E10,$B$4:$B$13,0)</f>
        <v>2</v>
      </c>
      <c r="F11">
        <f t="shared" si="0"/>
        <v>3</v>
      </c>
      <c r="G11">
        <f t="shared" si="0"/>
        <v>4</v>
      </c>
      <c r="H11">
        <f t="shared" si="0"/>
        <v>5</v>
      </c>
      <c r="I11">
        <f t="shared" si="0"/>
        <v>6</v>
      </c>
      <c r="J11">
        <f t="shared" si="0"/>
        <v>2</v>
      </c>
      <c r="K11">
        <f t="shared" si="0"/>
        <v>8</v>
      </c>
      <c r="L11">
        <f t="shared" si="0"/>
        <v>9</v>
      </c>
      <c r="M11">
        <f t="shared" si="0"/>
        <v>10</v>
      </c>
    </row>
    <row r="12" spans="1:13">
      <c r="A12">
        <v>9</v>
      </c>
      <c r="B12" s="28" t="s">
        <v>33</v>
      </c>
    </row>
    <row r="13" spans="1:13">
      <c r="A13">
        <v>10</v>
      </c>
      <c r="B13" s="29" t="s">
        <v>34</v>
      </c>
    </row>
  </sheetData>
  <conditionalFormatting sqref="B4:B13">
    <cfRule type="duplicateValues" dxfId="29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112AD-A9EA-4C68-AADF-20B4F7F1CB33}">
  <dimension ref="A2:I24"/>
  <sheetViews>
    <sheetView workbookViewId="0">
      <selection activeCell="F9" sqref="F9"/>
    </sheetView>
  </sheetViews>
  <sheetFormatPr defaultColWidth="11.42578125" defaultRowHeight="14.45"/>
  <cols>
    <col min="8" max="8" width="13.28515625" bestFit="1" customWidth="1"/>
    <col min="9" max="9" width="11.7109375" customWidth="1"/>
  </cols>
  <sheetData>
    <row r="2" spans="1:9">
      <c r="B2" s="30" t="s">
        <v>67</v>
      </c>
    </row>
    <row r="4" spans="1:9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</row>
    <row r="5" spans="1:9">
      <c r="A5" s="7">
        <v>1</v>
      </c>
      <c r="B5" s="7" t="s">
        <v>21</v>
      </c>
      <c r="C5" s="7">
        <v>2</v>
      </c>
      <c r="D5" s="16">
        <f t="shared" ref="D5:D24" si="0">VLOOKUP(B5,Empleados,2,FALSE)</f>
        <v>2.5</v>
      </c>
      <c r="E5" s="16">
        <f>INDEX(Precios9[],MATCH(B5,Precios9[Producto],0),2)*C5</f>
        <v>5</v>
      </c>
      <c r="H5" t="s">
        <v>17</v>
      </c>
      <c r="I5" t="s">
        <v>19</v>
      </c>
    </row>
    <row r="6" spans="1:9">
      <c r="A6" s="7">
        <v>2</v>
      </c>
      <c r="B6" s="7" t="s">
        <v>26</v>
      </c>
      <c r="C6" s="7">
        <v>1</v>
      </c>
      <c r="D6" s="16">
        <f t="shared" si="0"/>
        <v>3</v>
      </c>
      <c r="E6" s="16">
        <f>INDEX(Precios9[],MATCH(B6,Precios9[Producto],0),2)*C6</f>
        <v>3</v>
      </c>
      <c r="H6" t="s">
        <v>21</v>
      </c>
      <c r="I6" s="16">
        <v>2.5</v>
      </c>
    </row>
    <row r="7" spans="1:9">
      <c r="A7" s="7">
        <v>3</v>
      </c>
      <c r="B7" s="7" t="s">
        <v>27</v>
      </c>
      <c r="C7" s="7">
        <v>1</v>
      </c>
      <c r="D7" s="16">
        <f t="shared" si="0"/>
        <v>3</v>
      </c>
      <c r="E7" s="16">
        <f>INDEX(Precios9[],MATCH(B7,Precios9[Producto],0),2)*C7</f>
        <v>3</v>
      </c>
      <c r="H7" t="s">
        <v>27</v>
      </c>
      <c r="I7" s="16">
        <v>3</v>
      </c>
    </row>
    <row r="8" spans="1:9">
      <c r="A8" s="7">
        <v>4</v>
      </c>
      <c r="B8" s="7" t="s">
        <v>28</v>
      </c>
      <c r="C8" s="7">
        <v>4</v>
      </c>
      <c r="D8" s="16">
        <f t="shared" si="0"/>
        <v>2.5</v>
      </c>
      <c r="E8" s="16">
        <f>INDEX(Precios9[],MATCH(B8,Precios9[Producto],0),2)*C8</f>
        <v>10</v>
      </c>
      <c r="H8" t="s">
        <v>26</v>
      </c>
      <c r="I8" s="16">
        <v>3</v>
      </c>
    </row>
    <row r="9" spans="1:9">
      <c r="A9" s="7">
        <v>5</v>
      </c>
      <c r="B9" s="7" t="s">
        <v>29</v>
      </c>
      <c r="C9" s="7">
        <v>1</v>
      </c>
      <c r="D9" s="16">
        <f t="shared" si="0"/>
        <v>3</v>
      </c>
      <c r="E9" s="16">
        <f>INDEX(Precios9[],MATCH(B9,Precios9[Producto],0),2)*C9</f>
        <v>3</v>
      </c>
      <c r="H9" t="s">
        <v>28</v>
      </c>
      <c r="I9" s="16">
        <v>2.5</v>
      </c>
    </row>
    <row r="10" spans="1:9">
      <c r="A10" s="7">
        <v>6</v>
      </c>
      <c r="B10" s="7" t="s">
        <v>30</v>
      </c>
      <c r="C10" s="7">
        <v>3</v>
      </c>
      <c r="D10" s="16">
        <f t="shared" si="0"/>
        <v>3</v>
      </c>
      <c r="E10" s="16">
        <f>INDEX(Precios9[],MATCH(B10,Precios9[Producto],0),2)*C10</f>
        <v>9</v>
      </c>
      <c r="H10" t="s">
        <v>29</v>
      </c>
      <c r="I10" s="16">
        <v>3</v>
      </c>
    </row>
    <row r="11" spans="1:9">
      <c r="A11" s="7">
        <v>7</v>
      </c>
      <c r="B11" s="7" t="s">
        <v>31</v>
      </c>
      <c r="C11" s="7">
        <v>2</v>
      </c>
      <c r="D11" s="16">
        <f t="shared" si="0"/>
        <v>2.5</v>
      </c>
      <c r="E11" s="16">
        <f>INDEX(Precios9[],MATCH(B11,Precios9[Producto],0),2)*C11</f>
        <v>5</v>
      </c>
      <c r="H11" t="s">
        <v>30</v>
      </c>
      <c r="I11" s="16">
        <v>3</v>
      </c>
    </row>
    <row r="12" spans="1:9">
      <c r="A12" s="7">
        <v>8</v>
      </c>
      <c r="B12" s="7" t="s">
        <v>32</v>
      </c>
      <c r="C12" s="7">
        <v>2</v>
      </c>
      <c r="D12" s="16">
        <f t="shared" si="0"/>
        <v>3</v>
      </c>
      <c r="E12" s="16">
        <f>INDEX(Precios9[],MATCH(B12,Precios9[Producto],0),2)*C12</f>
        <v>6</v>
      </c>
      <c r="H12" t="s">
        <v>31</v>
      </c>
      <c r="I12" s="16">
        <v>2.5</v>
      </c>
    </row>
    <row r="13" spans="1:9">
      <c r="A13" s="7">
        <v>9</v>
      </c>
      <c r="B13" s="7" t="s">
        <v>33</v>
      </c>
      <c r="C13" s="7">
        <v>1</v>
      </c>
      <c r="D13" s="16">
        <f t="shared" si="0"/>
        <v>3</v>
      </c>
      <c r="E13" s="16">
        <f>INDEX(Precios9[],MATCH(B13,Precios9[Producto],0),2)*C13</f>
        <v>3</v>
      </c>
      <c r="H13" t="s">
        <v>32</v>
      </c>
      <c r="I13" s="16">
        <v>3</v>
      </c>
    </row>
    <row r="14" spans="1:9" ht="28.9">
      <c r="A14" s="7">
        <v>10</v>
      </c>
      <c r="B14" s="7" t="s">
        <v>34</v>
      </c>
      <c r="C14" s="7">
        <v>1</v>
      </c>
      <c r="D14" s="16">
        <f t="shared" si="0"/>
        <v>2.5</v>
      </c>
      <c r="E14" s="16">
        <f>INDEX(Precios9[],MATCH(B14,Precios9[Producto],0),2)*C14</f>
        <v>2.5</v>
      </c>
      <c r="H14" t="s">
        <v>33</v>
      </c>
      <c r="I14" s="16">
        <v>3</v>
      </c>
    </row>
    <row r="15" spans="1:9">
      <c r="A15" s="7">
        <v>11</v>
      </c>
      <c r="B15" s="7" t="s">
        <v>21</v>
      </c>
      <c r="C15" s="7">
        <v>2</v>
      </c>
      <c r="D15" s="16">
        <f t="shared" si="0"/>
        <v>2.5</v>
      </c>
      <c r="E15" s="16">
        <f>INDEX(Precios9[],MATCH(B15,Precios9[Producto],0),2)*C15</f>
        <v>5</v>
      </c>
      <c r="H15" t="s">
        <v>34</v>
      </c>
      <c r="I15" s="16">
        <v>2.5</v>
      </c>
    </row>
    <row r="16" spans="1:9">
      <c r="A16" s="7">
        <v>12</v>
      </c>
      <c r="B16" s="7" t="s">
        <v>21</v>
      </c>
      <c r="C16" s="7">
        <v>1</v>
      </c>
      <c r="D16" s="16">
        <f t="shared" si="0"/>
        <v>2.5</v>
      </c>
      <c r="E16" s="16">
        <f>INDEX(Precios9[],MATCH(B16,Precios9[Producto],0),2)*C16</f>
        <v>2.5</v>
      </c>
    </row>
    <row r="17" spans="1:5">
      <c r="A17" s="7">
        <v>13</v>
      </c>
      <c r="B17" s="7" t="s">
        <v>33</v>
      </c>
      <c r="C17" s="7">
        <v>1</v>
      </c>
      <c r="D17" s="16">
        <f t="shared" si="0"/>
        <v>3</v>
      </c>
      <c r="E17" s="16">
        <f>INDEX(Precios9[],MATCH(B17,Precios9[Producto],0),2)*C17</f>
        <v>3</v>
      </c>
    </row>
    <row r="18" spans="1:5" ht="28.9">
      <c r="A18" s="7">
        <v>14</v>
      </c>
      <c r="B18" s="7" t="s">
        <v>34</v>
      </c>
      <c r="C18" s="7">
        <v>3</v>
      </c>
      <c r="D18" s="16">
        <f t="shared" si="0"/>
        <v>2.5</v>
      </c>
      <c r="E18" s="16">
        <f>INDEX(Precios9[],MATCH(B18,Precios9[Producto],0),2)*C18</f>
        <v>7.5</v>
      </c>
    </row>
    <row r="19" spans="1:5" ht="28.9">
      <c r="A19" s="7">
        <v>15</v>
      </c>
      <c r="B19" s="7" t="s">
        <v>34</v>
      </c>
      <c r="C19" s="7">
        <v>2</v>
      </c>
      <c r="D19" s="16">
        <f t="shared" si="0"/>
        <v>2.5</v>
      </c>
      <c r="E19" s="16">
        <f>INDEX(Precios9[],MATCH(B19,Precios9[Producto],0),2)*C19</f>
        <v>5</v>
      </c>
    </row>
    <row r="20" spans="1:5">
      <c r="A20" s="7">
        <v>16</v>
      </c>
      <c r="B20" s="7" t="s">
        <v>29</v>
      </c>
      <c r="C20" s="7">
        <v>1</v>
      </c>
      <c r="D20" s="16">
        <f t="shared" si="0"/>
        <v>3</v>
      </c>
      <c r="E20" s="16">
        <f>INDEX(Precios9[],MATCH(B20,Precios9[Producto],0),2)*C20</f>
        <v>3</v>
      </c>
    </row>
    <row r="21" spans="1:5">
      <c r="A21" s="7">
        <v>17</v>
      </c>
      <c r="B21" s="7" t="s">
        <v>31</v>
      </c>
      <c r="C21" s="7">
        <v>2</v>
      </c>
      <c r="D21" s="16">
        <f t="shared" si="0"/>
        <v>2.5</v>
      </c>
      <c r="E21" s="16">
        <f>INDEX(Precios9[],MATCH(B21,Precios9[Producto],0),2)*C21</f>
        <v>5</v>
      </c>
    </row>
    <row r="22" spans="1:5">
      <c r="A22" s="7">
        <v>18</v>
      </c>
      <c r="B22" s="7" t="s">
        <v>21</v>
      </c>
      <c r="C22" s="7">
        <v>3</v>
      </c>
      <c r="D22" s="16">
        <f t="shared" si="0"/>
        <v>2.5</v>
      </c>
      <c r="E22" s="16">
        <f>INDEX(Precios9[],MATCH(B22,Precios9[Producto],0),2)*C22</f>
        <v>7.5</v>
      </c>
    </row>
    <row r="23" spans="1:5">
      <c r="A23" s="7">
        <v>19</v>
      </c>
      <c r="B23" s="7" t="s">
        <v>27</v>
      </c>
      <c r="C23" s="7">
        <v>2</v>
      </c>
      <c r="D23" s="16">
        <f t="shared" si="0"/>
        <v>3</v>
      </c>
      <c r="E23" s="16">
        <f>INDEX(Precios9[],MATCH(B23,Precios9[Producto],0),2)*C23</f>
        <v>6</v>
      </c>
    </row>
    <row r="24" spans="1:5">
      <c r="A24" s="7">
        <v>20</v>
      </c>
      <c r="B24" s="7" t="s">
        <v>29</v>
      </c>
      <c r="C24" s="7">
        <v>1</v>
      </c>
      <c r="D24" s="16">
        <f t="shared" si="0"/>
        <v>3</v>
      </c>
      <c r="E24" s="16">
        <f>INDEX(Precios9[],MATCH(B24,Precios9[Producto],0),2)*C24</f>
        <v>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158E5-B75B-471B-9675-5907CF74B1C1}">
  <dimension ref="A2:K30"/>
  <sheetViews>
    <sheetView workbookViewId="0">
      <selection activeCell="M10" sqref="M10"/>
    </sheetView>
  </sheetViews>
  <sheetFormatPr defaultColWidth="11.42578125" defaultRowHeight="14.45"/>
  <cols>
    <col min="1" max="1" width="13" bestFit="1" customWidth="1"/>
    <col min="5" max="5" width="13.5703125" bestFit="1" customWidth="1"/>
    <col min="6" max="6" width="19" bestFit="1" customWidth="1"/>
  </cols>
  <sheetData>
    <row r="2" spans="1:11" ht="23.45">
      <c r="B2" s="24" t="s">
        <v>68</v>
      </c>
    </row>
    <row r="4" spans="1:11">
      <c r="A4" s="25" t="s">
        <v>17</v>
      </c>
      <c r="B4" s="25" t="s">
        <v>69</v>
      </c>
      <c r="C4" s="25" t="s">
        <v>70</v>
      </c>
      <c r="D4" s="25" t="s">
        <v>18</v>
      </c>
      <c r="E4" s="25" t="s">
        <v>71</v>
      </c>
      <c r="F4" s="25" t="s">
        <v>18</v>
      </c>
      <c r="G4" s="25" t="s">
        <v>19</v>
      </c>
      <c r="H4" s="25" t="s">
        <v>45</v>
      </c>
    </row>
    <row r="5" spans="1:11">
      <c r="A5" t="s">
        <v>72</v>
      </c>
      <c r="B5" t="s">
        <v>73</v>
      </c>
      <c r="C5" t="s">
        <v>74</v>
      </c>
      <c r="D5">
        <v>9</v>
      </c>
      <c r="E5" s="18">
        <v>45295</v>
      </c>
      <c r="F5">
        <v>9</v>
      </c>
      <c r="G5">
        <v>79.010000000000005</v>
      </c>
      <c r="H5">
        <f>F5*G5</f>
        <v>711.09</v>
      </c>
      <c r="J5" t="str" cm="1">
        <f t="array" ref="J5:K15">_xlfn.GROUPBY(A4:A29,F4:F29,_xleta.SUM,3)</f>
        <v>Producto</v>
      </c>
      <c r="K5" t="str">
        <v>Cantidad</v>
      </c>
    </row>
    <row r="6" spans="1:11">
      <c r="A6" t="s">
        <v>75</v>
      </c>
      <c r="B6" t="s">
        <v>76</v>
      </c>
      <c r="C6" t="s">
        <v>77</v>
      </c>
      <c r="D6">
        <v>9</v>
      </c>
      <c r="E6" s="18">
        <v>45299</v>
      </c>
      <c r="F6">
        <v>9</v>
      </c>
      <c r="G6">
        <v>68.28</v>
      </c>
      <c r="H6">
        <f t="shared" ref="H6:H29" si="0">F6*G6</f>
        <v>614.52</v>
      </c>
      <c r="J6" t="str">
        <v>Blusa</v>
      </c>
      <c r="K6">
        <v>19</v>
      </c>
    </row>
    <row r="7" spans="1:11">
      <c r="A7" t="s">
        <v>75</v>
      </c>
      <c r="B7" t="s">
        <v>78</v>
      </c>
      <c r="C7" t="s">
        <v>79</v>
      </c>
      <c r="D7">
        <v>5</v>
      </c>
      <c r="E7" s="18">
        <v>45300</v>
      </c>
      <c r="F7">
        <v>5</v>
      </c>
      <c r="G7">
        <v>38.159999999999997</v>
      </c>
      <c r="H7">
        <f t="shared" si="0"/>
        <v>190.79999999999998</v>
      </c>
      <c r="J7" t="str">
        <v>Camiseta</v>
      </c>
      <c r="K7">
        <v>31</v>
      </c>
    </row>
    <row r="8" spans="1:11">
      <c r="A8" t="s">
        <v>80</v>
      </c>
      <c r="B8" t="s">
        <v>78</v>
      </c>
      <c r="C8" t="s">
        <v>81</v>
      </c>
      <c r="D8">
        <v>9</v>
      </c>
      <c r="E8" s="18">
        <v>45306</v>
      </c>
      <c r="F8">
        <v>9</v>
      </c>
      <c r="G8">
        <v>66.77</v>
      </c>
      <c r="H8">
        <f t="shared" si="0"/>
        <v>600.92999999999995</v>
      </c>
      <c r="J8" t="str">
        <v>Chaqueta</v>
      </c>
      <c r="K8">
        <v>12</v>
      </c>
    </row>
    <row r="9" spans="1:11">
      <c r="A9" t="s">
        <v>82</v>
      </c>
      <c r="B9" t="s">
        <v>76</v>
      </c>
      <c r="C9" t="s">
        <v>83</v>
      </c>
      <c r="D9">
        <v>6</v>
      </c>
      <c r="E9" s="18">
        <v>45308</v>
      </c>
      <c r="F9">
        <v>6</v>
      </c>
      <c r="G9">
        <v>26.9</v>
      </c>
      <c r="H9">
        <f t="shared" si="0"/>
        <v>161.39999999999998</v>
      </c>
      <c r="J9" t="str">
        <v>Falda</v>
      </c>
      <c r="K9">
        <v>9</v>
      </c>
    </row>
    <row r="10" spans="1:11">
      <c r="A10" t="s">
        <v>84</v>
      </c>
      <c r="B10" t="s">
        <v>78</v>
      </c>
      <c r="C10" t="s">
        <v>85</v>
      </c>
      <c r="D10">
        <v>10</v>
      </c>
      <c r="E10" s="18">
        <v>45318</v>
      </c>
      <c r="F10">
        <v>10</v>
      </c>
      <c r="G10">
        <v>58.56</v>
      </c>
      <c r="H10">
        <f t="shared" si="0"/>
        <v>585.6</v>
      </c>
      <c r="J10" t="str">
        <v>Jeans</v>
      </c>
      <c r="K10">
        <v>9</v>
      </c>
    </row>
    <row r="11" spans="1:11">
      <c r="A11" t="s">
        <v>75</v>
      </c>
      <c r="B11" t="s">
        <v>78</v>
      </c>
      <c r="C11" t="s">
        <v>81</v>
      </c>
      <c r="D11">
        <v>3</v>
      </c>
      <c r="E11" s="18">
        <v>45344</v>
      </c>
      <c r="F11">
        <v>3</v>
      </c>
      <c r="G11">
        <v>21.33</v>
      </c>
      <c r="H11">
        <f t="shared" si="0"/>
        <v>63.989999999999995</v>
      </c>
      <c r="J11" t="str">
        <v>Pantalón</v>
      </c>
      <c r="K11">
        <v>26</v>
      </c>
    </row>
    <row r="12" spans="1:11">
      <c r="A12" t="s">
        <v>80</v>
      </c>
      <c r="B12" t="s">
        <v>76</v>
      </c>
      <c r="C12" t="s">
        <v>79</v>
      </c>
      <c r="D12">
        <v>7</v>
      </c>
      <c r="E12" s="18">
        <v>45366</v>
      </c>
      <c r="F12">
        <v>7</v>
      </c>
      <c r="G12">
        <v>53.84</v>
      </c>
      <c r="H12">
        <f t="shared" si="0"/>
        <v>376.88</v>
      </c>
      <c r="J12" t="str">
        <v>Short</v>
      </c>
      <c r="K12">
        <v>30</v>
      </c>
    </row>
    <row r="13" spans="1:11">
      <c r="A13" t="s">
        <v>84</v>
      </c>
      <c r="B13" t="s">
        <v>73</v>
      </c>
      <c r="C13" t="s">
        <v>74</v>
      </c>
      <c r="D13">
        <v>5</v>
      </c>
      <c r="E13" s="18">
        <v>45377</v>
      </c>
      <c r="F13">
        <v>5</v>
      </c>
      <c r="G13">
        <v>76.510000000000005</v>
      </c>
      <c r="H13">
        <f t="shared" si="0"/>
        <v>382.55</v>
      </c>
      <c r="J13" t="str">
        <v>Sudadera</v>
      </c>
      <c r="K13">
        <v>11</v>
      </c>
    </row>
    <row r="14" spans="1:11">
      <c r="A14" t="s">
        <v>84</v>
      </c>
      <c r="B14" t="s">
        <v>86</v>
      </c>
      <c r="C14" t="s">
        <v>74</v>
      </c>
      <c r="D14">
        <v>3</v>
      </c>
      <c r="E14" s="18">
        <v>45378</v>
      </c>
      <c r="F14">
        <v>3</v>
      </c>
      <c r="G14">
        <v>53.87</v>
      </c>
      <c r="H14">
        <f t="shared" si="0"/>
        <v>161.60999999999999</v>
      </c>
      <c r="J14" t="str">
        <v>Vestido</v>
      </c>
      <c r="K14">
        <v>10</v>
      </c>
    </row>
    <row r="15" spans="1:11">
      <c r="A15" t="s">
        <v>80</v>
      </c>
      <c r="B15" t="s">
        <v>73</v>
      </c>
      <c r="C15" t="s">
        <v>79</v>
      </c>
      <c r="D15">
        <v>9</v>
      </c>
      <c r="E15" s="18">
        <v>45380</v>
      </c>
      <c r="F15">
        <v>9</v>
      </c>
      <c r="G15">
        <v>48.33</v>
      </c>
      <c r="H15">
        <f t="shared" si="0"/>
        <v>434.96999999999997</v>
      </c>
      <c r="J15" t="str">
        <v>Total</v>
      </c>
      <c r="K15">
        <v>157</v>
      </c>
    </row>
    <row r="16" spans="1:11">
      <c r="A16" t="s">
        <v>84</v>
      </c>
      <c r="B16" t="s">
        <v>76</v>
      </c>
      <c r="C16" t="s">
        <v>77</v>
      </c>
      <c r="D16">
        <v>2</v>
      </c>
      <c r="E16" s="18">
        <v>45385</v>
      </c>
      <c r="F16">
        <v>2</v>
      </c>
      <c r="G16">
        <v>42.09</v>
      </c>
      <c r="H16">
        <f t="shared" si="0"/>
        <v>84.18</v>
      </c>
    </row>
    <row r="17" spans="1:11">
      <c r="A17" t="s">
        <v>87</v>
      </c>
      <c r="B17" t="s">
        <v>76</v>
      </c>
      <c r="C17" t="s">
        <v>77</v>
      </c>
      <c r="D17">
        <v>1</v>
      </c>
      <c r="E17" s="18">
        <v>45413</v>
      </c>
      <c r="F17">
        <v>1</v>
      </c>
      <c r="G17">
        <v>40.6</v>
      </c>
      <c r="H17">
        <f t="shared" si="0"/>
        <v>40.6</v>
      </c>
    </row>
    <row r="18" spans="1:11">
      <c r="A18" t="s">
        <v>87</v>
      </c>
      <c r="B18" t="s">
        <v>86</v>
      </c>
      <c r="C18" t="s">
        <v>88</v>
      </c>
      <c r="D18">
        <v>4</v>
      </c>
      <c r="E18" s="18">
        <v>45415</v>
      </c>
      <c r="F18">
        <v>4</v>
      </c>
      <c r="G18">
        <v>87.59</v>
      </c>
      <c r="H18">
        <f t="shared" si="0"/>
        <v>350.36</v>
      </c>
    </row>
    <row r="19" spans="1:11">
      <c r="A19" t="s">
        <v>89</v>
      </c>
      <c r="B19" t="s">
        <v>78</v>
      </c>
      <c r="C19" t="s">
        <v>77</v>
      </c>
      <c r="D19">
        <v>8</v>
      </c>
      <c r="E19" s="18">
        <v>45420</v>
      </c>
      <c r="F19">
        <v>8</v>
      </c>
      <c r="G19">
        <v>26.63</v>
      </c>
      <c r="H19">
        <f t="shared" si="0"/>
        <v>213.04</v>
      </c>
      <c r="K19" s="26"/>
    </row>
    <row r="20" spans="1:11">
      <c r="A20" t="s">
        <v>90</v>
      </c>
      <c r="B20" t="s">
        <v>86</v>
      </c>
      <c r="C20" t="s">
        <v>74</v>
      </c>
      <c r="D20">
        <v>2</v>
      </c>
      <c r="E20" s="18">
        <v>45421</v>
      </c>
      <c r="F20">
        <v>2</v>
      </c>
      <c r="G20">
        <v>23.08</v>
      </c>
      <c r="H20">
        <f t="shared" si="0"/>
        <v>46.16</v>
      </c>
      <c r="K20" s="26"/>
    </row>
    <row r="21" spans="1:11">
      <c r="A21" t="s">
        <v>82</v>
      </c>
      <c r="B21" t="s">
        <v>86</v>
      </c>
      <c r="C21" t="s">
        <v>74</v>
      </c>
      <c r="D21">
        <v>3</v>
      </c>
      <c r="E21" s="18">
        <v>45423</v>
      </c>
      <c r="F21">
        <v>3</v>
      </c>
      <c r="G21">
        <v>61.41</v>
      </c>
      <c r="H21">
        <f t="shared" si="0"/>
        <v>184.23</v>
      </c>
      <c r="K21" s="26"/>
    </row>
    <row r="22" spans="1:11">
      <c r="A22" t="s">
        <v>90</v>
      </c>
      <c r="B22" t="s">
        <v>73</v>
      </c>
      <c r="C22" t="s">
        <v>85</v>
      </c>
      <c r="D22">
        <v>9</v>
      </c>
      <c r="E22" s="18">
        <v>45423</v>
      </c>
      <c r="F22">
        <v>9</v>
      </c>
      <c r="G22">
        <v>56.3</v>
      </c>
      <c r="H22">
        <f t="shared" si="0"/>
        <v>506.7</v>
      </c>
      <c r="K22" s="26"/>
    </row>
    <row r="23" spans="1:11">
      <c r="A23" t="s">
        <v>80</v>
      </c>
      <c r="B23" t="s">
        <v>86</v>
      </c>
      <c r="C23" t="s">
        <v>88</v>
      </c>
      <c r="D23">
        <v>6</v>
      </c>
      <c r="E23" s="18">
        <v>45425</v>
      </c>
      <c r="F23">
        <v>6</v>
      </c>
      <c r="G23">
        <v>55.73</v>
      </c>
      <c r="H23">
        <f t="shared" si="0"/>
        <v>334.38</v>
      </c>
      <c r="K23" s="26"/>
    </row>
    <row r="24" spans="1:11">
      <c r="A24" t="s">
        <v>87</v>
      </c>
      <c r="B24" t="s">
        <v>73</v>
      </c>
      <c r="C24" t="s">
        <v>83</v>
      </c>
      <c r="D24">
        <v>7</v>
      </c>
      <c r="E24" s="18">
        <v>45429</v>
      </c>
      <c r="F24">
        <v>7</v>
      </c>
      <c r="G24">
        <v>65.459999999999994</v>
      </c>
      <c r="H24">
        <f t="shared" si="0"/>
        <v>458.21999999999997</v>
      </c>
      <c r="K24" s="26"/>
    </row>
    <row r="25" spans="1:11">
      <c r="A25" t="s">
        <v>82</v>
      </c>
      <c r="B25" t="s">
        <v>78</v>
      </c>
      <c r="C25" t="s">
        <v>79</v>
      </c>
      <c r="D25">
        <v>10</v>
      </c>
      <c r="E25" s="18">
        <v>45442</v>
      </c>
      <c r="F25">
        <v>10</v>
      </c>
      <c r="G25">
        <v>20.99</v>
      </c>
      <c r="H25">
        <f t="shared" si="0"/>
        <v>209.89999999999998</v>
      </c>
      <c r="K25" s="26"/>
    </row>
    <row r="26" spans="1:11">
      <c r="A26" t="s">
        <v>89</v>
      </c>
      <c r="B26" t="s">
        <v>86</v>
      </c>
      <c r="C26" t="s">
        <v>81</v>
      </c>
      <c r="D26">
        <v>1</v>
      </c>
      <c r="E26" s="18">
        <v>45450</v>
      </c>
      <c r="F26">
        <v>1</v>
      </c>
      <c r="G26">
        <v>43.46</v>
      </c>
      <c r="H26">
        <f t="shared" si="0"/>
        <v>43.46</v>
      </c>
      <c r="K26" s="26"/>
    </row>
    <row r="27" spans="1:11">
      <c r="A27" t="s">
        <v>84</v>
      </c>
      <c r="B27" t="s">
        <v>73</v>
      </c>
      <c r="C27" t="s">
        <v>85</v>
      </c>
      <c r="D27">
        <v>10</v>
      </c>
      <c r="E27" s="18">
        <v>45457</v>
      </c>
      <c r="F27">
        <v>10</v>
      </c>
      <c r="G27">
        <v>59.49</v>
      </c>
      <c r="H27">
        <f t="shared" si="0"/>
        <v>594.9</v>
      </c>
      <c r="K27" s="26"/>
    </row>
    <row r="28" spans="1:11">
      <c r="A28" t="s">
        <v>91</v>
      </c>
      <c r="B28" t="s">
        <v>73</v>
      </c>
      <c r="C28" t="s">
        <v>85</v>
      </c>
      <c r="D28">
        <v>10</v>
      </c>
      <c r="E28" s="18">
        <v>45465</v>
      </c>
      <c r="F28">
        <v>10</v>
      </c>
      <c r="G28">
        <v>64.53</v>
      </c>
      <c r="H28">
        <f t="shared" si="0"/>
        <v>645.29999999999995</v>
      </c>
      <c r="K28" s="26"/>
    </row>
    <row r="29" spans="1:11">
      <c r="A29" t="s">
        <v>75</v>
      </c>
      <c r="B29" t="s">
        <v>78</v>
      </c>
      <c r="C29" t="s">
        <v>83</v>
      </c>
      <c r="D29">
        <v>9</v>
      </c>
      <c r="E29" s="18">
        <v>45466</v>
      </c>
      <c r="F29">
        <v>9</v>
      </c>
      <c r="G29">
        <v>23.5</v>
      </c>
      <c r="H29">
        <f t="shared" si="0"/>
        <v>211.5</v>
      </c>
    </row>
    <row r="30" spans="1:11">
      <c r="F30">
        <f>SUM(F5:F29)</f>
        <v>157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63848-29D8-44F1-8546-C7C5620E39AE}">
  <dimension ref="A2:R38"/>
  <sheetViews>
    <sheetView workbookViewId="0">
      <selection activeCell="O17" sqref="K8:O17"/>
    </sheetView>
  </sheetViews>
  <sheetFormatPr defaultColWidth="11.42578125" defaultRowHeight="14.45"/>
  <cols>
    <col min="1" max="1" width="13" bestFit="1" customWidth="1"/>
    <col min="5" max="5" width="13.5703125" bestFit="1" customWidth="1"/>
    <col min="6" max="6" width="19" bestFit="1" customWidth="1"/>
  </cols>
  <sheetData>
    <row r="2" spans="1:18" ht="23.45">
      <c r="B2" s="24" t="s">
        <v>92</v>
      </c>
    </row>
    <row r="4" spans="1:18">
      <c r="A4" s="25" t="s">
        <v>17</v>
      </c>
      <c r="B4" s="25" t="s">
        <v>69</v>
      </c>
      <c r="C4" s="25" t="s">
        <v>70</v>
      </c>
      <c r="D4" s="25" t="s">
        <v>18</v>
      </c>
      <c r="E4" s="25" t="s">
        <v>71</v>
      </c>
      <c r="F4" s="25" t="s">
        <v>18</v>
      </c>
      <c r="G4" s="25" t="s">
        <v>19</v>
      </c>
      <c r="H4" s="25" t="s">
        <v>45</v>
      </c>
    </row>
    <row r="5" spans="1:18">
      <c r="A5" t="s">
        <v>72</v>
      </c>
      <c r="B5" t="s">
        <v>73</v>
      </c>
      <c r="C5" t="s">
        <v>74</v>
      </c>
      <c r="D5">
        <v>9</v>
      </c>
      <c r="E5" s="18">
        <v>45295</v>
      </c>
      <c r="F5">
        <v>9</v>
      </c>
      <c r="G5">
        <v>79.010000000000005</v>
      </c>
      <c r="H5">
        <f>F5*G5</f>
        <v>711.09</v>
      </c>
      <c r="J5" t="str" cm="1">
        <f t="array" ref="J5:O17">_xlfn.PIVOTBY(A4:A29,B4:B29,H4:H29,_xleta.SUM,3,1)</f>
        <v/>
      </c>
      <c r="K5" t="str">
        <v>Talla</v>
      </c>
      <c r="L5" t="str">
        <v/>
      </c>
      <c r="M5" t="str">
        <v/>
      </c>
      <c r="N5" t="str">
        <v/>
      </c>
      <c r="O5" t="str">
        <v/>
      </c>
    </row>
    <row r="6" spans="1:18">
      <c r="A6" t="s">
        <v>75</v>
      </c>
      <c r="B6" t="s">
        <v>76</v>
      </c>
      <c r="C6" t="s">
        <v>77</v>
      </c>
      <c r="D6">
        <v>9</v>
      </c>
      <c r="E6" s="18">
        <v>45299</v>
      </c>
      <c r="F6">
        <v>9</v>
      </c>
      <c r="G6">
        <v>68.28</v>
      </c>
      <c r="H6">
        <f t="shared" ref="H6:H29" si="0">F6*G6</f>
        <v>614.52</v>
      </c>
      <c r="J6" t="str">
        <v/>
      </c>
      <c r="K6" t="str">
        <v>L</v>
      </c>
      <c r="L6" t="str">
        <v>M</v>
      </c>
      <c r="M6" t="str">
        <v>S</v>
      </c>
      <c r="N6" t="str">
        <v>XL</v>
      </c>
      <c r="O6" t="str">
        <v>Total</v>
      </c>
    </row>
    <row r="7" spans="1:18">
      <c r="A7" t="s">
        <v>75</v>
      </c>
      <c r="B7" t="s">
        <v>78</v>
      </c>
      <c r="C7" t="s">
        <v>79</v>
      </c>
      <c r="D7">
        <v>5</v>
      </c>
      <c r="E7" s="18">
        <v>45300</v>
      </c>
      <c r="F7">
        <v>5</v>
      </c>
      <c r="G7">
        <v>38.159999999999997</v>
      </c>
      <c r="H7">
        <f t="shared" si="0"/>
        <v>190.79999999999998</v>
      </c>
      <c r="J7" t="str">
        <v>Producto</v>
      </c>
      <c r="K7" t="str">
        <v>Ventas</v>
      </c>
      <c r="L7" t="str">
        <v>Ventas</v>
      </c>
      <c r="M7" t="str">
        <v>Ventas</v>
      </c>
      <c r="N7" t="str">
        <v>Ventas</v>
      </c>
      <c r="O7" t="str">
        <v>Ventas</v>
      </c>
    </row>
    <row r="8" spans="1:18">
      <c r="A8" t="s">
        <v>80</v>
      </c>
      <c r="B8" t="s">
        <v>78</v>
      </c>
      <c r="C8" t="s">
        <v>81</v>
      </c>
      <c r="D8">
        <v>9</v>
      </c>
      <c r="E8" s="18">
        <v>45306</v>
      </c>
      <c r="F8">
        <v>9</v>
      </c>
      <c r="G8">
        <v>66.77</v>
      </c>
      <c r="H8">
        <f t="shared" si="0"/>
        <v>600.92999999999995</v>
      </c>
      <c r="J8" t="str">
        <v>Blusa</v>
      </c>
      <c r="K8" s="34">
        <v>184.23</v>
      </c>
      <c r="L8" s="34" t="str">
        <v/>
      </c>
      <c r="M8" s="34">
        <v>161.39999999999998</v>
      </c>
      <c r="N8" s="34">
        <v>209.89999999999998</v>
      </c>
      <c r="O8" s="34">
        <v>555.53</v>
      </c>
      <c r="P8" s="16"/>
      <c r="Q8" s="16"/>
      <c r="R8" s="16"/>
    </row>
    <row r="9" spans="1:18">
      <c r="A9" t="s">
        <v>82</v>
      </c>
      <c r="B9" t="s">
        <v>76</v>
      </c>
      <c r="C9" t="s">
        <v>83</v>
      </c>
      <c r="D9">
        <v>6</v>
      </c>
      <c r="E9" s="18">
        <v>45308</v>
      </c>
      <c r="F9">
        <v>6</v>
      </c>
      <c r="G9">
        <v>26.9</v>
      </c>
      <c r="H9">
        <f t="shared" si="0"/>
        <v>161.39999999999998</v>
      </c>
      <c r="J9" t="str">
        <v>Camiseta</v>
      </c>
      <c r="K9" s="34">
        <v>334.38</v>
      </c>
      <c r="L9" s="34">
        <v>434.96999999999997</v>
      </c>
      <c r="M9" s="34">
        <v>376.88</v>
      </c>
      <c r="N9" s="34">
        <v>600.92999999999995</v>
      </c>
      <c r="O9" s="34">
        <v>1747.1599999999999</v>
      </c>
      <c r="P9" s="16"/>
      <c r="Q9" s="16"/>
      <c r="R9" s="16"/>
    </row>
    <row r="10" spans="1:18">
      <c r="A10" t="s">
        <v>84</v>
      </c>
      <c r="B10" t="s">
        <v>78</v>
      </c>
      <c r="C10" t="s">
        <v>85</v>
      </c>
      <c r="D10">
        <v>10</v>
      </c>
      <c r="E10" s="18">
        <v>45318</v>
      </c>
      <c r="F10">
        <v>10</v>
      </c>
      <c r="G10">
        <v>58.56</v>
      </c>
      <c r="H10">
        <f t="shared" si="0"/>
        <v>585.6</v>
      </c>
      <c r="J10" t="str">
        <v>Chaqueta</v>
      </c>
      <c r="K10" s="34">
        <v>350.36</v>
      </c>
      <c r="L10" s="34">
        <v>458.21999999999997</v>
      </c>
      <c r="M10" s="34">
        <v>40.6</v>
      </c>
      <c r="N10" s="34" t="str">
        <v/>
      </c>
      <c r="O10" s="34">
        <v>849.18000000000006</v>
      </c>
      <c r="P10" s="16"/>
      <c r="Q10" s="16"/>
      <c r="R10" s="16"/>
    </row>
    <row r="11" spans="1:18">
      <c r="A11" t="s">
        <v>75</v>
      </c>
      <c r="B11" t="s">
        <v>78</v>
      </c>
      <c r="C11" t="s">
        <v>81</v>
      </c>
      <c r="D11">
        <v>3</v>
      </c>
      <c r="E11" s="18">
        <v>45344</v>
      </c>
      <c r="F11">
        <v>3</v>
      </c>
      <c r="G11">
        <v>21.33</v>
      </c>
      <c r="H11">
        <f t="shared" si="0"/>
        <v>63.989999999999995</v>
      </c>
      <c r="J11" t="str">
        <v>Falda</v>
      </c>
      <c r="K11" s="34">
        <v>43.46</v>
      </c>
      <c r="L11" s="34" t="str">
        <v/>
      </c>
      <c r="M11" s="34" t="str">
        <v/>
      </c>
      <c r="N11" s="34">
        <v>213.04</v>
      </c>
      <c r="O11" s="34">
        <v>256.5</v>
      </c>
      <c r="P11" s="16"/>
      <c r="Q11" s="16"/>
      <c r="R11" s="16"/>
    </row>
    <row r="12" spans="1:18">
      <c r="A12" t="s">
        <v>80</v>
      </c>
      <c r="B12" t="s">
        <v>76</v>
      </c>
      <c r="C12" t="s">
        <v>79</v>
      </c>
      <c r="D12">
        <v>7</v>
      </c>
      <c r="E12" s="18">
        <v>45366</v>
      </c>
      <c r="F12">
        <v>7</v>
      </c>
      <c r="G12">
        <v>53.84</v>
      </c>
      <c r="H12">
        <f t="shared" si="0"/>
        <v>376.88</v>
      </c>
      <c r="J12" t="str">
        <v>Jeans</v>
      </c>
      <c r="K12" s="34" t="str">
        <v/>
      </c>
      <c r="L12" s="34">
        <v>711.09</v>
      </c>
      <c r="M12" s="34" t="str">
        <v/>
      </c>
      <c r="N12" s="34" t="str">
        <v/>
      </c>
      <c r="O12" s="34">
        <v>711.09</v>
      </c>
      <c r="P12" s="16"/>
      <c r="Q12" s="16"/>
      <c r="R12" s="16"/>
    </row>
    <row r="13" spans="1:18">
      <c r="A13" t="s">
        <v>84</v>
      </c>
      <c r="B13" t="s">
        <v>73</v>
      </c>
      <c r="C13" t="s">
        <v>74</v>
      </c>
      <c r="D13">
        <v>5</v>
      </c>
      <c r="E13" s="18">
        <v>45377</v>
      </c>
      <c r="F13">
        <v>5</v>
      </c>
      <c r="G13">
        <v>76.510000000000005</v>
      </c>
      <c r="H13">
        <f t="shared" si="0"/>
        <v>382.55</v>
      </c>
      <c r="J13" t="str">
        <v>Pantalón</v>
      </c>
      <c r="K13" s="34" t="str">
        <v/>
      </c>
      <c r="L13" s="34" t="str">
        <v/>
      </c>
      <c r="M13" s="34">
        <v>614.52</v>
      </c>
      <c r="N13" s="34">
        <v>466.28999999999996</v>
      </c>
      <c r="O13" s="34">
        <v>1080.81</v>
      </c>
      <c r="P13" s="16"/>
      <c r="Q13" s="16"/>
      <c r="R13" s="16"/>
    </row>
    <row r="14" spans="1:18">
      <c r="A14" t="s">
        <v>84</v>
      </c>
      <c r="B14" t="s">
        <v>86</v>
      </c>
      <c r="C14" t="s">
        <v>74</v>
      </c>
      <c r="D14">
        <v>3</v>
      </c>
      <c r="E14" s="18">
        <v>45378</v>
      </c>
      <c r="F14">
        <v>3</v>
      </c>
      <c r="G14">
        <v>53.87</v>
      </c>
      <c r="H14">
        <f t="shared" si="0"/>
        <v>161.60999999999999</v>
      </c>
      <c r="J14" t="str">
        <v>Short</v>
      </c>
      <c r="K14" s="34">
        <v>161.60999999999999</v>
      </c>
      <c r="L14" s="34">
        <v>977.45</v>
      </c>
      <c r="M14" s="34">
        <v>84.18</v>
      </c>
      <c r="N14" s="34">
        <v>585.6</v>
      </c>
      <c r="O14" s="34">
        <v>1808.8400000000001</v>
      </c>
      <c r="P14" s="16"/>
      <c r="Q14" s="16"/>
      <c r="R14" s="16"/>
    </row>
    <row r="15" spans="1:18">
      <c r="A15" t="s">
        <v>80</v>
      </c>
      <c r="B15" t="s">
        <v>73</v>
      </c>
      <c r="C15" t="s">
        <v>79</v>
      </c>
      <c r="D15">
        <v>9</v>
      </c>
      <c r="E15" s="18">
        <v>45380</v>
      </c>
      <c r="F15">
        <v>9</v>
      </c>
      <c r="G15">
        <v>48.33</v>
      </c>
      <c r="H15">
        <f t="shared" si="0"/>
        <v>434.96999999999997</v>
      </c>
      <c r="J15" t="str">
        <v>Sudadera</v>
      </c>
      <c r="K15" s="34">
        <v>46.16</v>
      </c>
      <c r="L15" s="34">
        <v>506.7</v>
      </c>
      <c r="M15" s="34" t="str">
        <v/>
      </c>
      <c r="N15" s="34" t="str">
        <v/>
      </c>
      <c r="O15" s="34">
        <v>552.86</v>
      </c>
      <c r="P15" s="16"/>
      <c r="Q15" s="16"/>
      <c r="R15" s="16"/>
    </row>
    <row r="16" spans="1:18">
      <c r="A16" t="s">
        <v>84</v>
      </c>
      <c r="B16" t="s">
        <v>76</v>
      </c>
      <c r="C16" t="s">
        <v>77</v>
      </c>
      <c r="D16">
        <v>2</v>
      </c>
      <c r="E16" s="18">
        <v>45385</v>
      </c>
      <c r="F16">
        <v>2</v>
      </c>
      <c r="G16">
        <v>42.09</v>
      </c>
      <c r="H16">
        <f t="shared" si="0"/>
        <v>84.18</v>
      </c>
      <c r="J16" t="str">
        <v>Vestido</v>
      </c>
      <c r="K16" s="34" t="str">
        <v/>
      </c>
      <c r="L16" s="34">
        <v>645.29999999999995</v>
      </c>
      <c r="M16" s="34" t="str">
        <v/>
      </c>
      <c r="N16" s="34" t="str">
        <v/>
      </c>
      <c r="O16" s="34">
        <v>645.29999999999995</v>
      </c>
      <c r="P16" s="16"/>
      <c r="Q16" s="16"/>
      <c r="R16" s="16"/>
    </row>
    <row r="17" spans="1:18">
      <c r="A17" t="s">
        <v>87</v>
      </c>
      <c r="B17" t="s">
        <v>76</v>
      </c>
      <c r="C17" t="s">
        <v>77</v>
      </c>
      <c r="D17">
        <v>1</v>
      </c>
      <c r="E17" s="18">
        <v>45413</v>
      </c>
      <c r="F17">
        <v>1</v>
      </c>
      <c r="G17">
        <v>40.6</v>
      </c>
      <c r="H17">
        <f t="shared" si="0"/>
        <v>40.6</v>
      </c>
      <c r="J17" t="str">
        <v>Total</v>
      </c>
      <c r="K17" s="34">
        <v>1120.2</v>
      </c>
      <c r="L17" s="34">
        <v>3733.7300000000005</v>
      </c>
      <c r="M17" s="34">
        <v>1277.58</v>
      </c>
      <c r="N17" s="34">
        <v>2075.7599999999998</v>
      </c>
      <c r="O17" s="34">
        <v>8207.27</v>
      </c>
      <c r="P17" s="16"/>
      <c r="Q17" s="16"/>
      <c r="R17" s="16"/>
    </row>
    <row r="18" spans="1:18">
      <c r="A18" t="s">
        <v>87</v>
      </c>
      <c r="B18" t="s">
        <v>86</v>
      </c>
      <c r="C18" t="s">
        <v>88</v>
      </c>
      <c r="D18">
        <v>4</v>
      </c>
      <c r="E18" s="18">
        <v>45415</v>
      </c>
      <c r="F18">
        <v>4</v>
      </c>
      <c r="G18">
        <v>87.59</v>
      </c>
      <c r="H18">
        <f t="shared" si="0"/>
        <v>350.36</v>
      </c>
    </row>
    <row r="19" spans="1:18">
      <c r="A19" t="s">
        <v>89</v>
      </c>
      <c r="B19" t="s">
        <v>78</v>
      </c>
      <c r="C19" t="s">
        <v>77</v>
      </c>
      <c r="D19">
        <v>8</v>
      </c>
      <c r="E19" s="18">
        <v>45420</v>
      </c>
      <c r="F19">
        <v>8</v>
      </c>
      <c r="G19">
        <v>26.63</v>
      </c>
      <c r="H19">
        <f t="shared" si="0"/>
        <v>213.04</v>
      </c>
    </row>
    <row r="20" spans="1:18">
      <c r="A20" t="s">
        <v>90</v>
      </c>
      <c r="B20" t="s">
        <v>86</v>
      </c>
      <c r="C20" t="s">
        <v>74</v>
      </c>
      <c r="D20">
        <v>2</v>
      </c>
      <c r="E20" s="18">
        <v>45421</v>
      </c>
      <c r="F20">
        <v>2</v>
      </c>
      <c r="G20">
        <v>23.08</v>
      </c>
      <c r="H20">
        <f t="shared" si="0"/>
        <v>46.16</v>
      </c>
    </row>
    <row r="21" spans="1:18">
      <c r="A21" t="s">
        <v>82</v>
      </c>
      <c r="B21" t="s">
        <v>86</v>
      </c>
      <c r="C21" t="s">
        <v>74</v>
      </c>
      <c r="D21">
        <v>3</v>
      </c>
      <c r="E21" s="18">
        <v>45423</v>
      </c>
      <c r="F21">
        <v>3</v>
      </c>
      <c r="G21">
        <v>61.41</v>
      </c>
      <c r="H21">
        <f t="shared" si="0"/>
        <v>184.23</v>
      </c>
      <c r="K21" s="26"/>
    </row>
    <row r="22" spans="1:18">
      <c r="A22" t="s">
        <v>90</v>
      </c>
      <c r="B22" t="s">
        <v>73</v>
      </c>
      <c r="C22" t="s">
        <v>85</v>
      </c>
      <c r="D22">
        <v>9</v>
      </c>
      <c r="E22" s="18">
        <v>45423</v>
      </c>
      <c r="F22">
        <v>9</v>
      </c>
      <c r="G22">
        <v>56.3</v>
      </c>
      <c r="H22">
        <f t="shared" si="0"/>
        <v>506.7</v>
      </c>
      <c r="K22" s="26"/>
    </row>
    <row r="23" spans="1:18">
      <c r="A23" t="s">
        <v>80</v>
      </c>
      <c r="B23" t="s">
        <v>86</v>
      </c>
      <c r="C23" t="s">
        <v>88</v>
      </c>
      <c r="D23">
        <v>6</v>
      </c>
      <c r="E23" s="18">
        <v>45425</v>
      </c>
      <c r="F23">
        <v>6</v>
      </c>
      <c r="G23">
        <v>55.73</v>
      </c>
      <c r="H23">
        <f t="shared" si="0"/>
        <v>334.38</v>
      </c>
      <c r="K23" s="26"/>
    </row>
    <row r="24" spans="1:18">
      <c r="A24" t="s">
        <v>87</v>
      </c>
      <c r="B24" t="s">
        <v>73</v>
      </c>
      <c r="C24" t="s">
        <v>83</v>
      </c>
      <c r="D24">
        <v>7</v>
      </c>
      <c r="E24" s="18">
        <v>45429</v>
      </c>
      <c r="F24">
        <v>7</v>
      </c>
      <c r="G24">
        <v>65.459999999999994</v>
      </c>
      <c r="H24">
        <f t="shared" si="0"/>
        <v>458.21999999999997</v>
      </c>
      <c r="K24" s="26"/>
    </row>
    <row r="25" spans="1:18">
      <c r="A25" t="s">
        <v>82</v>
      </c>
      <c r="B25" t="s">
        <v>78</v>
      </c>
      <c r="C25" t="s">
        <v>79</v>
      </c>
      <c r="D25">
        <v>10</v>
      </c>
      <c r="E25" s="18">
        <v>45442</v>
      </c>
      <c r="F25">
        <v>10</v>
      </c>
      <c r="G25">
        <v>20.99</v>
      </c>
      <c r="H25">
        <f t="shared" si="0"/>
        <v>209.89999999999998</v>
      </c>
      <c r="K25" s="26"/>
    </row>
    <row r="26" spans="1:18">
      <c r="A26" t="s">
        <v>89</v>
      </c>
      <c r="B26" t="s">
        <v>86</v>
      </c>
      <c r="C26" t="s">
        <v>81</v>
      </c>
      <c r="D26">
        <v>1</v>
      </c>
      <c r="E26" s="18">
        <v>45450</v>
      </c>
      <c r="F26">
        <v>1</v>
      </c>
      <c r="G26">
        <v>43.46</v>
      </c>
      <c r="H26">
        <f t="shared" si="0"/>
        <v>43.46</v>
      </c>
      <c r="K26" s="26"/>
    </row>
    <row r="27" spans="1:18">
      <c r="A27" t="s">
        <v>84</v>
      </c>
      <c r="B27" t="s">
        <v>73</v>
      </c>
      <c r="C27" t="s">
        <v>85</v>
      </c>
      <c r="D27">
        <v>10</v>
      </c>
      <c r="E27" s="18">
        <v>45457</v>
      </c>
      <c r="F27">
        <v>10</v>
      </c>
      <c r="G27">
        <v>59.49</v>
      </c>
      <c r="H27">
        <f t="shared" si="0"/>
        <v>594.9</v>
      </c>
      <c r="K27" s="26"/>
    </row>
    <row r="28" spans="1:18">
      <c r="A28" t="s">
        <v>91</v>
      </c>
      <c r="B28" t="s">
        <v>73</v>
      </c>
      <c r="C28" t="s">
        <v>85</v>
      </c>
      <c r="D28">
        <v>10</v>
      </c>
      <c r="E28" s="18">
        <v>45465</v>
      </c>
      <c r="F28">
        <v>10</v>
      </c>
      <c r="G28">
        <v>64.53</v>
      </c>
      <c r="H28">
        <f t="shared" si="0"/>
        <v>645.29999999999995</v>
      </c>
      <c r="K28" s="26"/>
    </row>
    <row r="29" spans="1:18">
      <c r="A29" t="s">
        <v>75</v>
      </c>
      <c r="B29" t="s">
        <v>78</v>
      </c>
      <c r="C29" t="s">
        <v>83</v>
      </c>
      <c r="D29">
        <v>9</v>
      </c>
      <c r="E29" s="18">
        <v>45466</v>
      </c>
      <c r="F29">
        <v>9</v>
      </c>
      <c r="G29">
        <v>23.5</v>
      </c>
      <c r="H29">
        <f t="shared" si="0"/>
        <v>211.5</v>
      </c>
    </row>
    <row r="34" spans="11:18">
      <c r="K34" s="16"/>
      <c r="L34" s="16"/>
      <c r="M34" s="16"/>
      <c r="N34" s="16"/>
      <c r="O34" s="16"/>
      <c r="P34" s="16"/>
      <c r="Q34" s="16"/>
      <c r="R34" s="16"/>
    </row>
    <row r="35" spans="11:18">
      <c r="K35" s="16"/>
      <c r="L35" s="16"/>
      <c r="M35" s="16"/>
      <c r="N35" s="16"/>
      <c r="O35" s="16"/>
      <c r="P35" s="16"/>
      <c r="Q35" s="16"/>
      <c r="R35" s="16"/>
    </row>
    <row r="36" spans="11:18">
      <c r="K36" s="16"/>
      <c r="L36" s="16"/>
      <c r="M36" s="16"/>
      <c r="N36" s="16"/>
      <c r="O36" s="16"/>
      <c r="P36" s="16"/>
      <c r="Q36" s="16"/>
      <c r="R36" s="16"/>
    </row>
    <row r="37" spans="11:18">
      <c r="K37" s="16"/>
      <c r="L37" s="16"/>
      <c r="M37" s="16"/>
      <c r="N37" s="16"/>
      <c r="O37" s="16"/>
      <c r="P37" s="16"/>
      <c r="Q37" s="16"/>
      <c r="R37" s="16"/>
    </row>
    <row r="38" spans="11:18">
      <c r="K38" s="16"/>
      <c r="L38" s="16"/>
      <c r="M38" s="16"/>
      <c r="N38" s="16"/>
      <c r="O38" s="16"/>
      <c r="P38" s="16"/>
      <c r="Q38" s="16"/>
      <c r="R38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1BD0E-1FAD-4953-834B-7D6FEC4ACE7C}">
  <dimension ref="A2:N44"/>
  <sheetViews>
    <sheetView zoomScale="110" zoomScaleNormal="110" workbookViewId="0">
      <selection activeCell="F17" sqref="F17"/>
    </sheetView>
  </sheetViews>
  <sheetFormatPr defaultColWidth="11.42578125" defaultRowHeight="14.45"/>
  <cols>
    <col min="1" max="1" width="11.42578125" bestFit="1" customWidth="1"/>
    <col min="4" max="4" width="12.5703125" customWidth="1"/>
    <col min="6" max="6" width="23.5703125" customWidth="1"/>
    <col min="9" max="9" width="12.5703125" customWidth="1"/>
    <col min="11" max="11" width="20.140625" bestFit="1" customWidth="1"/>
    <col min="14" max="14" width="12.5703125" customWidth="1"/>
  </cols>
  <sheetData>
    <row r="2" spans="1:14" ht="23.45">
      <c r="B2" s="24" t="s">
        <v>93</v>
      </c>
    </row>
    <row r="4" spans="1:14">
      <c r="A4" s="6" t="s">
        <v>17</v>
      </c>
      <c r="B4" s="6" t="s">
        <v>18</v>
      </c>
      <c r="C4" s="6" t="s">
        <v>19</v>
      </c>
      <c r="D4" s="6" t="s">
        <v>94</v>
      </c>
      <c r="F4" s="6" t="s">
        <v>17</v>
      </c>
      <c r="G4" s="6" t="s">
        <v>18</v>
      </c>
      <c r="H4" s="6" t="s">
        <v>19</v>
      </c>
      <c r="I4" s="6" t="s">
        <v>94</v>
      </c>
      <c r="K4" s="6" t="s">
        <v>17</v>
      </c>
      <c r="L4" s="6" t="s">
        <v>18</v>
      </c>
      <c r="M4" s="6" t="s">
        <v>19</v>
      </c>
      <c r="N4" s="6" t="s">
        <v>94</v>
      </c>
    </row>
    <row r="5" spans="1:14">
      <c r="A5" s="7" t="s">
        <v>95</v>
      </c>
      <c r="B5" s="7">
        <v>10</v>
      </c>
      <c r="C5" s="7">
        <v>500</v>
      </c>
      <c r="D5" s="7">
        <v>5000</v>
      </c>
      <c r="F5" s="7" t="s">
        <v>96</v>
      </c>
      <c r="G5" s="7">
        <v>6</v>
      </c>
      <c r="H5" s="7">
        <v>700</v>
      </c>
      <c r="I5" s="7">
        <v>4200</v>
      </c>
      <c r="K5" s="7" t="s">
        <v>97</v>
      </c>
      <c r="L5" s="7">
        <v>9</v>
      </c>
      <c r="M5" s="7">
        <v>300</v>
      </c>
      <c r="N5" s="7">
        <v>2700</v>
      </c>
    </row>
    <row r="6" spans="1:14">
      <c r="A6" s="7" t="s">
        <v>96</v>
      </c>
      <c r="B6" s="7">
        <v>7</v>
      </c>
      <c r="C6" s="7">
        <v>700</v>
      </c>
      <c r="D6" s="7">
        <v>4900</v>
      </c>
      <c r="F6" s="7" t="s">
        <v>97</v>
      </c>
      <c r="G6" s="7">
        <v>10</v>
      </c>
      <c r="H6" s="7">
        <v>300</v>
      </c>
      <c r="I6" s="7">
        <v>3000</v>
      </c>
      <c r="K6" s="7" t="s">
        <v>98</v>
      </c>
      <c r="L6" s="7">
        <v>7</v>
      </c>
      <c r="M6" s="7">
        <v>400</v>
      </c>
      <c r="N6" s="7">
        <v>2800</v>
      </c>
    </row>
    <row r="7" spans="1:14">
      <c r="A7" s="7" t="s">
        <v>97</v>
      </c>
      <c r="B7" s="7">
        <v>8</v>
      </c>
      <c r="C7" s="7">
        <v>300</v>
      </c>
      <c r="D7" s="7">
        <v>2400</v>
      </c>
      <c r="F7" s="7" t="s">
        <v>95</v>
      </c>
      <c r="G7" s="7">
        <v>4</v>
      </c>
      <c r="H7" s="7">
        <v>500</v>
      </c>
      <c r="I7" s="7">
        <v>2000</v>
      </c>
      <c r="K7" s="7" t="s">
        <v>95</v>
      </c>
      <c r="L7" s="7">
        <v>3</v>
      </c>
      <c r="M7" s="7">
        <v>500</v>
      </c>
      <c r="N7" s="7">
        <v>1500</v>
      </c>
    </row>
    <row r="8" spans="1:14">
      <c r="A8" s="7" t="s">
        <v>99</v>
      </c>
      <c r="B8" s="7">
        <v>5</v>
      </c>
      <c r="C8" s="7">
        <v>200</v>
      </c>
      <c r="D8" s="7">
        <v>1000</v>
      </c>
      <c r="F8" s="7" t="s">
        <v>98</v>
      </c>
      <c r="G8" s="7">
        <v>8</v>
      </c>
      <c r="H8" s="7">
        <v>400</v>
      </c>
      <c r="I8" s="7">
        <v>3200</v>
      </c>
      <c r="K8" s="7" t="s">
        <v>96</v>
      </c>
      <c r="L8" s="7">
        <v>5</v>
      </c>
      <c r="M8" s="7">
        <v>700</v>
      </c>
      <c r="N8" s="7">
        <v>3500</v>
      </c>
    </row>
    <row r="9" spans="1:14">
      <c r="A9" s="7" t="s">
        <v>100</v>
      </c>
      <c r="B9" s="7">
        <v>12</v>
      </c>
      <c r="C9" s="7">
        <v>50</v>
      </c>
      <c r="D9" s="7">
        <v>600</v>
      </c>
      <c r="F9" s="7" t="s">
        <v>101</v>
      </c>
      <c r="G9" s="7">
        <v>5</v>
      </c>
      <c r="H9" s="7">
        <v>100</v>
      </c>
      <c r="I9" s="7">
        <v>500</v>
      </c>
      <c r="K9" s="7" t="s">
        <v>102</v>
      </c>
      <c r="L9" s="7">
        <v>4</v>
      </c>
      <c r="M9" s="7">
        <v>180</v>
      </c>
      <c r="N9" s="7">
        <v>720</v>
      </c>
    </row>
    <row r="10" spans="1:14">
      <c r="A10" s="7" t="s">
        <v>103</v>
      </c>
      <c r="B10" s="7">
        <v>9</v>
      </c>
      <c r="C10" s="7">
        <v>40</v>
      </c>
      <c r="D10" s="7">
        <v>360</v>
      </c>
      <c r="F10" s="7" t="s">
        <v>99</v>
      </c>
      <c r="G10" s="7">
        <v>7</v>
      </c>
      <c r="H10" s="7">
        <v>200</v>
      </c>
      <c r="I10" s="7">
        <v>1400</v>
      </c>
      <c r="K10" s="7" t="s">
        <v>100</v>
      </c>
      <c r="L10" s="7">
        <v>12</v>
      </c>
      <c r="M10" s="7">
        <v>50</v>
      </c>
      <c r="N10" s="7">
        <v>600</v>
      </c>
    </row>
    <row r="11" spans="1:14">
      <c r="A11" s="7" t="s">
        <v>104</v>
      </c>
      <c r="B11" s="7">
        <v>15</v>
      </c>
      <c r="C11" s="7">
        <v>25</v>
      </c>
      <c r="D11" s="7">
        <v>375</v>
      </c>
      <c r="F11" s="7" t="s">
        <v>99</v>
      </c>
      <c r="G11" s="7">
        <v>1000</v>
      </c>
      <c r="H11" s="7">
        <v>200</v>
      </c>
      <c r="I11" s="7">
        <f>Periodo2[[#This Row],[Cantidad]]*Periodo2[[#This Row],[Precio]]</f>
        <v>200000</v>
      </c>
      <c r="K11" s="7" t="s">
        <v>105</v>
      </c>
      <c r="L11" s="7">
        <v>10</v>
      </c>
      <c r="M11" s="7">
        <v>120</v>
      </c>
      <c r="N11" s="7">
        <v>1200</v>
      </c>
    </row>
    <row r="12" spans="1:14">
      <c r="A12" s="7" t="s">
        <v>106</v>
      </c>
      <c r="B12" s="7">
        <v>3</v>
      </c>
      <c r="C12" s="7">
        <v>150</v>
      </c>
      <c r="D12" s="7">
        <v>450</v>
      </c>
      <c r="F12" s="7" t="s">
        <v>99</v>
      </c>
      <c r="G12" s="7">
        <v>2000</v>
      </c>
      <c r="H12" s="7">
        <v>200</v>
      </c>
      <c r="I12" s="7">
        <f>Periodo2[[#This Row],[Cantidad]]*Periodo2[[#This Row],[Precio]]</f>
        <v>400000</v>
      </c>
      <c r="K12" s="7" t="s">
        <v>106</v>
      </c>
      <c r="L12" s="7">
        <v>6</v>
      </c>
      <c r="M12" s="7">
        <v>150</v>
      </c>
      <c r="N12" s="7">
        <v>900</v>
      </c>
    </row>
    <row r="13" spans="1:14">
      <c r="A13" s="7" t="s">
        <v>102</v>
      </c>
      <c r="B13" s="7">
        <v>6</v>
      </c>
      <c r="C13" s="7">
        <v>180</v>
      </c>
      <c r="D13" s="7">
        <v>1080</v>
      </c>
      <c r="F13" s="7"/>
      <c r="G13" s="7"/>
      <c r="H13" s="7"/>
      <c r="I13" s="7"/>
      <c r="K13" s="7"/>
      <c r="L13" s="7"/>
      <c r="M13" s="7"/>
      <c r="N13" s="7"/>
    </row>
    <row r="14" spans="1:14">
      <c r="A14" s="7" t="s">
        <v>105</v>
      </c>
      <c r="B14" s="7">
        <v>4</v>
      </c>
      <c r="C14" s="7">
        <v>120</v>
      </c>
      <c r="D14" s="7">
        <v>480</v>
      </c>
      <c r="F14" s="7"/>
      <c r="G14" s="7"/>
      <c r="H14" s="7"/>
      <c r="I14" s="7"/>
      <c r="K14" s="7"/>
      <c r="L14" s="7"/>
      <c r="M14" s="7"/>
      <c r="N14" s="7"/>
    </row>
    <row r="15" spans="1:14">
      <c r="A15" s="7" t="s">
        <v>107</v>
      </c>
      <c r="B15" s="7">
        <v>100</v>
      </c>
      <c r="C15" s="7">
        <v>500000</v>
      </c>
      <c r="D15" s="7">
        <f>Periodo1[[#This Row],[Cantidad]]*Periodo1[[#This Row],[Precio]]</f>
        <v>50000000</v>
      </c>
    </row>
    <row r="17" spans="6:9">
      <c r="F17" t="str" cm="1">
        <f t="array" ref="F17:I44">_xlfn.VSTACK(Periodo1[#All],Periodo3[],Periodo2[])</f>
        <v>Producto</v>
      </c>
      <c r="G17" t="str">
        <v>Cantidad</v>
      </c>
      <c r="H17" t="str">
        <v>Precio</v>
      </c>
      <c r="I17" t="str">
        <v>Total Ventas</v>
      </c>
    </row>
    <row r="18" spans="6:9">
      <c r="F18" t="str">
        <v>Televisor</v>
      </c>
      <c r="G18">
        <v>10</v>
      </c>
      <c r="H18">
        <v>500</v>
      </c>
      <c r="I18">
        <v>5000</v>
      </c>
    </row>
    <row r="19" spans="6:9">
      <c r="F19" t="str">
        <v>Laptop</v>
      </c>
      <c r="G19">
        <v>7</v>
      </c>
      <c r="H19">
        <v>700</v>
      </c>
      <c r="I19">
        <v>4900</v>
      </c>
    </row>
    <row r="20" spans="6:9">
      <c r="F20" t="str">
        <v>Smartphone</v>
      </c>
      <c r="G20">
        <v>8</v>
      </c>
      <c r="H20">
        <v>300</v>
      </c>
      <c r="I20">
        <v>2400</v>
      </c>
    </row>
    <row r="21" spans="6:9">
      <c r="F21" t="str">
        <v>Tablet</v>
      </c>
      <c r="G21">
        <v>5</v>
      </c>
      <c r="H21">
        <v>200</v>
      </c>
      <c r="I21">
        <v>1000</v>
      </c>
    </row>
    <row r="22" spans="6:9">
      <c r="F22" t="str">
        <v>Audífonos</v>
      </c>
      <c r="G22">
        <v>12</v>
      </c>
      <c r="H22">
        <v>50</v>
      </c>
      <c r="I22">
        <v>600</v>
      </c>
    </row>
    <row r="23" spans="6:9">
      <c r="F23" t="str">
        <v>Teclado</v>
      </c>
      <c r="G23">
        <v>9</v>
      </c>
      <c r="H23">
        <v>40</v>
      </c>
      <c r="I23">
        <v>360</v>
      </c>
    </row>
    <row r="24" spans="6:9">
      <c r="F24" t="str">
        <v>Mouse</v>
      </c>
      <c r="G24">
        <v>15</v>
      </c>
      <c r="H24">
        <v>25</v>
      </c>
      <c r="I24">
        <v>375</v>
      </c>
    </row>
    <row r="25" spans="6:9">
      <c r="F25" t="str">
        <v>Impresora</v>
      </c>
      <c r="G25">
        <v>3</v>
      </c>
      <c r="H25">
        <v>150</v>
      </c>
      <c r="I25">
        <v>450</v>
      </c>
    </row>
    <row r="26" spans="6:9">
      <c r="F26" t="str">
        <v>Monitor</v>
      </c>
      <c r="G26">
        <v>6</v>
      </c>
      <c r="H26">
        <v>180</v>
      </c>
      <c r="I26">
        <v>1080</v>
      </c>
    </row>
    <row r="27" spans="6:9">
      <c r="F27" t="str">
        <v>Cámara Web</v>
      </c>
      <c r="G27">
        <v>4</v>
      </c>
      <c r="H27">
        <v>120</v>
      </c>
      <c r="I27">
        <v>480</v>
      </c>
    </row>
    <row r="28" spans="6:9">
      <c r="F28" t="str">
        <v>Automovil</v>
      </c>
      <c r="G28">
        <v>100</v>
      </c>
      <c r="H28">
        <v>500000</v>
      </c>
      <c r="I28">
        <v>50000000</v>
      </c>
    </row>
    <row r="29" spans="6:9">
      <c r="F29" t="str">
        <v>Smartphone</v>
      </c>
      <c r="G29">
        <v>9</v>
      </c>
      <c r="H29">
        <v>300</v>
      </c>
      <c r="I29">
        <v>2700</v>
      </c>
    </row>
    <row r="30" spans="6:9">
      <c r="F30" t="str">
        <v>Consola de Videojuegos</v>
      </c>
      <c r="G30">
        <v>7</v>
      </c>
      <c r="H30">
        <v>400</v>
      </c>
      <c r="I30">
        <v>2800</v>
      </c>
    </row>
    <row r="31" spans="6:9">
      <c r="F31" t="str">
        <v>Televisor</v>
      </c>
      <c r="G31">
        <v>3</v>
      </c>
      <c r="H31">
        <v>500</v>
      </c>
      <c r="I31">
        <v>1500</v>
      </c>
    </row>
    <row r="32" spans="6:9">
      <c r="F32" t="str">
        <v>Laptop</v>
      </c>
      <c r="G32">
        <v>5</v>
      </c>
      <c r="H32">
        <v>700</v>
      </c>
      <c r="I32">
        <v>3500</v>
      </c>
    </row>
    <row r="33" spans="6:9">
      <c r="F33" t="str">
        <v>Monitor</v>
      </c>
      <c r="G33">
        <v>4</v>
      </c>
      <c r="H33">
        <v>180</v>
      </c>
      <c r="I33">
        <v>720</v>
      </c>
    </row>
    <row r="34" spans="6:9">
      <c r="F34" t="str">
        <v>Audífonos</v>
      </c>
      <c r="G34">
        <v>12</v>
      </c>
      <c r="H34">
        <v>50</v>
      </c>
      <c r="I34">
        <v>600</v>
      </c>
    </row>
    <row r="35" spans="6:9">
      <c r="F35" t="str">
        <v>Cámara Web</v>
      </c>
      <c r="G35">
        <v>10</v>
      </c>
      <c r="H35">
        <v>120</v>
      </c>
      <c r="I35">
        <v>1200</v>
      </c>
    </row>
    <row r="36" spans="6:9">
      <c r="F36" t="str">
        <v>Impresora</v>
      </c>
      <c r="G36">
        <v>6</v>
      </c>
      <c r="H36">
        <v>150</v>
      </c>
      <c r="I36">
        <v>900</v>
      </c>
    </row>
    <row r="37" spans="6:9">
      <c r="F37" t="str">
        <v>Laptop</v>
      </c>
      <c r="G37">
        <v>6</v>
      </c>
      <c r="H37">
        <v>700</v>
      </c>
      <c r="I37">
        <v>4200</v>
      </c>
    </row>
    <row r="38" spans="6:9">
      <c r="F38" t="str">
        <v>Smartphone</v>
      </c>
      <c r="G38">
        <v>10</v>
      </c>
      <c r="H38">
        <v>300</v>
      </c>
      <c r="I38">
        <v>3000</v>
      </c>
    </row>
    <row r="39" spans="6:9">
      <c r="F39" t="str">
        <v>Televisor</v>
      </c>
      <c r="G39">
        <v>4</v>
      </c>
      <c r="H39">
        <v>500</v>
      </c>
      <c r="I39">
        <v>2000</v>
      </c>
    </row>
    <row r="40" spans="6:9">
      <c r="F40" t="str">
        <v>Consola de Videojuegos</v>
      </c>
      <c r="G40">
        <v>8</v>
      </c>
      <c r="H40">
        <v>400</v>
      </c>
      <c r="I40">
        <v>3200</v>
      </c>
    </row>
    <row r="41" spans="6:9">
      <c r="F41" t="str">
        <v>Parlante Bluetooth</v>
      </c>
      <c r="G41">
        <v>5</v>
      </c>
      <c r="H41">
        <v>100</v>
      </c>
      <c r="I41">
        <v>500</v>
      </c>
    </row>
    <row r="42" spans="6:9">
      <c r="F42" t="str">
        <v>Tablet</v>
      </c>
      <c r="G42">
        <v>7</v>
      </c>
      <c r="H42">
        <v>200</v>
      </c>
      <c r="I42">
        <v>1400</v>
      </c>
    </row>
    <row r="43" spans="6:9">
      <c r="F43" t="str">
        <v>Tablet</v>
      </c>
      <c r="G43">
        <v>1000</v>
      </c>
      <c r="H43">
        <v>200</v>
      </c>
      <c r="I43">
        <v>200000</v>
      </c>
    </row>
    <row r="44" spans="6:9">
      <c r="F44" t="str">
        <v>Tablet</v>
      </c>
      <c r="G44">
        <v>2000</v>
      </c>
      <c r="H44">
        <v>200</v>
      </c>
      <c r="I44">
        <v>400000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4A088-B584-4E1A-90C5-C9E8E5B007B7}">
  <dimension ref="A2:N17"/>
  <sheetViews>
    <sheetView zoomScale="112" zoomScaleNormal="112" workbookViewId="0">
      <selection activeCell="L17" sqref="L17"/>
    </sheetView>
  </sheetViews>
  <sheetFormatPr defaultColWidth="11.42578125" defaultRowHeight="14.45"/>
  <cols>
    <col min="1" max="1" width="4.28515625" customWidth="1"/>
    <col min="2" max="2" width="9.7109375" customWidth="1"/>
    <col min="3" max="3" width="14.42578125" customWidth="1"/>
    <col min="4" max="4" width="11.140625" bestFit="1" customWidth="1"/>
    <col min="5" max="5" width="4.28515625" customWidth="1"/>
    <col min="6" max="6" width="9.7109375" customWidth="1"/>
    <col min="7" max="7" width="13.7109375" customWidth="1"/>
    <col min="8" max="8" width="13.28515625" bestFit="1" customWidth="1"/>
    <col min="11" max="11" width="20.140625" bestFit="1" customWidth="1"/>
    <col min="12" max="12" width="19.5703125" customWidth="1"/>
    <col min="13" max="13" width="13.28515625" bestFit="1" customWidth="1"/>
  </cols>
  <sheetData>
    <row r="2" spans="1:14" ht="23.45">
      <c r="B2" s="24" t="s">
        <v>108</v>
      </c>
    </row>
    <row r="4" spans="1:14" ht="15">
      <c r="A4" s="7" t="s">
        <v>109</v>
      </c>
      <c r="B4" s="7" t="s">
        <v>17</v>
      </c>
      <c r="C4" s="7" t="s">
        <v>110</v>
      </c>
      <c r="D4" s="6"/>
      <c r="E4" s="7" t="s">
        <v>109</v>
      </c>
      <c r="F4" s="7" t="s">
        <v>17</v>
      </c>
      <c r="G4" s="7" t="s">
        <v>111</v>
      </c>
      <c r="H4" s="6"/>
      <c r="I4" s="6"/>
      <c r="K4" s="6"/>
      <c r="L4" s="6"/>
      <c r="M4" s="6"/>
      <c r="N4" s="6"/>
    </row>
    <row r="5" spans="1:14">
      <c r="A5" s="7">
        <v>1</v>
      </c>
      <c r="B5" s="7" t="s">
        <v>112</v>
      </c>
      <c r="C5" s="7">
        <v>5000</v>
      </c>
      <c r="D5" s="7"/>
      <c r="E5" s="7">
        <v>1</v>
      </c>
      <c r="F5" s="7" t="s">
        <v>112</v>
      </c>
      <c r="G5" s="7">
        <v>6000</v>
      </c>
      <c r="H5" s="7"/>
      <c r="I5" s="7" t="str" cm="1">
        <f t="array" ref="I5:L15">_xlfn.IFNA(_xlfn.HSTACK(VentasH1[#All],VentasH2[[#All],[Ventas Jul-Dic]]),"-")</f>
        <v>ID</v>
      </c>
      <c r="J5" t="str">
        <v>Producto</v>
      </c>
      <c r="K5" s="7" t="str">
        <v>Ventas Ene-Jun</v>
      </c>
      <c r="L5" s="7" t="str">
        <v>Ventas Jul-Dic</v>
      </c>
      <c r="M5" s="7"/>
      <c r="N5" s="7"/>
    </row>
    <row r="6" spans="1:14">
      <c r="A6" s="7">
        <v>2</v>
      </c>
      <c r="B6" s="7" t="s">
        <v>113</v>
      </c>
      <c r="C6" s="7">
        <v>3500</v>
      </c>
      <c r="D6" s="7"/>
      <c r="E6" s="7">
        <v>2</v>
      </c>
      <c r="F6" s="7" t="s">
        <v>113</v>
      </c>
      <c r="G6" s="7">
        <v>4000</v>
      </c>
      <c r="H6" s="7"/>
      <c r="I6" s="7">
        <v>1</v>
      </c>
      <c r="J6" t="str">
        <v>Manzana</v>
      </c>
      <c r="K6" s="7">
        <v>5000</v>
      </c>
      <c r="L6" s="7">
        <v>6000</v>
      </c>
      <c r="M6" s="7"/>
      <c r="N6" s="7"/>
    </row>
    <row r="7" spans="1:14">
      <c r="A7" s="7">
        <v>3</v>
      </c>
      <c r="B7" s="7" t="s">
        <v>114</v>
      </c>
      <c r="C7" s="7">
        <v>4200</v>
      </c>
      <c r="D7" s="7"/>
      <c r="E7" s="7">
        <v>3</v>
      </c>
      <c r="F7" s="7" t="s">
        <v>114</v>
      </c>
      <c r="G7" s="7">
        <v>4800</v>
      </c>
      <c r="H7" s="7"/>
      <c r="I7" s="7">
        <v>2</v>
      </c>
      <c r="J7" t="str">
        <v>Plátano</v>
      </c>
      <c r="K7" s="7">
        <v>3500</v>
      </c>
      <c r="L7" s="7">
        <v>4000</v>
      </c>
      <c r="M7" s="7"/>
      <c r="N7" s="7"/>
    </row>
    <row r="8" spans="1:14">
      <c r="A8" s="7">
        <v>4</v>
      </c>
      <c r="B8" s="7" t="s">
        <v>115</v>
      </c>
      <c r="C8" s="7">
        <v>2800</v>
      </c>
      <c r="D8" s="7"/>
      <c r="E8" s="7">
        <v>4</v>
      </c>
      <c r="F8" s="7" t="s">
        <v>115</v>
      </c>
      <c r="G8" s="7">
        <v>3200</v>
      </c>
      <c r="H8" s="7"/>
      <c r="I8" s="7">
        <v>3</v>
      </c>
      <c r="J8" t="str">
        <v>Naranja</v>
      </c>
      <c r="K8" s="7">
        <v>4200</v>
      </c>
      <c r="L8" s="7">
        <v>4800</v>
      </c>
      <c r="M8" s="7"/>
      <c r="N8" s="7"/>
    </row>
    <row r="9" spans="1:14">
      <c r="A9" s="7">
        <v>5</v>
      </c>
      <c r="B9" s="7" t="s">
        <v>116</v>
      </c>
      <c r="C9" s="7">
        <v>3000</v>
      </c>
      <c r="D9" s="7"/>
      <c r="E9" s="7">
        <v>5</v>
      </c>
      <c r="F9" s="7" t="s">
        <v>116</v>
      </c>
      <c r="G9" s="7">
        <v>3500</v>
      </c>
      <c r="H9" s="7"/>
      <c r="I9" s="7">
        <v>4</v>
      </c>
      <c r="J9" t="str">
        <v>Fresa</v>
      </c>
      <c r="K9" s="7">
        <v>2800</v>
      </c>
      <c r="L9" s="7">
        <v>3200</v>
      </c>
      <c r="M9" s="7"/>
      <c r="N9" s="7"/>
    </row>
    <row r="10" spans="1:14">
      <c r="A10" s="7">
        <v>6</v>
      </c>
      <c r="B10" s="7" t="s">
        <v>117</v>
      </c>
      <c r="C10" s="7">
        <v>4800</v>
      </c>
      <c r="D10" s="7"/>
      <c r="E10" s="7">
        <v>6</v>
      </c>
      <c r="F10" s="7" t="s">
        <v>117</v>
      </c>
      <c r="G10" s="7">
        <v>8000</v>
      </c>
      <c r="H10" s="7"/>
      <c r="I10" s="7">
        <v>5</v>
      </c>
      <c r="J10" t="str">
        <v>Piña</v>
      </c>
      <c r="K10" s="7">
        <v>3000</v>
      </c>
      <c r="L10" s="7">
        <v>3500</v>
      </c>
      <c r="M10" s="7"/>
      <c r="N10" s="7"/>
    </row>
    <row r="11" spans="1:14">
      <c r="A11" s="7">
        <v>7</v>
      </c>
      <c r="B11" s="7" t="s">
        <v>118</v>
      </c>
      <c r="C11" s="7">
        <v>3600</v>
      </c>
      <c r="D11" s="7"/>
      <c r="E11" s="7">
        <v>7</v>
      </c>
      <c r="F11" s="7" t="s">
        <v>118</v>
      </c>
      <c r="G11" s="7">
        <v>250</v>
      </c>
      <c r="H11" s="7"/>
      <c r="I11" s="7">
        <v>6</v>
      </c>
      <c r="J11" t="str">
        <v>Kiwi</v>
      </c>
      <c r="K11" s="7">
        <v>4800</v>
      </c>
      <c r="L11" s="7">
        <v>8000</v>
      </c>
      <c r="M11" s="7"/>
      <c r="N11" s="7"/>
    </row>
    <row r="12" spans="1:14">
      <c r="A12" s="7">
        <v>8</v>
      </c>
      <c r="B12" s="7" t="s">
        <v>119</v>
      </c>
      <c r="C12" s="7">
        <v>4700</v>
      </c>
      <c r="D12" s="7"/>
      <c r="E12" s="7">
        <v>8</v>
      </c>
      <c r="F12" s="7" t="s">
        <v>119</v>
      </c>
      <c r="G12" s="7">
        <v>6000</v>
      </c>
      <c r="H12" s="7"/>
      <c r="I12" s="7">
        <v>7</v>
      </c>
      <c r="J12" t="str">
        <v>Melon</v>
      </c>
      <c r="K12" s="7">
        <v>3600</v>
      </c>
      <c r="L12" s="7">
        <v>250</v>
      </c>
      <c r="M12" s="7"/>
      <c r="N12" s="7"/>
    </row>
    <row r="13" spans="1:14" ht="15">
      <c r="A13" s="7">
        <v>9</v>
      </c>
      <c r="B13" s="7" t="s">
        <v>120</v>
      </c>
      <c r="C13" s="7"/>
      <c r="D13" s="7"/>
      <c r="E13" s="7">
        <v>9</v>
      </c>
      <c r="F13" s="7" t="s">
        <v>120</v>
      </c>
      <c r="G13" s="7"/>
      <c r="H13" s="7"/>
      <c r="I13" s="7">
        <v>8</v>
      </c>
      <c r="J13" t="str">
        <v>Limon</v>
      </c>
      <c r="K13">
        <v>4700</v>
      </c>
      <c r="L13">
        <v>6000</v>
      </c>
      <c r="N13" s="7"/>
    </row>
    <row r="14" spans="1:14" ht="15">
      <c r="A14" s="7">
        <v>10</v>
      </c>
      <c r="B14" s="7" t="s">
        <v>121</v>
      </c>
      <c r="C14" s="7"/>
      <c r="D14" s="7"/>
      <c r="E14" s="7">
        <v>10</v>
      </c>
      <c r="F14" s="7" t="s">
        <v>121</v>
      </c>
      <c r="G14" s="7"/>
      <c r="H14" s="7"/>
      <c r="I14" s="7">
        <v>9</v>
      </c>
      <c r="J14" t="str">
        <v>Sandia</v>
      </c>
      <c r="K14">
        <v>0</v>
      </c>
      <c r="L14">
        <v>0</v>
      </c>
      <c r="N14" s="7"/>
    </row>
    <row r="15" spans="1:14">
      <c r="I15">
        <v>10</v>
      </c>
      <c r="J15" t="str">
        <v>kiwi</v>
      </c>
      <c r="K15">
        <v>0</v>
      </c>
      <c r="L15">
        <v>0</v>
      </c>
    </row>
    <row r="16" spans="1:14">
      <c r="B16" s="7"/>
      <c r="C16" s="7"/>
      <c r="D16" s="7"/>
    </row>
    <row r="17" spans="2:4">
      <c r="B17" s="7"/>
      <c r="C17" s="7"/>
      <c r="D17" s="7"/>
    </row>
  </sheetData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942A-03A4-4C26-BEBC-A565B14B6454}">
  <dimension ref="B2:S16"/>
  <sheetViews>
    <sheetView tabSelected="1" zoomScale="120" zoomScaleNormal="120" workbookViewId="0">
      <selection activeCell="G5" sqref="G5"/>
    </sheetView>
  </sheetViews>
  <sheetFormatPr defaultColWidth="11.42578125" defaultRowHeight="14.45"/>
  <cols>
    <col min="3" max="5" width="12.140625" bestFit="1" customWidth="1"/>
    <col min="7" max="7" width="10.140625" bestFit="1" customWidth="1"/>
    <col min="8" max="19" width="12.28515625" bestFit="1" customWidth="1"/>
  </cols>
  <sheetData>
    <row r="2" spans="2:19" ht="23.45">
      <c r="B2" s="24" t="s">
        <v>122</v>
      </c>
    </row>
    <row r="4" spans="2:19">
      <c r="B4" t="s">
        <v>123</v>
      </c>
      <c r="C4" t="s">
        <v>124</v>
      </c>
      <c r="D4" t="s">
        <v>125</v>
      </c>
      <c r="E4" t="s">
        <v>126</v>
      </c>
      <c r="G4" t="str" cm="1">
        <f t="array" ref="G4:S7">TRANSPOSE(B4:E16)</f>
        <v>Mes</v>
      </c>
      <c r="H4" t="str">
        <v>Enero</v>
      </c>
      <c r="I4" t="str">
        <v>Febrero</v>
      </c>
      <c r="J4" t="str">
        <v>Marzo</v>
      </c>
      <c r="K4" t="str">
        <v>Abril</v>
      </c>
      <c r="L4" t="str">
        <v>Mayo</v>
      </c>
      <c r="M4" t="str">
        <v>Junio</v>
      </c>
      <c r="N4" t="str">
        <v>Julio</v>
      </c>
      <c r="O4" t="str">
        <v>Agosto</v>
      </c>
      <c r="P4" t="str">
        <v>Setiembre</v>
      </c>
      <c r="Q4" t="str">
        <v>Octubre</v>
      </c>
      <c r="R4" t="str">
        <v>Noviembre</v>
      </c>
      <c r="S4" t="str">
        <v>Diciembre</v>
      </c>
    </row>
    <row r="5" spans="2:19">
      <c r="B5" t="s">
        <v>127</v>
      </c>
      <c r="C5" s="9">
        <v>15000</v>
      </c>
      <c r="D5" s="9">
        <v>17347.777773338043</v>
      </c>
      <c r="E5" s="9">
        <v>3254.7547242796063</v>
      </c>
      <c r="G5" t="str">
        <v>Producto A</v>
      </c>
      <c r="H5">
        <v>15000</v>
      </c>
      <c r="I5">
        <v>40188.218609108902</v>
      </c>
      <c r="J5">
        <v>4911.3706160928632</v>
      </c>
      <c r="K5">
        <v>29423.701771965803</v>
      </c>
      <c r="L5">
        <v>12263.104482015384</v>
      </c>
      <c r="M5">
        <v>48394.47630826581</v>
      </c>
      <c r="N5">
        <v>9101.5346474692487</v>
      </c>
      <c r="O5">
        <v>16439.206202703092</v>
      </c>
      <c r="P5">
        <v>47481.795415914501</v>
      </c>
      <c r="Q5">
        <v>33329.539869217486</v>
      </c>
      <c r="R5">
        <v>27455.886259313695</v>
      </c>
      <c r="S5">
        <v>965.43022761974134</v>
      </c>
    </row>
    <row r="6" spans="2:19">
      <c r="B6" t="s">
        <v>128</v>
      </c>
      <c r="C6" s="9">
        <v>40188.218609108902</v>
      </c>
      <c r="D6" s="9">
        <v>4254.1381945055764</v>
      </c>
      <c r="E6" s="9">
        <v>22565.531660147171</v>
      </c>
      <c r="G6" t="str">
        <v>Producto B</v>
      </c>
      <c r="H6">
        <v>17347.777773338043</v>
      </c>
      <c r="I6">
        <v>4254.1381945055764</v>
      </c>
      <c r="J6">
        <v>1969.3386794374892</v>
      </c>
      <c r="K6">
        <v>27072.113677123896</v>
      </c>
      <c r="L6">
        <v>26813.743170481706</v>
      </c>
      <c r="M6">
        <v>16430.814122009586</v>
      </c>
      <c r="N6">
        <v>29323.758474069262</v>
      </c>
      <c r="O6">
        <v>44488.695344360021</v>
      </c>
      <c r="P6">
        <v>25737.52103439506</v>
      </c>
      <c r="Q6">
        <v>7075.4772302189958</v>
      </c>
      <c r="R6">
        <v>20762.732321215248</v>
      </c>
      <c r="S6">
        <v>36367.324826534707</v>
      </c>
    </row>
    <row r="7" spans="2:19">
      <c r="B7" t="s">
        <v>129</v>
      </c>
      <c r="C7" s="9">
        <v>4911.3706160928632</v>
      </c>
      <c r="D7" s="9">
        <v>1969.3386794374892</v>
      </c>
      <c r="E7" s="9">
        <v>13487.335130435116</v>
      </c>
      <c r="G7" t="str">
        <v>Producto C</v>
      </c>
      <c r="H7">
        <v>3254.7547242796063</v>
      </c>
      <c r="I7">
        <v>22565.531660147171</v>
      </c>
      <c r="J7">
        <v>13487.335130435116</v>
      </c>
      <c r="K7">
        <v>9464.5400918942833</v>
      </c>
      <c r="L7">
        <v>1449.1574457691677</v>
      </c>
      <c r="M7">
        <v>31217.415652494623</v>
      </c>
      <c r="N7">
        <v>15751.64581544057</v>
      </c>
      <c r="O7">
        <v>40399.731906627203</v>
      </c>
      <c r="P7">
        <v>21497.568552696626</v>
      </c>
      <c r="Q7">
        <v>7732.6597635734142</v>
      </c>
      <c r="R7">
        <v>38520.166275686446</v>
      </c>
      <c r="S7">
        <v>25451.921913634316</v>
      </c>
    </row>
    <row r="8" spans="2:19">
      <c r="B8" t="s">
        <v>130</v>
      </c>
      <c r="C8" s="9">
        <v>29423.701771965803</v>
      </c>
      <c r="D8" s="9">
        <v>27072.113677123896</v>
      </c>
      <c r="E8" s="9">
        <v>9464.5400918942833</v>
      </c>
    </row>
    <row r="9" spans="2:19">
      <c r="B9" t="s">
        <v>131</v>
      </c>
      <c r="C9" s="9">
        <v>12263.104482015384</v>
      </c>
      <c r="D9" s="9">
        <v>26813.743170481706</v>
      </c>
      <c r="E9" s="9">
        <v>1449.1574457691677</v>
      </c>
    </row>
    <row r="10" spans="2:19">
      <c r="B10" t="s">
        <v>132</v>
      </c>
      <c r="C10" s="9">
        <v>48394.47630826581</v>
      </c>
      <c r="D10" s="9">
        <v>16430.814122009586</v>
      </c>
      <c r="E10" s="9">
        <v>31217.415652494623</v>
      </c>
    </row>
    <row r="11" spans="2:19">
      <c r="B11" t="s">
        <v>133</v>
      </c>
      <c r="C11" s="9">
        <v>9101.5346474692487</v>
      </c>
      <c r="D11" s="9">
        <v>29323.758474069262</v>
      </c>
      <c r="E11" s="9">
        <v>15751.64581544057</v>
      </c>
    </row>
    <row r="12" spans="2:19">
      <c r="B12" t="s">
        <v>134</v>
      </c>
      <c r="C12" s="9">
        <v>16439.206202703092</v>
      </c>
      <c r="D12" s="9">
        <v>44488.695344360021</v>
      </c>
      <c r="E12" s="9">
        <v>40399.731906627203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spans="2:19">
      <c r="B13" t="s">
        <v>135</v>
      </c>
      <c r="C13" s="9">
        <v>47481.795415914501</v>
      </c>
      <c r="D13" s="9">
        <v>25737.52103439506</v>
      </c>
      <c r="E13" s="9">
        <v>21497.568552696626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2:19">
      <c r="B14" t="s">
        <v>136</v>
      </c>
      <c r="C14" s="9">
        <v>33329.539869217486</v>
      </c>
      <c r="D14" s="9">
        <v>7075.4772302189958</v>
      </c>
      <c r="E14" s="9">
        <v>7732.6597635734142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2:19">
      <c r="B15" t="s">
        <v>137</v>
      </c>
      <c r="C15" s="9">
        <v>27455.886259313695</v>
      </c>
      <c r="D15" s="9">
        <v>20762.732321215248</v>
      </c>
      <c r="E15" s="9">
        <v>38520.166275686446</v>
      </c>
    </row>
    <row r="16" spans="2:19">
      <c r="B16" t="s">
        <v>138</v>
      </c>
      <c r="C16" s="9">
        <v>965.43022761974134</v>
      </c>
      <c r="D16" s="9">
        <v>36367.324826534707</v>
      </c>
      <c r="E16" s="9">
        <v>25451.921913634316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Ramirez</dc:creator>
  <cp:keywords/>
  <dc:description/>
  <cp:lastModifiedBy/>
  <cp:revision/>
  <dcterms:created xsi:type="dcterms:W3CDTF">2024-09-14T19:04:50Z</dcterms:created>
  <dcterms:modified xsi:type="dcterms:W3CDTF">2025-12-26T23:44:32Z</dcterms:modified>
  <cp:category/>
  <cp:contentStatus/>
</cp:coreProperties>
</file>