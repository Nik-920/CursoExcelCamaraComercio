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5FB88322-A434-4629-8E1A-1A1AC6EC07BB}" xr6:coauthVersionLast="47" xr6:coauthVersionMax="47" xr10:uidLastSave="{00000000-0000-0000-0000-000000000000}"/>
  <bookViews>
    <workbookView xWindow="-108" yWindow="-108" windowWidth="23256" windowHeight="12456" tabRatio="769" activeTab="7" xr2:uid="{00000000-000D-0000-FFFF-FFFF00000000}"/>
  </bookViews>
  <sheets>
    <sheet name="Principal" sheetId="29" r:id="rId1"/>
    <sheet name="Suma" sheetId="38" r:id="rId2"/>
    <sheet name="Multiplicación" sheetId="39" r:id="rId3"/>
    <sheet name="Resta" sheetId="40" r:id="rId4"/>
    <sheet name="División" sheetId="41" r:id="rId5"/>
    <sheet name="Porcentaje" sheetId="42" r:id="rId6"/>
    <sheet name="Potencia" sheetId="43" r:id="rId7"/>
    <sheet name="Promedio" sheetId="4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7" i="44" l="1"/>
  <c r="K48" i="44"/>
  <c r="K49" i="44"/>
  <c r="K46" i="44"/>
  <c r="J47" i="44"/>
  <c r="J48" i="44"/>
  <c r="J49" i="44"/>
  <c r="J46" i="44"/>
  <c r="G49" i="44"/>
  <c r="G47" i="44"/>
  <c r="G48" i="44"/>
  <c r="G46" i="44"/>
  <c r="E38" i="44"/>
  <c r="E36" i="44"/>
  <c r="E34" i="44"/>
  <c r="G20" i="44"/>
  <c r="G18" i="44"/>
  <c r="G19" i="44"/>
  <c r="G17" i="44"/>
  <c r="E12" i="44"/>
  <c r="F83" i="43"/>
  <c r="F63" i="43"/>
  <c r="F44" i="43"/>
  <c r="F22" i="43"/>
  <c r="E42" i="42"/>
  <c r="E31" i="42"/>
  <c r="E21" i="42"/>
  <c r="F21" i="42"/>
  <c r="G21" i="42"/>
  <c r="H21" i="42"/>
  <c r="H20" i="42"/>
  <c r="H18" i="42"/>
  <c r="H19" i="42"/>
  <c r="H17" i="42"/>
  <c r="G18" i="42"/>
  <c r="G19" i="42"/>
  <c r="G20" i="42"/>
  <c r="G17" i="42"/>
  <c r="H11" i="42"/>
  <c r="H9" i="42"/>
  <c r="H10" i="42"/>
  <c r="E12" i="42"/>
  <c r="F12" i="42"/>
  <c r="G9" i="42"/>
  <c r="G10" i="42"/>
  <c r="G11" i="42"/>
  <c r="G8" i="42"/>
  <c r="H8" i="42" s="1"/>
  <c r="F71" i="41"/>
  <c r="F17" i="41"/>
  <c r="F52" i="41"/>
  <c r="F34" i="41"/>
  <c r="G40" i="40"/>
  <c r="G37" i="40"/>
  <c r="G38" i="40"/>
  <c r="G39" i="40"/>
  <c r="G36" i="40"/>
  <c r="E21" i="40"/>
  <c r="F21" i="40"/>
  <c r="G18" i="40"/>
  <c r="G21" i="40" s="1"/>
  <c r="G19" i="40"/>
  <c r="G20" i="40"/>
  <c r="G17" i="40"/>
  <c r="E12" i="40"/>
  <c r="F12" i="40"/>
  <c r="G9" i="40"/>
  <c r="G10" i="40"/>
  <c r="G11" i="40"/>
  <c r="G8" i="40"/>
  <c r="G12" i="40" s="1"/>
  <c r="G45" i="39"/>
  <c r="G41" i="39"/>
  <c r="G42" i="39"/>
  <c r="G43" i="39"/>
  <c r="G44" i="39"/>
  <c r="G40" i="39"/>
  <c r="H35" i="39"/>
  <c r="H28" i="39"/>
  <c r="H29" i="39"/>
  <c r="H30" i="39"/>
  <c r="H31" i="39"/>
  <c r="H32" i="39"/>
  <c r="H33" i="39"/>
  <c r="H34" i="39"/>
  <c r="H27" i="39"/>
  <c r="E21" i="39"/>
  <c r="F21" i="39"/>
  <c r="G21" i="39"/>
  <c r="G18" i="39"/>
  <c r="G19" i="39"/>
  <c r="G20" i="39"/>
  <c r="G17" i="39"/>
  <c r="E12" i="39"/>
  <c r="F12" i="39"/>
  <c r="G12" i="39"/>
  <c r="G9" i="39"/>
  <c r="G10" i="39"/>
  <c r="G11" i="39"/>
  <c r="G8" i="39"/>
  <c r="H56" i="38"/>
  <c r="H55" i="38"/>
  <c r="H54" i="38"/>
  <c r="H53" i="38"/>
  <c r="H52" i="38"/>
  <c r="G39" i="38"/>
  <c r="G38" i="38"/>
  <c r="G37" i="38"/>
  <c r="E21" i="38"/>
  <c r="F21" i="38"/>
  <c r="G21" i="38"/>
  <c r="G17" i="38"/>
  <c r="G18" i="38"/>
  <c r="G19" i="38"/>
  <c r="G20" i="38"/>
  <c r="G36" i="38"/>
  <c r="G35" i="38"/>
  <c r="E12" i="38"/>
  <c r="I44" i="38"/>
  <c r="H12" i="42" l="1"/>
  <c r="G12" i="42"/>
  <c r="G31" i="40"/>
  <c r="H31" i="40" s="1"/>
  <c r="G30" i="40"/>
  <c r="H30" i="40" s="1"/>
  <c r="G29" i="40"/>
  <c r="H29" i="40" s="1"/>
  <c r="G28" i="40"/>
  <c r="H28" i="40" s="1"/>
  <c r="G27" i="40"/>
  <c r="H27" i="40" s="1"/>
  <c r="I48" i="38"/>
  <c r="I47" i="38"/>
  <c r="I46" i="38"/>
  <c r="I4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G16" authorId="0" shapeId="0" xr:uid="{00000000-0006-0000-01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>Total a Unidades</t>
        </r>
        <r>
          <rPr>
            <sz val="10"/>
            <color indexed="81"/>
            <rFont val="Arial Unicode MS"/>
            <family val="2"/>
          </rPr>
          <t xml:space="preserve"> = </t>
        </r>
        <r>
          <rPr>
            <b/>
            <sz val="10"/>
            <color indexed="81"/>
            <rFont val="Arial Unicode MS"/>
            <family val="2"/>
          </rPr>
          <t>Cantidad Unidades A</t>
        </r>
        <r>
          <rPr>
            <sz val="10"/>
            <color indexed="81"/>
            <rFont val="Arial Unicode MS"/>
            <family val="2"/>
          </rPr>
          <t xml:space="preserve"> mas </t>
        </r>
        <r>
          <rPr>
            <b/>
            <sz val="10"/>
            <color indexed="81"/>
            <rFont val="Arial Unicode MS"/>
            <family val="2"/>
          </rPr>
          <t>Cantidad Unidades 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G7" authorId="0" shapeId="0" xr:uid="{00000000-0006-0000-02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>Total a Pagar</t>
        </r>
        <r>
          <rPr>
            <sz val="10"/>
            <color indexed="81"/>
            <rFont val="Arial Unicode MS"/>
            <family val="2"/>
          </rPr>
          <t xml:space="preserve"> = </t>
        </r>
        <r>
          <rPr>
            <b/>
            <sz val="10"/>
            <color indexed="81"/>
            <rFont val="Arial Unicode MS"/>
            <family val="2"/>
          </rPr>
          <t>Cantidad</t>
        </r>
        <r>
          <rPr>
            <sz val="10"/>
            <color indexed="81"/>
            <rFont val="Arial Unicode MS"/>
            <family val="2"/>
          </rPr>
          <t xml:space="preserve"> por </t>
        </r>
        <r>
          <rPr>
            <b/>
            <sz val="10"/>
            <color indexed="81"/>
            <rFont val="Arial Unicode MS"/>
            <family val="2"/>
          </rPr>
          <t>Precio Unitario.</t>
        </r>
      </text>
    </comment>
    <comment ref="E12" authorId="0" shapeId="0" xr:uid="{00000000-0006-0000-02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la</t>
        </r>
        <r>
          <rPr>
            <b/>
            <sz val="10"/>
            <color indexed="81"/>
            <rFont val="Arial Unicode MS"/>
            <family val="2"/>
          </rPr>
          <t xml:space="preserve"> cantidad de Articulos. </t>
        </r>
        <r>
          <rPr>
            <sz val="10"/>
            <color indexed="81"/>
            <rFont val="Arial Unicode MS"/>
            <family val="2"/>
          </rPr>
          <t xml:space="preserve">Aplique </t>
        </r>
        <r>
          <rPr>
            <b/>
            <sz val="10"/>
            <color indexed="81"/>
            <rFont val="Arial Unicode MS"/>
            <family val="2"/>
          </rPr>
          <t>Suma</t>
        </r>
      </text>
    </comment>
    <comment ref="G16" authorId="0" shapeId="0" xr:uid="{00000000-0006-0000-0200-000003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 xml:space="preserve">Sueldo Bruto Mensual = Días Trabajados </t>
        </r>
        <r>
          <rPr>
            <sz val="10"/>
            <color indexed="81"/>
            <rFont val="Arial Unicode MS"/>
            <family val="2"/>
          </rPr>
          <t xml:space="preserve">por </t>
        </r>
        <r>
          <rPr>
            <b/>
            <sz val="10"/>
            <color indexed="81"/>
            <rFont val="Arial Unicode MS"/>
            <family val="2"/>
          </rPr>
          <t>Costo por Día.</t>
        </r>
      </text>
    </comment>
    <comment ref="H26" authorId="0" shapeId="0" xr:uid="{00000000-0006-0000-0200-000004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 xml:space="preserve">Importe = Cantidad </t>
        </r>
        <r>
          <rPr>
            <sz val="10"/>
            <color indexed="81"/>
            <rFont val="Arial Unicode MS"/>
            <family val="2"/>
          </rPr>
          <t xml:space="preserve">por </t>
        </r>
        <r>
          <rPr>
            <b/>
            <sz val="10"/>
            <color indexed="81"/>
            <rFont val="Arial Unicode MS"/>
            <family val="2"/>
          </rPr>
          <t>Precio.</t>
        </r>
      </text>
    </comment>
    <comment ref="G35" authorId="0" shapeId="0" xr:uid="{00000000-0006-0000-0200-000005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la</t>
        </r>
        <r>
          <rPr>
            <b/>
            <sz val="10"/>
            <color indexed="81"/>
            <rFont val="Arial Unicode MS"/>
            <family val="2"/>
          </rPr>
          <t xml:space="preserve"> Suma.</t>
        </r>
      </text>
    </comment>
    <comment ref="G39" authorId="0" shapeId="0" xr:uid="{00000000-0006-0000-0200-000006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 xml:space="preserve">Importe por Horas Extras = Cantidad Horas Extras </t>
        </r>
        <r>
          <rPr>
            <sz val="10"/>
            <color indexed="81"/>
            <rFont val="Arial Unicode MS"/>
            <family val="2"/>
          </rPr>
          <t xml:space="preserve">por </t>
        </r>
        <r>
          <rPr>
            <b/>
            <sz val="10"/>
            <color indexed="81"/>
            <rFont val="Arial Unicode MS"/>
            <family val="2"/>
          </rPr>
          <t>Costo Hora Extra.</t>
        </r>
      </text>
    </comment>
    <comment ref="F45" authorId="0" shapeId="0" xr:uid="{00000000-0006-0000-0200-000007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la</t>
        </r>
        <r>
          <rPr>
            <b/>
            <sz val="10"/>
            <color indexed="81"/>
            <rFont val="Arial Unicode MS"/>
            <family val="2"/>
          </rPr>
          <t xml:space="preserve"> Suma.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G7" authorId="0" shapeId="0" xr:uid="{00000000-0006-0000-03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>Saldo</t>
        </r>
        <r>
          <rPr>
            <sz val="10"/>
            <color indexed="81"/>
            <rFont val="Arial Unicode MS"/>
            <family val="2"/>
          </rPr>
          <t xml:space="preserve"> = </t>
        </r>
        <r>
          <rPr>
            <b/>
            <sz val="10"/>
            <color indexed="81"/>
            <rFont val="Arial Unicode MS"/>
            <family val="2"/>
          </rPr>
          <t>Stock en Almacen</t>
        </r>
        <r>
          <rPr>
            <sz val="10"/>
            <color indexed="81"/>
            <rFont val="Arial Unicode MS"/>
            <family val="2"/>
          </rPr>
          <t xml:space="preserve"> menos </t>
        </r>
        <r>
          <rPr>
            <b/>
            <sz val="10"/>
            <color indexed="81"/>
            <rFont val="Arial Unicode MS"/>
            <family val="2"/>
          </rPr>
          <t>Salidas</t>
        </r>
      </text>
    </comment>
    <comment ref="E12" authorId="0" shapeId="0" xr:uid="{00000000-0006-0000-03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la</t>
        </r>
        <r>
          <rPr>
            <b/>
            <sz val="10"/>
            <color indexed="81"/>
            <rFont val="Arial Unicode MS"/>
            <family val="2"/>
          </rPr>
          <t xml:space="preserve"> cantidad de Articulos. </t>
        </r>
        <r>
          <rPr>
            <sz val="10"/>
            <color indexed="81"/>
            <rFont val="Arial Unicode MS"/>
            <family val="2"/>
          </rPr>
          <t xml:space="preserve">Aplique </t>
        </r>
        <r>
          <rPr>
            <b/>
            <sz val="10"/>
            <color indexed="81"/>
            <rFont val="Arial Unicode MS"/>
            <family val="2"/>
          </rPr>
          <t>Suma</t>
        </r>
      </text>
    </comment>
    <comment ref="G16" authorId="0" shapeId="0" xr:uid="{00000000-0006-0000-0300-000003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 xml:space="preserve">Sueldo Mensual = Suelo Bruto </t>
        </r>
        <r>
          <rPr>
            <sz val="10"/>
            <color indexed="81"/>
            <rFont val="Arial Unicode MS"/>
            <family val="2"/>
          </rPr>
          <t xml:space="preserve">menos </t>
        </r>
        <r>
          <rPr>
            <b/>
            <sz val="10"/>
            <color indexed="81"/>
            <rFont val="Arial Unicode MS"/>
            <family val="2"/>
          </rPr>
          <t>Descuento por Movilidad.</t>
        </r>
      </text>
    </comment>
    <comment ref="H26" authorId="0" shapeId="0" xr:uid="{00000000-0006-0000-0300-000004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 xml:space="preserve">Importe = Sueldo Básico, </t>
        </r>
        <r>
          <rPr>
            <sz val="10"/>
            <color indexed="81"/>
            <rFont val="Arial Unicode MS"/>
            <family val="2"/>
          </rPr>
          <t>menos los</t>
        </r>
        <r>
          <rPr>
            <b/>
            <sz val="10"/>
            <color indexed="81"/>
            <rFont val="Arial Unicode MS"/>
            <family val="2"/>
          </rPr>
          <t xml:space="preserve"> dos descuentos.</t>
        </r>
      </text>
    </comment>
    <comment ref="G35" authorId="0" shapeId="0" xr:uid="{00000000-0006-0000-0300-000005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 xml:space="preserve">Stock = </t>
        </r>
        <r>
          <rPr>
            <sz val="10"/>
            <color indexed="81"/>
            <rFont val="Arial Unicode MS"/>
            <family val="2"/>
          </rPr>
          <t>Ingreso de Productos - Salida de Productos.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G7" authorId="0" shapeId="0" xr:uid="{00000000-0006-0000-05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Descuento = </t>
        </r>
        <r>
          <rPr>
            <b/>
            <sz val="10"/>
            <color indexed="81"/>
            <rFont val="Arial Unicode MS"/>
            <family val="2"/>
          </rPr>
          <t xml:space="preserve">Precio </t>
        </r>
        <r>
          <rPr>
            <sz val="10"/>
            <color indexed="81"/>
            <rFont val="Arial Unicode MS"/>
            <family val="2"/>
          </rPr>
          <t>por</t>
        </r>
        <r>
          <rPr>
            <b/>
            <sz val="10"/>
            <color indexed="81"/>
            <rFont val="Arial Unicode MS"/>
            <family val="2"/>
          </rPr>
          <t xml:space="preserve"> Descuentos</t>
        </r>
      </text>
    </comment>
    <comment ref="H7" authorId="0" shapeId="0" xr:uid="{00000000-0006-0000-05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Importe a Pagar = </t>
        </r>
        <r>
          <rPr>
            <b/>
            <sz val="10"/>
            <color indexed="81"/>
            <rFont val="Arial Unicode MS"/>
            <family val="2"/>
          </rPr>
          <t xml:space="preserve">Precio </t>
        </r>
        <r>
          <rPr>
            <sz val="10"/>
            <color indexed="81"/>
            <rFont val="Arial Unicode MS"/>
            <family val="2"/>
          </rPr>
          <t>menos</t>
        </r>
        <r>
          <rPr>
            <b/>
            <sz val="10"/>
            <color indexed="81"/>
            <rFont val="Arial Unicode MS"/>
            <family val="2"/>
          </rPr>
          <t xml:space="preserve"> Descuento</t>
        </r>
      </text>
    </comment>
    <comment ref="E12" authorId="0" shapeId="0" xr:uid="{00000000-0006-0000-0500-000003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la</t>
        </r>
        <r>
          <rPr>
            <b/>
            <sz val="10"/>
            <color indexed="81"/>
            <rFont val="Arial Unicode MS"/>
            <family val="2"/>
          </rPr>
          <t xml:space="preserve"> total del precio. </t>
        </r>
        <r>
          <rPr>
            <sz val="10"/>
            <color indexed="81"/>
            <rFont val="Arial Unicode MS"/>
            <family val="2"/>
          </rPr>
          <t xml:space="preserve">Aplique </t>
        </r>
        <r>
          <rPr>
            <b/>
            <sz val="10"/>
            <color indexed="81"/>
            <rFont val="Arial Unicode MS"/>
            <family val="2"/>
          </rPr>
          <t>Suma</t>
        </r>
      </text>
    </comment>
    <comment ref="G12" authorId="0" shapeId="0" xr:uid="{00000000-0006-0000-0500-000004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la</t>
        </r>
        <r>
          <rPr>
            <b/>
            <sz val="10"/>
            <color indexed="81"/>
            <rFont val="Arial Unicode MS"/>
            <family val="2"/>
          </rPr>
          <t xml:space="preserve"> total del Importe. </t>
        </r>
        <r>
          <rPr>
            <sz val="10"/>
            <color indexed="81"/>
            <rFont val="Arial Unicode MS"/>
            <family val="2"/>
          </rPr>
          <t xml:space="preserve">Aplique </t>
        </r>
        <r>
          <rPr>
            <b/>
            <sz val="10"/>
            <color indexed="81"/>
            <rFont val="Arial Unicode MS"/>
            <family val="2"/>
          </rPr>
          <t>Suma</t>
        </r>
      </text>
    </comment>
    <comment ref="H12" authorId="0" shapeId="0" xr:uid="{00000000-0006-0000-0500-000005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</t>
        </r>
        <r>
          <rPr>
            <b/>
            <sz val="10"/>
            <color indexed="81"/>
            <rFont val="Arial Unicode MS"/>
            <family val="2"/>
          </rPr>
          <t xml:space="preserve">importe a pagar. </t>
        </r>
        <r>
          <rPr>
            <sz val="10"/>
            <color indexed="81"/>
            <rFont val="Arial Unicode MS"/>
            <family val="2"/>
          </rPr>
          <t xml:space="preserve">Aplique </t>
        </r>
        <r>
          <rPr>
            <b/>
            <sz val="10"/>
            <color indexed="81"/>
            <rFont val="Arial Unicode MS"/>
            <family val="2"/>
          </rPr>
          <t>Suma</t>
        </r>
      </text>
    </comment>
    <comment ref="G16" authorId="0" shapeId="0" xr:uid="{00000000-0006-0000-0500-000006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Descuento por movilidad</t>
        </r>
        <r>
          <rPr>
            <b/>
            <sz val="10"/>
            <color indexed="81"/>
            <rFont val="Arial Unicode MS"/>
            <family val="2"/>
          </rPr>
          <t xml:space="preserve"> = Suelo Bruto </t>
        </r>
        <r>
          <rPr>
            <sz val="10"/>
            <color indexed="81"/>
            <rFont val="Arial Unicode MS"/>
            <family val="2"/>
          </rPr>
          <t xml:space="preserve">por </t>
        </r>
        <r>
          <rPr>
            <b/>
            <sz val="10"/>
            <color indexed="81"/>
            <rFont val="Arial Unicode MS"/>
            <family val="2"/>
          </rPr>
          <t>Porcentaj de Descuento por Movilidad.</t>
        </r>
      </text>
    </comment>
    <comment ref="H16" authorId="0" shapeId="0" xr:uid="{00000000-0006-0000-0500-000007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Sueldo Mensual</t>
        </r>
        <r>
          <rPr>
            <b/>
            <sz val="10"/>
            <color indexed="81"/>
            <rFont val="Arial Unicode MS"/>
            <family val="2"/>
          </rPr>
          <t xml:space="preserve"> = Suelo Bruto </t>
        </r>
        <r>
          <rPr>
            <sz val="10"/>
            <color indexed="81"/>
            <rFont val="Arial Unicode MS"/>
            <family val="2"/>
          </rPr>
          <t>menos</t>
        </r>
        <r>
          <rPr>
            <b/>
            <sz val="10"/>
            <color indexed="81"/>
            <rFont val="Arial Unicode MS"/>
            <family val="2"/>
          </rPr>
          <t xml:space="preserve"> Descuento por Movilidad.</t>
        </r>
      </text>
    </comment>
    <comment ref="E21" authorId="0" shapeId="0" xr:uid="{00000000-0006-0000-0500-000008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la</t>
        </r>
        <r>
          <rPr>
            <b/>
            <sz val="10"/>
            <color indexed="81"/>
            <rFont val="Arial Unicode MS"/>
            <family val="2"/>
          </rPr>
          <t xml:space="preserve"> total del sueldo bruto </t>
        </r>
        <r>
          <rPr>
            <sz val="10"/>
            <color indexed="81"/>
            <rFont val="Arial Unicode MS"/>
            <family val="2"/>
          </rPr>
          <t xml:space="preserve">Aplique </t>
        </r>
        <r>
          <rPr>
            <b/>
            <sz val="10"/>
            <color indexed="81"/>
            <rFont val="Arial Unicode MS"/>
            <family val="2"/>
          </rPr>
          <t>Suma</t>
        </r>
      </text>
    </comment>
    <comment ref="G21" authorId="0" shapeId="0" xr:uid="{00000000-0006-0000-0500-000009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la</t>
        </r>
        <r>
          <rPr>
            <b/>
            <sz val="10"/>
            <color indexed="81"/>
            <rFont val="Arial Unicode MS"/>
            <family val="2"/>
          </rPr>
          <t xml:space="preserve"> total del descueto por movilidad. </t>
        </r>
        <r>
          <rPr>
            <sz val="10"/>
            <color indexed="81"/>
            <rFont val="Arial Unicode MS"/>
            <family val="2"/>
          </rPr>
          <t xml:space="preserve">Aplique </t>
        </r>
        <r>
          <rPr>
            <b/>
            <sz val="10"/>
            <color indexed="81"/>
            <rFont val="Arial Unicode MS"/>
            <family val="2"/>
          </rPr>
          <t>Suma</t>
        </r>
      </text>
    </comment>
    <comment ref="H21" authorId="0" shapeId="0" xr:uid="{00000000-0006-0000-0500-00000A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Sueldo Mensual = suma del Sueldo Mensual</t>
        </r>
      </text>
    </comment>
    <comment ref="D42" authorId="0" shapeId="0" xr:uid="{00000000-0006-0000-0500-00000B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>Porcentaje = Resultado entre Numero.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E12" authorId="0" shapeId="0" xr:uid="{00000000-0006-0000-07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el Promedio de edades.</t>
        </r>
      </text>
    </comment>
    <comment ref="G16" authorId="0" shapeId="0" xr:uid="{00000000-0006-0000-07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>Promedio = (Nota1 + Nota2)/2</t>
        </r>
      </text>
    </comment>
    <comment ref="G45" authorId="0" shapeId="0" xr:uid="{00000000-0006-0000-0700-000003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>Promedio = (Nota1 + Nota2)/2</t>
        </r>
      </text>
    </comment>
    <comment ref="J45" authorId="0" shapeId="0" xr:uid="{00000000-0006-0000-0700-000004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>Promedio Examen = (Examen Parcial + Examen Final)/2</t>
        </r>
      </text>
    </comment>
    <comment ref="K45" authorId="0" shapeId="0" xr:uid="{00000000-0006-0000-0700-000005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</t>
        </r>
        <r>
          <rPr>
            <b/>
            <sz val="10"/>
            <color indexed="81"/>
            <rFont val="Arial Unicode MS"/>
            <family val="2"/>
          </rPr>
          <t>Promedio Final = (Promedio Notas + Promedio Notas)/2</t>
        </r>
      </text>
    </comment>
  </commentList>
</comments>
</file>

<file path=xl/sharedStrings.xml><?xml version="1.0" encoding="utf-8"?>
<sst xmlns="http://schemas.openxmlformats.org/spreadsheetml/2006/main" count="331" uniqueCount="216">
  <si>
    <t>A</t>
  </si>
  <si>
    <t>B</t>
  </si>
  <si>
    <t>C</t>
  </si>
  <si>
    <t>D</t>
  </si>
  <si>
    <t>Totales</t>
  </si>
  <si>
    <t>Empleados</t>
  </si>
  <si>
    <t>Precio</t>
  </si>
  <si>
    <t>Meses</t>
  </si>
  <si>
    <t>Ponce Catalina</t>
  </si>
  <si>
    <t>Mendoza Rosa</t>
  </si>
  <si>
    <t>Hilario Corina</t>
  </si>
  <si>
    <t>Alvarado Patricia</t>
  </si>
  <si>
    <t>Sheffer Milagros</t>
  </si>
  <si>
    <t>Ejercicio 1</t>
  </si>
  <si>
    <t>Articulos</t>
  </si>
  <si>
    <t>No. de partes</t>
  </si>
  <si>
    <t>Total partes</t>
  </si>
  <si>
    <t>Ejercicio 2</t>
  </si>
  <si>
    <t>Marca</t>
  </si>
  <si>
    <t>Toyota</t>
  </si>
  <si>
    <t>Nissan</t>
  </si>
  <si>
    <t>Volvo</t>
  </si>
  <si>
    <t>Subaru</t>
  </si>
  <si>
    <t>Total unidades</t>
  </si>
  <si>
    <t>Ejercicio 3</t>
  </si>
  <si>
    <t>Vendedor</t>
  </si>
  <si>
    <t>Cuadro  de Unidades Vendidas</t>
  </si>
  <si>
    <t>Zona</t>
  </si>
  <si>
    <t>Sur</t>
  </si>
  <si>
    <t>Norte</t>
  </si>
  <si>
    <t>Centro</t>
  </si>
  <si>
    <t>Luis</t>
  </si>
  <si>
    <t>Hernán</t>
  </si>
  <si>
    <t>María</t>
  </si>
  <si>
    <t>Enma</t>
  </si>
  <si>
    <t>Total venta zona Norte</t>
  </si>
  <si>
    <t>Total venta de Luis</t>
  </si>
  <si>
    <t>Total  venta Maria y Enma</t>
  </si>
  <si>
    <t>Total venta zona Sur y Norte</t>
  </si>
  <si>
    <t>Total venta zona Sur y Centro</t>
  </si>
  <si>
    <t>Ejercicio 4</t>
  </si>
  <si>
    <t>Id</t>
  </si>
  <si>
    <t>Participante</t>
  </si>
  <si>
    <t>Ex. Parcial</t>
  </si>
  <si>
    <t>Ex. Final</t>
  </si>
  <si>
    <t>Trabajos</t>
  </si>
  <si>
    <t>Promedio</t>
  </si>
  <si>
    <t>Juan</t>
  </si>
  <si>
    <t>Resolver las siguientes preguntas:</t>
  </si>
  <si>
    <t>Total de Unidades</t>
  </si>
  <si>
    <t>Calcular la cantidad de Unidades.</t>
  </si>
  <si>
    <t>Tania</t>
  </si>
  <si>
    <t>Patricia</t>
  </si>
  <si>
    <t>Rosa</t>
  </si>
  <si>
    <t>Elizabeth</t>
  </si>
  <si>
    <t>Suma</t>
  </si>
  <si>
    <t>Resta</t>
  </si>
  <si>
    <t>División</t>
  </si>
  <si>
    <t>Potencia</t>
  </si>
  <si>
    <t>Cantidad</t>
  </si>
  <si>
    <t>Total a Pagar</t>
  </si>
  <si>
    <t>Precio Unitario</t>
  </si>
  <si>
    <t>Cantidad Unidades A</t>
  </si>
  <si>
    <t>Cantidad Unidades B</t>
  </si>
  <si>
    <t>Empleado</t>
  </si>
  <si>
    <t>Dias Trabajados</t>
  </si>
  <si>
    <t>Costo por Día</t>
  </si>
  <si>
    <t>Sueldo Bruto Mensual</t>
  </si>
  <si>
    <t>Rosa Mendoza</t>
  </si>
  <si>
    <t>Tania Becerra</t>
  </si>
  <si>
    <t>Yolanda Cruz</t>
  </si>
  <si>
    <t>Rosa Noriega</t>
  </si>
  <si>
    <t>Codigo</t>
  </si>
  <si>
    <t>Descripcion</t>
  </si>
  <si>
    <t>Importe</t>
  </si>
  <si>
    <t>AJ-001</t>
  </si>
  <si>
    <t>Case Mini Tower</t>
  </si>
  <si>
    <t>AJ-002</t>
  </si>
  <si>
    <t>AJ-003</t>
  </si>
  <si>
    <t>AJ-004</t>
  </si>
  <si>
    <t>MainBoard ATX</t>
  </si>
  <si>
    <t>AJ-005</t>
  </si>
  <si>
    <t>Monitor LG 15"</t>
  </si>
  <si>
    <t>AJ-006</t>
  </si>
  <si>
    <t>Mouse</t>
  </si>
  <si>
    <t>AJ-007</t>
  </si>
  <si>
    <t>Parlantes</t>
  </si>
  <si>
    <t>AJ-008</t>
  </si>
  <si>
    <t>Disco Duro 500 GB</t>
  </si>
  <si>
    <t>USB 32 GB</t>
  </si>
  <si>
    <t>Teclado</t>
  </si>
  <si>
    <t>Presupuesto de hardware de una Computadora</t>
  </si>
  <si>
    <t>Cantidad Horas Extras</t>
  </si>
  <si>
    <t>Costo Hora Extra</t>
  </si>
  <si>
    <t>Importe por Horas Extras</t>
  </si>
  <si>
    <t>Stock en Almacen</t>
  </si>
  <si>
    <t>Salidas</t>
  </si>
  <si>
    <t>Saldo</t>
  </si>
  <si>
    <t>Sueldo Bruto</t>
  </si>
  <si>
    <t>Descuento por Movilidad</t>
  </si>
  <si>
    <t>Sueldo 
 Mensual</t>
  </si>
  <si>
    <t>Porcentajes</t>
  </si>
  <si>
    <t>Hilda Monago</t>
  </si>
  <si>
    <t>Descuento por Faltas</t>
  </si>
  <si>
    <t>Descuento AFP</t>
  </si>
  <si>
    <t>Sueldo Básico</t>
  </si>
  <si>
    <t>Descuentos de Empleados</t>
  </si>
  <si>
    <t>Ingreso de Productos</t>
  </si>
  <si>
    <t>Salida de Productos</t>
  </si>
  <si>
    <t>Stock</t>
  </si>
  <si>
    <t>Productos</t>
  </si>
  <si>
    <t>TV 35""</t>
  </si>
  <si>
    <t>TV 32""</t>
  </si>
  <si>
    <t>TV 40""</t>
  </si>
  <si>
    <t>TV 45""</t>
  </si>
  <si>
    <t>TV 50"</t>
  </si>
  <si>
    <r>
      <t>Calcular la División</t>
    </r>
    <r>
      <rPr>
        <b/>
        <sz val="11"/>
        <color rgb="FF002060"/>
        <rFont val="Arial Unicode MS"/>
        <family val="2"/>
      </rPr>
      <t xml:space="preserve"> </t>
    </r>
    <r>
      <rPr>
        <sz val="11"/>
        <color rgb="FF002060"/>
        <rFont val="Arial Unicode MS"/>
        <family val="2"/>
      </rPr>
      <t>de los siguientes Fórmulas Matematicas:</t>
    </r>
  </si>
  <si>
    <t>Fórmula:</t>
  </si>
  <si>
    <t>Altura(h)</t>
  </si>
  <si>
    <t>Base(b):</t>
  </si>
  <si>
    <t>Area</t>
  </si>
  <si>
    <t>i</t>
  </si>
  <si>
    <t>P</t>
  </si>
  <si>
    <t>TN</t>
  </si>
  <si>
    <t>m</t>
  </si>
  <si>
    <t>TNx</t>
  </si>
  <si>
    <t>Ejercicio 3:</t>
  </si>
  <si>
    <t>I</t>
  </si>
  <si>
    <t>t</t>
  </si>
  <si>
    <t>Ejercicio 4:</t>
  </si>
  <si>
    <t>S</t>
  </si>
  <si>
    <t>n</t>
  </si>
  <si>
    <t>Hallar el 5% de 350</t>
  </si>
  <si>
    <t>Numero</t>
  </si>
  <si>
    <t>Porcentaje</t>
  </si>
  <si>
    <t>Resultado</t>
  </si>
  <si>
    <t>¿Qué porcentaje de 120 es 20?</t>
  </si>
  <si>
    <t>VF</t>
  </si>
  <si>
    <t>VP</t>
  </si>
  <si>
    <t>Calcular el VP.</t>
  </si>
  <si>
    <t>Calcular la Tasa Equivalente (TE):</t>
  </si>
  <si>
    <t>p</t>
  </si>
  <si>
    <t>TE</t>
  </si>
  <si>
    <t>X</t>
  </si>
  <si>
    <t>Y</t>
  </si>
  <si>
    <t>Z</t>
  </si>
  <si>
    <t>a</t>
  </si>
  <si>
    <t>b</t>
  </si>
  <si>
    <t>Desarrollar la siguiente ecueción de productos notables</t>
  </si>
  <si>
    <t>Desarrollar la siguiente ecuación de productos notables:</t>
  </si>
  <si>
    <t xml:space="preserve">        </t>
  </si>
  <si>
    <t>Estudiante</t>
  </si>
  <si>
    <t>Nota1</t>
  </si>
  <si>
    <t>Nota2</t>
  </si>
  <si>
    <t>Calcular el Promedio de Notas.</t>
  </si>
  <si>
    <t>Edad</t>
  </si>
  <si>
    <t>Vendedor1</t>
  </si>
  <si>
    <t>Vendedor2</t>
  </si>
  <si>
    <t>Vendedor3</t>
  </si>
  <si>
    <t>Enero</t>
  </si>
  <si>
    <t>Febrero</t>
  </si>
  <si>
    <t>Marzo</t>
  </si>
  <si>
    <t>Abril</t>
  </si>
  <si>
    <t>Mayo</t>
  </si>
  <si>
    <t>Promedio Vendedor 1</t>
  </si>
  <si>
    <t>Promedio Vendedor 2</t>
  </si>
  <si>
    <t>Promedio Vendedor 3</t>
  </si>
  <si>
    <t>Cuadros de ventas</t>
  </si>
  <si>
    <t>Calcular los Promedios de ventas de los vendedores</t>
  </si>
  <si>
    <t>Promedio Notas</t>
  </si>
  <si>
    <t>Examen Parcial</t>
  </si>
  <si>
    <t>Examen Final</t>
  </si>
  <si>
    <t>Promedio Examen</t>
  </si>
  <si>
    <t>Promedio Final</t>
  </si>
  <si>
    <t>Descuento</t>
  </si>
  <si>
    <t>Importe a Pagar</t>
  </si>
  <si>
    <t>Porcentaje de Descuento</t>
  </si>
  <si>
    <t>Porcentaje de Descuento por Movilidad</t>
  </si>
  <si>
    <t>Descuento por Movillidad</t>
  </si>
  <si>
    <t>Sueldo Mensual</t>
  </si>
  <si>
    <t>Multiplicación</t>
  </si>
  <si>
    <t>Ejercicios:</t>
  </si>
  <si>
    <r>
      <t xml:space="preserve">Calcular las </t>
    </r>
    <r>
      <rPr>
        <b/>
        <sz val="11"/>
        <color theme="1"/>
        <rFont val="Arial Unicode MS"/>
        <family val="2"/>
      </rPr>
      <t xml:space="preserve">SUMAS </t>
    </r>
    <r>
      <rPr>
        <sz val="11"/>
        <color theme="1"/>
        <rFont val="Arial Unicode MS"/>
        <family val="2"/>
      </rPr>
      <t>de los siguientes Ejemplos:</t>
    </r>
  </si>
  <si>
    <r>
      <rPr>
        <b/>
        <sz val="10"/>
        <color theme="1"/>
        <rFont val="Arial Unicode MS"/>
        <family val="2"/>
      </rPr>
      <t>Sumar el Nro de partes</t>
    </r>
    <r>
      <rPr>
        <sz val="10"/>
        <color theme="1"/>
        <rFont val="Arial Unicode MS"/>
        <family val="2"/>
      </rPr>
      <t xml:space="preserve"> de los articulos:</t>
    </r>
  </si>
  <si>
    <r>
      <t xml:space="preserve"> Dada la</t>
    </r>
    <r>
      <rPr>
        <b/>
        <sz val="10"/>
        <color theme="1"/>
        <rFont val="Arial Unicode MS"/>
        <family val="2"/>
      </rPr>
      <t xml:space="preserve"> Siguiente tabla:</t>
    </r>
  </si>
  <si>
    <r>
      <t xml:space="preserve">Calcular las </t>
    </r>
    <r>
      <rPr>
        <b/>
        <sz val="10"/>
        <color theme="1"/>
        <rFont val="Arial Unicode MS"/>
      </rPr>
      <t>SUMAS</t>
    </r>
    <r>
      <rPr>
        <sz val="10"/>
        <color theme="1"/>
        <rFont val="Arial Unicode MS"/>
      </rPr>
      <t xml:space="preserve"> de las siguientes preguntas:</t>
    </r>
  </si>
  <si>
    <r>
      <t xml:space="preserve">Suma de examenes y </t>
    </r>
    <r>
      <rPr>
        <b/>
        <sz val="10"/>
        <color theme="1"/>
        <rFont val="Arial Unicode MS"/>
        <family val="2"/>
      </rPr>
      <t>trabajos</t>
    </r>
    <r>
      <rPr>
        <sz val="10"/>
        <color theme="1"/>
        <rFont val="Arial Unicode MS"/>
        <family val="2"/>
      </rPr>
      <t xml:space="preserve"> de </t>
    </r>
    <r>
      <rPr>
        <b/>
        <sz val="10"/>
        <color theme="1"/>
        <rFont val="Arial Unicode MS"/>
        <family val="2"/>
      </rPr>
      <t>Tania y Patricia</t>
    </r>
  </si>
  <si>
    <r>
      <t xml:space="preserve">Suma del </t>
    </r>
    <r>
      <rPr>
        <b/>
        <sz val="10"/>
        <color theme="1"/>
        <rFont val="Arial Unicode MS"/>
        <family val="2"/>
      </rPr>
      <t>Examen Parcial</t>
    </r>
  </si>
  <si>
    <r>
      <rPr>
        <b/>
        <sz val="10"/>
        <color theme="1"/>
        <rFont val="Arial Unicode MS"/>
        <family val="2"/>
      </rPr>
      <t xml:space="preserve">Suma </t>
    </r>
    <r>
      <rPr>
        <sz val="10"/>
        <color theme="1"/>
        <rFont val="Arial Unicode MS"/>
        <family val="2"/>
      </rPr>
      <t xml:space="preserve">del </t>
    </r>
    <r>
      <rPr>
        <b/>
        <sz val="10"/>
        <color theme="1"/>
        <rFont val="Arial Unicode MS"/>
        <family val="2"/>
      </rPr>
      <t>Examen final</t>
    </r>
    <r>
      <rPr>
        <sz val="10"/>
        <color theme="1"/>
        <rFont val="Arial Unicode MS"/>
        <family val="2"/>
      </rPr>
      <t xml:space="preserve"> de</t>
    </r>
    <r>
      <rPr>
        <b/>
        <sz val="10"/>
        <color theme="1"/>
        <rFont val="Arial Unicode MS"/>
        <family val="2"/>
      </rPr>
      <t xml:space="preserve"> Juan, Rosa y Elizabeth</t>
    </r>
  </si>
  <si>
    <r>
      <t xml:space="preserve">Suma de notas de </t>
    </r>
    <r>
      <rPr>
        <b/>
        <sz val="10"/>
        <color theme="1"/>
        <rFont val="Arial Unicode MS"/>
        <family val="2"/>
      </rPr>
      <t>Ex. Final</t>
    </r>
  </si>
  <si>
    <r>
      <t xml:space="preserve">Suma de </t>
    </r>
    <r>
      <rPr>
        <b/>
        <sz val="10"/>
        <color theme="1"/>
        <rFont val="Arial Unicode MS"/>
        <family val="2"/>
      </rPr>
      <t>promedios</t>
    </r>
    <r>
      <rPr>
        <sz val="10"/>
        <color theme="1"/>
        <rFont val="Arial Unicode MS"/>
        <family val="2"/>
      </rPr>
      <t xml:space="preserve"> desde </t>
    </r>
    <r>
      <rPr>
        <b/>
        <sz val="10"/>
        <color theme="1"/>
        <rFont val="Arial Unicode MS"/>
        <family val="2"/>
      </rPr>
      <t>Tania</t>
    </r>
    <r>
      <rPr>
        <sz val="10"/>
        <color theme="1"/>
        <rFont val="Arial Unicode MS"/>
        <family val="2"/>
      </rPr>
      <t xml:space="preserve"> hasta </t>
    </r>
    <r>
      <rPr>
        <b/>
        <sz val="10"/>
        <color theme="1"/>
        <rFont val="Arial Unicode MS"/>
        <family val="2"/>
      </rPr>
      <t>Juan y Elizabeth</t>
    </r>
  </si>
  <si>
    <r>
      <t>Calcular el</t>
    </r>
    <r>
      <rPr>
        <b/>
        <sz val="10"/>
        <color theme="1"/>
        <rFont val="Arial Unicode MS"/>
        <family val="2"/>
      </rPr>
      <t xml:space="preserve"> Sueldo Bruto Mensual:</t>
    </r>
  </si>
  <si>
    <r>
      <t xml:space="preserve">Calcular el siguiente </t>
    </r>
    <r>
      <rPr>
        <b/>
        <sz val="10"/>
        <color theme="1"/>
        <rFont val="Arial Unicode MS"/>
        <family val="2"/>
      </rPr>
      <t>Presupuesto:</t>
    </r>
  </si>
  <si>
    <r>
      <t xml:space="preserve">Calcular </t>
    </r>
    <r>
      <rPr>
        <b/>
        <sz val="11"/>
        <color theme="1"/>
        <rFont val="Arial Unicode MS"/>
        <family val="2"/>
      </rPr>
      <t xml:space="preserve">el Producto </t>
    </r>
    <r>
      <rPr>
        <sz val="11"/>
        <color theme="1"/>
        <rFont val="Arial Unicode MS"/>
        <family val="2"/>
      </rPr>
      <t>de los siguientes Ejemplos:</t>
    </r>
  </si>
  <si>
    <r>
      <t>Calcular</t>
    </r>
    <r>
      <rPr>
        <b/>
        <sz val="10"/>
        <color theme="1"/>
        <rFont val="Arial Unicode MS"/>
        <family val="2"/>
      </rPr>
      <t xml:space="preserve"> </t>
    </r>
    <r>
      <rPr>
        <sz val="10"/>
        <color theme="1"/>
        <rFont val="Arial Unicode MS"/>
        <family val="2"/>
      </rPr>
      <t xml:space="preserve"> el </t>
    </r>
    <r>
      <rPr>
        <b/>
        <sz val="10"/>
        <color theme="1"/>
        <rFont val="Arial Unicode MS"/>
        <family val="2"/>
      </rPr>
      <t>Total a Pagar:</t>
    </r>
  </si>
  <si>
    <r>
      <t>Calcular el</t>
    </r>
    <r>
      <rPr>
        <b/>
        <sz val="10"/>
        <color theme="1"/>
        <rFont val="Arial Unicode MS"/>
        <family val="2"/>
      </rPr>
      <t xml:space="preserve"> Importe por horas extras:</t>
    </r>
  </si>
  <si>
    <t>SUMA</t>
  </si>
  <si>
    <r>
      <t>Calcular</t>
    </r>
    <r>
      <rPr>
        <b/>
        <sz val="11"/>
        <color rgb="FF002060"/>
        <rFont val="Arial Unicode MS"/>
        <family val="2"/>
      </rPr>
      <t xml:space="preserve"> </t>
    </r>
    <r>
      <rPr>
        <sz val="11"/>
        <color rgb="FF002060"/>
        <rFont val="Arial Unicode MS"/>
        <family val="2"/>
      </rPr>
      <t xml:space="preserve"> el </t>
    </r>
    <r>
      <rPr>
        <b/>
        <sz val="11"/>
        <color rgb="FF002060"/>
        <rFont val="Arial Unicode MS"/>
        <family val="2"/>
      </rPr>
      <t>Saldo:</t>
    </r>
  </si>
  <si>
    <r>
      <t xml:space="preserve">Calcular </t>
    </r>
    <r>
      <rPr>
        <b/>
        <sz val="11"/>
        <color rgb="FF002060"/>
        <rFont val="Arial Unicode MS"/>
        <family val="2"/>
      </rPr>
      <t xml:space="preserve">las Restas </t>
    </r>
    <r>
      <rPr>
        <sz val="11"/>
        <color rgb="FF002060"/>
        <rFont val="Arial Unicode MS"/>
        <family val="2"/>
      </rPr>
      <t>de los siguientes Ejemplos:</t>
    </r>
  </si>
  <si>
    <r>
      <t xml:space="preserve">Calcular del </t>
    </r>
    <r>
      <rPr>
        <b/>
        <sz val="11"/>
        <color rgb="FF002060"/>
        <rFont val="Arial Unicode MS"/>
        <family val="2"/>
      </rPr>
      <t>Sueldo Mensual</t>
    </r>
  </si>
  <si>
    <r>
      <t xml:space="preserve">Calcular del </t>
    </r>
    <r>
      <rPr>
        <b/>
        <sz val="12"/>
        <color rgb="FF002060"/>
        <rFont val="Arial Unicode MS"/>
        <family val="2"/>
      </rPr>
      <t>Sueldo Mensual</t>
    </r>
  </si>
  <si>
    <r>
      <t>Calcular los Siguientes</t>
    </r>
    <r>
      <rPr>
        <b/>
        <sz val="12"/>
        <color rgb="FF002060"/>
        <rFont val="Arial Unicode MS"/>
        <family val="2"/>
      </rPr>
      <t xml:space="preserve"> Descuentos:</t>
    </r>
  </si>
  <si>
    <r>
      <t>Calcular el</t>
    </r>
    <r>
      <rPr>
        <b/>
        <sz val="11"/>
        <color rgb="FF002060"/>
        <rFont val="Arial Unicode MS"/>
        <family val="2"/>
      </rPr>
      <t xml:space="preserve"> stock de cantidades:</t>
    </r>
  </si>
  <si>
    <r>
      <t>Calcular el</t>
    </r>
    <r>
      <rPr>
        <b/>
        <sz val="12"/>
        <color rgb="FF002060"/>
        <rFont val="Arial Unicode MS"/>
        <family val="2"/>
      </rPr>
      <t xml:space="preserve"> stock de cantidades:</t>
    </r>
  </si>
  <si>
    <r>
      <t>Calcular la División</t>
    </r>
    <r>
      <rPr>
        <b/>
        <sz val="12"/>
        <color rgb="FF002060"/>
        <rFont val="Arial Unicode MS"/>
        <family val="2"/>
      </rPr>
      <t xml:space="preserve"> </t>
    </r>
    <r>
      <rPr>
        <sz val="12"/>
        <color rgb="FF002060"/>
        <rFont val="Arial Unicode MS"/>
        <family val="2"/>
      </rPr>
      <t>de los siguientes Fórmulas Matematicas:</t>
    </r>
  </si>
  <si>
    <r>
      <t>Calcular</t>
    </r>
    <r>
      <rPr>
        <b/>
        <sz val="12"/>
        <color rgb="FF002060"/>
        <rFont val="Arial Unicode MS"/>
        <family val="2"/>
      </rPr>
      <t xml:space="preserve"> </t>
    </r>
    <r>
      <rPr>
        <sz val="12"/>
        <color rgb="FF002060"/>
        <rFont val="Arial Unicode MS"/>
        <family val="2"/>
      </rPr>
      <t xml:space="preserve"> el </t>
    </r>
    <r>
      <rPr>
        <b/>
        <sz val="12"/>
        <color rgb="FF002060"/>
        <rFont val="Arial Unicode MS"/>
        <family val="2"/>
      </rPr>
      <t>Área del Triangulo:</t>
    </r>
  </si>
  <si>
    <r>
      <t xml:space="preserve">Calcular del </t>
    </r>
    <r>
      <rPr>
        <b/>
        <sz val="12"/>
        <color rgb="FF002060"/>
        <rFont val="Arial Unicode MS"/>
        <family val="2"/>
      </rPr>
      <t>Siguiente fórmula fianciera</t>
    </r>
  </si>
  <si>
    <r>
      <t xml:space="preserve">Calcular el </t>
    </r>
    <r>
      <rPr>
        <b/>
        <sz val="12"/>
        <color rgb="FF002060"/>
        <rFont val="Arial Unicode MS"/>
        <family val="2"/>
      </rPr>
      <t>Capital (P):</t>
    </r>
  </si>
  <si>
    <r>
      <t>Calcular el numero de</t>
    </r>
    <r>
      <rPr>
        <b/>
        <sz val="12"/>
        <color rgb="FF002060"/>
        <rFont val="Arial Unicode MS"/>
        <family val="2"/>
      </rPr>
      <t xml:space="preserve"> Periodos (n):</t>
    </r>
  </si>
  <si>
    <r>
      <t xml:space="preserve">Calcular </t>
    </r>
    <r>
      <rPr>
        <b/>
        <sz val="11"/>
        <color rgb="FF002060"/>
        <rFont val="Arial Unicode MS"/>
        <family val="2"/>
      </rPr>
      <t xml:space="preserve">Los Porcentajes </t>
    </r>
    <r>
      <rPr>
        <sz val="11"/>
        <color rgb="FF002060"/>
        <rFont val="Arial Unicode MS"/>
        <family val="2"/>
      </rPr>
      <t>de los siguientes Ejemplos:</t>
    </r>
  </si>
  <si>
    <r>
      <t>Calcular el descuento y el total a pagar</t>
    </r>
    <r>
      <rPr>
        <b/>
        <sz val="11"/>
        <color rgb="FF002060"/>
        <rFont val="Arial Unicode MS"/>
        <family val="2"/>
      </rPr>
      <t>:</t>
    </r>
  </si>
  <si>
    <r>
      <t xml:space="preserve">Calcular </t>
    </r>
    <r>
      <rPr>
        <b/>
        <sz val="11"/>
        <color rgb="FF002060"/>
        <rFont val="Arial Unicode MS"/>
        <family val="2"/>
      </rPr>
      <t xml:space="preserve">el Producto </t>
    </r>
    <r>
      <rPr>
        <sz val="11"/>
        <color rgb="FF002060"/>
        <rFont val="Arial Unicode MS"/>
        <family val="2"/>
      </rPr>
      <t>de los siguientes Ejemplos:</t>
    </r>
  </si>
  <si>
    <t>Calcular el promedio de edades</t>
  </si>
  <si>
    <t>=PRODUCTO(E8:F8)</t>
  </si>
  <si>
    <t>=((1+F36)^(F38/F40))-1</t>
  </si>
  <si>
    <t>=F57^2+2*F57*F59+F59^2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</si>
</sst>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&quot;S/.&quot;\ * #,##0.00_ ;_ &quot;S/.&quot;\ * \-#,##0.00_ ;_ &quot;S/.&quot;\ * &quot;-&quot;??_ ;_ @_ "/>
    <numFmt numFmtId="165" formatCode="_-[$€]* #,##0.00_-;\-[$€]* #,##0.00_-;_-[$€]* &quot;-&quot;??_-;_-@_-"/>
    <numFmt numFmtId="166" formatCode="00"/>
    <numFmt numFmtId="167" formatCode="&quot;S/.&quot;\ #,##0.00"/>
    <numFmt numFmtId="168" formatCode="_-* #,##0\ _p_t_a_-;\-* #,##0\ _p_t_a_-;_-* &quot;-&quot;\ _p_t_a_-;_-@_-"/>
    <numFmt numFmtId="169" formatCode="&quot;S/.&quot;\ #,##0.00;[Red]&quot;S/.&quot;\ #,##0.00"/>
    <numFmt numFmtId="170" formatCode="&quot;S/.&quot;#,##0.00"/>
    <numFmt numFmtId="171" formatCode="&quot;S/&quot;#,##0.00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002060"/>
      <name val="Bookman Old Style"/>
      <family val="1"/>
    </font>
    <font>
      <b/>
      <i/>
      <sz val="12"/>
      <color rgb="FF002060"/>
      <name val="Bookman Old Style"/>
      <family val="1"/>
    </font>
    <font>
      <sz val="10"/>
      <color rgb="FF002060"/>
      <name val="Arial"/>
      <family val="2"/>
    </font>
    <font>
      <b/>
      <sz val="14"/>
      <color indexed="12"/>
      <name val="Bookman Old Style"/>
      <family val="1"/>
    </font>
    <font>
      <sz val="14"/>
      <name val="Bookman Old Style"/>
      <family val="1"/>
    </font>
    <font>
      <sz val="10"/>
      <color rgb="FF002060"/>
      <name val="Arial Unicode MS"/>
      <family val="2"/>
    </font>
    <font>
      <b/>
      <sz val="20"/>
      <color theme="0"/>
      <name val="Arial Unicode MS"/>
      <family val="2"/>
    </font>
    <font>
      <b/>
      <sz val="14"/>
      <color theme="0"/>
      <name val="Arial Unicode MS"/>
      <family val="2"/>
    </font>
    <font>
      <b/>
      <sz val="10"/>
      <color theme="0"/>
      <name val="Arial Unicode MS"/>
      <family val="2"/>
    </font>
    <font>
      <sz val="11"/>
      <color rgb="FF002060"/>
      <name val="Arial Unicode MS"/>
      <family val="2"/>
    </font>
    <font>
      <b/>
      <sz val="11"/>
      <color rgb="FF002060"/>
      <name val="Arial Unicode MS"/>
      <family val="2"/>
    </font>
    <font>
      <b/>
      <sz val="12"/>
      <color theme="0"/>
      <name val="Arial Unicode MS"/>
      <family val="2"/>
    </font>
    <font>
      <sz val="11"/>
      <name val="Arial"/>
      <family val="2"/>
    </font>
    <font>
      <sz val="10"/>
      <color theme="0"/>
      <name val="Arial Unicode MS"/>
      <family val="2"/>
    </font>
    <font>
      <sz val="11"/>
      <color theme="0"/>
      <name val="Arial"/>
      <family val="2"/>
    </font>
    <font>
      <b/>
      <sz val="10"/>
      <color indexed="81"/>
      <name val="Arial Unicode MS"/>
      <family val="2"/>
    </font>
    <font>
      <sz val="10"/>
      <color indexed="81"/>
      <name val="Arial Unicode MS"/>
      <family val="2"/>
    </font>
    <font>
      <b/>
      <sz val="12"/>
      <color rgb="FF002060"/>
      <name val="Bookman Old Style"/>
      <family val="1"/>
    </font>
    <font>
      <sz val="16"/>
      <color rgb="FF002060"/>
      <name val="Arial Unicode MS"/>
      <family val="2"/>
    </font>
    <font>
      <sz val="12"/>
      <color rgb="FF002060"/>
      <name val="Arial"/>
      <family val="2"/>
    </font>
    <font>
      <sz val="14"/>
      <color rgb="FFFFC000"/>
      <name val="Bookman Old Style"/>
      <family val="1"/>
    </font>
    <font>
      <b/>
      <sz val="14"/>
      <color rgb="FFFFC000"/>
      <name val="Bookman Old Style"/>
      <family val="1"/>
    </font>
    <font>
      <b/>
      <sz val="14"/>
      <color rgb="FFFFC000"/>
      <name val="Arial Unicode MS"/>
      <family val="2"/>
    </font>
    <font>
      <b/>
      <sz val="20"/>
      <color rgb="FFFFC000"/>
      <name val="Arial Unicode MS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2"/>
      <color theme="1"/>
      <name val="Arial Unicode MS"/>
      <family val="2"/>
    </font>
    <font>
      <sz val="11"/>
      <color theme="1"/>
      <name val="Arial Unicode MS"/>
      <family val="2"/>
    </font>
    <font>
      <b/>
      <sz val="11"/>
      <color theme="1"/>
      <name val="Arial Unicode MS"/>
      <family val="2"/>
    </font>
    <font>
      <sz val="10"/>
      <color theme="1"/>
      <name val="Arial Unicode MS"/>
    </font>
    <font>
      <b/>
      <sz val="12"/>
      <color theme="1"/>
      <name val="Arial Unicode MS"/>
    </font>
    <font>
      <b/>
      <sz val="10"/>
      <color theme="1"/>
      <name val="Arial Unicode MS"/>
    </font>
    <font>
      <b/>
      <sz val="11"/>
      <color theme="1"/>
      <name val="Arial Unicode MS"/>
    </font>
    <font>
      <sz val="20"/>
      <color rgb="FFFFC000"/>
      <name val="Bookman Old Style"/>
      <family val="1"/>
    </font>
    <font>
      <b/>
      <sz val="20"/>
      <color rgb="FFFFC000"/>
      <name val="Bookman Old Style"/>
      <family val="1"/>
    </font>
    <font>
      <sz val="12"/>
      <color rgb="FFFFFF00"/>
      <name val="Bookman Old Style"/>
      <family val="1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Bookman Old Style"/>
      <family val="1"/>
    </font>
    <font>
      <sz val="16"/>
      <color theme="1"/>
      <name val="Arial Unicode MS"/>
      <family val="2"/>
    </font>
    <font>
      <sz val="11"/>
      <color theme="1"/>
      <name val="Bookman Old Style"/>
      <family val="1"/>
    </font>
    <font>
      <sz val="12"/>
      <color theme="1"/>
      <name val="Arial"/>
      <family val="2"/>
    </font>
    <font>
      <b/>
      <sz val="14"/>
      <color rgb="FF0070C0"/>
      <name val="Arial"/>
      <family val="2"/>
    </font>
    <font>
      <b/>
      <sz val="20"/>
      <color theme="0"/>
      <name val="Gilroy ExtraBold"/>
      <family val="3"/>
    </font>
    <font>
      <b/>
      <sz val="16"/>
      <color theme="1"/>
      <name val="Arial Unicode MS"/>
      <family val="2"/>
    </font>
    <font>
      <b/>
      <sz val="16"/>
      <color theme="1"/>
      <name val="Arial Unicode MS"/>
    </font>
    <font>
      <b/>
      <sz val="16"/>
      <color theme="1"/>
      <name val="Arial"/>
      <family val="2"/>
    </font>
    <font>
      <b/>
      <sz val="16"/>
      <color rgb="FF002060"/>
      <name val="Arial"/>
      <family val="2"/>
    </font>
    <font>
      <sz val="12"/>
      <color rgb="FF002060"/>
      <name val="Arial Unicode MS"/>
      <family val="2"/>
    </font>
    <font>
      <b/>
      <sz val="12"/>
      <color rgb="FF002060"/>
      <name val="Arial"/>
      <family val="2"/>
    </font>
    <font>
      <b/>
      <sz val="12"/>
      <color rgb="FF002060"/>
      <name val="Arial Unicode MS"/>
      <family val="2"/>
    </font>
    <font>
      <b/>
      <sz val="11"/>
      <color rgb="FF002060"/>
      <name val="Arial"/>
      <family val="2"/>
    </font>
    <font>
      <sz val="14"/>
      <color rgb="FF002060"/>
      <name val="Arial Unicode MS"/>
      <family val="2"/>
    </font>
    <font>
      <b/>
      <sz val="14"/>
      <color rgb="FF0020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51">
    <border>
      <left/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/>
      <diagonal/>
    </border>
    <border>
      <left/>
      <right/>
      <top/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medium">
        <color theme="1"/>
      </right>
      <top style="hair">
        <color theme="1"/>
      </top>
      <bottom/>
      <diagonal/>
    </border>
    <border>
      <left style="medium">
        <color theme="1"/>
      </left>
      <right style="hair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hair">
        <color rgb="FF0070C0"/>
      </bottom>
      <diagonal/>
    </border>
    <border>
      <left/>
      <right/>
      <top style="medium">
        <color theme="1"/>
      </top>
      <bottom style="hair">
        <color rgb="FF0070C0"/>
      </bottom>
      <diagonal/>
    </border>
    <border>
      <left style="hair">
        <color rgb="FF0070C0"/>
      </left>
      <right style="medium">
        <color theme="1"/>
      </right>
      <top style="medium">
        <color theme="1"/>
      </top>
      <bottom style="hair">
        <color rgb="FF0070C0"/>
      </bottom>
      <diagonal/>
    </border>
    <border>
      <left style="medium">
        <color theme="1"/>
      </left>
      <right/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theme="1"/>
      </right>
      <top style="hair">
        <color rgb="FF0070C0"/>
      </top>
      <bottom style="hair">
        <color rgb="FF0070C0"/>
      </bottom>
      <diagonal/>
    </border>
    <border>
      <left style="medium">
        <color theme="1"/>
      </left>
      <right/>
      <top style="hair">
        <color rgb="FF0070C0"/>
      </top>
      <bottom style="medium">
        <color theme="1"/>
      </bottom>
      <diagonal/>
    </border>
    <border>
      <left/>
      <right/>
      <top style="hair">
        <color rgb="FF0070C0"/>
      </top>
      <bottom style="medium">
        <color theme="1"/>
      </bottom>
      <diagonal/>
    </border>
    <border>
      <left style="hair">
        <color rgb="FF0070C0"/>
      </left>
      <right style="medium">
        <color theme="1"/>
      </right>
      <top style="hair">
        <color rgb="FF0070C0"/>
      </top>
      <bottom style="medium">
        <color theme="1"/>
      </bottom>
      <diagonal/>
    </border>
    <border>
      <left style="medium">
        <color theme="1"/>
      </left>
      <right style="hair">
        <color rgb="FF0070C0"/>
      </right>
      <top style="medium">
        <color theme="1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theme="1"/>
      </top>
      <bottom style="hair">
        <color rgb="FF0070C0"/>
      </bottom>
      <diagonal/>
    </border>
    <border>
      <left style="medium">
        <color theme="1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theme="1"/>
      </left>
      <right style="hair">
        <color rgb="FF0070C0"/>
      </right>
      <top style="hair">
        <color rgb="FF0070C0"/>
      </top>
      <bottom style="medium">
        <color theme="1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medium">
        <color theme="1"/>
      </top>
      <bottom style="hair">
        <color theme="1"/>
      </bottom>
      <diagonal/>
    </border>
    <border>
      <left/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medium">
        <color theme="1"/>
      </bottom>
      <diagonal/>
    </border>
    <border>
      <left/>
      <right style="hair">
        <color theme="1"/>
      </right>
      <top style="hair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0" borderId="0"/>
  </cellStyleXfs>
  <cellXfs count="258">
    <xf numFmtId="0" fontId="0" fillId="0" borderId="0" xfId="0"/>
    <xf numFmtId="0" fontId="5" fillId="2" borderId="0" xfId="4" applyFont="1" applyFill="1" applyProtection="1">
      <protection locked="0"/>
    </xf>
    <xf numFmtId="0" fontId="6" fillId="2" borderId="0" xfId="4" applyFont="1" applyFill="1" applyProtection="1">
      <protection locked="0"/>
    </xf>
    <xf numFmtId="0" fontId="7" fillId="2" borderId="0" xfId="4" applyFont="1" applyFill="1" applyProtection="1">
      <protection locked="0"/>
    </xf>
    <xf numFmtId="43" fontId="5" fillId="2" borderId="0" xfId="4" applyNumberFormat="1" applyFont="1" applyFill="1" applyProtection="1">
      <protection locked="0"/>
    </xf>
    <xf numFmtId="0" fontId="10" fillId="2" borderId="0" xfId="13" applyFont="1" applyFill="1" applyProtection="1">
      <protection locked="0"/>
    </xf>
    <xf numFmtId="0" fontId="10" fillId="2" borderId="4" xfId="3" applyFont="1" applyFill="1" applyBorder="1" applyAlignment="1" applyProtection="1">
      <alignment horizontal="left" vertical="center"/>
      <protection locked="0"/>
    </xf>
    <xf numFmtId="0" fontId="5" fillId="2" borderId="7" xfId="3" applyFont="1" applyFill="1" applyBorder="1" applyAlignment="1" applyProtection="1">
      <alignment horizontal="right" vertical="center"/>
      <protection locked="0"/>
    </xf>
    <xf numFmtId="0" fontId="5" fillId="2" borderId="8" xfId="3" applyFont="1" applyFill="1" applyBorder="1" applyAlignment="1" applyProtection="1">
      <alignment horizontal="right" vertical="center"/>
      <protection locked="0"/>
    </xf>
    <xf numFmtId="0" fontId="3" fillId="2" borderId="0" xfId="3" applyFill="1" applyProtection="1">
      <protection locked="0"/>
    </xf>
    <xf numFmtId="0" fontId="19" fillId="0" borderId="8" xfId="3" applyFont="1" applyBorder="1" applyProtection="1">
      <protection locked="0"/>
    </xf>
    <xf numFmtId="0" fontId="17" fillId="2" borderId="0" xfId="3" applyFont="1" applyFill="1" applyProtection="1">
      <protection locked="0"/>
    </xf>
    <xf numFmtId="0" fontId="18" fillId="2" borderId="0" xfId="3" applyFont="1" applyFill="1" applyAlignment="1">
      <alignment horizontal="center" vertical="center"/>
    </xf>
    <xf numFmtId="0" fontId="5" fillId="2" borderId="5" xfId="4" applyFont="1" applyFill="1" applyBorder="1" applyProtection="1">
      <protection locked="0"/>
    </xf>
    <xf numFmtId="0" fontId="5" fillId="2" borderId="2" xfId="4" applyFont="1" applyFill="1" applyBorder="1" applyProtection="1">
      <protection locked="0"/>
    </xf>
    <xf numFmtId="0" fontId="5" fillId="2" borderId="6" xfId="4" applyFont="1" applyFill="1" applyBorder="1" applyProtection="1">
      <protection locked="0"/>
    </xf>
    <xf numFmtId="0" fontId="5" fillId="2" borderId="9" xfId="4" applyFont="1" applyFill="1" applyBorder="1" applyProtection="1">
      <protection locked="0"/>
    </xf>
    <xf numFmtId="0" fontId="5" fillId="2" borderId="11" xfId="4" applyFont="1" applyFill="1" applyBorder="1" applyProtection="1">
      <protection locked="0"/>
    </xf>
    <xf numFmtId="0" fontId="5" fillId="2" borderId="12" xfId="4" applyFont="1" applyFill="1" applyBorder="1" applyProtection="1">
      <protection locked="0"/>
    </xf>
    <xf numFmtId="0" fontId="5" fillId="2" borderId="3" xfId="4" applyFont="1" applyFill="1" applyBorder="1" applyProtection="1">
      <protection locked="0"/>
    </xf>
    <xf numFmtId="0" fontId="5" fillId="2" borderId="13" xfId="4" applyFont="1" applyFill="1" applyBorder="1" applyProtection="1">
      <protection locked="0"/>
    </xf>
    <xf numFmtId="0" fontId="2" fillId="2" borderId="0" xfId="3" applyFont="1" applyFill="1" applyProtection="1">
      <protection locked="0"/>
    </xf>
    <xf numFmtId="0" fontId="22" fillId="2" borderId="0" xfId="4" applyFont="1" applyFill="1" applyProtection="1">
      <protection locked="0"/>
    </xf>
    <xf numFmtId="0" fontId="23" fillId="2" borderId="0" xfId="13" applyFont="1" applyFill="1" applyProtection="1">
      <protection locked="0"/>
    </xf>
    <xf numFmtId="0" fontId="24" fillId="2" borderId="0" xfId="4" applyFont="1" applyFill="1" applyProtection="1">
      <protection locked="0"/>
    </xf>
    <xf numFmtId="0" fontId="9" fillId="5" borderId="0" xfId="0" applyFont="1" applyFill="1" applyProtection="1">
      <protection locked="0"/>
    </xf>
    <xf numFmtId="0" fontId="8" fillId="5" borderId="0" xfId="0" applyFont="1" applyFill="1" applyAlignment="1" applyProtection="1">
      <alignment horizontal="left"/>
      <protection locked="0"/>
    </xf>
    <xf numFmtId="0" fontId="12" fillId="5" borderId="0" xfId="0" applyFont="1" applyFill="1" applyAlignment="1" applyProtection="1">
      <alignment vertical="center"/>
      <protection locked="0"/>
    </xf>
    <xf numFmtId="0" fontId="11" fillId="5" borderId="0" xfId="0" applyFont="1" applyFill="1" applyAlignment="1" applyProtection="1">
      <alignment vertical="center"/>
      <protection locked="0"/>
    </xf>
    <xf numFmtId="0" fontId="25" fillId="5" borderId="0" xfId="0" applyFont="1" applyFill="1" applyProtection="1">
      <protection locked="0"/>
    </xf>
    <xf numFmtId="0" fontId="26" fillId="5" borderId="0" xfId="0" applyFont="1" applyFill="1" applyAlignment="1" applyProtection="1">
      <alignment horizontal="left"/>
      <protection locked="0"/>
    </xf>
    <xf numFmtId="0" fontId="27" fillId="5" borderId="0" xfId="0" applyFont="1" applyFill="1" applyAlignment="1" applyProtection="1">
      <alignment vertical="center"/>
      <protection locked="0"/>
    </xf>
    <xf numFmtId="0" fontId="28" fillId="5" borderId="0" xfId="0" applyFont="1" applyFill="1" applyAlignment="1" applyProtection="1">
      <alignment vertical="center"/>
      <protection locked="0"/>
    </xf>
    <xf numFmtId="0" fontId="29" fillId="0" borderId="16" xfId="3" applyFont="1" applyBorder="1" applyAlignment="1" applyProtection="1">
      <alignment horizontal="center" vertical="center"/>
      <protection locked="0"/>
    </xf>
    <xf numFmtId="0" fontId="29" fillId="0" borderId="17" xfId="3" applyFont="1" applyBorder="1" applyAlignment="1" applyProtection="1">
      <alignment horizontal="center" vertical="center"/>
      <protection locked="0"/>
    </xf>
    <xf numFmtId="0" fontId="13" fillId="5" borderId="0" xfId="3" applyFont="1" applyFill="1" applyAlignment="1" applyProtection="1">
      <alignment horizontal="center" vertical="center"/>
      <protection locked="0"/>
    </xf>
    <xf numFmtId="0" fontId="29" fillId="2" borderId="4" xfId="3" applyFont="1" applyFill="1" applyBorder="1" applyAlignment="1" applyProtection="1">
      <alignment horizontal="left" vertical="center"/>
      <protection locked="0"/>
    </xf>
    <xf numFmtId="0" fontId="34" fillId="0" borderId="16" xfId="3" applyFont="1" applyBorder="1" applyAlignment="1" applyProtection="1">
      <alignment horizontal="center" vertical="center"/>
      <protection locked="0"/>
    </xf>
    <xf numFmtId="0" fontId="34" fillId="0" borderId="21" xfId="3" applyFont="1" applyBorder="1" applyAlignment="1" applyProtection="1">
      <alignment horizontal="center" vertical="center"/>
      <protection locked="0"/>
    </xf>
    <xf numFmtId="0" fontId="35" fillId="0" borderId="17" xfId="3" applyFont="1" applyBorder="1" applyAlignment="1" applyProtection="1">
      <alignment horizontal="center" vertical="center"/>
      <protection locked="0"/>
    </xf>
    <xf numFmtId="0" fontId="34" fillId="0" borderId="23" xfId="3" applyFont="1" applyBorder="1" applyAlignment="1" applyProtection="1">
      <alignment horizontal="center" vertical="center"/>
      <protection locked="0"/>
    </xf>
    <xf numFmtId="0" fontId="34" fillId="0" borderId="24" xfId="3" applyFont="1" applyBorder="1" applyAlignment="1" applyProtection="1">
      <alignment horizontal="center" vertical="center"/>
      <protection locked="0"/>
    </xf>
    <xf numFmtId="0" fontId="36" fillId="2" borderId="26" xfId="3" applyFont="1" applyFill="1" applyBorder="1" applyAlignment="1" applyProtection="1">
      <alignment horizontal="center" vertical="center" wrapText="1"/>
      <protection locked="0"/>
    </xf>
    <xf numFmtId="0" fontId="37" fillId="2" borderId="27" xfId="3" applyFont="1" applyFill="1" applyBorder="1" applyAlignment="1" applyProtection="1">
      <alignment horizontal="center" vertical="center"/>
      <protection locked="0"/>
    </xf>
    <xf numFmtId="0" fontId="37" fillId="2" borderId="28" xfId="3" applyFont="1" applyFill="1" applyBorder="1" applyAlignment="1" applyProtection="1">
      <alignment horizontal="center" vertical="center"/>
      <protection locked="0"/>
    </xf>
    <xf numFmtId="0" fontId="16" fillId="5" borderId="0" xfId="4" applyFont="1" applyFill="1" applyAlignment="1">
      <alignment horizontal="center" vertical="center"/>
    </xf>
    <xf numFmtId="0" fontId="29" fillId="0" borderId="23" xfId="3" applyFont="1" applyBorder="1" applyAlignment="1" applyProtection="1">
      <alignment horizontal="center" vertical="center"/>
      <protection locked="0"/>
    </xf>
    <xf numFmtId="0" fontId="29" fillId="0" borderId="25" xfId="3" applyFont="1" applyBorder="1" applyAlignment="1" applyProtection="1">
      <alignment horizontal="center" vertical="center"/>
      <protection locked="0"/>
    </xf>
    <xf numFmtId="0" fontId="30" fillId="2" borderId="26" xfId="3" applyFont="1" applyFill="1" applyBorder="1" applyAlignment="1" applyProtection="1">
      <alignment horizontal="center" vertical="center"/>
      <protection locked="0"/>
    </xf>
    <xf numFmtId="0" fontId="13" fillId="5" borderId="21" xfId="3" applyFont="1" applyFill="1" applyBorder="1" applyAlignment="1" applyProtection="1">
      <alignment horizontal="center" vertical="center"/>
      <protection locked="0"/>
    </xf>
    <xf numFmtId="0" fontId="13" fillId="5" borderId="17" xfId="3" applyFont="1" applyFill="1" applyBorder="1" applyAlignment="1" applyProtection="1">
      <alignment horizontal="center" vertical="center"/>
      <protection locked="0"/>
    </xf>
    <xf numFmtId="0" fontId="29" fillId="2" borderId="16" xfId="3" applyFont="1" applyFill="1" applyBorder="1" applyAlignment="1" applyProtection="1">
      <alignment horizontal="center" vertical="center"/>
      <protection locked="0"/>
    </xf>
    <xf numFmtId="0" fontId="29" fillId="2" borderId="21" xfId="3" applyFont="1" applyFill="1" applyBorder="1" applyAlignment="1" applyProtection="1">
      <alignment horizontal="center" vertical="center"/>
      <protection locked="0"/>
    </xf>
    <xf numFmtId="0" fontId="29" fillId="2" borderId="17" xfId="3" applyFont="1" applyFill="1" applyBorder="1" applyAlignment="1" applyProtection="1">
      <alignment horizontal="center" vertical="center"/>
      <protection locked="0"/>
    </xf>
    <xf numFmtId="0" fontId="29" fillId="2" borderId="18" xfId="3" applyFont="1" applyFill="1" applyBorder="1" applyAlignment="1" applyProtection="1">
      <alignment horizontal="center" vertical="center"/>
      <protection locked="0"/>
    </xf>
    <xf numFmtId="0" fontId="29" fillId="2" borderId="22" xfId="3" applyFont="1" applyFill="1" applyBorder="1" applyAlignment="1" applyProtection="1">
      <alignment horizontal="center" vertical="center"/>
      <protection locked="0"/>
    </xf>
    <xf numFmtId="0" fontId="29" fillId="2" borderId="19" xfId="3" applyFont="1" applyFill="1" applyBorder="1" applyAlignment="1" applyProtection="1">
      <alignment horizontal="center" vertical="center"/>
      <protection locked="0"/>
    </xf>
    <xf numFmtId="0" fontId="34" fillId="2" borderId="7" xfId="3" applyFont="1" applyFill="1" applyBorder="1" applyAlignment="1" applyProtection="1">
      <alignment horizontal="left" vertical="center"/>
      <protection locked="0"/>
    </xf>
    <xf numFmtId="0" fontId="34" fillId="2" borderId="29" xfId="3" applyFont="1" applyFill="1" applyBorder="1" applyAlignment="1" applyProtection="1">
      <alignment horizontal="left" vertical="center"/>
      <protection locked="0"/>
    </xf>
    <xf numFmtId="0" fontId="34" fillId="2" borderId="30" xfId="3" applyFont="1" applyFill="1" applyBorder="1" applyAlignment="1" applyProtection="1">
      <alignment horizontal="left" vertical="center"/>
      <protection locked="0"/>
    </xf>
    <xf numFmtId="0" fontId="34" fillId="2" borderId="32" xfId="3" applyFont="1" applyFill="1" applyBorder="1" applyAlignment="1" applyProtection="1">
      <alignment horizontal="left" vertical="center"/>
      <protection locked="0"/>
    </xf>
    <xf numFmtId="0" fontId="34" fillId="2" borderId="34" xfId="3" applyFont="1" applyFill="1" applyBorder="1" applyAlignment="1" applyProtection="1">
      <alignment horizontal="left" vertical="center"/>
      <protection locked="0"/>
    </xf>
    <xf numFmtId="0" fontId="34" fillId="2" borderId="35" xfId="3" applyFont="1" applyFill="1" applyBorder="1" applyAlignment="1" applyProtection="1">
      <alignment horizontal="left" vertical="center"/>
      <protection locked="0"/>
    </xf>
    <xf numFmtId="0" fontId="13" fillId="5" borderId="37" xfId="3" applyFont="1" applyFill="1" applyBorder="1" applyAlignment="1" applyProtection="1">
      <alignment horizontal="center" vertical="center"/>
      <protection locked="0"/>
    </xf>
    <xf numFmtId="0" fontId="13" fillId="5" borderId="38" xfId="3" applyFont="1" applyFill="1" applyBorder="1" applyAlignment="1" applyProtection="1">
      <alignment horizontal="center" vertical="center"/>
      <protection locked="0"/>
    </xf>
    <xf numFmtId="0" fontId="13" fillId="5" borderId="31" xfId="3" applyFont="1" applyFill="1" applyBorder="1" applyAlignment="1" applyProtection="1">
      <alignment horizontal="center" vertical="center"/>
      <protection locked="0"/>
    </xf>
    <xf numFmtId="0" fontId="29" fillId="0" borderId="39" xfId="3" applyFont="1" applyBorder="1" applyAlignment="1" applyProtection="1">
      <alignment horizontal="center" vertical="center"/>
      <protection locked="0"/>
    </xf>
    <xf numFmtId="0" fontId="29" fillId="0" borderId="1" xfId="3" applyFont="1" applyBorder="1" applyAlignment="1" applyProtection="1">
      <alignment horizontal="center" vertical="center"/>
      <protection locked="0"/>
    </xf>
    <xf numFmtId="2" fontId="29" fillId="2" borderId="33" xfId="3" applyNumberFormat="1" applyFont="1" applyFill="1" applyBorder="1" applyAlignment="1" applyProtection="1">
      <alignment horizontal="center" vertical="center"/>
      <protection locked="0"/>
    </xf>
    <xf numFmtId="0" fontId="29" fillId="0" borderId="40" xfId="3" applyFont="1" applyBorder="1" applyAlignment="1" applyProtection="1">
      <alignment horizontal="center" vertical="center"/>
      <protection locked="0"/>
    </xf>
    <xf numFmtId="0" fontId="29" fillId="0" borderId="41" xfId="3" applyFont="1" applyBorder="1" applyAlignment="1" applyProtection="1">
      <alignment horizontal="center" vertical="center"/>
      <protection locked="0"/>
    </xf>
    <xf numFmtId="2" fontId="29" fillId="2" borderId="36" xfId="3" applyNumberFormat="1" applyFont="1" applyFill="1" applyBorder="1" applyAlignment="1" applyProtection="1">
      <alignment horizontal="center" vertical="center"/>
      <protection locked="0"/>
    </xf>
    <xf numFmtId="0" fontId="29" fillId="2" borderId="14" xfId="3" applyFont="1" applyFill="1" applyBorder="1" applyAlignment="1" applyProtection="1">
      <alignment vertical="center"/>
      <protection locked="0"/>
    </xf>
    <xf numFmtId="0" fontId="10" fillId="2" borderId="20" xfId="3" applyFont="1" applyFill="1" applyBorder="1" applyAlignment="1" applyProtection="1">
      <alignment vertical="center"/>
      <protection locked="0"/>
    </xf>
    <xf numFmtId="0" fontId="29" fillId="2" borderId="16" xfId="3" applyFont="1" applyFill="1" applyBorder="1" applyAlignment="1" applyProtection="1">
      <alignment vertical="center"/>
      <protection locked="0"/>
    </xf>
    <xf numFmtId="0" fontId="10" fillId="2" borderId="21" xfId="3" applyFont="1" applyFill="1" applyBorder="1" applyAlignment="1" applyProtection="1">
      <alignment vertical="center"/>
      <protection locked="0"/>
    </xf>
    <xf numFmtId="0" fontId="29" fillId="2" borderId="18" xfId="3" applyFont="1" applyFill="1" applyBorder="1" applyAlignment="1" applyProtection="1">
      <alignment vertical="center"/>
      <protection locked="0"/>
    </xf>
    <xf numFmtId="0" fontId="10" fillId="2" borderId="22" xfId="3" applyFont="1" applyFill="1" applyBorder="1" applyAlignment="1" applyProtection="1">
      <alignment vertical="center"/>
      <protection locked="0"/>
    </xf>
    <xf numFmtId="0" fontId="10" fillId="2" borderId="42" xfId="3" applyFont="1" applyFill="1" applyBorder="1" applyAlignment="1" applyProtection="1">
      <alignment vertical="center"/>
      <protection locked="0"/>
    </xf>
    <xf numFmtId="0" fontId="10" fillId="2" borderId="43" xfId="3" applyFont="1" applyFill="1" applyBorder="1" applyAlignment="1" applyProtection="1">
      <alignment vertical="center"/>
      <protection locked="0"/>
    </xf>
    <xf numFmtId="0" fontId="10" fillId="2" borderId="44" xfId="3" applyFont="1" applyFill="1" applyBorder="1" applyAlignment="1" applyProtection="1">
      <alignment vertical="center"/>
      <protection locked="0"/>
    </xf>
    <xf numFmtId="0" fontId="10" fillId="2" borderId="45" xfId="3" applyFont="1" applyFill="1" applyBorder="1" applyAlignment="1" applyProtection="1">
      <alignment vertical="center"/>
      <protection locked="0"/>
    </xf>
    <xf numFmtId="0" fontId="10" fillId="2" borderId="46" xfId="3" applyFont="1" applyFill="1" applyBorder="1" applyAlignment="1" applyProtection="1">
      <alignment vertical="center"/>
      <protection locked="0"/>
    </xf>
    <xf numFmtId="0" fontId="10" fillId="2" borderId="47" xfId="3" applyFont="1" applyFill="1" applyBorder="1" applyAlignment="1" applyProtection="1">
      <alignment vertical="center"/>
      <protection locked="0"/>
    </xf>
    <xf numFmtId="0" fontId="10" fillId="2" borderId="48" xfId="3" applyFont="1" applyFill="1" applyBorder="1" applyAlignment="1" applyProtection="1">
      <alignment vertical="center"/>
      <protection locked="0"/>
    </xf>
    <xf numFmtId="0" fontId="35" fillId="3" borderId="15" xfId="3" applyFont="1" applyFill="1" applyBorder="1" applyAlignment="1" applyProtection="1">
      <alignment horizontal="center" vertical="center"/>
      <protection locked="0"/>
    </xf>
    <xf numFmtId="0" fontId="35" fillId="3" borderId="17" xfId="3" applyFont="1" applyFill="1" applyBorder="1" applyAlignment="1" applyProtection="1">
      <alignment horizontal="center" vertical="center"/>
      <protection locked="0"/>
    </xf>
    <xf numFmtId="1" fontId="35" fillId="3" borderId="19" xfId="3" applyNumberFormat="1" applyFont="1" applyFill="1" applyBorder="1" applyAlignment="1" applyProtection="1">
      <alignment horizontal="center" vertical="center"/>
      <protection locked="0"/>
    </xf>
    <xf numFmtId="0" fontId="38" fillId="5" borderId="0" xfId="0" applyFont="1" applyFill="1" applyProtection="1">
      <protection locked="0"/>
    </xf>
    <xf numFmtId="0" fontId="39" fillId="5" borderId="0" xfId="0" applyFont="1" applyFill="1" applyAlignment="1" applyProtection="1">
      <alignment horizontal="left"/>
      <protection locked="0"/>
    </xf>
    <xf numFmtId="0" fontId="40" fillId="2" borderId="0" xfId="4" applyFont="1" applyFill="1" applyProtection="1">
      <protection locked="0"/>
    </xf>
    <xf numFmtId="0" fontId="29" fillId="0" borderId="21" xfId="3" applyFont="1" applyBorder="1" applyAlignment="1" applyProtection="1">
      <alignment horizontal="center" vertical="center"/>
      <protection locked="0"/>
    </xf>
    <xf numFmtId="170" fontId="29" fillId="0" borderId="21" xfId="3" applyNumberFormat="1" applyFont="1" applyBorder="1" applyAlignment="1" applyProtection="1">
      <alignment horizontal="center" vertical="center"/>
      <protection locked="0"/>
    </xf>
    <xf numFmtId="0" fontId="31" fillId="2" borderId="18" xfId="3" applyFont="1" applyFill="1" applyBorder="1" applyAlignment="1" applyProtection="1">
      <alignment horizontal="center" vertical="center" wrapText="1"/>
      <protection locked="0"/>
    </xf>
    <xf numFmtId="0" fontId="41" fillId="2" borderId="22" xfId="3" applyFont="1" applyFill="1" applyBorder="1" applyAlignment="1" applyProtection="1">
      <alignment horizontal="center" vertical="center"/>
      <protection locked="0"/>
    </xf>
    <xf numFmtId="171" fontId="41" fillId="2" borderId="22" xfId="3" applyNumberFormat="1" applyFont="1" applyFill="1" applyBorder="1" applyAlignment="1" applyProtection="1">
      <alignment horizontal="center" vertical="center"/>
      <protection locked="0"/>
    </xf>
    <xf numFmtId="171" fontId="41" fillId="2" borderId="19" xfId="3" applyNumberFormat="1" applyFont="1" applyFill="1" applyBorder="1" applyAlignment="1" applyProtection="1">
      <alignment horizontal="center" vertical="center"/>
      <protection locked="0"/>
    </xf>
    <xf numFmtId="0" fontId="31" fillId="2" borderId="18" xfId="3" applyFont="1" applyFill="1" applyBorder="1" applyAlignment="1" applyProtection="1">
      <alignment horizontal="center" vertical="center"/>
      <protection locked="0"/>
    </xf>
    <xf numFmtId="1" fontId="29" fillId="0" borderId="21" xfId="3" applyNumberFormat="1" applyFont="1" applyBorder="1" applyAlignment="1" applyProtection="1">
      <alignment horizontal="center" vertical="center"/>
      <protection locked="0"/>
    </xf>
    <xf numFmtId="0" fontId="29" fillId="0" borderId="18" xfId="3" applyFont="1" applyBorder="1" applyAlignment="1" applyProtection="1">
      <alignment horizontal="center" vertical="center"/>
      <protection locked="0"/>
    </xf>
    <xf numFmtId="0" fontId="29" fillId="0" borderId="22" xfId="3" applyFont="1" applyBorder="1" applyAlignment="1" applyProtection="1">
      <alignment horizontal="center" vertical="center"/>
      <protection locked="0"/>
    </xf>
    <xf numFmtId="1" fontId="29" fillId="0" borderId="22" xfId="3" applyNumberFormat="1" applyFont="1" applyBorder="1" applyAlignment="1" applyProtection="1">
      <alignment horizontal="center" vertical="center"/>
      <protection locked="0"/>
    </xf>
    <xf numFmtId="170" fontId="29" fillId="0" borderId="22" xfId="3" applyNumberFormat="1" applyFont="1" applyBorder="1" applyAlignment="1" applyProtection="1">
      <alignment horizontal="center" vertical="center"/>
      <protection locked="0"/>
    </xf>
    <xf numFmtId="0" fontId="31" fillId="2" borderId="26" xfId="4" applyFont="1" applyFill="1" applyBorder="1" applyAlignment="1" applyProtection="1">
      <alignment horizontal="center" vertical="center"/>
      <protection locked="0"/>
    </xf>
    <xf numFmtId="0" fontId="13" fillId="5" borderId="14" xfId="3" applyFont="1" applyFill="1" applyBorder="1" applyAlignment="1" applyProtection="1">
      <alignment horizontal="center" vertical="center"/>
      <protection locked="0"/>
    </xf>
    <xf numFmtId="0" fontId="13" fillId="5" borderId="15" xfId="3" applyFont="1" applyFill="1" applyBorder="1" applyAlignment="1" applyProtection="1">
      <alignment horizontal="center" vertical="center"/>
      <protection locked="0"/>
    </xf>
    <xf numFmtId="0" fontId="13" fillId="5" borderId="20" xfId="3" applyFont="1" applyFill="1" applyBorder="1" applyAlignment="1" applyProtection="1">
      <alignment horizontal="center" vertical="center" wrapText="1"/>
      <protection locked="0"/>
    </xf>
    <xf numFmtId="0" fontId="13" fillId="5" borderId="15" xfId="3" applyFont="1" applyFill="1" applyBorder="1" applyAlignment="1" applyProtection="1">
      <alignment horizontal="center" vertical="center" wrapText="1"/>
      <protection locked="0"/>
    </xf>
    <xf numFmtId="0" fontId="13" fillId="5" borderId="20" xfId="3" applyFont="1" applyFill="1" applyBorder="1" applyAlignment="1" applyProtection="1">
      <alignment horizontal="center" vertical="center"/>
      <protection locked="0"/>
    </xf>
    <xf numFmtId="0" fontId="13" fillId="5" borderId="16" xfId="3" applyFont="1" applyFill="1" applyBorder="1" applyAlignment="1" applyProtection="1">
      <alignment horizontal="center" vertical="center"/>
      <protection locked="0"/>
    </xf>
    <xf numFmtId="0" fontId="13" fillId="5" borderId="21" xfId="3" applyFont="1" applyFill="1" applyBorder="1" applyAlignment="1" applyProtection="1">
      <alignment horizontal="center" vertical="center" wrapText="1"/>
      <protection locked="0"/>
    </xf>
    <xf numFmtId="0" fontId="16" fillId="5" borderId="0" xfId="3" applyFont="1" applyFill="1" applyAlignment="1" applyProtection="1">
      <alignment horizontal="center" vertical="center"/>
      <protection locked="0"/>
    </xf>
    <xf numFmtId="0" fontId="16" fillId="5" borderId="0" xfId="4" applyFont="1" applyFill="1" applyAlignment="1" applyProtection="1">
      <alignment horizontal="center" vertical="center"/>
      <protection locked="0"/>
    </xf>
    <xf numFmtId="0" fontId="17" fillId="5" borderId="0" xfId="3" applyFont="1" applyFill="1" applyProtection="1">
      <protection locked="0"/>
    </xf>
    <xf numFmtId="0" fontId="5" fillId="5" borderId="0" xfId="4" applyFont="1" applyFill="1" applyProtection="1">
      <protection locked="0"/>
    </xf>
    <xf numFmtId="0" fontId="42" fillId="2" borderId="0" xfId="3" applyFont="1" applyFill="1" applyProtection="1">
      <protection locked="0"/>
    </xf>
    <xf numFmtId="0" fontId="43" fillId="2" borderId="0" xfId="4" applyFont="1" applyFill="1" applyProtection="1">
      <protection locked="0"/>
    </xf>
    <xf numFmtId="0" fontId="42" fillId="5" borderId="0" xfId="3" applyFont="1" applyFill="1" applyProtection="1">
      <protection locked="0"/>
    </xf>
    <xf numFmtId="0" fontId="13" fillId="5" borderId="17" xfId="3" applyFont="1" applyFill="1" applyBorder="1" applyAlignment="1" applyProtection="1">
      <alignment horizontal="center" vertical="center" wrapText="1"/>
      <protection locked="0"/>
    </xf>
    <xf numFmtId="0" fontId="44" fillId="2" borderId="0" xfId="13" applyFont="1" applyFill="1" applyProtection="1">
      <protection locked="0"/>
    </xf>
    <xf numFmtId="0" fontId="10" fillId="5" borderId="0" xfId="13" applyFont="1" applyFill="1" applyProtection="1">
      <protection locked="0"/>
    </xf>
    <xf numFmtId="0" fontId="45" fillId="2" borderId="0" xfId="4" applyFont="1" applyFill="1" applyProtection="1">
      <protection locked="0"/>
    </xf>
    <xf numFmtId="0" fontId="46" fillId="2" borderId="0" xfId="3" applyFont="1" applyFill="1" applyProtection="1">
      <protection locked="0"/>
    </xf>
    <xf numFmtId="0" fontId="48" fillId="5" borderId="0" xfId="0" applyFont="1" applyFill="1" applyAlignment="1" applyProtection="1">
      <alignment vertical="center"/>
      <protection locked="0"/>
    </xf>
    <xf numFmtId="0" fontId="49" fillId="2" borderId="28" xfId="3" applyFont="1" applyFill="1" applyBorder="1" applyAlignment="1" applyProtection="1">
      <alignment horizontal="center" vertical="center"/>
      <protection locked="0"/>
    </xf>
    <xf numFmtId="0" fontId="50" fillId="0" borderId="31" xfId="3" applyFont="1" applyBorder="1" applyAlignment="1" applyProtection="1">
      <alignment horizontal="center" vertical="center"/>
      <protection locked="0"/>
    </xf>
    <xf numFmtId="0" fontId="50" fillId="0" borderId="33" xfId="3" applyFont="1" applyBorder="1" applyAlignment="1" applyProtection="1">
      <alignment horizontal="center" vertical="center"/>
      <protection locked="0"/>
    </xf>
    <xf numFmtId="0" fontId="50" fillId="0" borderId="36" xfId="3" applyFont="1" applyBorder="1" applyAlignment="1" applyProtection="1">
      <alignment horizontal="center" vertical="center"/>
      <protection locked="0"/>
    </xf>
    <xf numFmtId="170" fontId="51" fillId="0" borderId="17" xfId="3" applyNumberFormat="1" applyFont="1" applyBorder="1" applyAlignment="1" applyProtection="1">
      <alignment horizontal="center" vertical="center"/>
      <protection locked="0"/>
    </xf>
    <xf numFmtId="170" fontId="41" fillId="3" borderId="22" xfId="3" applyNumberFormat="1" applyFont="1" applyFill="1" applyBorder="1" applyAlignment="1" applyProtection="1">
      <alignment horizontal="center" vertical="center"/>
      <protection locked="0"/>
    </xf>
    <xf numFmtId="170" fontId="41" fillId="3" borderId="19" xfId="3" applyNumberFormat="1" applyFont="1" applyFill="1" applyBorder="1" applyAlignment="1" applyProtection="1">
      <alignment horizontal="center" vertical="center"/>
      <protection locked="0"/>
    </xf>
    <xf numFmtId="170" fontId="51" fillId="0" borderId="17" xfId="3" applyNumberFormat="1" applyFont="1" applyBorder="1" applyAlignment="1">
      <alignment horizontal="center" vertical="center"/>
    </xf>
    <xf numFmtId="170" fontId="51" fillId="2" borderId="28" xfId="4" applyNumberFormat="1" applyFont="1" applyFill="1" applyBorder="1" applyAlignment="1" applyProtection="1">
      <alignment horizontal="center" vertical="center"/>
      <protection locked="0"/>
    </xf>
    <xf numFmtId="0" fontId="13" fillId="6" borderId="0" xfId="3" applyFont="1" applyFill="1" applyAlignment="1" applyProtection="1">
      <alignment horizontal="center" vertical="center"/>
      <protection locked="0"/>
    </xf>
    <xf numFmtId="0" fontId="16" fillId="6" borderId="0" xfId="4" applyFont="1" applyFill="1" applyAlignment="1">
      <alignment horizontal="center" vertical="center"/>
    </xf>
    <xf numFmtId="0" fontId="14" fillId="2" borderId="4" xfId="3" applyFont="1" applyFill="1" applyBorder="1" applyAlignment="1" applyProtection="1">
      <alignment horizontal="left" vertical="center"/>
      <protection locked="0"/>
    </xf>
    <xf numFmtId="0" fontId="53" fillId="0" borderId="16" xfId="3" applyFont="1" applyBorder="1" applyAlignment="1" applyProtection="1">
      <alignment horizontal="center" vertical="center"/>
      <protection locked="0"/>
    </xf>
    <xf numFmtId="0" fontId="53" fillId="0" borderId="21" xfId="3" applyFont="1" applyBorder="1" applyAlignment="1" applyProtection="1">
      <alignment horizontal="center" vertical="center"/>
      <protection locked="0"/>
    </xf>
    <xf numFmtId="1" fontId="53" fillId="0" borderId="21" xfId="3" applyNumberFormat="1" applyFont="1" applyBorder="1" applyAlignment="1" applyProtection="1">
      <alignment horizontal="center" vertical="center"/>
      <protection locked="0"/>
    </xf>
    <xf numFmtId="1" fontId="54" fillId="0" borderId="17" xfId="3" applyNumberFormat="1" applyFont="1" applyBorder="1" applyAlignment="1" applyProtection="1">
      <alignment horizontal="center" vertical="center"/>
      <protection locked="0"/>
    </xf>
    <xf numFmtId="0" fontId="55" fillId="2" borderId="18" xfId="3" applyFont="1" applyFill="1" applyBorder="1" applyAlignment="1" applyProtection="1">
      <alignment horizontal="center" vertical="center"/>
      <protection locked="0"/>
    </xf>
    <xf numFmtId="0" fontId="54" fillId="2" borderId="22" xfId="3" applyFont="1" applyFill="1" applyBorder="1" applyAlignment="1" applyProtection="1">
      <alignment horizontal="center" vertical="center"/>
      <protection locked="0"/>
    </xf>
    <xf numFmtId="170" fontId="54" fillId="0" borderId="17" xfId="3" applyNumberFormat="1" applyFont="1" applyBorder="1" applyAlignment="1" applyProtection="1">
      <alignment horizontal="center" vertical="center"/>
      <protection locked="0"/>
    </xf>
    <xf numFmtId="170" fontId="54" fillId="2" borderId="22" xfId="3" applyNumberFormat="1" applyFont="1" applyFill="1" applyBorder="1" applyAlignment="1" applyProtection="1">
      <alignment horizontal="center" vertical="center"/>
      <protection locked="0"/>
    </xf>
    <xf numFmtId="170" fontId="54" fillId="2" borderId="19" xfId="3" applyNumberFormat="1" applyFont="1" applyFill="1" applyBorder="1" applyAlignment="1" applyProtection="1">
      <alignment horizontal="center" vertical="center"/>
      <protection locked="0"/>
    </xf>
    <xf numFmtId="0" fontId="14" fillId="0" borderId="16" xfId="3" applyFont="1" applyBorder="1" applyAlignment="1" applyProtection="1">
      <alignment horizontal="center" vertical="center"/>
      <protection locked="0"/>
    </xf>
    <xf numFmtId="170" fontId="14" fillId="0" borderId="21" xfId="3" applyNumberFormat="1" applyFont="1" applyBorder="1" applyAlignment="1" applyProtection="1">
      <alignment horizontal="center" vertical="center"/>
      <protection locked="0"/>
    </xf>
    <xf numFmtId="170" fontId="53" fillId="0" borderId="21" xfId="3" applyNumberFormat="1" applyFont="1" applyBorder="1" applyAlignment="1" applyProtection="1">
      <alignment horizontal="center" vertical="center"/>
      <protection locked="0"/>
    </xf>
    <xf numFmtId="0" fontId="55" fillId="2" borderId="18" xfId="3" applyFont="1" applyFill="1" applyBorder="1" applyAlignment="1" applyProtection="1">
      <alignment horizontal="center" vertical="center" wrapText="1"/>
      <protection locked="0"/>
    </xf>
    <xf numFmtId="0" fontId="53" fillId="2" borderId="4" xfId="3" applyFont="1" applyFill="1" applyBorder="1" applyAlignment="1" applyProtection="1">
      <alignment horizontal="left" vertical="center"/>
      <protection locked="0"/>
    </xf>
    <xf numFmtId="0" fontId="14" fillId="0" borderId="18" xfId="3" applyFont="1" applyBorder="1" applyAlignment="1" applyProtection="1">
      <alignment horizontal="center" vertical="center"/>
      <protection locked="0"/>
    </xf>
    <xf numFmtId="170" fontId="14" fillId="0" borderId="22" xfId="3" applyNumberFormat="1" applyFont="1" applyBorder="1" applyAlignment="1" applyProtection="1">
      <alignment horizontal="center" vertical="center"/>
      <protection locked="0"/>
    </xf>
    <xf numFmtId="0" fontId="53" fillId="0" borderId="18" xfId="3" applyFont="1" applyBorder="1" applyAlignment="1" applyProtection="1">
      <alignment horizontal="center" vertical="center"/>
      <protection locked="0"/>
    </xf>
    <xf numFmtId="170" fontId="53" fillId="0" borderId="22" xfId="3" applyNumberFormat="1" applyFont="1" applyBorder="1" applyAlignment="1" applyProtection="1">
      <alignment horizontal="center" vertical="center"/>
      <protection locked="0"/>
    </xf>
    <xf numFmtId="0" fontId="54" fillId="0" borderId="17" xfId="3" applyFont="1" applyBorder="1" applyAlignment="1" applyProtection="1">
      <alignment horizontal="center" vertical="center"/>
      <protection locked="0"/>
    </xf>
    <xf numFmtId="0" fontId="54" fillId="0" borderId="19" xfId="3" applyFont="1" applyBorder="1" applyAlignment="1" applyProtection="1">
      <alignment horizontal="center" vertical="center"/>
      <protection locked="0"/>
    </xf>
    <xf numFmtId="0" fontId="53" fillId="0" borderId="22" xfId="3" applyFont="1" applyBorder="1" applyAlignment="1" applyProtection="1">
      <alignment horizontal="center" vertical="center"/>
      <protection locked="0"/>
    </xf>
    <xf numFmtId="0" fontId="53" fillId="3" borderId="0" xfId="4" applyFont="1" applyFill="1" applyAlignment="1" applyProtection="1">
      <alignment horizontal="center" vertical="center"/>
      <protection locked="0"/>
    </xf>
    <xf numFmtId="0" fontId="53" fillId="2" borderId="0" xfId="4" applyFont="1" applyFill="1" applyAlignment="1" applyProtection="1">
      <alignment horizontal="center" vertical="center"/>
      <protection locked="0"/>
    </xf>
    <xf numFmtId="0" fontId="53" fillId="2" borderId="1" xfId="4" applyFont="1" applyFill="1" applyBorder="1" applyAlignment="1" applyProtection="1">
      <alignment horizontal="center" vertical="center"/>
      <protection locked="0"/>
    </xf>
    <xf numFmtId="0" fontId="53" fillId="5" borderId="0" xfId="4" applyFont="1" applyFill="1" applyAlignment="1" applyProtection="1">
      <alignment horizontal="center" vertical="center"/>
      <protection locked="0"/>
    </xf>
    <xf numFmtId="0" fontId="57" fillId="2" borderId="0" xfId="4" applyFont="1" applyFill="1" applyAlignment="1" applyProtection="1">
      <alignment horizontal="center" vertical="center"/>
      <protection locked="0"/>
    </xf>
    <xf numFmtId="0" fontId="57" fillId="5" borderId="0" xfId="4" applyFont="1" applyFill="1" applyAlignment="1" applyProtection="1">
      <alignment horizontal="center" vertical="center"/>
      <protection locked="0"/>
    </xf>
    <xf numFmtId="0" fontId="58" fillId="2" borderId="0" xfId="4" applyFont="1" applyFill="1" applyAlignment="1" applyProtection="1">
      <alignment horizontal="center" vertical="center"/>
      <protection locked="0"/>
    </xf>
    <xf numFmtId="10" fontId="53" fillId="2" borderId="1" xfId="4" applyNumberFormat="1" applyFont="1" applyFill="1" applyBorder="1" applyAlignment="1" applyProtection="1">
      <alignment horizontal="center" vertical="center"/>
      <protection locked="0"/>
    </xf>
    <xf numFmtId="10" fontId="54" fillId="2" borderId="0" xfId="4" applyNumberFormat="1" applyFont="1" applyFill="1" applyAlignment="1" applyProtection="1">
      <alignment horizontal="center" vertical="center"/>
      <protection locked="0"/>
    </xf>
    <xf numFmtId="10" fontId="58" fillId="2" borderId="0" xfId="4" applyNumberFormat="1" applyFont="1" applyFill="1" applyAlignment="1" applyProtection="1">
      <alignment horizontal="center" vertical="center"/>
      <protection locked="0"/>
    </xf>
    <xf numFmtId="170" fontId="53" fillId="2" borderId="1" xfId="4" applyNumberFormat="1" applyFont="1" applyFill="1" applyBorder="1" applyAlignment="1" applyProtection="1">
      <alignment horizontal="center" vertical="center"/>
      <protection locked="0"/>
    </xf>
    <xf numFmtId="1" fontId="54" fillId="2" borderId="22" xfId="3" applyNumberFormat="1" applyFont="1" applyFill="1" applyBorder="1" applyAlignment="1" applyProtection="1">
      <alignment horizontal="center" vertical="center"/>
      <protection locked="0"/>
    </xf>
    <xf numFmtId="1" fontId="54" fillId="2" borderId="19" xfId="3" applyNumberFormat="1" applyFont="1" applyFill="1" applyBorder="1" applyAlignment="1" applyProtection="1">
      <alignment horizontal="center" vertical="center"/>
      <protection locked="0"/>
    </xf>
    <xf numFmtId="170" fontId="52" fillId="2" borderId="0" xfId="4" applyNumberFormat="1" applyFont="1" applyFill="1" applyAlignment="1" applyProtection="1">
      <alignment horizontal="center" vertical="center"/>
      <protection locked="0"/>
    </xf>
    <xf numFmtId="10" fontId="54" fillId="2" borderId="27" xfId="3" applyNumberFormat="1" applyFont="1" applyFill="1" applyBorder="1" applyAlignment="1" applyProtection="1">
      <alignment horizontal="center" vertical="center"/>
      <protection locked="0"/>
    </xf>
    <xf numFmtId="0" fontId="14" fillId="0" borderId="23" xfId="3" applyFont="1" applyBorder="1" applyAlignment="1" applyProtection="1">
      <alignment horizontal="center" vertical="center"/>
      <protection locked="0"/>
    </xf>
    <xf numFmtId="0" fontId="15" fillId="2" borderId="26" xfId="3" applyFont="1" applyFill="1" applyBorder="1" applyAlignment="1" applyProtection="1">
      <alignment horizontal="center" vertical="center"/>
      <protection locked="0"/>
    </xf>
    <xf numFmtId="164" fontId="53" fillId="0" borderId="21" xfId="3" applyNumberFormat="1" applyFont="1" applyBorder="1" applyAlignment="1" applyProtection="1">
      <alignment horizontal="center" vertical="center"/>
      <protection locked="0"/>
    </xf>
    <xf numFmtId="10" fontId="53" fillId="0" borderId="21" xfId="3" applyNumberFormat="1" applyFont="1" applyBorder="1" applyAlignment="1" applyProtection="1">
      <alignment horizontal="center" vertical="center"/>
      <protection locked="0"/>
    </xf>
    <xf numFmtId="0" fontId="53" fillId="0" borderId="23" xfId="3" applyFont="1" applyBorder="1" applyAlignment="1" applyProtection="1">
      <alignment horizontal="center" vertical="center"/>
      <protection locked="0"/>
    </xf>
    <xf numFmtId="164" fontId="53" fillId="0" borderId="24" xfId="3" applyNumberFormat="1" applyFont="1" applyBorder="1" applyAlignment="1" applyProtection="1">
      <alignment horizontal="center" vertical="center"/>
      <protection locked="0"/>
    </xf>
    <xf numFmtId="10" fontId="53" fillId="0" borderId="24" xfId="3" applyNumberFormat="1" applyFont="1" applyBorder="1" applyAlignment="1" applyProtection="1">
      <alignment horizontal="center" vertical="center"/>
      <protection locked="0"/>
    </xf>
    <xf numFmtId="0" fontId="55" fillId="2" borderId="26" xfId="3" applyFont="1" applyFill="1" applyBorder="1" applyAlignment="1" applyProtection="1">
      <alignment horizontal="center" vertical="center"/>
      <protection locked="0"/>
    </xf>
    <xf numFmtId="170" fontId="54" fillId="0" borderId="21" xfId="3" applyNumberFormat="1" applyFont="1" applyBorder="1" applyAlignment="1" applyProtection="1">
      <alignment horizontal="center" vertical="center"/>
      <protection locked="0"/>
    </xf>
    <xf numFmtId="170" fontId="54" fillId="2" borderId="27" xfId="3" applyNumberFormat="1" applyFont="1" applyFill="1" applyBorder="1" applyAlignment="1" applyProtection="1">
      <alignment horizontal="center" vertical="center"/>
      <protection locked="0"/>
    </xf>
    <xf numFmtId="170" fontId="54" fillId="2" borderId="28" xfId="3" applyNumberFormat="1" applyFont="1" applyFill="1" applyBorder="1" applyAlignment="1" applyProtection="1">
      <alignment horizontal="center" vertical="center"/>
      <protection locked="0"/>
    </xf>
    <xf numFmtId="170" fontId="53" fillId="0" borderId="24" xfId="3" applyNumberFormat="1" applyFont="1" applyBorder="1" applyAlignment="1" applyProtection="1">
      <alignment horizontal="center" vertical="center"/>
      <protection locked="0"/>
    </xf>
    <xf numFmtId="0" fontId="55" fillId="2" borderId="26" xfId="3" applyFont="1" applyFill="1" applyBorder="1" applyAlignment="1" applyProtection="1">
      <alignment horizontal="center" vertical="center" wrapText="1"/>
      <protection locked="0"/>
    </xf>
    <xf numFmtId="0" fontId="54" fillId="2" borderId="3" xfId="4" applyFont="1" applyFill="1" applyBorder="1" applyAlignment="1" applyProtection="1">
      <alignment horizontal="center" vertical="center"/>
      <protection locked="0"/>
    </xf>
    <xf numFmtId="10" fontId="54" fillId="2" borderId="9" xfId="4" applyNumberFormat="1" applyFont="1" applyFill="1" applyBorder="1" applyAlignment="1" applyProtection="1">
      <alignment horizontal="center" vertical="center"/>
      <protection locked="0"/>
    </xf>
    <xf numFmtId="0" fontId="54" fillId="5" borderId="0" xfId="4" applyFont="1" applyFill="1" applyAlignment="1" applyProtection="1">
      <alignment horizontal="center" vertical="center"/>
      <protection locked="0"/>
    </xf>
    <xf numFmtId="0" fontId="54" fillId="2" borderId="10" xfId="4" applyFont="1" applyFill="1" applyBorder="1" applyAlignment="1" applyProtection="1">
      <alignment horizontal="center" vertical="center"/>
      <protection locked="0"/>
    </xf>
    <xf numFmtId="0" fontId="14" fillId="2" borderId="6" xfId="4" applyFont="1" applyFill="1" applyBorder="1" applyAlignment="1" applyProtection="1">
      <alignment horizontal="center" vertical="center"/>
      <protection locked="0"/>
    </xf>
    <xf numFmtId="0" fontId="14" fillId="2" borderId="0" xfId="4" applyFont="1" applyFill="1" applyAlignment="1" applyProtection="1">
      <alignment horizontal="center" vertical="center"/>
      <protection locked="0"/>
    </xf>
    <xf numFmtId="0" fontId="53" fillId="2" borderId="6" xfId="4" applyFont="1" applyFill="1" applyBorder="1" applyAlignment="1" applyProtection="1">
      <alignment horizontal="center" vertical="center"/>
      <protection locked="0"/>
    </xf>
    <xf numFmtId="1" fontId="54" fillId="2" borderId="9" xfId="4" applyNumberFormat="1" applyFont="1" applyFill="1" applyBorder="1" applyAlignment="1" applyProtection="1">
      <alignment horizontal="center" vertical="center"/>
      <protection locked="0"/>
    </xf>
    <xf numFmtId="10" fontId="54" fillId="2" borderId="10" xfId="4" applyNumberFormat="1" applyFont="1" applyFill="1" applyBorder="1" applyAlignment="1" applyProtection="1">
      <alignment horizontal="center" vertical="center"/>
      <protection locked="0"/>
    </xf>
    <xf numFmtId="164" fontId="58" fillId="0" borderId="21" xfId="3" applyNumberFormat="1" applyFont="1" applyBorder="1" applyAlignment="1" applyProtection="1">
      <alignment horizontal="center" vertical="center"/>
      <protection locked="0"/>
    </xf>
    <xf numFmtId="164" fontId="58" fillId="0" borderId="17" xfId="3" applyNumberFormat="1" applyFont="1" applyBorder="1" applyAlignment="1" applyProtection="1">
      <alignment horizontal="center" vertical="center"/>
      <protection locked="0"/>
    </xf>
    <xf numFmtId="164" fontId="58" fillId="2" borderId="27" xfId="3" applyNumberFormat="1" applyFont="1" applyFill="1" applyBorder="1" applyAlignment="1" applyProtection="1">
      <alignment horizontal="center" vertical="center"/>
      <protection locked="0"/>
    </xf>
    <xf numFmtId="164" fontId="58" fillId="2" borderId="28" xfId="3" applyNumberFormat="1" applyFont="1" applyFill="1" applyBorder="1" applyAlignment="1" applyProtection="1">
      <alignment horizontal="center" vertical="center"/>
      <protection locked="0"/>
    </xf>
    <xf numFmtId="10" fontId="53" fillId="2" borderId="0" xfId="4" applyNumberFormat="1" applyFont="1" applyFill="1" applyAlignment="1" applyProtection="1">
      <alignment horizontal="center" vertical="center"/>
      <protection locked="0"/>
    </xf>
    <xf numFmtId="0" fontId="53" fillId="2" borderId="7" xfId="4" applyFont="1" applyFill="1" applyBorder="1" applyAlignment="1" applyProtection="1">
      <alignment horizontal="center" vertical="center"/>
      <protection locked="0"/>
    </xf>
    <xf numFmtId="0" fontId="53" fillId="5" borderId="7" xfId="4" applyFont="1" applyFill="1" applyBorder="1" applyAlignment="1" applyProtection="1">
      <alignment horizontal="center" vertical="center"/>
      <protection locked="0"/>
    </xf>
    <xf numFmtId="164" fontId="57" fillId="2" borderId="0" xfId="4" applyNumberFormat="1" applyFont="1" applyFill="1" applyAlignment="1" applyProtection="1">
      <alignment horizontal="center" vertical="center"/>
      <protection locked="0"/>
    </xf>
    <xf numFmtId="0" fontId="57" fillId="2" borderId="6" xfId="4" applyFont="1" applyFill="1" applyBorder="1" applyAlignment="1" applyProtection="1">
      <alignment horizontal="center" vertical="center"/>
      <protection locked="0"/>
    </xf>
    <xf numFmtId="10" fontId="57" fillId="2" borderId="0" xfId="4" applyNumberFormat="1" applyFont="1" applyFill="1" applyAlignment="1" applyProtection="1">
      <alignment horizontal="center" vertical="center"/>
      <protection locked="0"/>
    </xf>
    <xf numFmtId="0" fontId="57" fillId="2" borderId="7" xfId="4" applyFont="1" applyFill="1" applyBorder="1" applyAlignment="1" applyProtection="1">
      <alignment horizontal="center" vertical="center"/>
      <protection locked="0"/>
    </xf>
    <xf numFmtId="0" fontId="57" fillId="5" borderId="7" xfId="4" applyFont="1" applyFill="1" applyBorder="1" applyAlignment="1" applyProtection="1">
      <alignment horizontal="center" vertical="center"/>
      <protection locked="0"/>
    </xf>
    <xf numFmtId="167" fontId="58" fillId="2" borderId="0" xfId="4" applyNumberFormat="1" applyFont="1" applyFill="1" applyAlignment="1" applyProtection="1">
      <alignment horizontal="center" vertical="center"/>
      <protection locked="0"/>
    </xf>
    <xf numFmtId="1" fontId="53" fillId="2" borderId="0" xfId="4" applyNumberFormat="1" applyFont="1" applyFill="1" applyAlignment="1" applyProtection="1">
      <alignment horizontal="center" vertical="center"/>
      <protection locked="0"/>
    </xf>
    <xf numFmtId="1" fontId="54" fillId="2" borderId="0" xfId="4" applyNumberFormat="1" applyFont="1" applyFill="1" applyAlignment="1" applyProtection="1">
      <alignment horizontal="center" vertical="center"/>
      <protection locked="0"/>
    </xf>
    <xf numFmtId="0" fontId="14" fillId="0" borderId="17" xfId="3" applyFont="1" applyBorder="1" applyAlignment="1" applyProtection="1">
      <alignment horizontal="center" vertical="center"/>
      <protection locked="0"/>
    </xf>
    <xf numFmtId="0" fontId="14" fillId="0" borderId="25" xfId="3" applyFont="1" applyBorder="1" applyAlignment="1" applyProtection="1">
      <alignment horizontal="center" vertical="center"/>
      <protection locked="0"/>
    </xf>
    <xf numFmtId="1" fontId="14" fillId="0" borderId="21" xfId="3" applyNumberFormat="1" applyFont="1" applyBorder="1" applyAlignment="1" applyProtection="1">
      <alignment horizontal="center" vertical="center"/>
      <protection locked="0"/>
    </xf>
    <xf numFmtId="1" fontId="56" fillId="0" borderId="17" xfId="3" applyNumberFormat="1" applyFont="1" applyBorder="1" applyAlignment="1" applyProtection="1">
      <alignment horizontal="center" vertical="center"/>
      <protection locked="0"/>
    </xf>
    <xf numFmtId="166" fontId="14" fillId="0" borderId="21" xfId="3" applyNumberFormat="1" applyFont="1" applyBorder="1" applyAlignment="1" applyProtection="1">
      <alignment horizontal="center" vertical="center"/>
      <protection locked="0"/>
    </xf>
    <xf numFmtId="1" fontId="14" fillId="0" borderId="22" xfId="3" applyNumberFormat="1" applyFont="1" applyBorder="1" applyAlignment="1" applyProtection="1">
      <alignment horizontal="center" vertical="center"/>
      <protection locked="0"/>
    </xf>
    <xf numFmtId="170" fontId="14" fillId="0" borderId="17" xfId="3" applyNumberFormat="1" applyFont="1" applyBorder="1" applyAlignment="1" applyProtection="1">
      <alignment horizontal="center" vertical="center"/>
      <protection locked="0"/>
    </xf>
    <xf numFmtId="170" fontId="14" fillId="0" borderId="19" xfId="3" applyNumberFormat="1" applyFont="1" applyBorder="1" applyAlignment="1" applyProtection="1">
      <alignment horizontal="center" vertical="center"/>
      <protection locked="0"/>
    </xf>
    <xf numFmtId="0" fontId="14" fillId="2" borderId="11" xfId="4" applyFont="1" applyFill="1" applyBorder="1" applyAlignment="1" applyProtection="1">
      <alignment horizontal="center" vertical="center"/>
      <protection locked="0"/>
    </xf>
    <xf numFmtId="2" fontId="56" fillId="0" borderId="21" xfId="3" applyNumberFormat="1" applyFont="1" applyBorder="1" applyAlignment="1" applyProtection="1">
      <alignment horizontal="center" vertical="center"/>
      <protection locked="0"/>
    </xf>
    <xf numFmtId="2" fontId="56" fillId="0" borderId="17" xfId="3" applyNumberFormat="1" applyFont="1" applyBorder="1" applyAlignment="1" applyProtection="1">
      <alignment horizontal="center" vertical="center"/>
      <protection locked="0"/>
    </xf>
    <xf numFmtId="2" fontId="56" fillId="0" borderId="22" xfId="3" applyNumberFormat="1" applyFont="1" applyBorder="1" applyAlignment="1" applyProtection="1">
      <alignment horizontal="center" vertical="center"/>
      <protection locked="0"/>
    </xf>
    <xf numFmtId="2" fontId="56" fillId="0" borderId="19" xfId="3" applyNumberFormat="1" applyFont="1" applyBorder="1" applyAlignment="1" applyProtection="1">
      <alignment horizontal="center" vertical="center"/>
      <protection locked="0"/>
    </xf>
    <xf numFmtId="0" fontId="52" fillId="2" borderId="28" xfId="3" applyFont="1" applyFill="1" applyBorder="1" applyAlignment="1" applyProtection="1">
      <alignment horizontal="center" vertical="center"/>
      <protection locked="0"/>
    </xf>
    <xf numFmtId="167" fontId="58" fillId="2" borderId="9" xfId="4" applyNumberFormat="1" applyFont="1" applyFill="1" applyBorder="1" applyAlignment="1" applyProtection="1">
      <alignment horizontal="center" vertical="center"/>
      <protection locked="0"/>
    </xf>
    <xf numFmtId="170" fontId="58" fillId="2" borderId="9" xfId="4" applyNumberFormat="1" applyFont="1" applyFill="1" applyBorder="1" applyAlignment="1" applyProtection="1">
      <alignment horizontal="center" vertical="center"/>
      <protection locked="0"/>
    </xf>
    <xf numFmtId="0" fontId="47" fillId="4" borderId="0" xfId="2" applyFont="1" applyFill="1" applyAlignment="1" applyProtection="1">
      <alignment horizontal="center" vertical="center"/>
      <protection locked="0"/>
    </xf>
    <xf numFmtId="0" fontId="44" fillId="2" borderId="0" xfId="2" applyFont="1" applyFill="1" applyAlignment="1" applyProtection="1">
      <alignment horizontal="center" vertical="center"/>
      <protection locked="0"/>
    </xf>
    <xf numFmtId="0" fontId="47" fillId="4" borderId="0" xfId="2" applyFont="1" applyFill="1" applyAlignment="1" applyProtection="1">
      <alignment horizontal="center" vertical="center" wrapText="1"/>
      <protection locked="0"/>
    </xf>
    <xf numFmtId="0" fontId="29" fillId="0" borderId="4" xfId="3" applyFont="1" applyBorder="1" applyAlignment="1" applyProtection="1">
      <alignment horizontal="left" vertical="center"/>
      <protection locked="0"/>
    </xf>
    <xf numFmtId="0" fontId="29" fillId="0" borderId="7" xfId="3" applyFont="1" applyBorder="1" applyAlignment="1" applyProtection="1">
      <alignment horizontal="left" vertical="center"/>
      <protection locked="0"/>
    </xf>
    <xf numFmtId="0" fontId="29" fillId="0" borderId="8" xfId="3" applyFont="1" applyBorder="1" applyAlignment="1" applyProtection="1">
      <alignment horizontal="left" vertical="center"/>
      <protection locked="0"/>
    </xf>
    <xf numFmtId="0" fontId="32" fillId="2" borderId="4" xfId="4" applyFont="1" applyFill="1" applyBorder="1" applyAlignment="1" applyProtection="1">
      <alignment horizontal="left" vertical="center"/>
      <protection locked="0"/>
    </xf>
    <xf numFmtId="0" fontId="32" fillId="2" borderId="7" xfId="4" applyFont="1" applyFill="1" applyBorder="1" applyAlignment="1" applyProtection="1">
      <alignment horizontal="left" vertical="center"/>
      <protection locked="0"/>
    </xf>
    <xf numFmtId="0" fontId="32" fillId="2" borderId="8" xfId="4" applyFont="1" applyFill="1" applyBorder="1" applyAlignment="1" applyProtection="1">
      <alignment horizontal="left" vertical="center"/>
      <protection locked="0"/>
    </xf>
    <xf numFmtId="0" fontId="30" fillId="2" borderId="14" xfId="3" applyFont="1" applyFill="1" applyBorder="1" applyAlignment="1" applyProtection="1">
      <alignment horizontal="center" vertical="center"/>
      <protection locked="0"/>
    </xf>
    <xf numFmtId="0" fontId="30" fillId="2" borderId="16" xfId="3" applyFont="1" applyFill="1" applyBorder="1" applyAlignment="1" applyProtection="1">
      <alignment horizontal="center" vertical="center"/>
      <protection locked="0"/>
    </xf>
    <xf numFmtId="0" fontId="30" fillId="2" borderId="20" xfId="3" applyFont="1" applyFill="1" applyBorder="1" applyAlignment="1" applyProtection="1">
      <alignment horizontal="center" vertical="center"/>
      <protection locked="0"/>
    </xf>
    <xf numFmtId="0" fontId="30" fillId="2" borderId="15" xfId="3" applyFont="1" applyFill="1" applyBorder="1" applyAlignment="1" applyProtection="1">
      <alignment horizontal="center" vertical="center"/>
      <protection locked="0"/>
    </xf>
    <xf numFmtId="0" fontId="30" fillId="2" borderId="21" xfId="3" applyFont="1" applyFill="1" applyBorder="1" applyAlignment="1" applyProtection="1">
      <alignment horizontal="center" vertical="center"/>
      <protection locked="0"/>
    </xf>
    <xf numFmtId="0" fontId="30" fillId="2" borderId="17" xfId="3" applyFont="1" applyFill="1" applyBorder="1" applyAlignment="1" applyProtection="1">
      <alignment horizontal="center" vertical="center"/>
      <protection locked="0"/>
    </xf>
    <xf numFmtId="0" fontId="34" fillId="0" borderId="4" xfId="3" applyFont="1" applyBorder="1" applyAlignment="1" applyProtection="1">
      <alignment horizontal="left" vertical="center"/>
      <protection locked="0"/>
    </xf>
    <xf numFmtId="0" fontId="34" fillId="0" borderId="7" xfId="3" applyFont="1" applyBorder="1" applyAlignment="1" applyProtection="1">
      <alignment horizontal="left" vertical="center"/>
      <protection locked="0"/>
    </xf>
    <xf numFmtId="0" fontId="34" fillId="0" borderId="8" xfId="3" applyFont="1" applyBorder="1" applyAlignment="1" applyProtection="1">
      <alignment horizontal="left" vertical="center"/>
      <protection locked="0"/>
    </xf>
    <xf numFmtId="0" fontId="31" fillId="2" borderId="14" xfId="4" applyFont="1" applyFill="1" applyBorder="1" applyAlignment="1" applyProtection="1">
      <alignment horizontal="center" vertical="center"/>
      <protection locked="0"/>
    </xf>
    <xf numFmtId="0" fontId="31" fillId="2" borderId="20" xfId="4" applyFont="1" applyFill="1" applyBorder="1" applyAlignment="1" applyProtection="1">
      <alignment horizontal="center" vertical="center"/>
      <protection locked="0"/>
    </xf>
    <xf numFmtId="0" fontId="31" fillId="2" borderId="15" xfId="4" applyFont="1" applyFill="1" applyBorder="1" applyAlignment="1" applyProtection="1">
      <alignment horizontal="center" vertical="center"/>
      <protection locked="0"/>
    </xf>
    <xf numFmtId="0" fontId="14" fillId="2" borderId="4" xfId="4" applyFont="1" applyFill="1" applyBorder="1" applyAlignment="1" applyProtection="1">
      <alignment horizontal="left" vertical="center"/>
      <protection locked="0"/>
    </xf>
    <xf numFmtId="0" fontId="14" fillId="2" borderId="7" xfId="4" applyFont="1" applyFill="1" applyBorder="1" applyAlignment="1" applyProtection="1">
      <alignment horizontal="left" vertical="center"/>
      <protection locked="0"/>
    </xf>
    <xf numFmtId="0" fontId="14" fillId="2" borderId="8" xfId="4" applyFont="1" applyFill="1" applyBorder="1" applyAlignment="1" applyProtection="1">
      <alignment horizontal="left" vertical="center"/>
      <protection locked="0"/>
    </xf>
    <xf numFmtId="0" fontId="53" fillId="2" borderId="4" xfId="4" applyFont="1" applyFill="1" applyBorder="1" applyAlignment="1" applyProtection="1">
      <alignment horizontal="left" vertical="center"/>
      <protection locked="0"/>
    </xf>
    <xf numFmtId="0" fontId="53" fillId="2" borderId="7" xfId="4" applyFont="1" applyFill="1" applyBorder="1" applyAlignment="1" applyProtection="1">
      <alignment horizontal="left" vertical="center"/>
      <protection locked="0"/>
    </xf>
    <xf numFmtId="0" fontId="53" fillId="2" borderId="8" xfId="4" applyFont="1" applyFill="1" applyBorder="1" applyAlignment="1" applyProtection="1">
      <alignment horizontal="left" vertical="center"/>
      <protection locked="0"/>
    </xf>
    <xf numFmtId="0" fontId="16" fillId="5" borderId="0" xfId="4" applyFont="1" applyFill="1" applyAlignment="1" applyProtection="1">
      <alignment horizontal="center" vertical="center"/>
      <protection locked="0"/>
    </xf>
    <xf numFmtId="0" fontId="31" fillId="2" borderId="50" xfId="4" applyFont="1" applyFill="1" applyBorder="1" applyAlignment="1" applyProtection="1">
      <alignment horizontal="center" vertical="center"/>
      <protection locked="0"/>
    </xf>
    <xf numFmtId="170" fontId="51" fillId="0" borderId="25" xfId="3" applyNumberFormat="1" applyFont="1" applyBorder="1" applyAlignment="1">
      <alignment horizontal="center" vertical="center"/>
    </xf>
    <xf numFmtId="170" fontId="51" fillId="0" borderId="49" xfId="3" applyNumberFormat="1" applyFont="1" applyBorder="1" applyAlignment="1">
      <alignment horizontal="center" vertical="center"/>
    </xf>
    <xf numFmtId="0" fontId="5" fillId="2" borderId="0" xfId="4" quotePrefix="1" applyFont="1" applyFill="1" applyAlignment="1" applyProtection="1">
      <alignment horizontal="left" vertical="center"/>
      <protection locked="0"/>
    </xf>
    <xf numFmtId="1" fontId="54" fillId="2" borderId="0" xfId="4" applyNumberFormat="1" applyFont="1" applyFill="1" applyAlignment="1" applyProtection="1">
      <alignment horizontal="left" vertical="center"/>
      <protection locked="0"/>
    </xf>
  </cellXfs>
  <cellStyles count="15">
    <cellStyle name="Euro" xfId="1" xr:uid="{00000000-0005-0000-0000-000000000000}"/>
    <cellStyle name="Hipervínculo" xfId="2" builtinId="8"/>
    <cellStyle name="Millares [0] 2" xfId="5" xr:uid="{00000000-0005-0000-0000-000002000000}"/>
    <cellStyle name="Millares [0] 3" xfId="6" xr:uid="{00000000-0005-0000-0000-000003000000}"/>
    <cellStyle name="Millares 2" xfId="8" xr:uid="{00000000-0005-0000-0000-000004000000}"/>
    <cellStyle name="Millares 3" xfId="9" xr:uid="{00000000-0005-0000-0000-000005000000}"/>
    <cellStyle name="Millares 4" xfId="10" xr:uid="{00000000-0005-0000-0000-000006000000}"/>
    <cellStyle name="Moneda 2" xfId="11" xr:uid="{00000000-0005-0000-0000-000007000000}"/>
    <cellStyle name="Moneda 3" xfId="12" xr:uid="{00000000-0005-0000-0000-000008000000}"/>
    <cellStyle name="Normal" xfId="0" builtinId="0"/>
    <cellStyle name="Normal 2" xfId="3" xr:uid="{00000000-0005-0000-0000-00000A000000}"/>
    <cellStyle name="Normal 3" xfId="4" xr:uid="{00000000-0005-0000-0000-00000B000000}"/>
    <cellStyle name="Normal 3 2" xfId="14" xr:uid="{00000000-0005-0000-0000-00000C000000}"/>
    <cellStyle name="Normal 4" xfId="13" xr:uid="{00000000-0005-0000-0000-00000D000000}"/>
    <cellStyle name="Porcentual 2" xfId="7" xr:uid="{00000000-0005-0000-0000-00000E000000}"/>
  </cellStyles>
  <dxfs count="0"/>
  <tableStyles count="0" defaultTableStyle="TableStyleMedium9" defaultPivotStyle="PivotStyleLight16"/>
  <colors>
    <mruColors>
      <color rgb="FF2173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311809</xdr:colOff>
      <xdr:row>0</xdr:row>
      <xdr:rowOff>153882</xdr:rowOff>
    </xdr:from>
    <xdr:ext cx="4041115" cy="1129155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26409" y="1696932"/>
          <a:ext cx="4041115" cy="112915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6600" b="1" i="0" cap="none" spc="0">
              <a:ln w="9525">
                <a:noFill/>
                <a:prstDash val="solid"/>
              </a:ln>
              <a:solidFill>
                <a:sysClr val="windowText" lastClr="000000"/>
              </a:solidFill>
              <a:effectLst/>
              <a:latin typeface="Gilroy ExtraBold" panose="00000900000000000000" pitchFamily="50" charset="0"/>
            </a:rPr>
            <a:t>Fórmulas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7</xdr:row>
      <xdr:rowOff>120252</xdr:rowOff>
    </xdr:from>
    <xdr:ext cx="1289327" cy="4661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E5F0C3B6-CE50-4CEC-B72C-D84D8175C64A}"/>
                </a:ext>
              </a:extLst>
            </xdr:cNvPr>
            <xdr:cNvSpPr txBox="1"/>
          </xdr:nvSpPr>
          <xdr:spPr>
            <a:xfrm>
              <a:off x="2667000" y="3539727"/>
              <a:ext cx="1289327" cy="4661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latin typeface="Cambria Math" panose="02040503050406030204" pitchFamily="18" charset="0"/>
                      </a:rPr>
                      <m:t>𝑨𝒓𝒆𝒂</m:t>
                    </m:r>
                    <m:r>
                      <a:rPr lang="es-PE" sz="16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6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600" b="1" i="1">
                            <a:latin typeface="Cambria Math" panose="02040503050406030204" pitchFamily="18" charset="0"/>
                          </a:rPr>
                          <m:t>𝒃</m:t>
                        </m:r>
                        <m:r>
                          <a:rPr lang="es-PE" sz="1600" b="1" i="1">
                            <a:latin typeface="Cambria Math" panose="02040503050406030204" pitchFamily="18" charset="0"/>
                          </a:rPr>
                          <m:t> ∗</m:t>
                        </m:r>
                        <m:r>
                          <a:rPr lang="es-PE" sz="1600" b="1" i="1">
                            <a:latin typeface="Cambria Math" panose="02040503050406030204" pitchFamily="18" charset="0"/>
                          </a:rPr>
                          <m:t>𝒉</m:t>
                        </m:r>
                      </m:num>
                      <m:den>
                        <m:r>
                          <a:rPr lang="es-PE" sz="1600" b="1" i="1">
                            <a:latin typeface="Cambria Math" panose="02040503050406030204" pitchFamily="18" charset="0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PE" sz="1600" b="1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E5F0C3B6-CE50-4CEC-B72C-D84D8175C64A}"/>
                </a:ext>
              </a:extLst>
            </xdr:cNvPr>
            <xdr:cNvSpPr txBox="1"/>
          </xdr:nvSpPr>
          <xdr:spPr>
            <a:xfrm>
              <a:off x="2667000" y="3539727"/>
              <a:ext cx="1289327" cy="4661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latin typeface="Cambria Math" panose="02040503050406030204" pitchFamily="18" charset="0"/>
                </a:rPr>
                <a:t>𝑨𝒓𝒆𝒂=(𝒃 ∗𝒉)/𝟐</a:t>
              </a:r>
              <a:endParaRPr lang="es-PE" sz="1600" b="1"/>
            </a:p>
          </xdr:txBody>
        </xdr:sp>
      </mc:Fallback>
    </mc:AlternateContent>
    <xdr:clientData/>
  </xdr:oneCellAnchor>
  <xdr:oneCellAnchor>
    <xdr:from>
      <xdr:col>3</xdr:col>
      <xdr:colOff>209550</xdr:colOff>
      <xdr:row>24</xdr:row>
      <xdr:rowOff>108346</xdr:rowOff>
    </xdr:from>
    <xdr:ext cx="1082540" cy="5795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481BC98B-1DFE-4745-BE3F-698029F17931}"/>
                </a:ext>
              </a:extLst>
            </xdr:cNvPr>
            <xdr:cNvSpPr txBox="1"/>
          </xdr:nvSpPr>
          <xdr:spPr>
            <a:xfrm>
              <a:off x="2667000" y="7004446"/>
              <a:ext cx="1082540" cy="579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800" b="1" i="0">
                  <a:latin typeface="+mn-lt"/>
                </a:rPr>
                <a:t>TNx</a:t>
              </a:r>
              <a14:m>
                <m:oMath xmlns:m="http://schemas.openxmlformats.org/officeDocument/2006/math">
                  <m:r>
                    <a:rPr lang="es-PE" sz="2400" b="1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2400" b="1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PE" sz="2400" b="1" i="1">
                          <a:latin typeface="Cambria Math" panose="02040503050406030204" pitchFamily="18" charset="0"/>
                        </a:rPr>
                        <m:t>𝑻𝑵</m:t>
                      </m:r>
                    </m:num>
                    <m:den>
                      <m:r>
                        <a:rPr lang="es-PE" sz="2400" b="1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s-PE" sz="2400" b="1" i="1">
                          <a:latin typeface="Cambria Math" panose="02040503050406030204" pitchFamily="18" charset="0"/>
                        </a:rPr>
                        <m:t>𝒎</m:t>
                      </m:r>
                      <m:r>
                        <a:rPr lang="es-PE" sz="2400" b="1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es-PE" sz="2400" b="1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481BC98B-1DFE-4745-BE3F-698029F17931}"/>
                </a:ext>
              </a:extLst>
            </xdr:cNvPr>
            <xdr:cNvSpPr txBox="1"/>
          </xdr:nvSpPr>
          <xdr:spPr>
            <a:xfrm>
              <a:off x="2667000" y="7004446"/>
              <a:ext cx="1082540" cy="579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800" b="1" i="0">
                  <a:latin typeface="+mn-lt"/>
                </a:rPr>
                <a:t>TNx</a:t>
              </a:r>
              <a:r>
                <a:rPr lang="es-PE" sz="2400" b="1" i="0">
                  <a:latin typeface="Cambria Math" panose="02040503050406030204" pitchFamily="18" charset="0"/>
                </a:rPr>
                <a:t>=𝑻𝑵/((𝒎))</a:t>
              </a:r>
              <a:endParaRPr lang="es-PE" sz="2400" b="1"/>
            </a:p>
          </xdr:txBody>
        </xdr:sp>
      </mc:Fallback>
    </mc:AlternateContent>
    <xdr:clientData/>
  </xdr:oneCellAnchor>
  <xdr:oneCellAnchor>
    <xdr:from>
      <xdr:col>3</xdr:col>
      <xdr:colOff>352422</xdr:colOff>
      <xdr:row>40</xdr:row>
      <xdr:rowOff>84534</xdr:rowOff>
    </xdr:from>
    <xdr:ext cx="907941" cy="5185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406DE78-4B75-45FE-9DAF-D7E8CE041D94}"/>
                </a:ext>
              </a:extLst>
            </xdr:cNvPr>
            <xdr:cNvSpPr txBox="1"/>
          </xdr:nvSpPr>
          <xdr:spPr>
            <a:xfrm>
              <a:off x="2809872" y="10438209"/>
              <a:ext cx="907941" cy="518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800" b="1" i="1">
                        <a:latin typeface="Cambria Math" panose="02040503050406030204" pitchFamily="18" charset="0"/>
                      </a:rPr>
                      <m:t>𝑷</m:t>
                    </m:r>
                    <m:r>
                      <a:rPr lang="es-PE" sz="18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8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𝑰</m:t>
                        </m:r>
                      </m:num>
                      <m:den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𝒕</m:t>
                        </m:r>
                      </m:den>
                    </m:f>
                  </m:oMath>
                </m:oMathPara>
              </a14:m>
              <a:endParaRPr lang="es-PE" sz="1800" b="1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406DE78-4B75-45FE-9DAF-D7E8CE041D94}"/>
                </a:ext>
              </a:extLst>
            </xdr:cNvPr>
            <xdr:cNvSpPr txBox="1"/>
          </xdr:nvSpPr>
          <xdr:spPr>
            <a:xfrm>
              <a:off x="2809872" y="10438209"/>
              <a:ext cx="907941" cy="518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800" b="1" i="0">
                  <a:latin typeface="Cambria Math" panose="02040503050406030204" pitchFamily="18" charset="0"/>
                </a:rPr>
                <a:t>𝑷=𝑰/(𝒊∗𝒕)</a:t>
              </a:r>
              <a:endParaRPr lang="es-PE" sz="1800" b="1"/>
            </a:p>
          </xdr:txBody>
        </xdr:sp>
      </mc:Fallback>
    </mc:AlternateContent>
    <xdr:clientData/>
  </xdr:oneCellAnchor>
  <xdr:oneCellAnchor>
    <xdr:from>
      <xdr:col>3</xdr:col>
      <xdr:colOff>352422</xdr:colOff>
      <xdr:row>59</xdr:row>
      <xdr:rowOff>84534</xdr:rowOff>
    </xdr:from>
    <xdr:ext cx="1073819" cy="6997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4DFF6CDB-7481-44BB-9BD1-AE1EA98CFE72}"/>
                </a:ext>
              </a:extLst>
            </xdr:cNvPr>
            <xdr:cNvSpPr txBox="1"/>
          </xdr:nvSpPr>
          <xdr:spPr>
            <a:xfrm>
              <a:off x="2809872" y="14095809"/>
              <a:ext cx="1073819" cy="699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800" b="1" i="1">
                        <a:latin typeface="Cambria Math" panose="02040503050406030204" pitchFamily="18" charset="0"/>
                      </a:rPr>
                      <m:t>𝒏</m:t>
                    </m:r>
                    <m:r>
                      <a:rPr lang="es-PE" sz="18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8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s-PE" sz="18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8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num>
                          <m:den>
                            <m:r>
                              <a:rPr lang="es-PE" sz="1800" b="1" i="1">
                                <a:latin typeface="Cambria Math" panose="02040503050406030204" pitchFamily="18" charset="0"/>
                              </a:rPr>
                              <m:t>𝑷</m:t>
                            </m:r>
                          </m:den>
                        </m:f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𝒊</m:t>
                        </m:r>
                      </m:den>
                    </m:f>
                  </m:oMath>
                </m:oMathPara>
              </a14:m>
              <a:endParaRPr lang="es-PE" sz="1800" b="1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4DFF6CDB-7481-44BB-9BD1-AE1EA98CFE72}"/>
                </a:ext>
              </a:extLst>
            </xdr:cNvPr>
            <xdr:cNvSpPr txBox="1"/>
          </xdr:nvSpPr>
          <xdr:spPr>
            <a:xfrm>
              <a:off x="2809872" y="14095809"/>
              <a:ext cx="1073819" cy="699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800" b="1" i="0">
                  <a:latin typeface="Cambria Math" panose="02040503050406030204" pitchFamily="18" charset="0"/>
                </a:rPr>
                <a:t>𝒏=(𝑺/𝑷−𝟏)/𝒊</a:t>
              </a:r>
              <a:endParaRPr lang="es-PE" sz="1800" b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7</xdr:row>
      <xdr:rowOff>120252</xdr:rowOff>
    </xdr:from>
    <xdr:ext cx="1347677" cy="5196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78B85C3-BE42-471D-A5C9-0F2D5AF4C1EE}"/>
                </a:ext>
              </a:extLst>
            </xdr:cNvPr>
            <xdr:cNvSpPr txBox="1"/>
          </xdr:nvSpPr>
          <xdr:spPr>
            <a:xfrm>
              <a:off x="2667000" y="3539727"/>
              <a:ext cx="1347677" cy="5196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latin typeface="Cambria Math" panose="02040503050406030204" pitchFamily="18" charset="0"/>
                      </a:rPr>
                      <m:t>𝑽𝑷</m:t>
                    </m:r>
                    <m:r>
                      <a:rPr lang="es-PE" sz="16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6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600" b="1" i="1">
                            <a:latin typeface="Cambria Math" panose="02040503050406030204" pitchFamily="18" charset="0"/>
                          </a:rPr>
                          <m:t>𝑽𝑭</m:t>
                        </m:r>
                      </m:num>
                      <m:den>
                        <m:sSup>
                          <m:sSupPr>
                            <m:ctrlPr>
                              <a:rPr lang="es-PE" sz="16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6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PE" sz="16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s-PE" sz="16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PE" sz="16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s-PE" sz="16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s-PE" sz="1600" b="1" i="1">
                                <a:latin typeface="Cambria Math" panose="02040503050406030204" pitchFamily="18" charset="0"/>
                              </a:rPr>
                              <m:t>𝒏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s-PE" sz="1600" b="1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78B85C3-BE42-471D-A5C9-0F2D5AF4C1EE}"/>
                </a:ext>
              </a:extLst>
            </xdr:cNvPr>
            <xdr:cNvSpPr txBox="1"/>
          </xdr:nvSpPr>
          <xdr:spPr>
            <a:xfrm>
              <a:off x="2667000" y="3539727"/>
              <a:ext cx="1347677" cy="5196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latin typeface="Cambria Math" panose="02040503050406030204" pitchFamily="18" charset="0"/>
                </a:rPr>
                <a:t>𝑽𝑷=𝑽𝑭/〖(𝟏+𝒊)〗^𝒏 </a:t>
              </a:r>
              <a:endParaRPr lang="es-PE" sz="1600" b="1"/>
            </a:p>
          </xdr:txBody>
        </xdr:sp>
      </mc:Fallback>
    </mc:AlternateContent>
    <xdr:clientData/>
  </xdr:oneCellAnchor>
  <xdr:oneCellAnchor>
    <xdr:from>
      <xdr:col>3</xdr:col>
      <xdr:colOff>471488</xdr:colOff>
      <xdr:row>29</xdr:row>
      <xdr:rowOff>108346</xdr:rowOff>
    </xdr:from>
    <xdr:ext cx="2252988" cy="4777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1B50956-DA50-44E3-9479-49A99DF314DA}"/>
                </a:ext>
              </a:extLst>
            </xdr:cNvPr>
            <xdr:cNvSpPr txBox="1"/>
          </xdr:nvSpPr>
          <xdr:spPr>
            <a:xfrm>
              <a:off x="2928938" y="7461646"/>
              <a:ext cx="2252988" cy="477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2000" b="1" i="0">
                        <a:latin typeface="Cambria Math" panose="02040503050406030204" pitchFamily="18" charset="0"/>
                      </a:rPr>
                      <m:t>𝐓𝐄</m:t>
                    </m:r>
                    <m:r>
                      <a:rPr lang="es-PE" sz="2000" b="1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PE" sz="20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PE" sz="2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20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s-PE" sz="20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PE" sz="2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e>
                        </m:d>
                      </m:e>
                      <m:sup>
                        <m:d>
                          <m:dPr>
                            <m:ctrlPr>
                              <a:rPr lang="es-PE" sz="2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PE" sz="2000" b="1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PE" sz="2000" b="1" i="1">
                                    <a:latin typeface="Cambria Math" panose="02040503050406030204" pitchFamily="18" charset="0"/>
                                  </a:rPr>
                                  <m:t>𝒏</m:t>
                                </m:r>
                              </m:num>
                              <m:den>
                                <m:r>
                                  <a:rPr lang="es-PE" sz="2000" b="1" i="1">
                                    <a:latin typeface="Cambria Math" panose="02040503050406030204" pitchFamily="18" charset="0"/>
                                  </a:rPr>
                                  <m:t>𝒑</m:t>
                                </m:r>
                              </m:den>
                            </m:f>
                          </m:e>
                        </m:d>
                      </m:sup>
                    </m:sSup>
                    <m:r>
                      <a:rPr lang="es-PE" sz="20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PE" sz="2000" b="1" i="1">
                        <a:latin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s-PE" sz="2000" b="1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1B50956-DA50-44E3-9479-49A99DF314DA}"/>
                </a:ext>
              </a:extLst>
            </xdr:cNvPr>
            <xdr:cNvSpPr txBox="1"/>
          </xdr:nvSpPr>
          <xdr:spPr>
            <a:xfrm>
              <a:off x="2928938" y="7461646"/>
              <a:ext cx="2252988" cy="477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2000" b="1" i="0">
                  <a:latin typeface="Cambria Math" panose="02040503050406030204" pitchFamily="18" charset="0"/>
                </a:rPr>
                <a:t>𝐓𝐄=(𝟏+𝒊)^((𝒏/𝒑) )−𝟏</a:t>
              </a:r>
              <a:endParaRPr lang="es-PE" sz="2000" b="1"/>
            </a:p>
          </xdr:txBody>
        </xdr:sp>
      </mc:Fallback>
    </mc:AlternateContent>
    <xdr:clientData/>
  </xdr:oneCellAnchor>
  <xdr:oneCellAnchor>
    <xdr:from>
      <xdr:col>3</xdr:col>
      <xdr:colOff>542919</xdr:colOff>
      <xdr:row>50</xdr:row>
      <xdr:rowOff>179782</xdr:rowOff>
    </xdr:from>
    <xdr:ext cx="2071143" cy="2939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AF81F09-7A1B-4791-9DF9-3E4E9D95068A}"/>
                </a:ext>
              </a:extLst>
            </xdr:cNvPr>
            <xdr:cNvSpPr txBox="1"/>
          </xdr:nvSpPr>
          <xdr:spPr>
            <a:xfrm>
              <a:off x="3000369" y="11447857"/>
              <a:ext cx="2071143" cy="2939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800" b="1" i="1">
                        <a:latin typeface="Cambria Math" panose="02040503050406030204" pitchFamily="18" charset="0"/>
                      </a:rPr>
                      <m:t>𝒁</m:t>
                    </m:r>
                    <m:r>
                      <a:rPr lang="es-PE" sz="1800" b="1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PE" sz="1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𝑿</m:t>
                        </m:r>
                      </m:e>
                      <m:sup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s-PE" sz="18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PE" sz="18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s-PE" sz="1800" b="1" i="1">
                        <a:latin typeface="Cambria Math" panose="02040503050406030204" pitchFamily="18" charset="0"/>
                      </a:rPr>
                      <m:t>𝑿𝒀</m:t>
                    </m:r>
                    <m:r>
                      <a:rPr lang="es-PE" sz="1800" b="1" i="1">
                        <a:latin typeface="Cambria Math" panose="02040503050406030204" pitchFamily="18" charset="0"/>
                      </a:rPr>
                      <m:t>+ </m:t>
                    </m:r>
                    <m:sSup>
                      <m:sSupPr>
                        <m:ctrlPr>
                          <a:rPr lang="es-PE" sz="1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𝒀</m:t>
                        </m:r>
                      </m:e>
                      <m:sup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s-PE" sz="1800" b="1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AF81F09-7A1B-4791-9DF9-3E4E9D95068A}"/>
                </a:ext>
              </a:extLst>
            </xdr:cNvPr>
            <xdr:cNvSpPr txBox="1"/>
          </xdr:nvSpPr>
          <xdr:spPr>
            <a:xfrm>
              <a:off x="3000369" y="11447857"/>
              <a:ext cx="2071143" cy="2939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800" b="1" i="0">
                  <a:latin typeface="Cambria Math" panose="02040503050406030204" pitchFamily="18" charset="0"/>
                </a:rPr>
                <a:t>𝒁=𝑿^𝟐+𝟐𝑿𝒀+ 𝒀^𝟐</a:t>
              </a:r>
              <a:endParaRPr lang="es-PE" sz="1800" b="1"/>
            </a:p>
          </xdr:txBody>
        </xdr:sp>
      </mc:Fallback>
    </mc:AlternateContent>
    <xdr:clientData/>
  </xdr:oneCellAnchor>
  <xdr:oneCellAnchor>
    <xdr:from>
      <xdr:col>3</xdr:col>
      <xdr:colOff>233362</xdr:colOff>
      <xdr:row>70</xdr:row>
      <xdr:rowOff>298842</xdr:rowOff>
    </xdr:from>
    <xdr:ext cx="2905667" cy="2939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E2E4403-A9D5-40E1-85E1-8A491B77926A}"/>
                </a:ext>
              </a:extLst>
            </xdr:cNvPr>
            <xdr:cNvSpPr txBox="1"/>
          </xdr:nvSpPr>
          <xdr:spPr>
            <a:xfrm>
              <a:off x="2690812" y="14881617"/>
              <a:ext cx="2905667" cy="2939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800" b="1" i="1">
                        <a:latin typeface="Cambria Math" panose="02040503050406030204" pitchFamily="18" charset="0"/>
                      </a:rPr>
                      <m:t>𝑿</m:t>
                    </m:r>
                    <m:r>
                      <a:rPr lang="es-PE" sz="1800" b="1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PE" sz="1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p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𝟑</m:t>
                        </m:r>
                      </m:sup>
                    </m:sSup>
                    <m:r>
                      <a:rPr lang="es-PE" sz="1800" b="1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s-PE" sz="1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p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s-PE" sz="1800" b="1" i="1">
                        <a:latin typeface="Cambria Math" panose="02040503050406030204" pitchFamily="18" charset="0"/>
                      </a:rPr>
                      <m:t>𝒃</m:t>
                    </m:r>
                    <m:r>
                      <a:rPr lang="es-PE" sz="1800" b="1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s-PE" sz="1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𝒂𝒃</m:t>
                        </m:r>
                      </m:e>
                      <m:sup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s-PE" sz="1800" b="1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s-PE" sz="1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p>
                        <m:r>
                          <a:rPr lang="es-PE" sz="1800" b="1" i="1">
                            <a:latin typeface="Cambria Math" panose="02040503050406030204" pitchFamily="18" charset="0"/>
                          </a:rPr>
                          <m:t>𝟑</m:t>
                        </m:r>
                      </m:sup>
                    </m:sSup>
                  </m:oMath>
                </m:oMathPara>
              </a14:m>
              <a:endParaRPr lang="es-PE" sz="1800" b="1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E2E4403-A9D5-40E1-85E1-8A491B77926A}"/>
                </a:ext>
              </a:extLst>
            </xdr:cNvPr>
            <xdr:cNvSpPr txBox="1"/>
          </xdr:nvSpPr>
          <xdr:spPr>
            <a:xfrm>
              <a:off x="2690812" y="14881617"/>
              <a:ext cx="2905667" cy="2939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800" b="1" i="0">
                  <a:latin typeface="Cambria Math" panose="02040503050406030204" pitchFamily="18" charset="0"/>
                </a:rPr>
                <a:t>𝑿=𝒂^𝟑+〖𝟑𝒂〗^𝟐 𝒃+〖𝟑𝒂𝒃〗^𝟐+𝒃^𝟑</a:t>
              </a:r>
              <a:endParaRPr lang="es-PE" sz="18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8:N17"/>
  <sheetViews>
    <sheetView zoomScaleNormal="100" workbookViewId="0">
      <selection activeCell="C10" sqref="C10:E10"/>
    </sheetView>
  </sheetViews>
  <sheetFormatPr baseColWidth="10" defaultColWidth="11.44140625" defaultRowHeight="13.2"/>
  <cols>
    <col min="1" max="1" width="2" style="5" customWidth="1"/>
    <col min="2" max="2" width="11.44140625" style="5"/>
    <col min="3" max="3" width="8.109375" style="5" customWidth="1"/>
    <col min="4" max="4" width="15.33203125" style="5" customWidth="1"/>
    <col min="5" max="5" width="15.5546875" style="5" customWidth="1"/>
    <col min="6" max="6" width="0.33203125" style="5" customWidth="1"/>
    <col min="7" max="7" width="11.44140625" style="5"/>
    <col min="8" max="8" width="13" style="5" customWidth="1"/>
    <col min="9" max="9" width="14.33203125" style="5" customWidth="1"/>
    <col min="10" max="10" width="0.33203125" style="5" customWidth="1"/>
    <col min="11" max="11" width="11.44140625" style="5"/>
    <col min="12" max="12" width="14.109375" style="5" customWidth="1"/>
    <col min="13" max="13" width="17.33203125" style="5" customWidth="1"/>
    <col min="14" max="16384" width="11.44140625" style="5"/>
  </cols>
  <sheetData>
    <row r="8" spans="2:14" ht="2.1" customHeight="1"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</row>
    <row r="9" spans="2:14" ht="2.1" customHeight="1"/>
    <row r="10" spans="2:14" ht="50.1" customHeight="1">
      <c r="C10" s="225" t="s">
        <v>55</v>
      </c>
      <c r="D10" s="225"/>
      <c r="E10" s="225"/>
      <c r="F10" s="119"/>
      <c r="G10" s="225" t="s">
        <v>180</v>
      </c>
      <c r="H10" s="225"/>
      <c r="I10" s="225"/>
      <c r="J10" s="119"/>
      <c r="K10" s="225" t="s">
        <v>56</v>
      </c>
      <c r="L10" s="225"/>
      <c r="M10" s="225"/>
    </row>
    <row r="11" spans="2:14" ht="2.1" customHeight="1"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</row>
    <row r="12" spans="2:14" ht="50.1" customHeight="1">
      <c r="C12" s="227" t="s">
        <v>57</v>
      </c>
      <c r="D12" s="227"/>
      <c r="E12" s="227"/>
      <c r="F12" s="119"/>
      <c r="G12" s="227" t="s">
        <v>101</v>
      </c>
      <c r="H12" s="227"/>
      <c r="I12" s="227"/>
      <c r="J12" s="119"/>
      <c r="K12" s="225" t="s">
        <v>58</v>
      </c>
      <c r="L12" s="225"/>
      <c r="M12" s="225"/>
    </row>
    <row r="13" spans="2:14" ht="2.1" customHeight="1"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</row>
    <row r="14" spans="2:14" ht="50.1" customHeight="1">
      <c r="C14" s="225" t="s">
        <v>46</v>
      </c>
      <c r="D14" s="225"/>
      <c r="E14" s="225"/>
      <c r="F14" s="119"/>
      <c r="G14" s="226"/>
      <c r="H14" s="226"/>
      <c r="I14" s="226"/>
      <c r="J14" s="119"/>
      <c r="K14" s="226"/>
      <c r="L14" s="226"/>
      <c r="M14" s="226"/>
    </row>
    <row r="15" spans="2:14" ht="2.1" customHeight="1"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2:14" ht="1.8" customHeight="1"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</row>
    <row r="17" ht="22.2" customHeight="1"/>
  </sheetData>
  <sheetProtection selectLockedCells="1"/>
  <mergeCells count="9">
    <mergeCell ref="C14:E14"/>
    <mergeCell ref="G14:I14"/>
    <mergeCell ref="K14:M14"/>
    <mergeCell ref="C10:E10"/>
    <mergeCell ref="G10:I10"/>
    <mergeCell ref="K10:M10"/>
    <mergeCell ref="C12:E12"/>
    <mergeCell ref="G12:I12"/>
    <mergeCell ref="K12:M12"/>
  </mergeCells>
  <hyperlinks>
    <hyperlink ref="C10:E10" location="Suma!A1" display="Suma" xr:uid="{00000000-0004-0000-0000-000000000000}"/>
    <hyperlink ref="G10:I10" location="Multiplicación!A1" display="Multiplicación" xr:uid="{00000000-0004-0000-0000-000001000000}"/>
    <hyperlink ref="K10:M10" location="Resta!A1" display="Resta" xr:uid="{00000000-0004-0000-0000-000002000000}"/>
    <hyperlink ref="C12:E12" location="División!A1" display="División" xr:uid="{00000000-0004-0000-0000-000003000000}"/>
    <hyperlink ref="G12:I12" location="Porcentaje!A1" display="Porcentajes" xr:uid="{00000000-0004-0000-0000-000004000000}"/>
    <hyperlink ref="K12:M12" location="Potencia!A1" display="Potencia" xr:uid="{00000000-0004-0000-0000-000005000000}"/>
    <hyperlink ref="C14:E14" location="Promedio!A1" display="Promedio" xr:uid="{00000000-0004-0000-0000-000006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U266"/>
  <sheetViews>
    <sheetView topLeftCell="C40" zoomScale="130" zoomScaleNormal="130" workbookViewId="0">
      <selection activeCell="J44" sqref="J44"/>
    </sheetView>
  </sheetViews>
  <sheetFormatPr baseColWidth="10" defaultColWidth="25.6640625" defaultRowHeight="21.9" customHeight="1"/>
  <cols>
    <col min="1" max="1" width="2.5546875" style="3" customWidth="1"/>
    <col min="2" max="2" width="18.5546875" style="3" customWidth="1"/>
    <col min="3" max="3" width="15.6640625" style="3" customWidth="1"/>
    <col min="4" max="4" width="14.88671875" style="3" customWidth="1"/>
    <col min="5" max="5" width="17.5546875" style="3" customWidth="1"/>
    <col min="6" max="6" width="18.44140625" style="3" customWidth="1"/>
    <col min="7" max="7" width="18.33203125" style="3" customWidth="1"/>
    <col min="8" max="8" width="19.5546875" style="3" customWidth="1"/>
    <col min="9" max="9" width="17.5546875" style="3" customWidth="1"/>
    <col min="10" max="10" width="19.109375" style="3" customWidth="1"/>
    <col min="11" max="11" width="18.109375" style="3" customWidth="1"/>
    <col min="12" max="12" width="16.44140625" style="3" customWidth="1"/>
    <col min="13" max="13" width="17.44140625" style="3" customWidth="1"/>
    <col min="14" max="16384" width="25.6640625" style="3"/>
  </cols>
  <sheetData>
    <row r="1" spans="2:21" s="29" customFormat="1" ht="30" customHeight="1">
      <c r="D1" s="30"/>
      <c r="F1" s="123" t="s">
        <v>196</v>
      </c>
      <c r="I1" s="31"/>
      <c r="J1" s="31"/>
      <c r="K1" s="31"/>
      <c r="L1" s="31"/>
      <c r="M1" s="32"/>
      <c r="N1" s="32"/>
      <c r="O1" s="32"/>
      <c r="P1" s="32"/>
      <c r="Q1" s="32"/>
      <c r="R1" s="32"/>
      <c r="S1" s="32"/>
      <c r="T1" s="32"/>
      <c r="U1" s="32"/>
    </row>
    <row r="2" spans="2:21" s="1" customFormat="1" ht="15" customHeight="1">
      <c r="B2" s="2"/>
    </row>
    <row r="3" spans="2:21" s="1" customFormat="1" ht="30" customHeight="1">
      <c r="B3" s="45" t="s">
        <v>181</v>
      </c>
      <c r="C3" s="231" t="s">
        <v>182</v>
      </c>
      <c r="D3" s="232"/>
      <c r="E3" s="232"/>
      <c r="F3" s="232"/>
      <c r="G3" s="233"/>
    </row>
    <row r="4" spans="2:21" s="1" customFormat="1" ht="30" customHeight="1">
      <c r="B4" s="2"/>
    </row>
    <row r="5" spans="2:21" s="1" customFormat="1" ht="30" customHeight="1">
      <c r="C5" s="35" t="s">
        <v>13</v>
      </c>
      <c r="D5" s="36" t="s">
        <v>183</v>
      </c>
      <c r="E5" s="7"/>
      <c r="F5" s="8"/>
      <c r="G5" s="9"/>
      <c r="H5" s="9"/>
      <c r="I5" s="9"/>
    </row>
    <row r="6" spans="2:21" s="1" customFormat="1" ht="5.0999999999999996" customHeight="1" thickBot="1">
      <c r="C6" s="9"/>
      <c r="D6" s="9"/>
      <c r="E6" s="9"/>
      <c r="F6" s="9"/>
      <c r="G6" s="9"/>
      <c r="H6" s="9"/>
      <c r="I6" s="9"/>
      <c r="N6" s="2"/>
    </row>
    <row r="7" spans="2:21" s="1" customFormat="1" ht="30" customHeight="1">
      <c r="C7" s="9"/>
      <c r="D7" s="104" t="s">
        <v>14</v>
      </c>
      <c r="E7" s="105" t="s">
        <v>15</v>
      </c>
      <c r="F7" s="9"/>
      <c r="G7" s="9"/>
      <c r="H7" s="9"/>
      <c r="I7" s="9"/>
      <c r="O7" s="4"/>
    </row>
    <row r="8" spans="2:21" s="1" customFormat="1" ht="30" customHeight="1">
      <c r="C8" s="11"/>
      <c r="D8" s="33" t="s">
        <v>0</v>
      </c>
      <c r="E8" s="34">
        <v>10</v>
      </c>
      <c r="F8" s="11"/>
      <c r="G8" s="11"/>
      <c r="H8" s="11"/>
      <c r="I8" s="11"/>
    </row>
    <row r="9" spans="2:21" s="1" customFormat="1" ht="30" customHeight="1">
      <c r="C9" s="11"/>
      <c r="D9" s="33" t="s">
        <v>1</v>
      </c>
      <c r="E9" s="34">
        <v>20</v>
      </c>
      <c r="F9" s="11"/>
      <c r="G9" s="11"/>
      <c r="H9" s="11"/>
      <c r="I9" s="11"/>
    </row>
    <row r="10" spans="2:21" s="1" customFormat="1" ht="30" customHeight="1">
      <c r="C10" s="11"/>
      <c r="D10" s="33" t="s">
        <v>2</v>
      </c>
      <c r="E10" s="34">
        <v>30</v>
      </c>
      <c r="F10" s="11"/>
      <c r="G10" s="11"/>
      <c r="H10" s="11"/>
      <c r="I10" s="11"/>
    </row>
    <row r="11" spans="2:21" s="1" customFormat="1" ht="30" customHeight="1" thickBot="1">
      <c r="C11" s="11"/>
      <c r="D11" s="46" t="s">
        <v>3</v>
      </c>
      <c r="E11" s="47">
        <v>40</v>
      </c>
      <c r="F11" s="11"/>
      <c r="G11" s="11"/>
      <c r="H11" s="11"/>
      <c r="I11" s="11"/>
    </row>
    <row r="12" spans="2:21" s="1" customFormat="1" ht="30" customHeight="1" thickBot="1">
      <c r="C12" s="11"/>
      <c r="D12" s="48" t="s">
        <v>16</v>
      </c>
      <c r="E12" s="124">
        <f>E8+E9+E10+E11</f>
        <v>100</v>
      </c>
      <c r="F12" s="12"/>
      <c r="G12" s="11"/>
      <c r="H12" s="11"/>
      <c r="I12" s="11"/>
    </row>
    <row r="13" spans="2:21" s="1" customFormat="1" ht="30" customHeight="1">
      <c r="C13" s="11"/>
      <c r="D13" s="11"/>
      <c r="E13" s="11"/>
      <c r="F13" s="11"/>
      <c r="G13" s="11"/>
      <c r="H13" s="11"/>
      <c r="I13" s="11"/>
    </row>
    <row r="14" spans="2:21" s="1" customFormat="1" ht="30" customHeight="1">
      <c r="C14" s="35" t="s">
        <v>17</v>
      </c>
      <c r="D14" s="36" t="s">
        <v>50</v>
      </c>
      <c r="E14" s="7"/>
      <c r="F14" s="8"/>
    </row>
    <row r="15" spans="2:21" s="1" customFormat="1" ht="5.0999999999999996" customHeight="1" thickBot="1"/>
    <row r="16" spans="2:21" s="1" customFormat="1" ht="37.5" customHeight="1">
      <c r="D16" s="104" t="s">
        <v>18</v>
      </c>
      <c r="E16" s="106" t="s">
        <v>62</v>
      </c>
      <c r="F16" s="106" t="s">
        <v>63</v>
      </c>
      <c r="G16" s="107" t="s">
        <v>49</v>
      </c>
    </row>
    <row r="17" spans="1:13" s="1" customFormat="1" ht="30" customHeight="1">
      <c r="D17" s="37" t="s">
        <v>19</v>
      </c>
      <c r="E17" s="38">
        <v>10</v>
      </c>
      <c r="F17" s="38">
        <v>5</v>
      </c>
      <c r="G17" s="39">
        <f t="shared" ref="G17:G20" si="0">SUM(E17:F17)</f>
        <v>15</v>
      </c>
    </row>
    <row r="18" spans="1:13" s="1" customFormat="1" ht="30" customHeight="1">
      <c r="D18" s="37" t="s">
        <v>20</v>
      </c>
      <c r="E18" s="38">
        <v>20</v>
      </c>
      <c r="F18" s="38">
        <v>15</v>
      </c>
      <c r="G18" s="39">
        <f t="shared" si="0"/>
        <v>35</v>
      </c>
    </row>
    <row r="19" spans="1:13" s="1" customFormat="1" ht="30" customHeight="1">
      <c r="D19" s="37" t="s">
        <v>21</v>
      </c>
      <c r="E19" s="38">
        <v>30</v>
      </c>
      <c r="F19" s="38">
        <v>25</v>
      </c>
      <c r="G19" s="39">
        <f t="shared" si="0"/>
        <v>55</v>
      </c>
    </row>
    <row r="20" spans="1:13" s="1" customFormat="1" ht="30" customHeight="1" thickBot="1">
      <c r="D20" s="40" t="s">
        <v>22</v>
      </c>
      <c r="E20" s="41">
        <v>40</v>
      </c>
      <c r="F20" s="41">
        <v>35</v>
      </c>
      <c r="G20" s="39">
        <f t="shared" si="0"/>
        <v>75</v>
      </c>
    </row>
    <row r="21" spans="1:13" s="1" customFormat="1" ht="30" customHeight="1" thickBot="1">
      <c r="D21" s="42" t="s">
        <v>23</v>
      </c>
      <c r="E21" s="43">
        <f t="shared" ref="E21:G21" si="1">SUM(E17:E20)</f>
        <v>100</v>
      </c>
      <c r="F21" s="43">
        <f t="shared" si="1"/>
        <v>80</v>
      </c>
      <c r="G21" s="44">
        <f t="shared" si="1"/>
        <v>180</v>
      </c>
    </row>
    <row r="22" spans="1:13" s="1" customFormat="1" ht="30" customHeight="1">
      <c r="C22" s="90"/>
    </row>
    <row r="23" spans="1:13" s="1" customFormat="1" ht="30" customHeight="1">
      <c r="C23" s="35" t="s">
        <v>24</v>
      </c>
      <c r="D23" s="36" t="s">
        <v>184</v>
      </c>
      <c r="E23" s="7"/>
      <c r="F23" s="7"/>
      <c r="G23" s="10"/>
    </row>
    <row r="24" spans="1:13" s="1" customFormat="1" ht="5.0999999999999996" customHeight="1" thickBot="1"/>
    <row r="25" spans="1:13" s="1" customFormat="1" ht="30" customHeight="1">
      <c r="D25" s="234" t="s">
        <v>25</v>
      </c>
      <c r="E25" s="236" t="s">
        <v>26</v>
      </c>
      <c r="F25" s="236"/>
      <c r="G25" s="237"/>
    </row>
    <row r="26" spans="1:13" s="1" customFormat="1" ht="30" customHeight="1">
      <c r="D26" s="235"/>
      <c r="E26" s="238" t="s">
        <v>27</v>
      </c>
      <c r="F26" s="238"/>
      <c r="G26" s="239"/>
    </row>
    <row r="27" spans="1:13" ht="30" customHeight="1">
      <c r="A27" s="1"/>
      <c r="B27" s="1"/>
      <c r="C27" s="1"/>
      <c r="D27" s="235"/>
      <c r="E27" s="49" t="s">
        <v>28</v>
      </c>
      <c r="F27" s="49" t="s">
        <v>29</v>
      </c>
      <c r="G27" s="50" t="s">
        <v>30</v>
      </c>
      <c r="H27" s="1"/>
      <c r="I27" s="1"/>
      <c r="J27" s="1"/>
      <c r="K27" s="1"/>
      <c r="L27" s="1"/>
      <c r="M27" s="1"/>
    </row>
    <row r="28" spans="1:13" ht="30" customHeight="1">
      <c r="A28" s="1"/>
      <c r="B28" s="1"/>
      <c r="C28" s="1"/>
      <c r="D28" s="51" t="s">
        <v>31</v>
      </c>
      <c r="E28" s="52">
        <v>5</v>
      </c>
      <c r="F28" s="52">
        <v>2</v>
      </c>
      <c r="G28" s="53">
        <v>10</v>
      </c>
      <c r="H28" s="1"/>
      <c r="I28" s="1"/>
      <c r="J28" s="1"/>
      <c r="K28" s="1"/>
      <c r="L28" s="1"/>
      <c r="M28" s="1"/>
    </row>
    <row r="29" spans="1:13" ht="30" customHeight="1">
      <c r="A29" s="1"/>
      <c r="B29" s="1"/>
      <c r="C29" s="1"/>
      <c r="D29" s="51" t="s">
        <v>32</v>
      </c>
      <c r="E29" s="52">
        <v>10</v>
      </c>
      <c r="F29" s="52">
        <v>4</v>
      </c>
      <c r="G29" s="53">
        <v>20</v>
      </c>
      <c r="H29" s="1"/>
      <c r="I29" s="1"/>
      <c r="J29" s="1"/>
      <c r="K29" s="1"/>
      <c r="L29" s="1"/>
      <c r="M29" s="1"/>
    </row>
    <row r="30" spans="1:13" ht="30" customHeight="1">
      <c r="A30" s="1"/>
      <c r="B30" s="1"/>
      <c r="C30" s="1"/>
      <c r="D30" s="51" t="s">
        <v>33</v>
      </c>
      <c r="E30" s="52">
        <v>15</v>
      </c>
      <c r="F30" s="52">
        <v>6</v>
      </c>
      <c r="G30" s="53">
        <v>30</v>
      </c>
      <c r="H30" s="1"/>
      <c r="I30" s="1"/>
      <c r="J30" s="1"/>
      <c r="K30" s="1"/>
      <c r="L30" s="1"/>
      <c r="M30" s="1"/>
    </row>
    <row r="31" spans="1:13" ht="30" customHeight="1" thickBot="1">
      <c r="A31" s="1"/>
      <c r="B31" s="1"/>
      <c r="C31" s="1"/>
      <c r="D31" s="54" t="s">
        <v>34</v>
      </c>
      <c r="E31" s="55">
        <v>20</v>
      </c>
      <c r="F31" s="55">
        <v>8</v>
      </c>
      <c r="G31" s="56">
        <v>40</v>
      </c>
      <c r="H31" s="1"/>
      <c r="I31" s="1"/>
      <c r="J31" s="1"/>
      <c r="K31" s="1"/>
      <c r="L31" s="1"/>
      <c r="M31" s="1"/>
    </row>
    <row r="32" spans="1:13" ht="11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30" customHeight="1">
      <c r="A33" s="1"/>
      <c r="B33" s="1"/>
      <c r="C33" s="1"/>
      <c r="D33" s="240" t="s">
        <v>185</v>
      </c>
      <c r="E33" s="241"/>
      <c r="F33" s="241"/>
      <c r="G33" s="242"/>
      <c r="H33" s="1"/>
      <c r="I33" s="1"/>
      <c r="J33" s="1"/>
      <c r="K33" s="1"/>
      <c r="L33" s="1"/>
      <c r="M33" s="1"/>
    </row>
    <row r="34" spans="1:13" ht="11.25" customHeight="1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30" customHeight="1">
      <c r="A35" s="1"/>
      <c r="B35" s="1"/>
      <c r="C35" s="1"/>
      <c r="D35" s="58" t="s">
        <v>35</v>
      </c>
      <c r="E35" s="59"/>
      <c r="F35" s="59"/>
      <c r="G35" s="125">
        <f>SUM(F28:F31)</f>
        <v>20</v>
      </c>
      <c r="H35" s="1"/>
      <c r="I35" s="1"/>
      <c r="J35" s="1"/>
      <c r="K35" s="1"/>
      <c r="L35" s="1"/>
      <c r="M35" s="1"/>
    </row>
    <row r="36" spans="1:13" ht="30" customHeight="1">
      <c r="A36" s="1"/>
      <c r="B36" s="1"/>
      <c r="C36" s="1"/>
      <c r="D36" s="60" t="s">
        <v>36</v>
      </c>
      <c r="E36" s="57"/>
      <c r="F36" s="57"/>
      <c r="G36" s="126">
        <f>SUM(E28:G28)</f>
        <v>17</v>
      </c>
      <c r="H36" s="1"/>
      <c r="I36" s="1"/>
      <c r="J36" s="1"/>
      <c r="K36" s="1"/>
      <c r="L36" s="1"/>
      <c r="M36" s="1"/>
    </row>
    <row r="37" spans="1:13" ht="30" customHeight="1">
      <c r="A37" s="1"/>
      <c r="B37" s="1"/>
      <c r="C37" s="1"/>
      <c r="D37" s="60" t="s">
        <v>37</v>
      </c>
      <c r="E37" s="57"/>
      <c r="F37" s="57"/>
      <c r="G37" s="126">
        <f>SUM(E30:G30,E31:G31)</f>
        <v>119</v>
      </c>
      <c r="H37" s="1"/>
      <c r="I37" s="1"/>
      <c r="J37" s="1"/>
      <c r="K37" s="1"/>
      <c r="L37" s="1"/>
      <c r="M37" s="1"/>
    </row>
    <row r="38" spans="1:13" ht="30" customHeight="1">
      <c r="A38" s="1"/>
      <c r="B38" s="1"/>
      <c r="C38" s="1"/>
      <c r="D38" s="60" t="s">
        <v>38</v>
      </c>
      <c r="E38" s="57"/>
      <c r="F38" s="57"/>
      <c r="G38" s="126">
        <f>SUM(E28:F31)</f>
        <v>70</v>
      </c>
      <c r="H38" s="1"/>
      <c r="I38" s="1"/>
      <c r="J38" s="1"/>
      <c r="K38" s="1"/>
      <c r="L38" s="1"/>
      <c r="M38" s="1"/>
    </row>
    <row r="39" spans="1:13" ht="30" customHeight="1" thickBot="1">
      <c r="A39" s="1"/>
      <c r="B39" s="1"/>
      <c r="C39" s="1"/>
      <c r="D39" s="61" t="s">
        <v>39</v>
      </c>
      <c r="E39" s="62"/>
      <c r="F39" s="62"/>
      <c r="G39" s="127">
        <f>SUM(E28:E31,G28:G31)</f>
        <v>150</v>
      </c>
      <c r="H39" s="1"/>
      <c r="I39" s="1"/>
      <c r="J39" s="1"/>
      <c r="K39" s="1"/>
      <c r="L39" s="1"/>
      <c r="M39" s="1"/>
    </row>
    <row r="40" spans="1:13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30" customHeight="1">
      <c r="A41" s="1"/>
      <c r="B41" s="1"/>
      <c r="C41" s="35" t="s">
        <v>40</v>
      </c>
      <c r="D41" s="36" t="s">
        <v>184</v>
      </c>
      <c r="E41" s="7"/>
      <c r="F41" s="7"/>
      <c r="G41" s="10"/>
      <c r="H41" s="1"/>
      <c r="I41" s="1"/>
      <c r="J41" s="1"/>
      <c r="K41" s="1"/>
      <c r="L41" s="1"/>
      <c r="M41" s="1"/>
    </row>
    <row r="42" spans="1:13" ht="30" customHeight="1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30" customHeight="1">
      <c r="A43" s="1"/>
      <c r="B43" s="1"/>
      <c r="C43" s="1"/>
      <c r="D43" s="63" t="s">
        <v>41</v>
      </c>
      <c r="E43" s="64" t="s">
        <v>42</v>
      </c>
      <c r="F43" s="64" t="s">
        <v>43</v>
      </c>
      <c r="G43" s="64" t="s">
        <v>44</v>
      </c>
      <c r="H43" s="64" t="s">
        <v>45</v>
      </c>
      <c r="I43" s="65" t="s">
        <v>46</v>
      </c>
      <c r="J43" s="1"/>
      <c r="K43" s="1"/>
      <c r="L43" s="1"/>
      <c r="M43" s="1"/>
    </row>
    <row r="44" spans="1:13" ht="30" customHeight="1">
      <c r="A44" s="1"/>
      <c r="B44" s="1"/>
      <c r="C44" s="1"/>
      <c r="D44" s="66">
        <v>1</v>
      </c>
      <c r="E44" s="67" t="s">
        <v>51</v>
      </c>
      <c r="F44" s="67">
        <v>18</v>
      </c>
      <c r="G44" s="67">
        <v>10</v>
      </c>
      <c r="H44" s="67">
        <v>14</v>
      </c>
      <c r="I44" s="68">
        <f>AVERAGE(F44:H44)</f>
        <v>14</v>
      </c>
      <c r="J44" s="1"/>
      <c r="K44" s="1"/>
      <c r="L44" s="1"/>
      <c r="M44" s="1"/>
    </row>
    <row r="45" spans="1:13" ht="30" customHeight="1">
      <c r="A45" s="1"/>
      <c r="B45" s="1"/>
      <c r="C45" s="1"/>
      <c r="D45" s="66">
        <v>2</v>
      </c>
      <c r="E45" s="67" t="s">
        <v>52</v>
      </c>
      <c r="F45" s="67">
        <v>2</v>
      </c>
      <c r="G45" s="67">
        <v>11</v>
      </c>
      <c r="H45" s="67">
        <v>12</v>
      </c>
      <c r="I45" s="68">
        <f t="shared" ref="I45:I48" si="2">AVERAGE(F45:H45)</f>
        <v>8.3333333333333339</v>
      </c>
      <c r="J45" s="1"/>
      <c r="K45" s="1"/>
      <c r="L45" s="1"/>
      <c r="M45" s="1"/>
    </row>
    <row r="46" spans="1:13" ht="30" customHeight="1">
      <c r="A46" s="1"/>
      <c r="B46" s="1"/>
      <c r="C46" s="1"/>
      <c r="D46" s="66">
        <v>3</v>
      </c>
      <c r="E46" s="67" t="s">
        <v>47</v>
      </c>
      <c r="F46" s="67">
        <v>16</v>
      </c>
      <c r="G46" s="67">
        <v>12</v>
      </c>
      <c r="H46" s="67">
        <v>16</v>
      </c>
      <c r="I46" s="68">
        <f t="shared" si="2"/>
        <v>14.666666666666666</v>
      </c>
      <c r="J46" s="1"/>
      <c r="K46" s="1"/>
      <c r="L46" s="1"/>
      <c r="M46" s="1"/>
    </row>
    <row r="47" spans="1:13" ht="30" customHeight="1">
      <c r="A47" s="1"/>
      <c r="B47" s="1"/>
      <c r="C47" s="1"/>
      <c r="D47" s="66">
        <v>4</v>
      </c>
      <c r="E47" s="67" t="s">
        <v>53</v>
      </c>
      <c r="F47" s="67">
        <v>5</v>
      </c>
      <c r="G47" s="67">
        <v>5</v>
      </c>
      <c r="H47" s="67">
        <v>18</v>
      </c>
      <c r="I47" s="68">
        <f t="shared" si="2"/>
        <v>9.3333333333333339</v>
      </c>
      <c r="J47" s="1"/>
      <c r="K47" s="1"/>
      <c r="L47" s="1"/>
      <c r="M47" s="1"/>
    </row>
    <row r="48" spans="1:13" ht="30" customHeight="1" thickBot="1">
      <c r="A48" s="1"/>
      <c r="B48" s="1"/>
      <c r="C48" s="1"/>
      <c r="D48" s="69">
        <v>5</v>
      </c>
      <c r="E48" s="70" t="s">
        <v>54</v>
      </c>
      <c r="F48" s="70">
        <v>14</v>
      </c>
      <c r="G48" s="70">
        <v>14</v>
      </c>
      <c r="H48" s="70">
        <v>13</v>
      </c>
      <c r="I48" s="71">
        <f t="shared" si="2"/>
        <v>13.666666666666666</v>
      </c>
      <c r="J48" s="1"/>
      <c r="K48" s="1"/>
      <c r="L48" s="1"/>
      <c r="M48" s="1"/>
    </row>
    <row r="49" spans="1:13" ht="9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30" customHeight="1">
      <c r="A50" s="1"/>
      <c r="B50" s="1"/>
      <c r="C50" s="1"/>
      <c r="D50" s="228" t="s">
        <v>48</v>
      </c>
      <c r="E50" s="229"/>
      <c r="F50" s="229"/>
      <c r="G50" s="230"/>
      <c r="H50" s="1"/>
      <c r="I50" s="1"/>
      <c r="J50" s="1"/>
      <c r="K50" s="1"/>
      <c r="L50" s="1"/>
      <c r="M50" s="1"/>
    </row>
    <row r="51" spans="1:13" ht="11.25" customHeight="1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30" customHeight="1">
      <c r="A52" s="1"/>
      <c r="B52" s="1"/>
      <c r="C52" s="1"/>
      <c r="D52" s="72" t="s">
        <v>186</v>
      </c>
      <c r="E52" s="73"/>
      <c r="F52" s="81"/>
      <c r="G52" s="82"/>
      <c r="H52" s="85">
        <f>SUM(F44:H45)</f>
        <v>67</v>
      </c>
      <c r="I52" s="1"/>
      <c r="J52" s="1"/>
      <c r="K52" s="1"/>
      <c r="L52" s="1"/>
      <c r="M52" s="1"/>
    </row>
    <row r="53" spans="1:13" ht="30" customHeight="1">
      <c r="A53" s="1"/>
      <c r="B53" s="1"/>
      <c r="C53" s="1"/>
      <c r="D53" s="74" t="s">
        <v>187</v>
      </c>
      <c r="E53" s="78"/>
      <c r="F53" s="79"/>
      <c r="G53" s="80"/>
      <c r="H53" s="86">
        <f>SUM(F44:F48)</f>
        <v>55</v>
      </c>
      <c r="I53" s="1"/>
      <c r="J53" s="1"/>
      <c r="K53" s="1"/>
      <c r="L53" s="1"/>
      <c r="M53" s="1"/>
    </row>
    <row r="54" spans="1:13" ht="30" customHeight="1">
      <c r="A54" s="1"/>
      <c r="B54" s="1"/>
      <c r="C54" s="1"/>
      <c r="D54" s="74" t="s">
        <v>188</v>
      </c>
      <c r="E54" s="75"/>
      <c r="F54" s="78"/>
      <c r="G54" s="80"/>
      <c r="H54" s="86">
        <f>SUM(G46,G47,G48)</f>
        <v>31</v>
      </c>
      <c r="I54" s="1"/>
      <c r="J54" s="1"/>
      <c r="K54" s="1"/>
      <c r="L54" s="1"/>
      <c r="M54" s="1"/>
    </row>
    <row r="55" spans="1:13" ht="30" customHeight="1">
      <c r="A55" s="1"/>
      <c r="B55" s="1"/>
      <c r="C55" s="1"/>
      <c r="D55" s="74" t="s">
        <v>189</v>
      </c>
      <c r="E55" s="78"/>
      <c r="F55" s="79"/>
      <c r="G55" s="80"/>
      <c r="H55" s="86">
        <f>SUM(G44:G48)</f>
        <v>52</v>
      </c>
      <c r="I55" s="1"/>
      <c r="J55" s="1"/>
      <c r="K55" s="1"/>
      <c r="L55" s="1"/>
      <c r="M55" s="1"/>
    </row>
    <row r="56" spans="1:13" ht="30" customHeight="1" thickBot="1">
      <c r="A56" s="1"/>
      <c r="B56" s="1"/>
      <c r="C56" s="1"/>
      <c r="D56" s="76" t="s">
        <v>190</v>
      </c>
      <c r="E56" s="77"/>
      <c r="F56" s="83"/>
      <c r="G56" s="84"/>
      <c r="H56" s="87">
        <f>SUM(I44,I46,I48)</f>
        <v>42.333333333333329</v>
      </c>
      <c r="I56" s="1"/>
      <c r="J56" s="1"/>
      <c r="K56" s="1"/>
      <c r="L56" s="1"/>
      <c r="M56" s="1"/>
    </row>
    <row r="57" spans="1:13" ht="3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3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3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3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3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3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3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3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3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30" customHeight="1"/>
    <row r="67" spans="1:13" ht="30" customHeight="1"/>
    <row r="68" spans="1:13" ht="30" customHeight="1"/>
    <row r="69" spans="1:13" ht="30" customHeight="1"/>
    <row r="70" spans="1:13" ht="30" customHeight="1"/>
    <row r="71" spans="1:13" ht="30" customHeight="1"/>
    <row r="72" spans="1:13" ht="30" customHeight="1"/>
    <row r="73" spans="1:13" ht="30" customHeight="1"/>
    <row r="74" spans="1:13" ht="30" customHeight="1"/>
    <row r="75" spans="1:13" ht="30" customHeight="1"/>
    <row r="76" spans="1:13" ht="30" customHeight="1"/>
    <row r="77" spans="1:13" ht="30" customHeight="1"/>
    <row r="78" spans="1:13" ht="30" customHeight="1"/>
    <row r="79" spans="1:13" ht="30" customHeight="1"/>
    <row r="80" spans="1:13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</sheetData>
  <sheetProtection selectLockedCells="1"/>
  <mergeCells count="6">
    <mergeCell ref="D50:G50"/>
    <mergeCell ref="C3:G3"/>
    <mergeCell ref="D25:D27"/>
    <mergeCell ref="E25:G25"/>
    <mergeCell ref="E26:G26"/>
    <mergeCell ref="D33:G33"/>
  </mergeCells>
  <printOptions headings="1"/>
  <pageMargins left="0.39370078740157483" right="0.39370078740157483" top="0.39370078740157483" bottom="0.39370078740157483" header="0" footer="0"/>
  <pageSetup paperSize="9" orientation="landscape" r:id="rId1"/>
  <headerFooter alignWithMargins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7EBA138-7D3B-4DDB-B484-BC95EFAD1F95}">
            <x14:iconSet iconSet="3Symbols2" custom="1">
              <x14:cfvo type="percent">
                <xm:f>0</xm:f>
              </x14:cfvo>
              <x14:cfvo type="num">
                <xm:f>12</xm:f>
              </x14:cfvo>
              <x14:cfvo type="num">
                <xm:f>12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I44:I48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U265"/>
  <sheetViews>
    <sheetView zoomScale="130" zoomScaleNormal="130" workbookViewId="0">
      <selection activeCell="H41" sqref="H41"/>
    </sheetView>
  </sheetViews>
  <sheetFormatPr baseColWidth="10" defaultColWidth="25.6640625" defaultRowHeight="21.9" customHeight="1"/>
  <cols>
    <col min="1" max="1" width="2.5546875" style="3" customWidth="1"/>
    <col min="2" max="2" width="18.5546875" style="3" customWidth="1"/>
    <col min="3" max="3" width="15.6640625" style="3" customWidth="1"/>
    <col min="4" max="4" width="26.33203125" style="3" customWidth="1"/>
    <col min="5" max="5" width="17.5546875" style="3" customWidth="1"/>
    <col min="6" max="6" width="18.44140625" style="3" customWidth="1"/>
    <col min="7" max="7" width="18.33203125" style="3" customWidth="1"/>
    <col min="8" max="8" width="23.33203125" style="3" customWidth="1"/>
    <col min="9" max="9" width="17.5546875" style="3" customWidth="1"/>
    <col min="10" max="10" width="19.109375" style="3" customWidth="1"/>
    <col min="11" max="11" width="18.109375" style="3" customWidth="1"/>
    <col min="12" max="12" width="16.44140625" style="3" customWidth="1"/>
    <col min="13" max="13" width="17.44140625" style="3" customWidth="1"/>
    <col min="14" max="16384" width="25.6640625" style="3"/>
  </cols>
  <sheetData>
    <row r="1" spans="2:21" s="88" customFormat="1" ht="30" customHeight="1">
      <c r="D1" s="89"/>
      <c r="F1" s="123" t="s">
        <v>180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2:21" s="1" customFormat="1" ht="15" customHeight="1">
      <c r="B2" s="2"/>
    </row>
    <row r="3" spans="2:21" s="1" customFormat="1" ht="30" customHeight="1">
      <c r="B3" s="45" t="s">
        <v>181</v>
      </c>
      <c r="C3" s="231" t="s">
        <v>193</v>
      </c>
      <c r="D3" s="232"/>
      <c r="E3" s="232"/>
      <c r="F3" s="232"/>
      <c r="G3" s="233"/>
    </row>
    <row r="4" spans="2:21" s="1" customFormat="1" ht="14.25" customHeight="1">
      <c r="B4" s="2"/>
    </row>
    <row r="5" spans="2:21" s="1" customFormat="1" ht="30" customHeight="1">
      <c r="C5" s="35" t="s">
        <v>13</v>
      </c>
      <c r="D5" s="36" t="s">
        <v>194</v>
      </c>
      <c r="E5" s="7"/>
      <c r="F5" s="8"/>
      <c r="G5" s="9"/>
      <c r="H5" s="9"/>
      <c r="I5" s="9"/>
    </row>
    <row r="6" spans="2:21" s="1" customFormat="1" ht="5.0999999999999996" customHeight="1" thickBot="1">
      <c r="C6" s="9"/>
      <c r="D6" s="9"/>
      <c r="E6" s="9"/>
      <c r="F6" s="9"/>
      <c r="G6" s="9"/>
      <c r="H6" s="9"/>
      <c r="I6" s="9"/>
      <c r="N6" s="2"/>
    </row>
    <row r="7" spans="2:21" s="1" customFormat="1" ht="30" customHeight="1">
      <c r="C7" s="9"/>
      <c r="D7" s="104" t="s">
        <v>14</v>
      </c>
      <c r="E7" s="108" t="s">
        <v>59</v>
      </c>
      <c r="F7" s="108" t="s">
        <v>61</v>
      </c>
      <c r="G7" s="105" t="s">
        <v>60</v>
      </c>
      <c r="H7" s="9"/>
      <c r="I7" s="9"/>
      <c r="O7" s="4"/>
    </row>
    <row r="8" spans="2:21" s="1" customFormat="1" ht="30" customHeight="1" thickBot="1">
      <c r="C8" s="11"/>
      <c r="D8" s="33" t="s">
        <v>0</v>
      </c>
      <c r="E8" s="91">
        <v>10</v>
      </c>
      <c r="F8" s="92">
        <v>10</v>
      </c>
      <c r="G8" s="128">
        <f>PRODUCT(E8:F8)</f>
        <v>100</v>
      </c>
      <c r="H8" s="94" t="s">
        <v>213</v>
      </c>
      <c r="I8" s="11"/>
    </row>
    <row r="9" spans="2:21" s="1" customFormat="1" ht="30" customHeight="1" thickBot="1">
      <c r="C9" s="11"/>
      <c r="D9" s="33" t="s">
        <v>1</v>
      </c>
      <c r="E9" s="91">
        <v>20</v>
      </c>
      <c r="F9" s="92">
        <v>20</v>
      </c>
      <c r="G9" s="128">
        <f t="shared" ref="G9:G11" si="0">PRODUCT(E9:F9)</f>
        <v>400</v>
      </c>
      <c r="H9" s="94" t="s">
        <v>213</v>
      </c>
      <c r="I9" s="11"/>
    </row>
    <row r="10" spans="2:21" s="1" customFormat="1" ht="30" customHeight="1" thickBot="1">
      <c r="C10" s="11"/>
      <c r="D10" s="33" t="s">
        <v>2</v>
      </c>
      <c r="E10" s="91">
        <v>30</v>
      </c>
      <c r="F10" s="92">
        <v>30</v>
      </c>
      <c r="G10" s="128">
        <f t="shared" si="0"/>
        <v>900</v>
      </c>
      <c r="H10" s="94" t="s">
        <v>213</v>
      </c>
      <c r="I10" s="11"/>
    </row>
    <row r="11" spans="2:21" s="1" customFormat="1" ht="30" customHeight="1" thickBot="1">
      <c r="C11" s="11"/>
      <c r="D11" s="33" t="s">
        <v>3</v>
      </c>
      <c r="E11" s="91">
        <v>40</v>
      </c>
      <c r="F11" s="92">
        <v>40</v>
      </c>
      <c r="G11" s="128">
        <f t="shared" si="0"/>
        <v>1600</v>
      </c>
      <c r="H11" s="94" t="s">
        <v>213</v>
      </c>
      <c r="I11" s="11"/>
    </row>
    <row r="12" spans="2:21" s="1" customFormat="1" ht="30" customHeight="1" thickBot="1">
      <c r="C12" s="11"/>
      <c r="D12" s="97" t="s">
        <v>4</v>
      </c>
      <c r="E12" s="94">
        <f t="shared" ref="E12:G12" si="1">SUM(E8:E11)</f>
        <v>100</v>
      </c>
      <c r="F12" s="95">
        <f t="shared" si="1"/>
        <v>100</v>
      </c>
      <c r="G12" s="96">
        <f t="shared" si="1"/>
        <v>3000</v>
      </c>
      <c r="H12" s="11"/>
      <c r="I12" s="11"/>
    </row>
    <row r="13" spans="2:21" s="1" customFormat="1" ht="30" customHeight="1">
      <c r="C13" s="11"/>
      <c r="D13" s="11"/>
      <c r="E13" s="11"/>
      <c r="F13" s="11"/>
      <c r="G13" s="11"/>
      <c r="H13" s="11"/>
      <c r="I13" s="11"/>
    </row>
    <row r="14" spans="2:21" s="1" customFormat="1" ht="30" customHeight="1">
      <c r="C14" s="35" t="s">
        <v>17</v>
      </c>
      <c r="D14" s="36" t="s">
        <v>191</v>
      </c>
      <c r="E14" s="7"/>
      <c r="F14" s="8"/>
    </row>
    <row r="15" spans="2:21" s="1" customFormat="1" ht="5.0999999999999996" customHeight="1" thickBot="1"/>
    <row r="16" spans="2:21" s="1" customFormat="1" ht="37.5" customHeight="1">
      <c r="D16" s="104" t="s">
        <v>64</v>
      </c>
      <c r="E16" s="108" t="s">
        <v>65</v>
      </c>
      <c r="F16" s="108" t="s">
        <v>66</v>
      </c>
      <c r="G16" s="107" t="s">
        <v>67</v>
      </c>
    </row>
    <row r="17" spans="1:13" s="1" customFormat="1" ht="30" customHeight="1">
      <c r="D17" s="33" t="s">
        <v>68</v>
      </c>
      <c r="E17" s="91">
        <v>28</v>
      </c>
      <c r="F17" s="92">
        <v>30</v>
      </c>
      <c r="G17" s="128">
        <f>PRODUCT(E17:F17)</f>
        <v>840</v>
      </c>
    </row>
    <row r="18" spans="1:13" s="1" customFormat="1" ht="30" customHeight="1">
      <c r="D18" s="33" t="s">
        <v>69</v>
      </c>
      <c r="E18" s="91">
        <v>30</v>
      </c>
      <c r="F18" s="92">
        <v>35</v>
      </c>
      <c r="G18" s="128">
        <f t="shared" ref="G18:G20" si="2">PRODUCT(E18:F18)</f>
        <v>1050</v>
      </c>
    </row>
    <row r="19" spans="1:13" s="1" customFormat="1" ht="30" customHeight="1">
      <c r="D19" s="33" t="s">
        <v>70</v>
      </c>
      <c r="E19" s="91">
        <v>30</v>
      </c>
      <c r="F19" s="92">
        <v>40</v>
      </c>
      <c r="G19" s="128">
        <f t="shared" si="2"/>
        <v>1200</v>
      </c>
    </row>
    <row r="20" spans="1:13" s="1" customFormat="1" ht="30" customHeight="1">
      <c r="D20" s="33" t="s">
        <v>71</v>
      </c>
      <c r="E20" s="91">
        <v>29</v>
      </c>
      <c r="F20" s="92">
        <v>45</v>
      </c>
      <c r="G20" s="128">
        <f t="shared" si="2"/>
        <v>1305</v>
      </c>
    </row>
    <row r="21" spans="1:13" s="1" customFormat="1" ht="30" customHeight="1" thickBot="1">
      <c r="D21" s="93" t="s">
        <v>4</v>
      </c>
      <c r="E21" s="129">
        <f t="shared" ref="E21:G21" si="3">SUM(E17:E20)</f>
        <v>117</v>
      </c>
      <c r="F21" s="129">
        <f t="shared" si="3"/>
        <v>150</v>
      </c>
      <c r="G21" s="130">
        <f t="shared" si="3"/>
        <v>4395</v>
      </c>
    </row>
    <row r="22" spans="1:13" s="1" customFormat="1" ht="30" customHeight="1"/>
    <row r="23" spans="1:13" s="1" customFormat="1" ht="30" customHeight="1">
      <c r="C23" s="35" t="s">
        <v>24</v>
      </c>
      <c r="D23" s="36" t="s">
        <v>192</v>
      </c>
      <c r="E23" s="7"/>
      <c r="F23" s="7"/>
      <c r="G23" s="10"/>
    </row>
    <row r="24" spans="1:13" s="1" customFormat="1" ht="5.0999999999999996" customHeight="1" thickBot="1"/>
    <row r="25" spans="1:13" s="1" customFormat="1" ht="30" customHeight="1">
      <c r="D25" s="243" t="s">
        <v>91</v>
      </c>
      <c r="E25" s="244"/>
      <c r="F25" s="244"/>
      <c r="G25" s="244"/>
      <c r="H25" s="245"/>
    </row>
    <row r="26" spans="1:13" s="1" customFormat="1" ht="30" customHeight="1">
      <c r="D26" s="109" t="s">
        <v>72</v>
      </c>
      <c r="E26" s="49" t="s">
        <v>73</v>
      </c>
      <c r="F26" s="49" t="s">
        <v>59</v>
      </c>
      <c r="G26" s="110" t="s">
        <v>6</v>
      </c>
      <c r="H26" s="50" t="s">
        <v>74</v>
      </c>
    </row>
    <row r="27" spans="1:13" s="1" customFormat="1" ht="30" customHeight="1">
      <c r="D27" s="33" t="s">
        <v>75</v>
      </c>
      <c r="E27" s="91" t="s">
        <v>76</v>
      </c>
      <c r="F27" s="98">
        <v>10</v>
      </c>
      <c r="G27" s="92">
        <v>120</v>
      </c>
      <c r="H27" s="131">
        <f>PRODUCT(F27:G27)</f>
        <v>1200</v>
      </c>
    </row>
    <row r="28" spans="1:13" ht="30" customHeight="1">
      <c r="A28" s="1"/>
      <c r="B28" s="1"/>
      <c r="C28" s="1"/>
      <c r="D28" s="33" t="s">
        <v>77</v>
      </c>
      <c r="E28" s="91" t="s">
        <v>88</v>
      </c>
      <c r="F28" s="98">
        <v>12</v>
      </c>
      <c r="G28" s="92">
        <v>350</v>
      </c>
      <c r="H28" s="131">
        <f t="shared" ref="H28:H35" si="4">PRODUCT(F28:G28)</f>
        <v>4200</v>
      </c>
      <c r="I28" s="1"/>
      <c r="J28" s="1"/>
      <c r="K28" s="1"/>
      <c r="L28" s="1"/>
      <c r="M28" s="1"/>
    </row>
    <row r="29" spans="1:13" ht="30" customHeight="1">
      <c r="A29" s="1"/>
      <c r="B29" s="1"/>
      <c r="C29" s="1"/>
      <c r="D29" s="33" t="s">
        <v>78</v>
      </c>
      <c r="E29" s="91" t="s">
        <v>89</v>
      </c>
      <c r="F29" s="98">
        <v>19</v>
      </c>
      <c r="G29" s="92">
        <v>110</v>
      </c>
      <c r="H29" s="131">
        <f t="shared" si="4"/>
        <v>2090</v>
      </c>
      <c r="I29" s="1"/>
      <c r="J29" s="1"/>
      <c r="K29" s="1"/>
      <c r="L29" s="1"/>
      <c r="M29" s="1"/>
    </row>
    <row r="30" spans="1:13" ht="30" customHeight="1">
      <c r="A30" s="1"/>
      <c r="B30" s="1"/>
      <c r="C30" s="1"/>
      <c r="D30" s="33" t="s">
        <v>79</v>
      </c>
      <c r="E30" s="91" t="s">
        <v>80</v>
      </c>
      <c r="F30" s="98">
        <v>5</v>
      </c>
      <c r="G30" s="92">
        <v>580</v>
      </c>
      <c r="H30" s="131">
        <f t="shared" si="4"/>
        <v>2900</v>
      </c>
      <c r="I30" s="1"/>
      <c r="J30" s="1"/>
      <c r="K30" s="1"/>
      <c r="L30" s="1"/>
      <c r="M30" s="1"/>
    </row>
    <row r="31" spans="1:13" ht="30" customHeight="1">
      <c r="A31" s="1"/>
      <c r="B31" s="1"/>
      <c r="C31" s="1"/>
      <c r="D31" s="33" t="s">
        <v>81</v>
      </c>
      <c r="E31" s="91" t="s">
        <v>82</v>
      </c>
      <c r="F31" s="98">
        <v>8</v>
      </c>
      <c r="G31" s="92">
        <v>450</v>
      </c>
      <c r="H31" s="131">
        <f t="shared" si="4"/>
        <v>3600</v>
      </c>
      <c r="I31" s="1"/>
      <c r="J31" s="1"/>
      <c r="K31" s="1"/>
      <c r="L31" s="1"/>
      <c r="M31" s="1"/>
    </row>
    <row r="32" spans="1:13" ht="30" customHeight="1">
      <c r="A32" s="1"/>
      <c r="B32" s="1"/>
      <c r="C32" s="1"/>
      <c r="D32" s="33" t="s">
        <v>83</v>
      </c>
      <c r="E32" s="91" t="s">
        <v>84</v>
      </c>
      <c r="F32" s="98">
        <v>20</v>
      </c>
      <c r="G32" s="92">
        <v>50</v>
      </c>
      <c r="H32" s="131">
        <f t="shared" si="4"/>
        <v>1000</v>
      </c>
      <c r="I32" s="1"/>
      <c r="J32" s="1"/>
      <c r="K32" s="1"/>
      <c r="L32" s="1"/>
      <c r="M32" s="1"/>
    </row>
    <row r="33" spans="1:13" ht="30" customHeight="1">
      <c r="A33" s="1"/>
      <c r="B33" s="1"/>
      <c r="C33" s="1"/>
      <c r="D33" s="33" t="s">
        <v>85</v>
      </c>
      <c r="E33" s="91" t="s">
        <v>86</v>
      </c>
      <c r="F33" s="98">
        <v>9</v>
      </c>
      <c r="G33" s="92">
        <v>80</v>
      </c>
      <c r="H33" s="131">
        <f t="shared" si="4"/>
        <v>720</v>
      </c>
      <c r="I33" s="1"/>
      <c r="J33" s="1"/>
      <c r="K33" s="1"/>
      <c r="L33" s="1"/>
      <c r="M33" s="1"/>
    </row>
    <row r="34" spans="1:13" ht="30" customHeight="1" thickBot="1">
      <c r="A34" s="1"/>
      <c r="B34" s="1"/>
      <c r="C34" s="1"/>
      <c r="D34" s="99" t="s">
        <v>87</v>
      </c>
      <c r="E34" s="100" t="s">
        <v>90</v>
      </c>
      <c r="F34" s="101">
        <v>4</v>
      </c>
      <c r="G34" s="102">
        <v>50</v>
      </c>
      <c r="H34" s="254">
        <f t="shared" si="4"/>
        <v>200</v>
      </c>
      <c r="I34" s="1"/>
      <c r="J34" s="1"/>
      <c r="K34" s="1"/>
      <c r="L34" s="1"/>
      <c r="M34" s="1"/>
    </row>
    <row r="35" spans="1:13" ht="30" customHeight="1" thickBot="1">
      <c r="A35" s="1"/>
      <c r="B35" s="1"/>
      <c r="C35" s="1"/>
      <c r="D35" s="1"/>
      <c r="E35" s="1"/>
      <c r="F35" s="1"/>
      <c r="G35" s="253" t="s">
        <v>4</v>
      </c>
      <c r="H35" s="255">
        <f>SUM(H27:H34)</f>
        <v>15910</v>
      </c>
      <c r="I35" s="1"/>
      <c r="J35" s="1"/>
      <c r="K35" s="1"/>
      <c r="L35" s="1"/>
      <c r="M35" s="1"/>
    </row>
    <row r="36" spans="1:13" ht="3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30" customHeight="1">
      <c r="A37" s="1"/>
      <c r="B37" s="1"/>
      <c r="C37" s="111" t="s">
        <v>40</v>
      </c>
      <c r="D37" s="36" t="s">
        <v>195</v>
      </c>
      <c r="E37" s="7"/>
      <c r="F37" s="7"/>
      <c r="G37" s="10"/>
      <c r="H37" s="1"/>
      <c r="I37" s="1"/>
      <c r="J37" s="1"/>
      <c r="K37" s="1"/>
      <c r="L37" s="1"/>
      <c r="M37" s="1"/>
    </row>
    <row r="38" spans="1:13" ht="9" customHeight="1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36.75" customHeight="1">
      <c r="A39" s="1"/>
      <c r="B39" s="1"/>
      <c r="C39" s="1"/>
      <c r="D39" s="104" t="s">
        <v>5</v>
      </c>
      <c r="E39" s="106" t="s">
        <v>92</v>
      </c>
      <c r="F39" s="106" t="s">
        <v>93</v>
      </c>
      <c r="G39" s="107" t="s">
        <v>94</v>
      </c>
      <c r="H39" s="1"/>
      <c r="I39" s="1"/>
      <c r="J39" s="1"/>
      <c r="K39" s="1"/>
      <c r="L39" s="1"/>
      <c r="M39" s="1"/>
    </row>
    <row r="40" spans="1:13" ht="30" customHeight="1">
      <c r="A40" s="1"/>
      <c r="B40" s="1"/>
      <c r="C40" s="1"/>
      <c r="D40" s="33" t="s">
        <v>8</v>
      </c>
      <c r="E40" s="91">
        <v>10</v>
      </c>
      <c r="F40" s="92">
        <v>35</v>
      </c>
      <c r="G40" s="128">
        <f>PRODUCT(E40:F40)</f>
        <v>350</v>
      </c>
      <c r="H40" s="1"/>
      <c r="I40" s="1"/>
      <c r="J40" s="1"/>
      <c r="K40" s="1"/>
      <c r="L40" s="1"/>
      <c r="M40" s="1"/>
    </row>
    <row r="41" spans="1:13" ht="30" customHeight="1">
      <c r="A41" s="1"/>
      <c r="B41" s="1"/>
      <c r="C41" s="1"/>
      <c r="D41" s="33" t="s">
        <v>9</v>
      </c>
      <c r="E41" s="91">
        <v>8</v>
      </c>
      <c r="F41" s="92">
        <v>32</v>
      </c>
      <c r="G41" s="128">
        <f t="shared" ref="G41:G44" si="5">PRODUCT(E41:F41)</f>
        <v>256</v>
      </c>
      <c r="H41" s="1"/>
      <c r="I41" s="1"/>
      <c r="J41" s="1"/>
      <c r="K41" s="1"/>
      <c r="L41" s="1"/>
      <c r="M41" s="1"/>
    </row>
    <row r="42" spans="1:13" ht="30" customHeight="1">
      <c r="A42" s="1"/>
      <c r="B42" s="1"/>
      <c r="C42" s="1"/>
      <c r="D42" s="33" t="s">
        <v>12</v>
      </c>
      <c r="E42" s="91">
        <v>12</v>
      </c>
      <c r="F42" s="92">
        <v>33</v>
      </c>
      <c r="G42" s="128">
        <f t="shared" si="5"/>
        <v>396</v>
      </c>
      <c r="H42" s="1"/>
      <c r="I42" s="1"/>
      <c r="J42" s="1"/>
      <c r="K42" s="1"/>
      <c r="L42" s="1"/>
      <c r="M42" s="1"/>
    </row>
    <row r="43" spans="1:13" ht="30" customHeight="1">
      <c r="A43" s="1"/>
      <c r="B43" s="1"/>
      <c r="C43" s="1"/>
      <c r="D43" s="33" t="s">
        <v>10</v>
      </c>
      <c r="E43" s="91">
        <v>5</v>
      </c>
      <c r="F43" s="92">
        <v>30</v>
      </c>
      <c r="G43" s="128">
        <f t="shared" si="5"/>
        <v>150</v>
      </c>
      <c r="H43" s="1"/>
      <c r="I43" s="1"/>
      <c r="J43" s="1"/>
      <c r="K43" s="1"/>
      <c r="L43" s="1"/>
      <c r="M43" s="1"/>
    </row>
    <row r="44" spans="1:13" ht="30" customHeight="1" thickBot="1">
      <c r="A44" s="1"/>
      <c r="B44" s="1"/>
      <c r="C44" s="1"/>
      <c r="D44" s="99" t="s">
        <v>11</v>
      </c>
      <c r="E44" s="100">
        <v>4</v>
      </c>
      <c r="F44" s="102">
        <v>38</v>
      </c>
      <c r="G44" s="128">
        <f t="shared" si="5"/>
        <v>152</v>
      </c>
      <c r="H44" s="1"/>
      <c r="I44" s="1"/>
      <c r="J44" s="1"/>
      <c r="K44" s="1"/>
      <c r="L44" s="1"/>
      <c r="M44" s="1"/>
    </row>
    <row r="45" spans="1:13" ht="30" customHeight="1" thickBot="1">
      <c r="A45" s="1"/>
      <c r="B45" s="1"/>
      <c r="C45" s="1"/>
      <c r="D45" s="116"/>
      <c r="E45" s="116"/>
      <c r="F45" s="103" t="s">
        <v>4</v>
      </c>
      <c r="G45" s="132">
        <f>SUM(G40:G44)</f>
        <v>1304</v>
      </c>
      <c r="H45" s="1"/>
      <c r="I45" s="1"/>
      <c r="J45" s="1"/>
      <c r="K45" s="1"/>
      <c r="L45" s="1"/>
      <c r="M45" s="1"/>
    </row>
    <row r="46" spans="1:13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3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1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3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3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3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3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3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3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3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3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3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3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3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3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3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3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3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3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</sheetData>
  <sheetProtection selectLockedCells="1"/>
  <mergeCells count="2">
    <mergeCell ref="C3:G3"/>
    <mergeCell ref="D25:H25"/>
  </mergeCells>
  <printOptions headings="1"/>
  <pageMargins left="0.39370078740157483" right="0.39370078740157483" top="0.39370078740157483" bottom="0.39370078740157483" header="0" footer="0"/>
  <pageSetup paperSize="9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U256"/>
  <sheetViews>
    <sheetView topLeftCell="B1" zoomScale="115" zoomScaleNormal="115" workbookViewId="0">
      <selection activeCell="H39" sqref="H39"/>
    </sheetView>
  </sheetViews>
  <sheetFormatPr baseColWidth="10" defaultColWidth="25.6640625" defaultRowHeight="21.9" customHeight="1"/>
  <cols>
    <col min="1" max="1" width="2.5546875" style="3" customWidth="1"/>
    <col min="2" max="2" width="18.5546875" style="3" customWidth="1"/>
    <col min="3" max="3" width="15.6640625" style="3" customWidth="1"/>
    <col min="4" max="4" width="26.33203125" style="3" customWidth="1"/>
    <col min="5" max="5" width="17.5546875" style="3" customWidth="1"/>
    <col min="6" max="6" width="18.44140625" style="3" customWidth="1"/>
    <col min="7" max="7" width="18.33203125" style="3" customWidth="1"/>
    <col min="8" max="8" width="19.5546875" style="3" customWidth="1"/>
    <col min="9" max="9" width="17.5546875" style="3" customWidth="1"/>
    <col min="10" max="10" width="19.109375" style="3" customWidth="1"/>
    <col min="11" max="11" width="18.109375" style="3" customWidth="1"/>
    <col min="12" max="12" width="16.44140625" style="3" customWidth="1"/>
    <col min="13" max="13" width="17.44140625" style="3" customWidth="1"/>
    <col min="14" max="16384" width="25.6640625" style="3"/>
  </cols>
  <sheetData>
    <row r="1" spans="2:21" s="25" customFormat="1" ht="30" customHeight="1">
      <c r="D1" s="26"/>
      <c r="F1" s="123" t="s">
        <v>56</v>
      </c>
      <c r="I1" s="27"/>
      <c r="J1" s="27"/>
      <c r="K1" s="27"/>
      <c r="L1" s="27"/>
      <c r="M1" s="28"/>
      <c r="N1" s="28"/>
      <c r="O1" s="28"/>
      <c r="P1" s="28"/>
      <c r="Q1" s="28"/>
      <c r="R1" s="28"/>
      <c r="S1" s="28"/>
      <c r="T1" s="28"/>
      <c r="U1" s="28"/>
    </row>
    <row r="2" spans="2:21" s="1" customFormat="1" ht="15" customHeight="1">
      <c r="B2" s="2"/>
    </row>
    <row r="3" spans="2:21" s="1" customFormat="1" ht="30" customHeight="1">
      <c r="B3" s="134" t="s">
        <v>181</v>
      </c>
      <c r="C3" s="246" t="s">
        <v>198</v>
      </c>
      <c r="D3" s="247"/>
      <c r="E3" s="247"/>
      <c r="F3" s="247"/>
      <c r="G3" s="248"/>
    </row>
    <row r="4" spans="2:21" s="1" customFormat="1" ht="14.25" customHeight="1">
      <c r="B4" s="2"/>
    </row>
    <row r="5" spans="2:21" s="1" customFormat="1" ht="30" customHeight="1">
      <c r="C5" s="133" t="s">
        <v>13</v>
      </c>
      <c r="D5" s="135" t="s">
        <v>197</v>
      </c>
      <c r="E5" s="7"/>
      <c r="F5" s="8"/>
      <c r="G5" s="9"/>
      <c r="H5" s="9"/>
      <c r="I5" s="9"/>
    </row>
    <row r="6" spans="2:21" s="1" customFormat="1" ht="5.0999999999999996" customHeight="1" thickBot="1">
      <c r="C6" s="9"/>
      <c r="D6" s="9"/>
      <c r="E6" s="9"/>
      <c r="F6" s="9"/>
      <c r="G6" s="9"/>
      <c r="H6" s="9"/>
      <c r="I6" s="9"/>
      <c r="N6" s="2"/>
    </row>
    <row r="7" spans="2:21" s="1" customFormat="1" ht="30" customHeight="1">
      <c r="C7" s="9"/>
      <c r="D7" s="104" t="s">
        <v>14</v>
      </c>
      <c r="E7" s="106" t="s">
        <v>95</v>
      </c>
      <c r="F7" s="108" t="s">
        <v>96</v>
      </c>
      <c r="G7" s="105" t="s">
        <v>97</v>
      </c>
      <c r="H7" s="9"/>
      <c r="I7" s="9"/>
      <c r="O7" s="4"/>
    </row>
    <row r="8" spans="2:21" s="1" customFormat="1" ht="30" customHeight="1">
      <c r="C8" s="11"/>
      <c r="D8" s="136" t="s">
        <v>0</v>
      </c>
      <c r="E8" s="137">
        <v>5678</v>
      </c>
      <c r="F8" s="138">
        <v>1254</v>
      </c>
      <c r="G8" s="139">
        <f>E8-F8</f>
        <v>4424</v>
      </c>
      <c r="H8" s="11"/>
      <c r="I8" s="11"/>
    </row>
    <row r="9" spans="2:21" s="1" customFormat="1" ht="30" customHeight="1">
      <c r="C9" s="11"/>
      <c r="D9" s="136" t="s">
        <v>1</v>
      </c>
      <c r="E9" s="137">
        <v>2376</v>
      </c>
      <c r="F9" s="138">
        <v>1200</v>
      </c>
      <c r="G9" s="139">
        <f t="shared" ref="G9:G11" si="0">E9-F9</f>
        <v>1176</v>
      </c>
      <c r="H9" s="11"/>
      <c r="I9" s="11"/>
    </row>
    <row r="10" spans="2:21" s="1" customFormat="1" ht="30" customHeight="1">
      <c r="C10" s="11"/>
      <c r="D10" s="136" t="s">
        <v>2</v>
      </c>
      <c r="E10" s="137">
        <v>4765</v>
      </c>
      <c r="F10" s="138">
        <v>3989</v>
      </c>
      <c r="G10" s="139">
        <f t="shared" si="0"/>
        <v>776</v>
      </c>
      <c r="H10" s="11"/>
      <c r="I10" s="11"/>
    </row>
    <row r="11" spans="2:21" s="1" customFormat="1" ht="30" customHeight="1">
      <c r="C11" s="11"/>
      <c r="D11" s="136" t="s">
        <v>3</v>
      </c>
      <c r="E11" s="137">
        <v>1235</v>
      </c>
      <c r="F11" s="138">
        <v>1158</v>
      </c>
      <c r="G11" s="139">
        <f t="shared" si="0"/>
        <v>77</v>
      </c>
      <c r="H11" s="11"/>
      <c r="I11" s="11"/>
    </row>
    <row r="12" spans="2:21" s="1" customFormat="1" ht="30" customHeight="1" thickBot="1">
      <c r="C12" s="11"/>
      <c r="D12" s="140" t="s">
        <v>4</v>
      </c>
      <c r="E12" s="141">
        <f t="shared" ref="E12:G12" si="1">SUM(E8:E11)</f>
        <v>14054</v>
      </c>
      <c r="F12" s="168">
        <f t="shared" si="1"/>
        <v>7601</v>
      </c>
      <c r="G12" s="169">
        <f t="shared" si="1"/>
        <v>6453</v>
      </c>
      <c r="H12" s="11"/>
      <c r="I12" s="11"/>
    </row>
    <row r="13" spans="2:21" s="1" customFormat="1" ht="30" customHeight="1">
      <c r="C13" s="11"/>
      <c r="D13" s="11"/>
      <c r="E13" s="11"/>
      <c r="F13" s="11"/>
      <c r="G13" s="11"/>
      <c r="H13" s="11"/>
      <c r="I13" s="11"/>
    </row>
    <row r="14" spans="2:21" s="1" customFormat="1" ht="30" customHeight="1">
      <c r="C14" s="133" t="s">
        <v>17</v>
      </c>
      <c r="D14" s="149" t="s">
        <v>200</v>
      </c>
      <c r="E14" s="7"/>
      <c r="F14" s="8"/>
    </row>
    <row r="15" spans="2:21" s="1" customFormat="1" ht="5.0999999999999996" customHeight="1" thickBot="1"/>
    <row r="16" spans="2:21" s="1" customFormat="1" ht="37.5" customHeight="1">
      <c r="D16" s="104" t="s">
        <v>64</v>
      </c>
      <c r="E16" s="108" t="s">
        <v>98</v>
      </c>
      <c r="F16" s="106" t="s">
        <v>99</v>
      </c>
      <c r="G16" s="107" t="s">
        <v>100</v>
      </c>
    </row>
    <row r="17" spans="1:13" s="1" customFormat="1" ht="30" customHeight="1">
      <c r="D17" s="136" t="s">
        <v>68</v>
      </c>
      <c r="E17" s="147">
        <v>1100</v>
      </c>
      <c r="F17" s="147">
        <v>30</v>
      </c>
      <c r="G17" s="142">
        <f>E17-F17</f>
        <v>1070</v>
      </c>
    </row>
    <row r="18" spans="1:13" s="1" customFormat="1" ht="30" customHeight="1">
      <c r="D18" s="136" t="s">
        <v>69</v>
      </c>
      <c r="E18" s="147">
        <v>1200</v>
      </c>
      <c r="F18" s="147">
        <v>35</v>
      </c>
      <c r="G18" s="142">
        <f t="shared" ref="G18:G20" si="2">E18-F18</f>
        <v>1165</v>
      </c>
    </row>
    <row r="19" spans="1:13" s="1" customFormat="1" ht="30" customHeight="1">
      <c r="D19" s="136" t="s">
        <v>70</v>
      </c>
      <c r="E19" s="147">
        <v>1150</v>
      </c>
      <c r="F19" s="147">
        <v>28</v>
      </c>
      <c r="G19" s="142">
        <f t="shared" si="2"/>
        <v>1122</v>
      </c>
    </row>
    <row r="20" spans="1:13" s="1" customFormat="1" ht="30" customHeight="1">
      <c r="D20" s="136" t="s">
        <v>71</v>
      </c>
      <c r="E20" s="147">
        <v>1050</v>
      </c>
      <c r="F20" s="147">
        <v>25</v>
      </c>
      <c r="G20" s="142">
        <f t="shared" si="2"/>
        <v>1025</v>
      </c>
    </row>
    <row r="21" spans="1:13" s="1" customFormat="1" ht="30" customHeight="1" thickBot="1">
      <c r="D21" s="148" t="s">
        <v>4</v>
      </c>
      <c r="E21" s="143">
        <f t="shared" ref="E21:G21" si="3">SUM(E17:E20)</f>
        <v>4500</v>
      </c>
      <c r="F21" s="143">
        <f t="shared" si="3"/>
        <v>118</v>
      </c>
      <c r="G21" s="144">
        <f t="shared" si="3"/>
        <v>4382</v>
      </c>
    </row>
    <row r="22" spans="1:13" s="1" customFormat="1" ht="30" customHeight="1"/>
    <row r="23" spans="1:13" s="1" customFormat="1" ht="30" customHeight="1">
      <c r="C23" s="133" t="s">
        <v>24</v>
      </c>
      <c r="D23" s="149" t="s">
        <v>201</v>
      </c>
      <c r="E23" s="7"/>
      <c r="F23" s="7"/>
      <c r="G23" s="10"/>
    </row>
    <row r="24" spans="1:13" s="1" customFormat="1" ht="5.0999999999999996" customHeight="1" thickBot="1"/>
    <row r="25" spans="1:13" s="1" customFormat="1" ht="30" customHeight="1">
      <c r="D25" s="243" t="s">
        <v>106</v>
      </c>
      <c r="E25" s="244"/>
      <c r="F25" s="244"/>
      <c r="G25" s="244"/>
      <c r="H25" s="245"/>
    </row>
    <row r="26" spans="1:13" s="1" customFormat="1" ht="30" customHeight="1">
      <c r="D26" s="109" t="s">
        <v>64</v>
      </c>
      <c r="E26" s="49" t="s">
        <v>105</v>
      </c>
      <c r="F26" s="110" t="s">
        <v>103</v>
      </c>
      <c r="G26" s="110" t="s">
        <v>104</v>
      </c>
      <c r="H26" s="50" t="s">
        <v>74</v>
      </c>
    </row>
    <row r="27" spans="1:13" s="1" customFormat="1" ht="30" customHeight="1">
      <c r="D27" s="136" t="s">
        <v>68</v>
      </c>
      <c r="E27" s="147">
        <v>1500</v>
      </c>
      <c r="F27" s="147">
        <v>90</v>
      </c>
      <c r="G27" s="147">
        <f>13%*E27</f>
        <v>195</v>
      </c>
      <c r="H27" s="142">
        <f>E27-F27-G27</f>
        <v>1215</v>
      </c>
    </row>
    <row r="28" spans="1:13" ht="30" customHeight="1">
      <c r="A28" s="1"/>
      <c r="B28" s="1"/>
      <c r="C28" s="1"/>
      <c r="D28" s="136" t="s">
        <v>69</v>
      </c>
      <c r="E28" s="147">
        <v>1200</v>
      </c>
      <c r="F28" s="147">
        <v>25</v>
      </c>
      <c r="G28" s="147">
        <f t="shared" ref="G28:G31" si="4">13%*E28</f>
        <v>156</v>
      </c>
      <c r="H28" s="142">
        <f t="shared" ref="H28:H31" si="5">E28-F28-G28</f>
        <v>1019</v>
      </c>
      <c r="I28" s="1"/>
      <c r="J28" s="1"/>
      <c r="K28" s="1"/>
      <c r="L28" s="1"/>
      <c r="M28" s="1"/>
    </row>
    <row r="29" spans="1:13" ht="30" customHeight="1">
      <c r="A29" s="1"/>
      <c r="B29" s="1"/>
      <c r="C29" s="1"/>
      <c r="D29" s="136" t="s">
        <v>70</v>
      </c>
      <c r="E29" s="147">
        <v>1600</v>
      </c>
      <c r="F29" s="147">
        <v>30</v>
      </c>
      <c r="G29" s="147">
        <f t="shared" si="4"/>
        <v>208</v>
      </c>
      <c r="H29" s="142">
        <f t="shared" si="5"/>
        <v>1362</v>
      </c>
      <c r="I29" s="1"/>
      <c r="J29" s="1"/>
      <c r="K29" s="1"/>
      <c r="L29" s="1"/>
      <c r="M29" s="1"/>
    </row>
    <row r="30" spans="1:13" ht="30" customHeight="1">
      <c r="A30" s="1"/>
      <c r="B30" s="1"/>
      <c r="C30" s="1"/>
      <c r="D30" s="136" t="s">
        <v>71</v>
      </c>
      <c r="E30" s="147">
        <v>1253</v>
      </c>
      <c r="F30" s="147">
        <v>24</v>
      </c>
      <c r="G30" s="147">
        <f t="shared" si="4"/>
        <v>162.89000000000001</v>
      </c>
      <c r="H30" s="142">
        <f t="shared" si="5"/>
        <v>1066.1099999999999</v>
      </c>
      <c r="I30" s="1"/>
      <c r="J30" s="1"/>
      <c r="K30" s="1"/>
      <c r="L30" s="1"/>
      <c r="M30" s="1"/>
    </row>
    <row r="31" spans="1:13" ht="30" customHeight="1" thickBot="1">
      <c r="A31" s="1"/>
      <c r="B31" s="1"/>
      <c r="C31" s="1"/>
      <c r="D31" s="152" t="s">
        <v>102</v>
      </c>
      <c r="E31" s="153">
        <v>1100</v>
      </c>
      <c r="F31" s="153">
        <v>40</v>
      </c>
      <c r="G31" s="153">
        <f t="shared" si="4"/>
        <v>143</v>
      </c>
      <c r="H31" s="142">
        <f t="shared" si="5"/>
        <v>917</v>
      </c>
      <c r="I31" s="1"/>
      <c r="J31" s="1"/>
      <c r="K31" s="1"/>
      <c r="L31" s="1"/>
      <c r="M31" s="1"/>
    </row>
    <row r="32" spans="1:13" ht="3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30" customHeight="1">
      <c r="A33" s="1"/>
      <c r="B33" s="1"/>
      <c r="C33" s="133" t="s">
        <v>40</v>
      </c>
      <c r="D33" s="149" t="s">
        <v>203</v>
      </c>
      <c r="E33" s="7"/>
      <c r="F33" s="7"/>
      <c r="G33" s="10"/>
      <c r="H33" s="1"/>
      <c r="I33" s="1"/>
      <c r="J33" s="1"/>
      <c r="K33" s="1"/>
      <c r="L33" s="1"/>
      <c r="M33" s="1"/>
    </row>
    <row r="34" spans="1:13" ht="9" customHeight="1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36.75" customHeight="1">
      <c r="A35" s="1"/>
      <c r="B35" s="1"/>
      <c r="C35" s="1"/>
      <c r="D35" s="104" t="s">
        <v>110</v>
      </c>
      <c r="E35" s="106" t="s">
        <v>107</v>
      </c>
      <c r="F35" s="106" t="s">
        <v>108</v>
      </c>
      <c r="G35" s="107" t="s">
        <v>109</v>
      </c>
      <c r="H35" s="1"/>
      <c r="I35" s="1"/>
      <c r="J35" s="1"/>
      <c r="K35" s="1"/>
      <c r="L35" s="1"/>
      <c r="M35" s="1"/>
    </row>
    <row r="36" spans="1:13" ht="30" customHeight="1">
      <c r="A36" s="1"/>
      <c r="B36" s="1"/>
      <c r="C36" s="1"/>
      <c r="D36" s="136" t="s">
        <v>111</v>
      </c>
      <c r="E36" s="137">
        <v>50</v>
      </c>
      <c r="F36" s="137">
        <v>30</v>
      </c>
      <c r="G36" s="154">
        <f>E36-F36</f>
        <v>20</v>
      </c>
      <c r="H36" s="1"/>
      <c r="I36" s="1"/>
      <c r="J36" s="1"/>
      <c r="K36" s="1"/>
      <c r="L36" s="1"/>
      <c r="M36" s="1"/>
    </row>
    <row r="37" spans="1:13" ht="30" customHeight="1">
      <c r="A37" s="1"/>
      <c r="B37" s="1"/>
      <c r="C37" s="1"/>
      <c r="D37" s="136" t="s">
        <v>112</v>
      </c>
      <c r="E37" s="137">
        <v>80</v>
      </c>
      <c r="F37" s="137">
        <v>60</v>
      </c>
      <c r="G37" s="154">
        <f t="shared" ref="G37:G39" si="6">E37-F37</f>
        <v>20</v>
      </c>
      <c r="H37" s="1"/>
      <c r="I37" s="1"/>
      <c r="J37" s="1"/>
      <c r="K37" s="1"/>
      <c r="L37" s="1"/>
      <c r="M37" s="1"/>
    </row>
    <row r="38" spans="1:13" ht="30" customHeight="1">
      <c r="A38" s="1"/>
      <c r="B38" s="1"/>
      <c r="C38" s="1"/>
      <c r="D38" s="136" t="s">
        <v>113</v>
      </c>
      <c r="E38" s="137">
        <v>45</v>
      </c>
      <c r="F38" s="137">
        <v>29</v>
      </c>
      <c r="G38" s="154">
        <f t="shared" si="6"/>
        <v>16</v>
      </c>
      <c r="H38" s="1"/>
      <c r="I38" s="1"/>
      <c r="J38" s="1"/>
      <c r="K38" s="1"/>
      <c r="L38" s="1"/>
      <c r="M38" s="1"/>
    </row>
    <row r="39" spans="1:13" ht="30" customHeight="1">
      <c r="A39" s="1"/>
      <c r="B39" s="1"/>
      <c r="C39" s="1"/>
      <c r="D39" s="136" t="s">
        <v>114</v>
      </c>
      <c r="E39" s="137">
        <v>48</v>
      </c>
      <c r="F39" s="137">
        <v>40</v>
      </c>
      <c r="G39" s="154">
        <f t="shared" si="6"/>
        <v>8</v>
      </c>
      <c r="H39" s="1"/>
      <c r="I39" s="1"/>
      <c r="J39" s="1"/>
      <c r="K39" s="1"/>
      <c r="L39" s="1"/>
      <c r="M39" s="1"/>
    </row>
    <row r="40" spans="1:13" ht="30" customHeight="1" thickBot="1">
      <c r="A40" s="1"/>
      <c r="B40" s="1"/>
      <c r="C40" s="1"/>
      <c r="D40" s="152" t="s">
        <v>115</v>
      </c>
      <c r="E40" s="156">
        <v>30</v>
      </c>
      <c r="F40" s="156">
        <v>20</v>
      </c>
      <c r="G40" s="155">
        <f>E40-F40</f>
        <v>10</v>
      </c>
      <c r="H40" s="1"/>
      <c r="I40" s="1"/>
      <c r="J40" s="1"/>
      <c r="K40" s="1"/>
      <c r="L40" s="1"/>
      <c r="M40" s="1"/>
    </row>
    <row r="41" spans="1:13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3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3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3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3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3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3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3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3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3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30" customHeight="1"/>
    <row r="57" spans="1:13" ht="30" customHeight="1"/>
    <row r="58" spans="1:13" ht="30" customHeight="1"/>
    <row r="59" spans="1:13" ht="30" customHeight="1"/>
    <row r="60" spans="1:13" ht="30" customHeight="1"/>
    <row r="61" spans="1:13" ht="30" customHeight="1"/>
    <row r="62" spans="1:13" ht="30" customHeight="1"/>
    <row r="63" spans="1:13" ht="30" customHeight="1"/>
    <row r="64" spans="1:13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</sheetData>
  <sheetProtection selectLockedCells="1"/>
  <mergeCells count="2">
    <mergeCell ref="C3:G3"/>
    <mergeCell ref="D25:H25"/>
  </mergeCells>
  <printOptions headings="1"/>
  <pageMargins left="0.39370078740157483" right="0.39370078740157483" top="0.39370078740157483" bottom="0.39370078740157483" header="0" footer="0"/>
  <pageSetup paperSize="9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U266"/>
  <sheetViews>
    <sheetView topLeftCell="A58" zoomScale="130" zoomScaleNormal="130" workbookViewId="0">
      <selection activeCell="G67" sqref="G67"/>
    </sheetView>
  </sheetViews>
  <sheetFormatPr baseColWidth="10" defaultColWidth="25.6640625" defaultRowHeight="21.9" customHeight="1"/>
  <cols>
    <col min="1" max="1" width="2.5546875" style="3" customWidth="1"/>
    <col min="2" max="2" width="18.5546875" style="3" customWidth="1"/>
    <col min="3" max="3" width="15.6640625" style="3" customWidth="1"/>
    <col min="4" max="4" width="26.33203125" style="3" customWidth="1"/>
    <col min="5" max="5" width="0.33203125" style="3" customWidth="1"/>
    <col min="6" max="6" width="24" style="3" customWidth="1"/>
    <col min="7" max="7" width="18.33203125" style="3" customWidth="1"/>
    <col min="8" max="8" width="19.5546875" style="3" customWidth="1"/>
    <col min="9" max="9" width="17.5546875" style="3" customWidth="1"/>
    <col min="10" max="10" width="19.109375" style="3" customWidth="1"/>
    <col min="11" max="11" width="18.109375" style="3" customWidth="1"/>
    <col min="12" max="12" width="16.44140625" style="3" customWidth="1"/>
    <col min="13" max="13" width="17.44140625" style="3" customWidth="1"/>
    <col min="14" max="16384" width="25.6640625" style="3"/>
  </cols>
  <sheetData>
    <row r="1" spans="2:21" s="25" customFormat="1" ht="30" customHeight="1">
      <c r="D1" s="26"/>
      <c r="F1" s="123" t="s">
        <v>57</v>
      </c>
      <c r="I1" s="27"/>
      <c r="J1" s="27"/>
      <c r="K1" s="27"/>
      <c r="L1" s="27"/>
      <c r="M1" s="28"/>
      <c r="N1" s="28"/>
      <c r="O1" s="28"/>
      <c r="P1" s="28"/>
      <c r="Q1" s="28"/>
      <c r="R1" s="28"/>
      <c r="S1" s="28"/>
      <c r="T1" s="28"/>
      <c r="U1" s="28"/>
    </row>
    <row r="2" spans="2:21" s="1" customFormat="1" ht="15" customHeight="1">
      <c r="B2" s="2"/>
    </row>
    <row r="3" spans="2:21" s="1" customFormat="1" ht="30" customHeight="1">
      <c r="B3" s="134" t="s">
        <v>181</v>
      </c>
      <c r="C3" s="249" t="s">
        <v>204</v>
      </c>
      <c r="D3" s="250"/>
      <c r="E3" s="250"/>
      <c r="F3" s="250"/>
      <c r="G3" s="251"/>
    </row>
    <row r="4" spans="2:21" s="1" customFormat="1" ht="14.25" customHeight="1">
      <c r="B4" s="2"/>
    </row>
    <row r="5" spans="2:21" s="1" customFormat="1" ht="30" customHeight="1">
      <c r="C5" s="133" t="s">
        <v>13</v>
      </c>
      <c r="D5" s="149" t="s">
        <v>205</v>
      </c>
      <c r="E5" s="7"/>
      <c r="F5" s="8"/>
      <c r="G5" s="9"/>
      <c r="H5" s="9"/>
      <c r="I5" s="9"/>
    </row>
    <row r="6" spans="2:21" s="1" customFormat="1" ht="5.0999999999999996" customHeight="1">
      <c r="C6" s="9"/>
      <c r="D6" s="9"/>
      <c r="E6" s="9"/>
      <c r="F6" s="9"/>
      <c r="G6" s="9"/>
      <c r="H6" s="9"/>
      <c r="I6" s="9"/>
      <c r="N6" s="2"/>
    </row>
    <row r="7" spans="2:21" s="1" customFormat="1" ht="30" customHeight="1">
      <c r="D7" s="112" t="s">
        <v>117</v>
      </c>
      <c r="I7" s="9"/>
      <c r="O7" s="4"/>
    </row>
    <row r="8" spans="2:21" s="1" customFormat="1" ht="30" customHeight="1">
      <c r="D8" s="13"/>
      <c r="I8" s="11"/>
    </row>
    <row r="9" spans="2:21" s="1" customFormat="1" ht="30" customHeight="1">
      <c r="D9" s="14"/>
      <c r="I9" s="11"/>
    </row>
    <row r="10" spans="2:21" s="1" customFormat="1" ht="11.25" customHeight="1">
      <c r="I10" s="11"/>
    </row>
    <row r="11" spans="2:21" s="1" customFormat="1" ht="30" customHeight="1">
      <c r="D11" s="157" t="s">
        <v>119</v>
      </c>
      <c r="E11" s="158"/>
      <c r="F11" s="159">
        <v>10</v>
      </c>
      <c r="I11" s="11"/>
    </row>
    <row r="12" spans="2:21" s="1" customFormat="1" ht="2.1" customHeight="1">
      <c r="D12" s="158"/>
      <c r="E12" s="158"/>
      <c r="F12" s="158"/>
      <c r="I12" s="11"/>
    </row>
    <row r="13" spans="2:21" s="1" customFormat="1" ht="30" customHeight="1">
      <c r="D13" s="157" t="s">
        <v>118</v>
      </c>
      <c r="E13" s="158"/>
      <c r="F13" s="159">
        <v>5</v>
      </c>
      <c r="I13" s="11"/>
    </row>
    <row r="14" spans="2:21" s="1" customFormat="1" ht="2.1" customHeight="1">
      <c r="D14" s="158"/>
      <c r="E14" s="158"/>
      <c r="F14" s="158"/>
      <c r="I14" s="11"/>
    </row>
    <row r="15" spans="2:21" s="1" customFormat="1" ht="2.1" customHeight="1">
      <c r="D15" s="160"/>
      <c r="E15" s="158"/>
      <c r="F15" s="160"/>
      <c r="I15" s="11"/>
    </row>
    <row r="16" spans="2:21" s="1" customFormat="1" ht="2.1" customHeight="1">
      <c r="D16" s="158"/>
      <c r="E16" s="158"/>
      <c r="F16" s="158"/>
      <c r="I16" s="11"/>
    </row>
    <row r="17" spans="3:9" s="1" customFormat="1" ht="30" customHeight="1">
      <c r="D17" s="158" t="s">
        <v>120</v>
      </c>
      <c r="E17" s="158"/>
      <c r="F17" s="163">
        <f>(F11*F13)/2</f>
        <v>25</v>
      </c>
      <c r="I17" s="11"/>
    </row>
    <row r="18" spans="3:9" s="1" customFormat="1" ht="2.1" customHeight="1">
      <c r="C18" s="11"/>
      <c r="D18" s="11"/>
      <c r="E18" s="11"/>
      <c r="F18" s="11"/>
      <c r="G18" s="11"/>
      <c r="H18" s="11"/>
      <c r="I18" s="11"/>
    </row>
    <row r="19" spans="3:9" s="1" customFormat="1" ht="2.1" customHeight="1">
      <c r="C19" s="11"/>
      <c r="D19" s="113"/>
      <c r="E19" s="11"/>
      <c r="F19" s="113"/>
      <c r="G19" s="11"/>
      <c r="H19" s="11"/>
      <c r="I19" s="11"/>
    </row>
    <row r="20" spans="3:9" s="1" customFormat="1" ht="2.1" customHeight="1">
      <c r="C20" s="11"/>
      <c r="D20" s="11"/>
      <c r="E20" s="11"/>
      <c r="F20" s="11"/>
      <c r="G20" s="11"/>
      <c r="H20" s="11"/>
      <c r="I20" s="11"/>
    </row>
    <row r="21" spans="3:9" s="1" customFormat="1" ht="30" customHeight="1">
      <c r="C21" s="11"/>
      <c r="D21" s="11"/>
      <c r="E21" s="11"/>
      <c r="F21" s="11"/>
      <c r="G21" s="11"/>
      <c r="H21" s="11"/>
      <c r="I21" s="11"/>
    </row>
    <row r="22" spans="3:9" s="1" customFormat="1" ht="30" customHeight="1">
      <c r="C22" s="133" t="s">
        <v>17</v>
      </c>
      <c r="D22" s="149" t="s">
        <v>206</v>
      </c>
      <c r="E22" s="7"/>
      <c r="F22" s="8"/>
    </row>
    <row r="23" spans="3:9" s="1" customFormat="1" ht="5.0999999999999996" customHeight="1"/>
    <row r="24" spans="3:9" s="1" customFormat="1" ht="37.5" customHeight="1">
      <c r="D24" s="112" t="s">
        <v>117</v>
      </c>
    </row>
    <row r="25" spans="3:9" s="1" customFormat="1" ht="30" customHeight="1">
      <c r="D25" s="13"/>
    </row>
    <row r="26" spans="3:9" s="1" customFormat="1" ht="30" customHeight="1">
      <c r="D26" s="14"/>
    </row>
    <row r="27" spans="3:9" s="1" customFormat="1" ht="12.75" customHeight="1"/>
    <row r="28" spans="3:9" s="1" customFormat="1" ht="30" customHeight="1">
      <c r="D28" s="157" t="s">
        <v>123</v>
      </c>
      <c r="E28" s="158"/>
      <c r="F28" s="164">
        <v>0.25</v>
      </c>
    </row>
    <row r="29" spans="3:9" s="1" customFormat="1" ht="2.1" customHeight="1">
      <c r="D29" s="158"/>
      <c r="E29" s="158"/>
      <c r="F29" s="158"/>
    </row>
    <row r="30" spans="3:9" s="1" customFormat="1" ht="30" customHeight="1">
      <c r="D30" s="157" t="s">
        <v>124</v>
      </c>
      <c r="E30" s="158"/>
      <c r="F30" s="159">
        <v>2</v>
      </c>
    </row>
    <row r="31" spans="3:9" s="1" customFormat="1" ht="2.1" customHeight="1">
      <c r="D31" s="158"/>
      <c r="E31" s="158"/>
      <c r="F31" s="158"/>
    </row>
    <row r="32" spans="3:9" s="1" customFormat="1" ht="2.1" customHeight="1">
      <c r="D32" s="160"/>
      <c r="E32" s="158"/>
      <c r="F32" s="160"/>
    </row>
    <row r="33" spans="1:13" s="1" customFormat="1" ht="2.1" customHeight="1">
      <c r="D33" s="158"/>
      <c r="E33" s="158"/>
      <c r="F33" s="158"/>
    </row>
    <row r="34" spans="1:13" s="1" customFormat="1" ht="30" customHeight="1">
      <c r="D34" s="158" t="s">
        <v>125</v>
      </c>
      <c r="E34" s="158"/>
      <c r="F34" s="166">
        <f>F28/F30</f>
        <v>0.125</v>
      </c>
    </row>
    <row r="35" spans="1:13" s="1" customFormat="1" ht="2.1" customHeight="1">
      <c r="D35" s="11"/>
      <c r="E35" s="11"/>
      <c r="F35" s="11"/>
    </row>
    <row r="36" spans="1:13" ht="2.1" customHeight="1">
      <c r="A36" s="1"/>
      <c r="B36" s="1"/>
      <c r="C36" s="1"/>
      <c r="D36" s="113"/>
      <c r="E36" s="11"/>
      <c r="F36" s="113"/>
      <c r="G36" s="1"/>
      <c r="H36" s="1"/>
      <c r="I36" s="1"/>
      <c r="J36" s="1"/>
      <c r="K36" s="1"/>
      <c r="L36" s="1"/>
      <c r="M36" s="1"/>
    </row>
    <row r="37" spans="1:13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30" customHeight="1">
      <c r="A38" s="1"/>
      <c r="B38" s="1"/>
      <c r="C38" s="133" t="s">
        <v>126</v>
      </c>
      <c r="D38" s="149" t="s">
        <v>207</v>
      </c>
      <c r="E38" s="7"/>
      <c r="F38" s="8"/>
      <c r="G38" s="1"/>
      <c r="H38" s="1"/>
      <c r="I38" s="1"/>
      <c r="J38" s="1"/>
      <c r="K38" s="1"/>
      <c r="L38" s="1"/>
      <c r="M38" s="1"/>
    </row>
    <row r="39" spans="1:13" ht="10.5" customHeight="1">
      <c r="A39" s="1"/>
      <c r="B39" s="1"/>
      <c r="C39" s="9"/>
      <c r="D39" s="9"/>
      <c r="E39" s="9"/>
      <c r="F39" s="9"/>
      <c r="G39" s="1"/>
      <c r="H39" s="1"/>
      <c r="I39" s="1"/>
      <c r="J39" s="1"/>
      <c r="K39" s="1"/>
      <c r="L39" s="1"/>
      <c r="M39" s="1"/>
    </row>
    <row r="40" spans="1:13" ht="30" customHeight="1">
      <c r="A40" s="1"/>
      <c r="B40" s="1"/>
      <c r="C40" s="1"/>
      <c r="D40" s="112" t="s">
        <v>117</v>
      </c>
      <c r="E40" s="1"/>
      <c r="F40" s="1"/>
      <c r="G40" s="1"/>
      <c r="H40" s="1"/>
      <c r="I40" s="1"/>
      <c r="J40" s="1"/>
      <c r="K40" s="1"/>
      <c r="L40" s="1"/>
      <c r="M40" s="1"/>
    </row>
    <row r="41" spans="1:13" ht="30" customHeight="1">
      <c r="A41" s="1"/>
      <c r="B41" s="1"/>
      <c r="C41" s="1"/>
      <c r="D41" s="13"/>
      <c r="E41" s="1"/>
      <c r="F41" s="1"/>
      <c r="G41" s="1"/>
      <c r="H41" s="1"/>
      <c r="I41" s="1"/>
      <c r="J41" s="1"/>
      <c r="K41" s="1"/>
      <c r="L41" s="1"/>
      <c r="M41" s="1"/>
    </row>
    <row r="42" spans="1:13" ht="24" customHeight="1">
      <c r="A42" s="1"/>
      <c r="B42" s="1"/>
      <c r="C42" s="1"/>
      <c r="D42" s="14"/>
      <c r="E42" s="1"/>
      <c r="F42" s="1"/>
      <c r="G42" s="1"/>
      <c r="H42" s="1"/>
      <c r="I42" s="1"/>
      <c r="J42" s="1"/>
      <c r="K42" s="1"/>
      <c r="L42" s="1"/>
      <c r="M42" s="1"/>
    </row>
    <row r="43" spans="1:13" ht="8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30" customHeight="1">
      <c r="A44" s="1"/>
      <c r="B44" s="1"/>
      <c r="C44" s="1"/>
      <c r="D44" s="157" t="s">
        <v>127</v>
      </c>
      <c r="E44" s="158"/>
      <c r="F44" s="167">
        <v>2000</v>
      </c>
      <c r="G44" s="1"/>
      <c r="H44" s="1"/>
      <c r="I44" s="1"/>
      <c r="J44" s="1"/>
      <c r="K44" s="1"/>
      <c r="L44" s="1"/>
      <c r="M44" s="1"/>
    </row>
    <row r="45" spans="1:13" ht="2.1" customHeight="1">
      <c r="A45" s="1"/>
      <c r="B45" s="1"/>
      <c r="C45" s="1"/>
      <c r="D45" s="158"/>
      <c r="E45" s="158"/>
      <c r="F45" s="158"/>
      <c r="G45" s="1"/>
      <c r="H45" s="1"/>
      <c r="I45" s="1"/>
      <c r="J45" s="1"/>
      <c r="K45" s="1"/>
      <c r="L45" s="1"/>
      <c r="M45" s="1"/>
    </row>
    <row r="46" spans="1:13" ht="30" customHeight="1">
      <c r="A46" s="1"/>
      <c r="B46" s="1"/>
      <c r="C46" s="1"/>
      <c r="D46" s="157" t="s">
        <v>121</v>
      </c>
      <c r="E46" s="158"/>
      <c r="F46" s="164">
        <v>0.12</v>
      </c>
      <c r="G46" s="1"/>
      <c r="H46" s="1"/>
      <c r="I46" s="1"/>
      <c r="J46" s="1"/>
      <c r="K46" s="1"/>
      <c r="L46" s="1"/>
      <c r="M46" s="1"/>
    </row>
    <row r="47" spans="1:13" ht="2.1" customHeight="1">
      <c r="A47" s="1"/>
      <c r="B47" s="1"/>
      <c r="C47" s="1"/>
      <c r="D47" s="158"/>
      <c r="E47" s="158"/>
      <c r="F47" s="158"/>
      <c r="G47" s="1"/>
      <c r="H47" s="1"/>
      <c r="I47" s="1"/>
      <c r="J47" s="1"/>
      <c r="K47" s="1"/>
      <c r="L47" s="1"/>
      <c r="M47" s="1"/>
    </row>
    <row r="48" spans="1:13" ht="30" customHeight="1">
      <c r="A48" s="1"/>
      <c r="B48" s="1"/>
      <c r="C48" s="1"/>
      <c r="D48" s="157" t="s">
        <v>128</v>
      </c>
      <c r="E48" s="158"/>
      <c r="F48" s="159">
        <v>2</v>
      </c>
      <c r="G48" s="1"/>
      <c r="H48" s="1"/>
      <c r="I48" s="1"/>
      <c r="J48" s="1"/>
      <c r="K48" s="1"/>
      <c r="L48" s="1"/>
      <c r="M48" s="1"/>
    </row>
    <row r="49" spans="1:13" ht="2.1" customHeight="1">
      <c r="A49" s="1"/>
      <c r="B49" s="1"/>
      <c r="C49" s="1"/>
      <c r="D49" s="158"/>
      <c r="E49" s="158"/>
      <c r="F49" s="158"/>
      <c r="G49" s="1"/>
      <c r="H49" s="1"/>
      <c r="I49" s="1"/>
      <c r="J49" s="1"/>
      <c r="K49" s="1"/>
      <c r="L49" s="1"/>
      <c r="M49" s="1"/>
    </row>
    <row r="50" spans="1:13" ht="2.1" customHeight="1">
      <c r="A50" s="1"/>
      <c r="B50" s="1"/>
      <c r="C50" s="1"/>
      <c r="D50" s="160"/>
      <c r="E50" s="158"/>
      <c r="F50" s="160"/>
      <c r="G50" s="1"/>
      <c r="H50" s="1"/>
      <c r="I50" s="1"/>
      <c r="J50" s="1"/>
      <c r="K50" s="1"/>
      <c r="L50" s="1"/>
      <c r="M50" s="1"/>
    </row>
    <row r="51" spans="1:13" ht="2.1" customHeight="1">
      <c r="A51" s="1"/>
      <c r="B51" s="1"/>
      <c r="C51" s="1"/>
      <c r="D51" s="158"/>
      <c r="E51" s="158"/>
      <c r="F51" s="158"/>
      <c r="G51" s="1"/>
      <c r="H51" s="1"/>
      <c r="I51" s="1"/>
      <c r="J51" s="1"/>
      <c r="K51" s="1"/>
      <c r="L51" s="1"/>
      <c r="M51" s="1"/>
    </row>
    <row r="52" spans="1:13" ht="30" customHeight="1">
      <c r="A52" s="1"/>
      <c r="B52" s="1"/>
      <c r="C52" s="1"/>
      <c r="D52" s="158" t="s">
        <v>122</v>
      </c>
      <c r="E52" s="158"/>
      <c r="F52" s="170">
        <f>F44/(F46*F48)</f>
        <v>8333.3333333333339</v>
      </c>
      <c r="G52" s="1"/>
      <c r="H52" s="1"/>
      <c r="I52" s="1"/>
      <c r="J52" s="1"/>
      <c r="K52" s="1"/>
      <c r="L52" s="1"/>
      <c r="M52" s="1"/>
    </row>
    <row r="53" spans="1:13" ht="2.1" customHeight="1">
      <c r="A53" s="1"/>
      <c r="B53" s="1"/>
      <c r="C53" s="11"/>
      <c r="D53" s="11"/>
      <c r="E53" s="11"/>
      <c r="F53" s="11"/>
      <c r="G53" s="1"/>
      <c r="H53" s="1"/>
      <c r="I53" s="1"/>
      <c r="J53" s="1"/>
      <c r="K53" s="1"/>
      <c r="L53" s="1"/>
      <c r="M53" s="1"/>
    </row>
    <row r="54" spans="1:13" ht="2.1" customHeight="1">
      <c r="A54" s="1"/>
      <c r="B54" s="1"/>
      <c r="C54" s="11"/>
      <c r="D54" s="113"/>
      <c r="E54" s="11"/>
      <c r="F54" s="113"/>
      <c r="G54" s="1"/>
      <c r="H54" s="1"/>
      <c r="I54" s="1"/>
      <c r="J54" s="1"/>
      <c r="K54" s="1"/>
      <c r="L54" s="1"/>
      <c r="M54" s="1"/>
    </row>
    <row r="55" spans="1:13" ht="2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3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30" customHeight="1">
      <c r="A57" s="1"/>
      <c r="B57" s="1"/>
      <c r="C57" s="133" t="s">
        <v>129</v>
      </c>
      <c r="D57" s="149" t="s">
        <v>208</v>
      </c>
      <c r="E57" s="7"/>
      <c r="F57" s="8"/>
      <c r="G57" s="1"/>
      <c r="H57" s="1"/>
      <c r="I57" s="1"/>
      <c r="J57" s="1"/>
      <c r="K57" s="1"/>
      <c r="L57" s="1"/>
      <c r="M57" s="1"/>
    </row>
    <row r="58" spans="1:13" ht="10.5" customHeight="1">
      <c r="A58" s="1"/>
      <c r="B58" s="1"/>
      <c r="C58" s="9"/>
      <c r="D58" s="9"/>
      <c r="E58" s="9"/>
      <c r="F58" s="9"/>
      <c r="G58" s="1"/>
      <c r="H58" s="1"/>
      <c r="I58" s="1"/>
      <c r="J58" s="1"/>
      <c r="K58" s="1"/>
      <c r="L58" s="1"/>
      <c r="M58" s="1"/>
    </row>
    <row r="59" spans="1:13" ht="30" customHeight="1">
      <c r="A59" s="1"/>
      <c r="B59" s="1"/>
      <c r="C59" s="1"/>
      <c r="D59" s="112" t="s">
        <v>117</v>
      </c>
      <c r="E59" s="1"/>
      <c r="F59" s="1"/>
      <c r="G59" s="1"/>
      <c r="H59" s="1"/>
      <c r="I59" s="1"/>
      <c r="J59" s="1"/>
      <c r="K59" s="1"/>
      <c r="L59" s="1"/>
      <c r="M59" s="1"/>
    </row>
    <row r="60" spans="1:13" ht="30" customHeight="1">
      <c r="A60" s="1"/>
      <c r="B60" s="1"/>
      <c r="C60" s="1"/>
      <c r="D60" s="13"/>
      <c r="E60" s="1"/>
      <c r="F60" s="1"/>
      <c r="G60" s="1"/>
      <c r="H60" s="1"/>
      <c r="I60" s="1"/>
      <c r="J60" s="1"/>
      <c r="K60" s="1"/>
      <c r="L60" s="1"/>
      <c r="M60" s="1"/>
    </row>
    <row r="61" spans="1:13" ht="41.25" customHeight="1">
      <c r="A61" s="1"/>
      <c r="B61" s="1"/>
      <c r="C61" s="1"/>
      <c r="D61" s="14"/>
      <c r="E61" s="1"/>
      <c r="F61" s="1"/>
      <c r="G61" s="1"/>
      <c r="H61" s="1"/>
      <c r="I61" s="1"/>
      <c r="J61" s="1"/>
      <c r="K61" s="1"/>
      <c r="L61" s="1"/>
      <c r="M61" s="1"/>
    </row>
    <row r="62" spans="1:13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30" customHeight="1">
      <c r="A63" s="1"/>
      <c r="B63" s="1"/>
      <c r="C63" s="1"/>
      <c r="D63" s="157" t="s">
        <v>130</v>
      </c>
      <c r="E63" s="158"/>
      <c r="F63" s="167">
        <v>10000</v>
      </c>
      <c r="G63" s="1"/>
      <c r="H63" s="1"/>
      <c r="I63" s="1"/>
      <c r="J63" s="1"/>
      <c r="K63" s="1"/>
      <c r="L63" s="1"/>
      <c r="M63" s="1"/>
    </row>
    <row r="64" spans="1:13" ht="2.1" customHeight="1">
      <c r="A64" s="1"/>
      <c r="B64" s="1"/>
      <c r="C64" s="1"/>
      <c r="D64" s="158"/>
      <c r="E64" s="158"/>
      <c r="F64" s="158"/>
      <c r="G64" s="1"/>
      <c r="H64" s="1"/>
      <c r="I64" s="1"/>
      <c r="J64" s="1"/>
      <c r="K64" s="1"/>
      <c r="L64" s="1"/>
      <c r="M64" s="1"/>
    </row>
    <row r="65" spans="1:13" ht="30" customHeight="1">
      <c r="A65" s="1"/>
      <c r="B65" s="1"/>
      <c r="C65" s="1"/>
      <c r="D65" s="157" t="s">
        <v>122</v>
      </c>
      <c r="E65" s="158"/>
      <c r="F65" s="167">
        <v>5000</v>
      </c>
      <c r="G65" s="1"/>
      <c r="H65" s="1"/>
      <c r="I65" s="1"/>
      <c r="J65" s="1"/>
      <c r="K65" s="1"/>
      <c r="L65" s="1"/>
      <c r="M65" s="1"/>
    </row>
    <row r="66" spans="1:13" ht="2.1" customHeight="1">
      <c r="A66" s="1"/>
      <c r="B66" s="1"/>
      <c r="C66" s="1"/>
      <c r="D66" s="158"/>
      <c r="E66" s="158"/>
      <c r="F66" s="158"/>
      <c r="G66" s="1"/>
      <c r="H66" s="1"/>
      <c r="I66" s="1"/>
      <c r="J66" s="1"/>
      <c r="K66" s="1"/>
      <c r="L66" s="1"/>
      <c r="M66" s="1"/>
    </row>
    <row r="67" spans="1:13" ht="30" customHeight="1">
      <c r="A67" s="1"/>
      <c r="B67" s="1"/>
      <c r="C67" s="1"/>
      <c r="D67" s="157" t="s">
        <v>121</v>
      </c>
      <c r="E67" s="158"/>
      <c r="F67" s="164">
        <v>0.05</v>
      </c>
      <c r="G67" s="1"/>
      <c r="H67" s="1"/>
      <c r="I67" s="1"/>
      <c r="J67" s="1"/>
      <c r="K67" s="1"/>
      <c r="L67" s="1"/>
      <c r="M67" s="1"/>
    </row>
    <row r="68" spans="1:13" ht="2.1" customHeight="1">
      <c r="A68" s="1"/>
      <c r="B68" s="1"/>
      <c r="C68" s="1"/>
      <c r="D68" s="158"/>
      <c r="E68" s="158"/>
      <c r="F68" s="158"/>
      <c r="G68" s="1"/>
      <c r="H68" s="1"/>
      <c r="I68" s="1"/>
      <c r="J68" s="1"/>
      <c r="K68" s="1"/>
      <c r="L68" s="1"/>
      <c r="M68" s="1"/>
    </row>
    <row r="69" spans="1:13" ht="2.1" customHeight="1">
      <c r="A69" s="1"/>
      <c r="B69" s="1"/>
      <c r="C69" s="1"/>
      <c r="D69" s="160"/>
      <c r="E69" s="158"/>
      <c r="F69" s="160"/>
      <c r="G69" s="1"/>
      <c r="H69" s="1"/>
      <c r="I69" s="1"/>
      <c r="J69" s="1"/>
      <c r="K69" s="1"/>
      <c r="L69" s="1"/>
      <c r="M69" s="1"/>
    </row>
    <row r="70" spans="1:13" ht="2.1" customHeight="1">
      <c r="A70" s="1"/>
      <c r="B70" s="1"/>
      <c r="C70" s="1"/>
      <c r="D70" s="158"/>
      <c r="E70" s="158"/>
      <c r="F70" s="158"/>
      <c r="G70" s="1"/>
      <c r="H70" s="1"/>
      <c r="I70" s="1"/>
      <c r="J70" s="1"/>
      <c r="K70" s="1"/>
      <c r="L70" s="1"/>
      <c r="M70" s="1"/>
    </row>
    <row r="71" spans="1:13" ht="30" customHeight="1">
      <c r="A71" s="1"/>
      <c r="B71" s="1"/>
      <c r="C71" s="1"/>
      <c r="D71" s="158" t="s">
        <v>131</v>
      </c>
      <c r="E71" s="158"/>
      <c r="F71" s="163">
        <f>((F63/F65)-1)/F67</f>
        <v>20</v>
      </c>
      <c r="G71" s="22"/>
      <c r="H71" s="1"/>
      <c r="I71" s="1"/>
      <c r="J71" s="1"/>
      <c r="K71" s="1"/>
      <c r="L71" s="1"/>
      <c r="M71" s="1"/>
    </row>
    <row r="72" spans="1:13" ht="2.1" customHeight="1">
      <c r="A72" s="1"/>
      <c r="B72" s="1"/>
      <c r="C72" s="11"/>
      <c r="D72" s="11"/>
      <c r="E72" s="11"/>
      <c r="F72" s="11"/>
      <c r="G72" s="1"/>
      <c r="H72" s="1"/>
      <c r="I72" s="1"/>
      <c r="J72" s="1"/>
      <c r="K72" s="1"/>
      <c r="L72" s="1"/>
      <c r="M72" s="1"/>
    </row>
    <row r="73" spans="1:13" ht="2.1" customHeight="1">
      <c r="C73" s="11"/>
      <c r="D73" s="113"/>
      <c r="E73" s="11"/>
      <c r="F73" s="113"/>
      <c r="G73" s="1"/>
    </row>
    <row r="74" spans="1:13" ht="30" customHeight="1"/>
    <row r="75" spans="1:13" ht="30" customHeight="1"/>
    <row r="76" spans="1:13" ht="30" customHeight="1"/>
    <row r="77" spans="1:13" ht="30" customHeight="1"/>
    <row r="78" spans="1:13" ht="30" customHeight="1"/>
    <row r="79" spans="1:13" ht="30" customHeight="1"/>
    <row r="80" spans="1:13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</sheetData>
  <sheetProtection selectLockedCells="1"/>
  <mergeCells count="1">
    <mergeCell ref="C3:G3"/>
  </mergeCells>
  <printOptions headings="1"/>
  <pageMargins left="0.39370078740157483" right="0.39370078740157483" top="0.39370078740157483" bottom="0.39370078740157483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U45"/>
  <sheetViews>
    <sheetView topLeftCell="A23" zoomScale="115" zoomScaleNormal="115" workbookViewId="0">
      <selection activeCell="F40" sqref="F40"/>
    </sheetView>
  </sheetViews>
  <sheetFormatPr baseColWidth="10" defaultColWidth="25.6640625" defaultRowHeight="21.9" customHeight="1"/>
  <cols>
    <col min="1" max="1" width="2.5546875" style="3" customWidth="1"/>
    <col min="2" max="2" width="18.5546875" style="3" customWidth="1"/>
    <col min="3" max="3" width="15.6640625" style="3" customWidth="1"/>
    <col min="4" max="4" width="26.33203125" style="3" customWidth="1"/>
    <col min="5" max="5" width="17.5546875" style="3" customWidth="1"/>
    <col min="6" max="6" width="18.44140625" style="3" customWidth="1"/>
    <col min="7" max="7" width="18.33203125" style="3" customWidth="1"/>
    <col min="8" max="8" width="19.5546875" style="3" customWidth="1"/>
    <col min="9" max="9" width="17.5546875" style="3" customWidth="1"/>
    <col min="10" max="10" width="19.109375" style="3" customWidth="1"/>
    <col min="11" max="11" width="18.109375" style="3" customWidth="1"/>
    <col min="12" max="12" width="16.44140625" style="3" customWidth="1"/>
    <col min="13" max="13" width="17.44140625" style="3" customWidth="1"/>
    <col min="14" max="16384" width="25.6640625" style="3"/>
  </cols>
  <sheetData>
    <row r="1" spans="2:21" s="25" customFormat="1" ht="30" customHeight="1">
      <c r="D1" s="26"/>
      <c r="F1" s="123" t="s">
        <v>101</v>
      </c>
      <c r="I1" s="27"/>
      <c r="J1" s="27"/>
      <c r="K1" s="27"/>
      <c r="L1" s="27"/>
      <c r="M1" s="28"/>
      <c r="N1" s="28"/>
      <c r="O1" s="28"/>
      <c r="P1" s="28"/>
      <c r="Q1" s="28"/>
      <c r="R1" s="28"/>
      <c r="S1" s="28"/>
      <c r="T1" s="28"/>
      <c r="U1" s="28"/>
    </row>
    <row r="2" spans="2:21" s="1" customFormat="1" ht="15" customHeight="1">
      <c r="B2" s="2"/>
    </row>
    <row r="3" spans="2:21" s="1" customFormat="1" ht="30" customHeight="1">
      <c r="B3" s="134" t="s">
        <v>181</v>
      </c>
      <c r="C3" s="246" t="s">
        <v>209</v>
      </c>
      <c r="D3" s="247"/>
      <c r="E3" s="247"/>
      <c r="F3" s="247"/>
      <c r="G3" s="248"/>
    </row>
    <row r="4" spans="2:21" s="1" customFormat="1" ht="14.25" customHeight="1">
      <c r="B4" s="2"/>
    </row>
    <row r="5" spans="2:21" s="1" customFormat="1" ht="30" customHeight="1">
      <c r="C5" s="133" t="s">
        <v>13</v>
      </c>
      <c r="D5" s="135" t="s">
        <v>210</v>
      </c>
      <c r="E5" s="7"/>
      <c r="F5" s="8"/>
      <c r="G5" s="9"/>
      <c r="H5" s="9"/>
      <c r="I5" s="9"/>
    </row>
    <row r="6" spans="2:21" s="1" customFormat="1" ht="5.0999999999999996" customHeight="1" thickBot="1">
      <c r="C6" s="9"/>
      <c r="D6" s="9"/>
      <c r="E6" s="9"/>
      <c r="F6" s="9"/>
      <c r="G6" s="9"/>
      <c r="H6" s="9"/>
      <c r="I6" s="9"/>
      <c r="N6" s="2"/>
    </row>
    <row r="7" spans="2:21" s="1" customFormat="1" ht="30" customHeight="1">
      <c r="C7" s="9"/>
      <c r="D7" s="104" t="s">
        <v>14</v>
      </c>
      <c r="E7" s="106" t="s">
        <v>6</v>
      </c>
      <c r="F7" s="106" t="s">
        <v>176</v>
      </c>
      <c r="G7" s="108" t="s">
        <v>174</v>
      </c>
      <c r="H7" s="105" t="s">
        <v>175</v>
      </c>
      <c r="I7" s="9"/>
      <c r="O7" s="4"/>
    </row>
    <row r="8" spans="2:21" s="1" customFormat="1" ht="30" customHeight="1">
      <c r="C8" s="11"/>
      <c r="D8" s="136" t="s">
        <v>0</v>
      </c>
      <c r="E8" s="174">
        <v>100</v>
      </c>
      <c r="F8" s="175">
        <v>0.1</v>
      </c>
      <c r="G8" s="194">
        <f>PRODUCT(E8:F8)</f>
        <v>10</v>
      </c>
      <c r="H8" s="195">
        <f>E8-G8</f>
        <v>90</v>
      </c>
      <c r="I8" s="11"/>
    </row>
    <row r="9" spans="2:21" s="1" customFormat="1" ht="30" customHeight="1">
      <c r="C9" s="11"/>
      <c r="D9" s="136" t="s">
        <v>1</v>
      </c>
      <c r="E9" s="174">
        <v>200</v>
      </c>
      <c r="F9" s="175">
        <v>0.2</v>
      </c>
      <c r="G9" s="194">
        <f t="shared" ref="G9:G11" si="0">PRODUCT(E9:F9)</f>
        <v>40</v>
      </c>
      <c r="H9" s="195">
        <f t="shared" ref="H9:H10" si="1">E9-G9</f>
        <v>160</v>
      </c>
      <c r="I9" s="11"/>
    </row>
    <row r="10" spans="2:21" s="1" customFormat="1" ht="30" customHeight="1">
      <c r="C10" s="11"/>
      <c r="D10" s="136" t="s">
        <v>2</v>
      </c>
      <c r="E10" s="174">
        <v>300</v>
      </c>
      <c r="F10" s="175">
        <v>0.3</v>
      </c>
      <c r="G10" s="194">
        <f t="shared" si="0"/>
        <v>90</v>
      </c>
      <c r="H10" s="195">
        <f t="shared" si="1"/>
        <v>210</v>
      </c>
      <c r="I10" s="11"/>
    </row>
    <row r="11" spans="2:21" s="1" customFormat="1" ht="30" customHeight="1" thickBot="1">
      <c r="C11" s="11"/>
      <c r="D11" s="176" t="s">
        <v>3</v>
      </c>
      <c r="E11" s="177">
        <v>400</v>
      </c>
      <c r="F11" s="178">
        <v>0.4</v>
      </c>
      <c r="G11" s="194">
        <f t="shared" si="0"/>
        <v>160</v>
      </c>
      <c r="H11" s="195">
        <f>E11-G11</f>
        <v>240</v>
      </c>
      <c r="I11" s="11"/>
    </row>
    <row r="12" spans="2:21" s="1" customFormat="1" ht="30" customHeight="1" thickBot="1">
      <c r="C12" s="11"/>
      <c r="D12" s="179" t="s">
        <v>4</v>
      </c>
      <c r="E12" s="196">
        <f t="shared" ref="E12:G12" si="2">SUM(E8:E11)</f>
        <v>1000</v>
      </c>
      <c r="F12" s="196">
        <f t="shared" si="2"/>
        <v>1</v>
      </c>
      <c r="G12" s="196">
        <f t="shared" si="2"/>
        <v>300</v>
      </c>
      <c r="H12" s="197">
        <f>SUM(H8:H11)</f>
        <v>700</v>
      </c>
      <c r="I12" s="11"/>
    </row>
    <row r="13" spans="2:21" s="1" customFormat="1" ht="30" customHeight="1">
      <c r="C13" s="11"/>
      <c r="D13" s="11"/>
      <c r="E13" s="11"/>
      <c r="F13" s="11"/>
      <c r="G13" s="11"/>
      <c r="H13" s="11"/>
      <c r="I13" s="11"/>
    </row>
    <row r="14" spans="2:21" s="1" customFormat="1" ht="30" customHeight="1">
      <c r="C14" s="133" t="s">
        <v>17</v>
      </c>
      <c r="D14" s="135" t="s">
        <v>199</v>
      </c>
      <c r="E14" s="7"/>
      <c r="F14" s="8"/>
    </row>
    <row r="15" spans="2:21" s="1" customFormat="1" ht="5.0999999999999996" customHeight="1" thickBot="1"/>
    <row r="16" spans="2:21" s="1" customFormat="1" ht="53.25" customHeight="1">
      <c r="D16" s="104" t="s">
        <v>64</v>
      </c>
      <c r="E16" s="108" t="s">
        <v>98</v>
      </c>
      <c r="F16" s="106" t="s">
        <v>177</v>
      </c>
      <c r="G16" s="106" t="s">
        <v>178</v>
      </c>
      <c r="H16" s="107" t="s">
        <v>179</v>
      </c>
    </row>
    <row r="17" spans="1:13" s="1" customFormat="1" ht="30" customHeight="1">
      <c r="D17" s="136" t="s">
        <v>68</v>
      </c>
      <c r="E17" s="147">
        <v>1100</v>
      </c>
      <c r="F17" s="175">
        <v>5.5500000000000001E-2</v>
      </c>
      <c r="G17" s="180">
        <f>E17*F17</f>
        <v>61.050000000000004</v>
      </c>
      <c r="H17" s="142">
        <f>E17-G17</f>
        <v>1038.95</v>
      </c>
    </row>
    <row r="18" spans="1:13" s="1" customFormat="1" ht="30" customHeight="1">
      <c r="D18" s="136" t="s">
        <v>69</v>
      </c>
      <c r="E18" s="147">
        <v>1200</v>
      </c>
      <c r="F18" s="175">
        <v>3.3300000000000003E-2</v>
      </c>
      <c r="G18" s="180">
        <f t="shared" ref="G18:G20" si="3">E18*F18</f>
        <v>39.96</v>
      </c>
      <c r="H18" s="142">
        <f t="shared" ref="H18:H19" si="4">E18-G18</f>
        <v>1160.04</v>
      </c>
    </row>
    <row r="19" spans="1:13" s="1" customFormat="1" ht="30" customHeight="1">
      <c r="D19" s="136" t="s">
        <v>70</v>
      </c>
      <c r="E19" s="147">
        <v>1150</v>
      </c>
      <c r="F19" s="175">
        <v>9.9900000000000003E-2</v>
      </c>
      <c r="G19" s="180">
        <f t="shared" si="3"/>
        <v>114.88500000000001</v>
      </c>
      <c r="H19" s="142">
        <f t="shared" si="4"/>
        <v>1035.115</v>
      </c>
    </row>
    <row r="20" spans="1:13" s="1" customFormat="1" ht="30" customHeight="1" thickBot="1">
      <c r="D20" s="176" t="s">
        <v>71</v>
      </c>
      <c r="E20" s="183">
        <v>1050</v>
      </c>
      <c r="F20" s="178">
        <v>4.5499999999999999E-2</v>
      </c>
      <c r="G20" s="180">
        <f t="shared" si="3"/>
        <v>47.774999999999999</v>
      </c>
      <c r="H20" s="142">
        <f>E20-G20</f>
        <v>1002.225</v>
      </c>
    </row>
    <row r="21" spans="1:13" s="1" customFormat="1" ht="30" customHeight="1" thickBot="1">
      <c r="D21" s="184" t="s">
        <v>4</v>
      </c>
      <c r="E21" s="181">
        <f t="shared" ref="E21:H21" si="5">SUM(E17:E20)</f>
        <v>4500</v>
      </c>
      <c r="F21" s="171">
        <f t="shared" si="5"/>
        <v>0.23420000000000002</v>
      </c>
      <c r="G21" s="181">
        <f t="shared" si="5"/>
        <v>263.67</v>
      </c>
      <c r="H21" s="182">
        <f t="shared" si="5"/>
        <v>4236.33</v>
      </c>
    </row>
    <row r="22" spans="1:13" s="1" customFormat="1" ht="30" customHeight="1"/>
    <row r="23" spans="1:13" s="1" customFormat="1" ht="30" customHeight="1">
      <c r="C23" s="133" t="s">
        <v>24</v>
      </c>
      <c r="D23" s="149" t="s">
        <v>132</v>
      </c>
      <c r="E23" s="7"/>
      <c r="F23" s="7"/>
      <c r="G23" s="10"/>
    </row>
    <row r="24" spans="1:13" s="1" customFormat="1" ht="5.0999999999999996" customHeight="1"/>
    <row r="25" spans="1:13" s="1" customFormat="1" ht="10.5" customHeight="1"/>
    <row r="26" spans="1:13" s="1" customFormat="1" ht="2.1" customHeight="1">
      <c r="D26" s="114"/>
      <c r="E26" s="114"/>
    </row>
    <row r="27" spans="1:13" s="1" customFormat="1" ht="2.1" customHeight="1"/>
    <row r="28" spans="1:13" s="1" customFormat="1" ht="30" customHeight="1">
      <c r="D28" s="191" t="s">
        <v>133</v>
      </c>
      <c r="E28" s="185">
        <v>350</v>
      </c>
    </row>
    <row r="29" spans="1:13" s="1" customFormat="1" ht="30" customHeight="1">
      <c r="D29" s="158" t="s">
        <v>134</v>
      </c>
      <c r="E29" s="186">
        <v>0.05</v>
      </c>
    </row>
    <row r="30" spans="1:13" ht="2.1" customHeight="1">
      <c r="A30" s="1"/>
      <c r="B30" s="1"/>
      <c r="C30" s="1"/>
      <c r="D30" s="160"/>
      <c r="E30" s="187"/>
      <c r="F30" s="1"/>
      <c r="G30" s="1"/>
      <c r="H30" s="1"/>
      <c r="I30" s="1"/>
      <c r="J30" s="1"/>
      <c r="K30" s="1"/>
      <c r="L30" s="1"/>
      <c r="M30" s="1"/>
    </row>
    <row r="31" spans="1:13" ht="30" customHeight="1">
      <c r="A31" s="1"/>
      <c r="B31" s="1"/>
      <c r="C31" s="1"/>
      <c r="D31" s="158" t="s">
        <v>135</v>
      </c>
      <c r="E31" s="188">
        <f>E28*E29</f>
        <v>17.5</v>
      </c>
      <c r="F31" s="1"/>
      <c r="G31" s="1"/>
      <c r="H31" s="1"/>
      <c r="I31" s="1"/>
      <c r="J31" s="1"/>
      <c r="K31" s="1"/>
      <c r="L31" s="1"/>
      <c r="M31" s="1"/>
    </row>
    <row r="32" spans="1:13" ht="2.1" customHeight="1">
      <c r="A32" s="1"/>
      <c r="B32" s="1"/>
      <c r="C32" s="1"/>
      <c r="D32" s="114"/>
      <c r="E32" s="114"/>
      <c r="F32" s="1"/>
      <c r="G32" s="1"/>
      <c r="H32" s="1"/>
      <c r="I32" s="1"/>
      <c r="J32" s="1"/>
      <c r="K32" s="1"/>
      <c r="L32" s="1"/>
      <c r="M32" s="1"/>
    </row>
    <row r="33" spans="1:13" ht="3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30" customHeight="1">
      <c r="A34" s="1"/>
      <c r="B34" s="1"/>
      <c r="C34" s="133" t="s">
        <v>40</v>
      </c>
      <c r="D34" s="149" t="s">
        <v>136</v>
      </c>
      <c r="E34" s="7"/>
      <c r="F34" s="7"/>
      <c r="G34" s="10"/>
      <c r="H34" s="1"/>
      <c r="I34" s="1"/>
      <c r="J34" s="1"/>
      <c r="K34" s="1"/>
      <c r="L34" s="1"/>
      <c r="M34" s="1"/>
    </row>
    <row r="35" spans="1:13" ht="9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.1" customHeight="1">
      <c r="A37" s="1"/>
      <c r="B37" s="1"/>
      <c r="C37" s="1"/>
      <c r="D37" s="114"/>
      <c r="E37" s="114"/>
      <c r="F37" s="1"/>
      <c r="G37" s="1"/>
      <c r="H37" s="1"/>
      <c r="I37" s="1"/>
      <c r="J37" s="1"/>
      <c r="K37" s="1"/>
      <c r="L37" s="1"/>
      <c r="M37" s="1"/>
    </row>
    <row r="38" spans="1:13" ht="2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30" customHeight="1">
      <c r="A39" s="1"/>
      <c r="B39" s="1"/>
      <c r="C39" s="1"/>
      <c r="D39" s="191" t="s">
        <v>133</v>
      </c>
      <c r="E39" s="185">
        <v>120</v>
      </c>
      <c r="F39" s="1"/>
      <c r="G39" s="1"/>
      <c r="H39" s="1"/>
      <c r="I39" s="1"/>
      <c r="J39" s="1"/>
      <c r="K39" s="1"/>
      <c r="L39" s="1"/>
      <c r="M39" s="1"/>
    </row>
    <row r="40" spans="1:13" ht="30" customHeight="1">
      <c r="A40" s="1"/>
      <c r="B40" s="1"/>
      <c r="C40" s="1"/>
      <c r="D40" s="158" t="s">
        <v>135</v>
      </c>
      <c r="E40" s="192">
        <v>20</v>
      </c>
      <c r="F40" s="1"/>
      <c r="G40" s="1"/>
      <c r="H40" s="1"/>
      <c r="I40" s="1"/>
      <c r="J40" s="1"/>
      <c r="K40" s="1"/>
      <c r="L40" s="1"/>
      <c r="M40" s="1"/>
    </row>
    <row r="41" spans="1:13" ht="2.1" customHeight="1">
      <c r="A41" s="1"/>
      <c r="B41" s="1"/>
      <c r="C41" s="1"/>
      <c r="D41" s="160"/>
      <c r="E41" s="187"/>
      <c r="F41" s="1"/>
      <c r="G41" s="1"/>
      <c r="H41" s="1"/>
      <c r="I41" s="1"/>
      <c r="J41" s="1"/>
      <c r="K41" s="1"/>
      <c r="L41" s="1"/>
      <c r="M41" s="1"/>
    </row>
    <row r="42" spans="1:13" ht="30" customHeight="1">
      <c r="A42" s="1"/>
      <c r="B42" s="1"/>
      <c r="C42" s="1"/>
      <c r="D42" s="158" t="s">
        <v>134</v>
      </c>
      <c r="E42" s="193">
        <f>E40/E39</f>
        <v>0.16666666666666666</v>
      </c>
      <c r="F42" s="1"/>
      <c r="G42" s="24"/>
      <c r="H42" s="1"/>
      <c r="I42" s="1"/>
      <c r="J42" s="1"/>
      <c r="K42" s="1"/>
      <c r="L42" s="1"/>
      <c r="M42" s="1"/>
    </row>
    <row r="43" spans="1:13" ht="2.1" customHeight="1">
      <c r="A43" s="1"/>
      <c r="B43" s="1"/>
      <c r="C43" s="1"/>
      <c r="D43" s="114"/>
      <c r="E43" s="114"/>
      <c r="F43" s="1"/>
      <c r="G43" s="1"/>
      <c r="H43" s="1"/>
      <c r="I43" s="1"/>
      <c r="J43" s="1"/>
      <c r="K43" s="1"/>
      <c r="L43" s="1"/>
      <c r="M43" s="1"/>
    </row>
    <row r="44" spans="1:13" ht="2.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sheetProtection selectLockedCells="1"/>
  <mergeCells count="1">
    <mergeCell ref="C3:G3"/>
  </mergeCells>
  <printOptions headings="1"/>
  <pageMargins left="0.39370078740157483" right="0.39370078740157483" top="0.39370078740157483" bottom="0.39370078740157483" header="0" footer="0"/>
  <pageSetup paperSize="9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U280"/>
  <sheetViews>
    <sheetView topLeftCell="A67" zoomScale="130" zoomScaleNormal="130" workbookViewId="0">
      <selection activeCell="H79" sqref="H79"/>
    </sheetView>
  </sheetViews>
  <sheetFormatPr baseColWidth="10" defaultColWidth="25.6640625" defaultRowHeight="21.9" customHeight="1"/>
  <cols>
    <col min="1" max="1" width="2.5546875" style="3" customWidth="1"/>
    <col min="2" max="2" width="18.5546875" style="3" customWidth="1"/>
    <col min="3" max="3" width="15.6640625" style="3" customWidth="1"/>
    <col min="4" max="4" width="26.33203125" style="3" customWidth="1"/>
    <col min="5" max="5" width="0.33203125" style="3" customWidth="1"/>
    <col min="6" max="6" width="24" style="3" customWidth="1"/>
    <col min="7" max="7" width="18.33203125" style="3" customWidth="1"/>
    <col min="8" max="8" width="19.5546875" style="3" customWidth="1"/>
    <col min="9" max="9" width="17.5546875" style="3" customWidth="1"/>
    <col min="10" max="10" width="19.109375" style="3" customWidth="1"/>
    <col min="11" max="11" width="18.109375" style="3" customWidth="1"/>
    <col min="12" max="12" width="16.44140625" style="3" customWidth="1"/>
    <col min="13" max="13" width="17.44140625" style="3" customWidth="1"/>
    <col min="14" max="16384" width="25.6640625" style="3"/>
  </cols>
  <sheetData>
    <row r="1" spans="2:21" s="25" customFormat="1" ht="30" customHeight="1">
      <c r="D1" s="26"/>
      <c r="F1" s="123" t="s">
        <v>58</v>
      </c>
      <c r="I1" s="27"/>
      <c r="J1" s="27"/>
      <c r="K1" s="27"/>
      <c r="L1" s="27"/>
      <c r="M1" s="28"/>
      <c r="N1" s="28"/>
      <c r="O1" s="28"/>
      <c r="P1" s="28"/>
      <c r="Q1" s="28"/>
      <c r="R1" s="28"/>
      <c r="S1" s="28"/>
      <c r="T1" s="28"/>
      <c r="U1" s="28"/>
    </row>
    <row r="2" spans="2:21" s="1" customFormat="1" ht="15" customHeight="1">
      <c r="B2" s="2"/>
    </row>
    <row r="3" spans="2:21" s="1" customFormat="1" ht="30" customHeight="1">
      <c r="B3" s="134" t="s">
        <v>181</v>
      </c>
      <c r="C3" s="246" t="s">
        <v>116</v>
      </c>
      <c r="D3" s="247"/>
      <c r="E3" s="247"/>
      <c r="F3" s="247"/>
      <c r="G3" s="248"/>
    </row>
    <row r="4" spans="2:21" s="1" customFormat="1" ht="14.25" customHeight="1">
      <c r="B4" s="2"/>
    </row>
    <row r="5" spans="2:21" s="1" customFormat="1" ht="30" customHeight="1">
      <c r="C5" s="133" t="s">
        <v>13</v>
      </c>
      <c r="D5" s="6" t="s">
        <v>139</v>
      </c>
      <c r="E5" s="7"/>
      <c r="F5" s="8"/>
      <c r="G5" s="9"/>
      <c r="H5" s="9"/>
      <c r="I5" s="9"/>
    </row>
    <row r="6" spans="2:21" s="1" customFormat="1" ht="5.0999999999999996" customHeight="1">
      <c r="C6" s="9"/>
      <c r="D6" s="9"/>
      <c r="E6" s="9"/>
      <c r="F6" s="9"/>
      <c r="G6" s="9"/>
      <c r="H6" s="9"/>
      <c r="I6" s="9"/>
      <c r="N6" s="2"/>
    </row>
    <row r="7" spans="2:21" s="1" customFormat="1" ht="30" customHeight="1">
      <c r="D7" s="112" t="s">
        <v>117</v>
      </c>
      <c r="I7" s="9"/>
      <c r="O7" s="4"/>
    </row>
    <row r="8" spans="2:21" s="1" customFormat="1" ht="30" customHeight="1">
      <c r="D8" s="13"/>
      <c r="I8" s="11"/>
    </row>
    <row r="9" spans="2:21" s="1" customFormat="1" ht="30" customHeight="1">
      <c r="D9" s="14"/>
      <c r="I9" s="11"/>
    </row>
    <row r="10" spans="2:21" s="1" customFormat="1" ht="11.25" customHeight="1">
      <c r="I10" s="11"/>
    </row>
    <row r="11" spans="2:21" s="1" customFormat="1" ht="2.1" customHeight="1">
      <c r="D11" s="114"/>
      <c r="E11" s="114"/>
      <c r="F11" s="114"/>
      <c r="I11" s="11"/>
    </row>
    <row r="12" spans="2:21" s="1" customFormat="1" ht="2.1" customHeight="1">
      <c r="I12" s="11"/>
    </row>
    <row r="13" spans="2:21" s="1" customFormat="1" ht="2.1" customHeight="1">
      <c r="D13" s="15"/>
      <c r="E13" s="15"/>
      <c r="F13" s="15"/>
      <c r="I13" s="11"/>
    </row>
    <row r="14" spans="2:21" s="1" customFormat="1" ht="30" customHeight="1">
      <c r="D14" s="161" t="s">
        <v>137</v>
      </c>
      <c r="E14" s="162"/>
      <c r="F14" s="201">
        <v>5000</v>
      </c>
      <c r="I14" s="11"/>
    </row>
    <row r="15" spans="2:21" s="1" customFormat="1" ht="2.1" customHeight="1">
      <c r="D15" s="202"/>
      <c r="E15" s="202"/>
      <c r="F15" s="202"/>
      <c r="I15" s="11"/>
    </row>
    <row r="16" spans="2:21" s="1" customFormat="1" ht="30" customHeight="1">
      <c r="D16" s="161" t="s">
        <v>121</v>
      </c>
      <c r="E16" s="162"/>
      <c r="F16" s="203">
        <v>0.05</v>
      </c>
      <c r="I16" s="11"/>
    </row>
    <row r="17" spans="3:9" s="1" customFormat="1" ht="2.1" customHeight="1">
      <c r="D17" s="202"/>
      <c r="E17" s="202"/>
      <c r="F17" s="202"/>
      <c r="I17" s="11"/>
    </row>
    <row r="18" spans="3:9" s="1" customFormat="1" ht="30" customHeight="1">
      <c r="D18" s="204" t="s">
        <v>131</v>
      </c>
      <c r="E18" s="205"/>
      <c r="F18" s="204">
        <v>5</v>
      </c>
      <c r="I18" s="11"/>
    </row>
    <row r="19" spans="3:9" s="1" customFormat="1" ht="2.1" customHeight="1">
      <c r="D19" s="161"/>
      <c r="E19" s="161"/>
      <c r="F19" s="161"/>
      <c r="I19" s="11"/>
    </row>
    <row r="20" spans="3:9" s="1" customFormat="1" ht="2.1" customHeight="1">
      <c r="D20" s="162"/>
      <c r="E20" s="161"/>
      <c r="F20" s="162"/>
      <c r="I20" s="11"/>
    </row>
    <row r="21" spans="3:9" s="1" customFormat="1" ht="2.1" customHeight="1">
      <c r="D21" s="161"/>
      <c r="E21" s="161"/>
      <c r="F21" s="161"/>
      <c r="I21" s="11"/>
    </row>
    <row r="22" spans="3:9" s="1" customFormat="1" ht="30" customHeight="1">
      <c r="D22" s="161" t="s">
        <v>138</v>
      </c>
      <c r="E22" s="162"/>
      <c r="F22" s="206">
        <f>F14/(1+F16)^F18</f>
        <v>3917.6308323422945</v>
      </c>
      <c r="I22" s="11"/>
    </row>
    <row r="23" spans="3:9" s="1" customFormat="1" ht="2.1" customHeight="1">
      <c r="C23" s="11"/>
      <c r="D23" s="11"/>
      <c r="E23" s="11"/>
      <c r="F23" s="11"/>
      <c r="G23" s="11"/>
      <c r="H23" s="11"/>
      <c r="I23" s="11"/>
    </row>
    <row r="24" spans="3:9" s="1" customFormat="1" ht="2.1" customHeight="1">
      <c r="C24" s="11"/>
      <c r="D24" s="113"/>
      <c r="E24" s="11"/>
      <c r="F24" s="113"/>
      <c r="G24" s="11"/>
      <c r="H24" s="11"/>
      <c r="I24" s="11"/>
    </row>
    <row r="25" spans="3:9" s="1" customFormat="1" ht="2.1" customHeight="1">
      <c r="C25" s="11"/>
      <c r="D25" s="11"/>
      <c r="E25" s="11"/>
      <c r="F25" s="11"/>
      <c r="G25" s="11"/>
      <c r="H25" s="11"/>
      <c r="I25" s="11"/>
    </row>
    <row r="26" spans="3:9" s="1" customFormat="1" ht="30" customHeight="1">
      <c r="C26" s="11"/>
      <c r="D26" s="11"/>
      <c r="E26" s="11"/>
      <c r="F26" s="11"/>
      <c r="G26" s="11"/>
      <c r="H26" s="11"/>
      <c r="I26" s="11"/>
    </row>
    <row r="27" spans="3:9" s="1" customFormat="1" ht="30" customHeight="1">
      <c r="C27" s="133" t="s">
        <v>17</v>
      </c>
      <c r="D27" s="149" t="s">
        <v>140</v>
      </c>
      <c r="E27" s="7"/>
      <c r="F27" s="8"/>
    </row>
    <row r="28" spans="3:9" s="1" customFormat="1" ht="5.0999999999999996" customHeight="1"/>
    <row r="29" spans="3:9" s="1" customFormat="1" ht="37.5" customHeight="1">
      <c r="D29" s="252" t="s">
        <v>117</v>
      </c>
      <c r="E29" s="252"/>
      <c r="F29" s="252"/>
    </row>
    <row r="30" spans="3:9" s="1" customFormat="1" ht="30" customHeight="1">
      <c r="D30" s="16"/>
      <c r="E30" s="17"/>
      <c r="F30" s="18"/>
    </row>
    <row r="31" spans="3:9" s="1" customFormat="1" ht="30" customHeight="1">
      <c r="D31" s="19"/>
      <c r="E31" s="15"/>
      <c r="F31" s="20"/>
    </row>
    <row r="32" spans="3:9" s="1" customFormat="1" ht="12.75" customHeight="1"/>
    <row r="33" spans="1:13" s="1" customFormat="1" ht="2.1" customHeight="1">
      <c r="D33" s="114"/>
      <c r="F33" s="114"/>
    </row>
    <row r="34" spans="1:13" s="1" customFormat="1" ht="2.1" customHeight="1">
      <c r="D34" s="15"/>
      <c r="F34" s="15"/>
    </row>
    <row r="35" spans="1:13" s="1" customFormat="1" ht="2.1" customHeight="1"/>
    <row r="36" spans="1:13" s="1" customFormat="1" ht="30" customHeight="1">
      <c r="D36" s="158" t="s">
        <v>121</v>
      </c>
      <c r="E36" s="160"/>
      <c r="F36" s="198">
        <v>0.12</v>
      </c>
    </row>
    <row r="37" spans="1:13" s="1" customFormat="1" ht="2.1" customHeight="1">
      <c r="D37" s="191"/>
      <c r="E37" s="191"/>
      <c r="F37" s="191"/>
    </row>
    <row r="38" spans="1:13" s="1" customFormat="1" ht="30" customHeight="1">
      <c r="D38" s="158" t="s">
        <v>131</v>
      </c>
      <c r="E38" s="160"/>
      <c r="F38" s="207">
        <v>30</v>
      </c>
    </row>
    <row r="39" spans="1:13" s="1" customFormat="1" ht="2.1" customHeight="1">
      <c r="D39" s="191"/>
      <c r="E39" s="191"/>
      <c r="F39" s="191"/>
    </row>
    <row r="40" spans="1:13" s="1" customFormat="1" ht="30" customHeight="1">
      <c r="D40" s="199" t="s">
        <v>141</v>
      </c>
      <c r="E40" s="200"/>
      <c r="F40" s="199">
        <v>360</v>
      </c>
    </row>
    <row r="41" spans="1:13" s="1" customFormat="1" ht="2.1" customHeight="1">
      <c r="D41" s="158"/>
      <c r="E41" s="158"/>
      <c r="F41" s="158"/>
    </row>
    <row r="42" spans="1:13" s="1" customFormat="1" ht="2.1" customHeight="1">
      <c r="D42" s="160"/>
      <c r="E42" s="158"/>
      <c r="F42" s="160"/>
    </row>
    <row r="43" spans="1:13" s="1" customFormat="1" ht="2.1" customHeight="1">
      <c r="D43" s="158"/>
      <c r="E43" s="158"/>
      <c r="F43" s="158"/>
    </row>
    <row r="44" spans="1:13" s="1" customFormat="1" ht="30" customHeight="1">
      <c r="D44" s="158" t="s">
        <v>142</v>
      </c>
      <c r="E44" s="160"/>
      <c r="F44" s="165">
        <f>((1+F36)^(F38/F40))-1</f>
        <v>9.4887929345830457E-3</v>
      </c>
      <c r="G44" s="256" t="s">
        <v>214</v>
      </c>
    </row>
    <row r="45" spans="1:13" s="1" customFormat="1" ht="2.1" customHeight="1">
      <c r="D45" s="115"/>
      <c r="E45" s="115"/>
      <c r="F45" s="115"/>
    </row>
    <row r="46" spans="1:13" ht="2.1" customHeight="1">
      <c r="A46" s="1"/>
      <c r="B46" s="1"/>
      <c r="C46" s="1"/>
      <c r="D46" s="117"/>
      <c r="E46" s="115"/>
      <c r="F46" s="117"/>
      <c r="G46" s="1"/>
      <c r="H46" s="1"/>
      <c r="I46" s="1"/>
      <c r="J46" s="1"/>
      <c r="K46" s="1"/>
      <c r="L46" s="1"/>
      <c r="M46" s="1"/>
    </row>
    <row r="47" spans="1:13" ht="30" customHeight="1">
      <c r="A47" s="1"/>
      <c r="B47" s="1"/>
      <c r="C47" s="1"/>
      <c r="D47" s="116"/>
      <c r="E47" s="116"/>
      <c r="F47" s="116"/>
      <c r="G47" s="1"/>
      <c r="H47" s="1"/>
      <c r="I47" s="1"/>
      <c r="J47" s="1"/>
      <c r="K47" s="1"/>
      <c r="L47" s="1"/>
      <c r="M47" s="1"/>
    </row>
    <row r="48" spans="1:13" ht="30" customHeight="1">
      <c r="A48" s="1"/>
      <c r="B48" s="1"/>
      <c r="C48" s="133" t="s">
        <v>126</v>
      </c>
      <c r="D48" s="135" t="s">
        <v>149</v>
      </c>
      <c r="E48" s="7"/>
      <c r="F48" s="8"/>
      <c r="G48" s="1"/>
      <c r="H48" s="1"/>
      <c r="I48" s="1"/>
      <c r="J48" s="1"/>
      <c r="K48" s="1"/>
      <c r="L48" s="1"/>
      <c r="M48" s="1"/>
    </row>
    <row r="49" spans="1:13" ht="10.5" customHeight="1">
      <c r="A49" s="1"/>
      <c r="B49" s="1"/>
      <c r="C49" s="9"/>
      <c r="D49" s="21" t="s">
        <v>150</v>
      </c>
      <c r="E49" s="9"/>
      <c r="F49" s="9"/>
      <c r="G49" s="1"/>
      <c r="H49" s="1"/>
      <c r="I49" s="1"/>
      <c r="J49" s="1"/>
      <c r="K49" s="1"/>
      <c r="L49" s="1"/>
      <c r="M49" s="1"/>
    </row>
    <row r="50" spans="1:13" ht="30" customHeight="1">
      <c r="A50" s="1"/>
      <c r="B50" s="1"/>
      <c r="C50" s="1"/>
      <c r="D50" s="252" t="s">
        <v>117</v>
      </c>
      <c r="E50" s="252"/>
      <c r="F50" s="252"/>
      <c r="G50" s="1"/>
      <c r="H50" s="1"/>
      <c r="I50" s="1"/>
      <c r="J50" s="1"/>
      <c r="K50" s="1"/>
      <c r="L50" s="1"/>
      <c r="M50" s="1"/>
    </row>
    <row r="51" spans="1:13" ht="30" customHeight="1">
      <c r="A51" s="1"/>
      <c r="B51" s="1"/>
      <c r="C51" s="1"/>
      <c r="D51" s="16"/>
      <c r="E51" s="17"/>
      <c r="F51" s="18"/>
      <c r="G51" s="1"/>
      <c r="H51" s="1"/>
      <c r="I51" s="1"/>
      <c r="J51" s="1"/>
      <c r="K51" s="1"/>
      <c r="L51" s="1"/>
      <c r="M51" s="1"/>
    </row>
    <row r="52" spans="1:13" ht="24" customHeight="1">
      <c r="A52" s="1"/>
      <c r="B52" s="1"/>
      <c r="C52" s="1"/>
      <c r="D52" s="19"/>
      <c r="E52" s="15"/>
      <c r="F52" s="20"/>
      <c r="G52" s="1"/>
      <c r="H52" s="1"/>
      <c r="I52" s="1"/>
      <c r="J52" s="1"/>
      <c r="K52" s="1"/>
      <c r="L52" s="1"/>
      <c r="M52" s="1"/>
    </row>
    <row r="53" spans="1:13" ht="8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.1" customHeight="1">
      <c r="A54" s="1"/>
      <c r="B54" s="1"/>
      <c r="C54" s="1"/>
      <c r="D54" s="114"/>
      <c r="E54" s="1"/>
      <c r="F54" s="114"/>
      <c r="G54" s="1"/>
      <c r="H54" s="1"/>
      <c r="I54" s="1"/>
      <c r="J54" s="1"/>
      <c r="K54" s="1"/>
      <c r="L54" s="1"/>
      <c r="M54" s="1"/>
    </row>
    <row r="55" spans="1:13" ht="2.1" customHeight="1">
      <c r="A55" s="1"/>
      <c r="B55" s="1"/>
      <c r="C55" s="1"/>
      <c r="D55" s="15"/>
      <c r="E55" s="1"/>
      <c r="F55" s="15"/>
      <c r="G55" s="1"/>
      <c r="H55" s="1"/>
      <c r="I55" s="1"/>
      <c r="J55" s="1"/>
      <c r="K55" s="1"/>
      <c r="L55" s="1"/>
      <c r="M55" s="1"/>
    </row>
    <row r="56" spans="1:13" ht="2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30" customHeight="1">
      <c r="A57" s="1"/>
      <c r="B57" s="1"/>
      <c r="C57" s="1"/>
      <c r="D57" s="158" t="s">
        <v>143</v>
      </c>
      <c r="E57" s="160"/>
      <c r="F57" s="207">
        <v>5</v>
      </c>
      <c r="G57" s="121"/>
      <c r="H57" s="1"/>
      <c r="I57" s="1"/>
      <c r="J57" s="1"/>
      <c r="K57" s="1"/>
      <c r="L57" s="1"/>
      <c r="M57" s="1"/>
    </row>
    <row r="58" spans="1:13" ht="2.1" customHeight="1">
      <c r="A58" s="1"/>
      <c r="B58" s="1"/>
      <c r="C58" s="1"/>
      <c r="D58" s="191"/>
      <c r="E58" s="191"/>
      <c r="F58" s="191"/>
      <c r="G58" s="121"/>
      <c r="H58" s="1"/>
      <c r="I58" s="1"/>
      <c r="J58" s="1"/>
      <c r="K58" s="1"/>
      <c r="L58" s="1"/>
      <c r="M58" s="1"/>
    </row>
    <row r="59" spans="1:13" ht="30" customHeight="1">
      <c r="A59" s="1"/>
      <c r="B59" s="1"/>
      <c r="C59" s="1"/>
      <c r="D59" s="199" t="s">
        <v>144</v>
      </c>
      <c r="E59" s="200"/>
      <c r="F59" s="199">
        <v>2</v>
      </c>
      <c r="G59" s="121"/>
      <c r="H59" s="1"/>
      <c r="I59" s="1"/>
      <c r="J59" s="1"/>
      <c r="K59" s="1"/>
      <c r="L59" s="1"/>
      <c r="M59" s="1"/>
    </row>
    <row r="60" spans="1:13" ht="2.1" customHeight="1">
      <c r="A60" s="1"/>
      <c r="B60" s="1"/>
      <c r="C60" s="1"/>
      <c r="D60" s="158"/>
      <c r="E60" s="158"/>
      <c r="F60" s="158"/>
      <c r="G60" s="121"/>
      <c r="H60" s="1"/>
      <c r="I60" s="1"/>
      <c r="J60" s="1"/>
      <c r="K60" s="1"/>
      <c r="L60" s="1"/>
      <c r="M60" s="1"/>
    </row>
    <row r="61" spans="1:13" ht="2.1" customHeight="1">
      <c r="A61" s="1"/>
      <c r="B61" s="1"/>
      <c r="C61" s="1"/>
      <c r="D61" s="160"/>
      <c r="E61" s="158"/>
      <c r="F61" s="160"/>
      <c r="G61" s="121"/>
      <c r="H61" s="1"/>
      <c r="I61" s="1"/>
      <c r="J61" s="1"/>
      <c r="K61" s="1"/>
      <c r="L61" s="1"/>
      <c r="M61" s="1"/>
    </row>
    <row r="62" spans="1:13" ht="2.1" customHeight="1">
      <c r="A62" s="1"/>
      <c r="B62" s="1"/>
      <c r="C62" s="1"/>
      <c r="D62" s="158"/>
      <c r="E62" s="158"/>
      <c r="F62" s="158"/>
      <c r="G62" s="121"/>
      <c r="H62" s="1"/>
      <c r="I62" s="1"/>
      <c r="J62" s="1"/>
      <c r="K62" s="1"/>
      <c r="L62" s="1"/>
      <c r="M62" s="1"/>
    </row>
    <row r="63" spans="1:13" ht="30" customHeight="1">
      <c r="A63" s="1"/>
      <c r="B63" s="1"/>
      <c r="C63" s="1"/>
      <c r="D63" s="158" t="s">
        <v>145</v>
      </c>
      <c r="E63" s="160"/>
      <c r="F63" s="208">
        <f>F57^2+2*F57*F59+F59^2</f>
        <v>49</v>
      </c>
      <c r="G63" s="257" t="s">
        <v>215</v>
      </c>
      <c r="H63" s="1"/>
      <c r="I63" s="1"/>
      <c r="J63" s="1"/>
      <c r="K63" s="1"/>
      <c r="L63" s="1"/>
      <c r="M63" s="1"/>
    </row>
    <row r="64" spans="1:13" ht="2.1" customHeight="1">
      <c r="A64" s="1"/>
      <c r="B64" s="1"/>
      <c r="C64" s="11"/>
      <c r="D64" s="122"/>
      <c r="E64" s="122"/>
      <c r="F64" s="122"/>
      <c r="G64" s="121"/>
      <c r="H64" s="1"/>
      <c r="I64" s="1"/>
      <c r="J64" s="1"/>
      <c r="K64" s="1"/>
      <c r="L64" s="1"/>
      <c r="M64" s="1"/>
    </row>
    <row r="65" spans="1:13" ht="2.1" customHeight="1">
      <c r="A65" s="1"/>
      <c r="B65" s="1"/>
      <c r="C65" s="11"/>
      <c r="D65" s="117"/>
      <c r="E65" s="115"/>
      <c r="F65" s="117"/>
      <c r="G65" s="121"/>
      <c r="H65" s="1"/>
      <c r="I65" s="1"/>
      <c r="J65" s="1"/>
      <c r="K65" s="1"/>
      <c r="L65" s="1"/>
      <c r="M65" s="1"/>
    </row>
    <row r="66" spans="1:13" ht="2.1" customHeight="1">
      <c r="A66" s="1"/>
      <c r="B66" s="1"/>
      <c r="C66" s="1"/>
      <c r="D66" s="121"/>
      <c r="E66" s="121"/>
      <c r="F66" s="121"/>
      <c r="G66" s="121"/>
      <c r="H66" s="1"/>
      <c r="I66" s="1"/>
      <c r="J66" s="1"/>
      <c r="K66" s="1"/>
      <c r="L66" s="1"/>
      <c r="M66" s="1"/>
    </row>
    <row r="67" spans="1:13" ht="23.25" customHeight="1">
      <c r="A67" s="1"/>
      <c r="B67" s="1"/>
      <c r="C67" s="1"/>
      <c r="D67" s="121"/>
      <c r="E67" s="121"/>
      <c r="F67" s="121"/>
      <c r="G67" s="121"/>
      <c r="H67" s="1"/>
      <c r="I67" s="1"/>
      <c r="J67" s="1"/>
      <c r="K67" s="1"/>
      <c r="L67" s="1"/>
      <c r="M67" s="1"/>
    </row>
    <row r="68" spans="1:13" ht="30" customHeight="1">
      <c r="A68" s="1"/>
      <c r="B68" s="1"/>
      <c r="C68" s="133" t="s">
        <v>129</v>
      </c>
      <c r="D68" s="135" t="s">
        <v>148</v>
      </c>
      <c r="E68" s="7"/>
      <c r="F68" s="8"/>
      <c r="G68" s="1"/>
      <c r="H68" s="1"/>
      <c r="I68" s="1"/>
      <c r="J68" s="1"/>
      <c r="K68" s="1"/>
      <c r="L68" s="1"/>
      <c r="M68" s="1"/>
    </row>
    <row r="69" spans="1:13" ht="10.5" customHeight="1">
      <c r="A69" s="1"/>
      <c r="B69" s="1"/>
      <c r="C69" s="9"/>
      <c r="D69" s="9"/>
      <c r="E69" s="9"/>
      <c r="F69" s="9"/>
      <c r="G69" s="1"/>
      <c r="H69" s="1"/>
      <c r="I69" s="1"/>
      <c r="J69" s="1"/>
      <c r="K69" s="1"/>
      <c r="L69" s="1"/>
      <c r="M69" s="1"/>
    </row>
    <row r="70" spans="1:13" ht="30" customHeight="1">
      <c r="A70" s="1"/>
      <c r="B70" s="1"/>
      <c r="C70" s="1"/>
      <c r="D70" s="252" t="s">
        <v>117</v>
      </c>
      <c r="E70" s="252"/>
      <c r="F70" s="252"/>
      <c r="G70" s="1"/>
      <c r="H70" s="1"/>
      <c r="I70" s="1"/>
      <c r="J70" s="1"/>
      <c r="K70" s="1"/>
      <c r="L70" s="1"/>
      <c r="M70" s="1"/>
    </row>
    <row r="71" spans="1:13" ht="30" customHeight="1">
      <c r="A71" s="1"/>
      <c r="B71" s="1"/>
      <c r="C71" s="1"/>
      <c r="D71" s="16"/>
      <c r="E71" s="17"/>
      <c r="F71" s="18"/>
      <c r="G71" s="1"/>
      <c r="H71" s="1"/>
      <c r="I71" s="1"/>
      <c r="J71" s="1"/>
      <c r="K71" s="1"/>
      <c r="L71" s="1"/>
      <c r="M71" s="1"/>
    </row>
    <row r="72" spans="1:13" ht="41.25" customHeight="1">
      <c r="A72" s="1"/>
      <c r="B72" s="1"/>
      <c r="C72" s="1"/>
      <c r="D72" s="19"/>
      <c r="E72" s="15"/>
      <c r="F72" s="20"/>
      <c r="G72" s="1"/>
      <c r="H72" s="1"/>
      <c r="I72" s="1"/>
      <c r="J72" s="1"/>
      <c r="K72" s="1"/>
      <c r="L72" s="1"/>
      <c r="M72" s="1"/>
    </row>
    <row r="73" spans="1:13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2.1" customHeight="1">
      <c r="A74" s="1"/>
      <c r="B74" s="1"/>
      <c r="C74" s="1"/>
      <c r="D74" s="114"/>
      <c r="E74" s="1"/>
      <c r="F74" s="114"/>
      <c r="G74" s="1"/>
      <c r="H74" s="1"/>
      <c r="I74" s="1"/>
      <c r="J74" s="1"/>
      <c r="K74" s="1"/>
      <c r="L74" s="1"/>
      <c r="M74" s="1"/>
    </row>
    <row r="75" spans="1:13" ht="2.1" customHeight="1">
      <c r="A75" s="1"/>
      <c r="B75" s="1"/>
      <c r="C75" s="1"/>
      <c r="D75" s="15"/>
      <c r="E75" s="1"/>
      <c r="F75" s="15"/>
      <c r="G75" s="1"/>
      <c r="H75" s="1"/>
      <c r="I75" s="1"/>
      <c r="J75" s="1"/>
      <c r="K75" s="1"/>
      <c r="L75" s="1"/>
      <c r="M75" s="1"/>
    </row>
    <row r="76" spans="1:13" ht="2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30" customHeight="1">
      <c r="A77" s="1"/>
      <c r="B77" s="1"/>
      <c r="C77" s="1"/>
      <c r="D77" s="158" t="s">
        <v>146</v>
      </c>
      <c r="E77" s="160"/>
      <c r="F77" s="207">
        <v>4</v>
      </c>
      <c r="G77" s="1"/>
      <c r="H77" s="1"/>
      <c r="I77" s="1"/>
      <c r="J77" s="1"/>
      <c r="K77" s="1"/>
      <c r="L77" s="1"/>
      <c r="M77" s="1"/>
    </row>
    <row r="78" spans="1:13" ht="2.1" customHeight="1">
      <c r="A78" s="1"/>
      <c r="B78" s="1"/>
      <c r="C78" s="1"/>
      <c r="D78" s="191"/>
      <c r="E78" s="191"/>
      <c r="F78" s="191"/>
      <c r="G78" s="1"/>
      <c r="H78" s="1"/>
      <c r="I78" s="1"/>
      <c r="J78" s="1"/>
      <c r="K78" s="1"/>
      <c r="L78" s="1"/>
      <c r="M78" s="1"/>
    </row>
    <row r="79" spans="1:13" ht="30" customHeight="1">
      <c r="A79" s="1"/>
      <c r="B79" s="1"/>
      <c r="C79" s="1"/>
      <c r="D79" s="199" t="s">
        <v>147</v>
      </c>
      <c r="E79" s="200"/>
      <c r="F79" s="199">
        <v>6</v>
      </c>
      <c r="G79" s="1"/>
      <c r="H79" s="1"/>
      <c r="I79" s="1"/>
      <c r="J79" s="1"/>
      <c r="K79" s="1"/>
      <c r="L79" s="1"/>
      <c r="M79" s="1"/>
    </row>
    <row r="80" spans="1:13" ht="2.1" customHeight="1">
      <c r="A80" s="1"/>
      <c r="B80" s="1"/>
      <c r="C80" s="1"/>
      <c r="D80" s="158"/>
      <c r="E80" s="158"/>
      <c r="F80" s="158"/>
      <c r="G80" s="1"/>
      <c r="H80" s="1"/>
      <c r="I80" s="1"/>
      <c r="J80" s="1"/>
      <c r="K80" s="1"/>
      <c r="L80" s="1"/>
      <c r="M80" s="1"/>
    </row>
    <row r="81" spans="1:13" ht="2.1" customHeight="1">
      <c r="A81" s="1"/>
      <c r="B81" s="1"/>
      <c r="C81" s="1"/>
      <c r="D81" s="160"/>
      <c r="E81" s="160"/>
      <c r="F81" s="160"/>
      <c r="G81" s="1"/>
      <c r="H81" s="1"/>
      <c r="I81" s="1"/>
      <c r="J81" s="1"/>
      <c r="K81" s="1"/>
      <c r="L81" s="1"/>
      <c r="M81" s="1"/>
    </row>
    <row r="82" spans="1:13" ht="2.1" customHeight="1">
      <c r="A82" s="1"/>
      <c r="B82" s="1"/>
      <c r="C82" s="1"/>
      <c r="D82" s="158"/>
      <c r="E82" s="158"/>
      <c r="F82" s="158"/>
      <c r="G82" s="1"/>
      <c r="H82" s="1"/>
      <c r="I82" s="1"/>
      <c r="J82" s="1"/>
      <c r="K82" s="1"/>
      <c r="L82" s="1"/>
      <c r="M82" s="1"/>
    </row>
    <row r="83" spans="1:13" ht="30" customHeight="1">
      <c r="A83" s="1"/>
      <c r="B83" s="1"/>
      <c r="C83" s="1"/>
      <c r="D83" s="158" t="s">
        <v>143</v>
      </c>
      <c r="E83" s="160"/>
      <c r="F83" s="208">
        <f>F77^3+3*(F77^2)*F79+3*F77*F79^2+F79^3</f>
        <v>1000</v>
      </c>
      <c r="G83" s="1"/>
      <c r="H83" s="1"/>
      <c r="I83" s="1"/>
      <c r="J83" s="1"/>
      <c r="K83" s="1"/>
      <c r="L83" s="1"/>
      <c r="M83" s="1"/>
    </row>
    <row r="84" spans="1:13" ht="2.1" customHeight="1">
      <c r="A84" s="1"/>
      <c r="B84" s="1"/>
      <c r="C84" s="11"/>
      <c r="D84" s="11"/>
      <c r="E84" s="11"/>
      <c r="F84" s="11"/>
      <c r="G84" s="1"/>
      <c r="H84" s="1"/>
      <c r="I84" s="1"/>
      <c r="J84" s="1"/>
      <c r="K84" s="1"/>
      <c r="L84" s="1"/>
      <c r="M84" s="1"/>
    </row>
    <row r="85" spans="1:13" ht="2.1" customHeight="1">
      <c r="C85" s="11"/>
      <c r="D85" s="113"/>
      <c r="E85" s="11"/>
      <c r="F85" s="113"/>
      <c r="G85" s="1"/>
    </row>
    <row r="86" spans="1:13" ht="30" customHeight="1"/>
    <row r="87" spans="1:13" ht="30" customHeight="1"/>
    <row r="88" spans="1:13" ht="30" customHeight="1"/>
    <row r="89" spans="1:13" ht="30" customHeight="1"/>
    <row r="90" spans="1:13" ht="30" customHeight="1"/>
    <row r="91" spans="1:13" ht="30" customHeight="1"/>
    <row r="92" spans="1:13" ht="30" customHeight="1"/>
    <row r="93" spans="1:13" ht="30" customHeight="1"/>
    <row r="94" spans="1:13" ht="30" customHeight="1"/>
    <row r="95" spans="1:13" ht="30" customHeight="1"/>
    <row r="96" spans="1:13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</sheetData>
  <sheetProtection selectLockedCells="1"/>
  <mergeCells count="4">
    <mergeCell ref="C3:G3"/>
    <mergeCell ref="D29:F29"/>
    <mergeCell ref="D50:F50"/>
    <mergeCell ref="D70:F70"/>
  </mergeCells>
  <printOptions headings="1"/>
  <pageMargins left="0.39370078740157483" right="0.39370078740157483" top="0.39370078740157483" bottom="0.39370078740157483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U264"/>
  <sheetViews>
    <sheetView tabSelected="1" zoomScale="130" zoomScaleNormal="130" workbookViewId="0">
      <selection activeCell="M49" sqref="M49"/>
    </sheetView>
  </sheetViews>
  <sheetFormatPr baseColWidth="10" defaultColWidth="25.6640625" defaultRowHeight="21.9" customHeight="1"/>
  <cols>
    <col min="1" max="1" width="2.5546875" style="3" customWidth="1"/>
    <col min="2" max="2" width="18.5546875" style="3" customWidth="1"/>
    <col min="3" max="3" width="15.6640625" style="3" customWidth="1"/>
    <col min="4" max="4" width="26.33203125" style="3" customWidth="1"/>
    <col min="5" max="5" width="17.5546875" style="3" customWidth="1"/>
    <col min="6" max="6" width="18.44140625" style="3" customWidth="1"/>
    <col min="7" max="7" width="18.33203125" style="3" customWidth="1"/>
    <col min="8" max="8" width="19.5546875" style="3" customWidth="1"/>
    <col min="9" max="9" width="17.5546875" style="3" customWidth="1"/>
    <col min="10" max="10" width="19.109375" style="3" customWidth="1"/>
    <col min="11" max="11" width="18.109375" style="3" customWidth="1"/>
    <col min="12" max="12" width="16.44140625" style="3" customWidth="1"/>
    <col min="13" max="13" width="17.44140625" style="3" customWidth="1"/>
    <col min="14" max="16384" width="25.6640625" style="3"/>
  </cols>
  <sheetData>
    <row r="1" spans="2:21" s="25" customFormat="1" ht="30" customHeight="1">
      <c r="D1" s="26"/>
      <c r="F1" s="123" t="s">
        <v>46</v>
      </c>
      <c r="I1" s="27"/>
      <c r="J1" s="27"/>
      <c r="K1" s="27"/>
      <c r="L1" s="27"/>
      <c r="M1" s="28"/>
      <c r="N1" s="28"/>
      <c r="O1" s="28"/>
      <c r="P1" s="28"/>
      <c r="Q1" s="28"/>
      <c r="R1" s="28"/>
      <c r="S1" s="28"/>
      <c r="T1" s="28"/>
      <c r="U1" s="28"/>
    </row>
    <row r="2" spans="2:21" s="1" customFormat="1" ht="15" customHeight="1">
      <c r="B2" s="2"/>
    </row>
    <row r="3" spans="2:21" s="1" customFormat="1" ht="30" customHeight="1">
      <c r="B3" s="134" t="s">
        <v>181</v>
      </c>
      <c r="C3" s="246" t="s">
        <v>211</v>
      </c>
      <c r="D3" s="247"/>
      <c r="E3" s="247"/>
      <c r="F3" s="247"/>
      <c r="G3" s="248"/>
    </row>
    <row r="4" spans="2:21" s="1" customFormat="1" ht="14.25" customHeight="1">
      <c r="B4" s="2"/>
    </row>
    <row r="5" spans="2:21" s="1" customFormat="1" ht="30" customHeight="1">
      <c r="C5" s="133" t="s">
        <v>13</v>
      </c>
      <c r="D5" s="135" t="s">
        <v>212</v>
      </c>
      <c r="E5" s="7"/>
      <c r="F5" s="8"/>
      <c r="G5" s="9"/>
      <c r="H5" s="9"/>
      <c r="I5" s="9"/>
    </row>
    <row r="6" spans="2:21" s="1" customFormat="1" ht="5.0999999999999996" customHeight="1" thickBot="1">
      <c r="C6" s="9"/>
      <c r="D6" s="9"/>
      <c r="E6" s="9"/>
      <c r="F6" s="9"/>
      <c r="G6" s="9"/>
      <c r="H6" s="9"/>
      <c r="I6" s="9"/>
      <c r="N6" s="2"/>
    </row>
    <row r="7" spans="2:21" s="1" customFormat="1" ht="30" customHeight="1">
      <c r="C7" s="9"/>
      <c r="D7" s="104" t="s">
        <v>5</v>
      </c>
      <c r="E7" s="107" t="s">
        <v>155</v>
      </c>
      <c r="F7" s="9"/>
      <c r="G7" s="9"/>
      <c r="M7" s="4"/>
    </row>
    <row r="8" spans="2:21" s="1" customFormat="1" ht="30" customHeight="1">
      <c r="C8" s="11"/>
      <c r="D8" s="145" t="s">
        <v>68</v>
      </c>
      <c r="E8" s="209">
        <v>20</v>
      </c>
      <c r="F8" s="11"/>
      <c r="G8" s="11"/>
    </row>
    <row r="9" spans="2:21" s="1" customFormat="1" ht="30" customHeight="1">
      <c r="C9" s="11"/>
      <c r="D9" s="145" t="s">
        <v>69</v>
      </c>
      <c r="E9" s="209">
        <v>22</v>
      </c>
      <c r="F9" s="11"/>
      <c r="G9" s="11"/>
    </row>
    <row r="10" spans="2:21" s="1" customFormat="1" ht="30" customHeight="1">
      <c r="C10" s="11"/>
      <c r="D10" s="145" t="s">
        <v>70</v>
      </c>
      <c r="E10" s="209">
        <v>24</v>
      </c>
      <c r="F10" s="11"/>
      <c r="G10" s="11"/>
    </row>
    <row r="11" spans="2:21" s="1" customFormat="1" ht="30" customHeight="1" thickBot="1">
      <c r="C11" s="11"/>
      <c r="D11" s="172" t="s">
        <v>71</v>
      </c>
      <c r="E11" s="210">
        <v>25</v>
      </c>
      <c r="F11" s="11"/>
      <c r="G11" s="11"/>
    </row>
    <row r="12" spans="2:21" s="1" customFormat="1" ht="30" customHeight="1" thickBot="1">
      <c r="C12" s="11"/>
      <c r="D12" s="173" t="s">
        <v>46</v>
      </c>
      <c r="E12" s="222">
        <f>AVERAGE(E8:E11)</f>
        <v>22.75</v>
      </c>
      <c r="F12" s="11"/>
      <c r="G12" s="11"/>
    </row>
    <row r="13" spans="2:21" s="1" customFormat="1" ht="30" customHeight="1">
      <c r="C13" s="11"/>
      <c r="D13" s="11"/>
      <c r="E13" s="11"/>
      <c r="F13" s="11"/>
      <c r="G13" s="11"/>
      <c r="H13" s="11"/>
      <c r="I13" s="11"/>
    </row>
    <row r="14" spans="2:21" s="1" customFormat="1" ht="30" customHeight="1">
      <c r="C14" s="133" t="s">
        <v>17</v>
      </c>
      <c r="D14" s="135" t="s">
        <v>154</v>
      </c>
      <c r="E14" s="7"/>
      <c r="F14" s="8"/>
    </row>
    <row r="15" spans="2:21" s="1" customFormat="1" ht="5.0999999999999996" customHeight="1" thickBot="1"/>
    <row r="16" spans="2:21" s="1" customFormat="1" ht="37.5" customHeight="1">
      <c r="D16" s="104" t="s">
        <v>151</v>
      </c>
      <c r="E16" s="108" t="s">
        <v>152</v>
      </c>
      <c r="F16" s="106" t="s">
        <v>153</v>
      </c>
      <c r="G16" s="107" t="s">
        <v>46</v>
      </c>
    </row>
    <row r="17" spans="1:13" s="1" customFormat="1" ht="30" customHeight="1">
      <c r="D17" s="145" t="s">
        <v>68</v>
      </c>
      <c r="E17" s="211">
        <v>18</v>
      </c>
      <c r="F17" s="211">
        <v>16</v>
      </c>
      <c r="G17" s="212">
        <f>AVERAGE(E17:F17)</f>
        <v>17</v>
      </c>
    </row>
    <row r="18" spans="1:13" s="1" customFormat="1" ht="30" customHeight="1">
      <c r="D18" s="145" t="s">
        <v>69</v>
      </c>
      <c r="E18" s="213">
        <v>5</v>
      </c>
      <c r="F18" s="213">
        <v>9</v>
      </c>
      <c r="G18" s="212">
        <f t="shared" ref="G18:G19" si="0">AVERAGE(E18:F18)</f>
        <v>7</v>
      </c>
    </row>
    <row r="19" spans="1:13" s="1" customFormat="1" ht="30" customHeight="1">
      <c r="D19" s="145" t="s">
        <v>70</v>
      </c>
      <c r="E19" s="211">
        <v>13</v>
      </c>
      <c r="F19" s="211">
        <v>14</v>
      </c>
      <c r="G19" s="212">
        <f t="shared" si="0"/>
        <v>13.5</v>
      </c>
    </row>
    <row r="20" spans="1:13" s="1" customFormat="1" ht="30" customHeight="1" thickBot="1">
      <c r="D20" s="150" t="s">
        <v>71</v>
      </c>
      <c r="E20" s="214">
        <v>16</v>
      </c>
      <c r="F20" s="214">
        <v>11</v>
      </c>
      <c r="G20" s="212">
        <f>AVERAGE(E20:F20)</f>
        <v>13.5</v>
      </c>
    </row>
    <row r="21" spans="1:13" s="1" customFormat="1" ht="30" customHeight="1"/>
    <row r="22" spans="1:13" s="1" customFormat="1" ht="30" customHeight="1">
      <c r="C22" s="133" t="s">
        <v>24</v>
      </c>
      <c r="D22" s="135" t="s">
        <v>168</v>
      </c>
      <c r="E22" s="7"/>
      <c r="F22" s="7"/>
      <c r="G22" s="10"/>
    </row>
    <row r="23" spans="1:13" s="1" customFormat="1" ht="5.0999999999999996" customHeight="1" thickBot="1"/>
    <row r="24" spans="1:13" s="1" customFormat="1" ht="30" customHeight="1">
      <c r="D24" s="243" t="s">
        <v>167</v>
      </c>
      <c r="E24" s="244"/>
      <c r="F24" s="244"/>
      <c r="G24" s="245"/>
    </row>
    <row r="25" spans="1:13" s="1" customFormat="1" ht="30" customHeight="1">
      <c r="D25" s="109" t="s">
        <v>7</v>
      </c>
      <c r="E25" s="49" t="s">
        <v>156</v>
      </c>
      <c r="F25" s="110" t="s">
        <v>157</v>
      </c>
      <c r="G25" s="118" t="s">
        <v>158</v>
      </c>
    </row>
    <row r="26" spans="1:13" s="1" customFormat="1" ht="30" customHeight="1">
      <c r="D26" s="145" t="s">
        <v>159</v>
      </c>
      <c r="E26" s="146">
        <v>1500</v>
      </c>
      <c r="F26" s="146">
        <v>1000</v>
      </c>
      <c r="G26" s="215">
        <v>2000</v>
      </c>
    </row>
    <row r="27" spans="1:13" ht="30" customHeight="1">
      <c r="A27" s="1"/>
      <c r="B27" s="1"/>
      <c r="C27" s="1"/>
      <c r="D27" s="145" t="s">
        <v>160</v>
      </c>
      <c r="E27" s="146">
        <v>1200</v>
      </c>
      <c r="F27" s="146">
        <v>1999</v>
      </c>
      <c r="G27" s="215">
        <v>1896</v>
      </c>
      <c r="H27" s="1"/>
      <c r="I27" s="1"/>
      <c r="J27" s="1"/>
      <c r="K27" s="1"/>
      <c r="L27" s="1"/>
    </row>
    <row r="28" spans="1:13" ht="30" customHeight="1">
      <c r="A28" s="1"/>
      <c r="B28" s="1"/>
      <c r="C28" s="1"/>
      <c r="D28" s="145" t="s">
        <v>161</v>
      </c>
      <c r="E28" s="146">
        <v>1600</v>
      </c>
      <c r="F28" s="146">
        <v>2500</v>
      </c>
      <c r="G28" s="215">
        <v>2156</v>
      </c>
      <c r="H28" s="1"/>
      <c r="I28" s="1"/>
      <c r="J28" s="1"/>
      <c r="K28" s="1"/>
      <c r="L28" s="1"/>
    </row>
    <row r="29" spans="1:13" ht="30" customHeight="1">
      <c r="A29" s="1"/>
      <c r="B29" s="1"/>
      <c r="C29" s="1"/>
      <c r="D29" s="145" t="s">
        <v>162</v>
      </c>
      <c r="E29" s="146">
        <v>1253</v>
      </c>
      <c r="F29" s="146">
        <v>1978</v>
      </c>
      <c r="G29" s="215">
        <v>1265</v>
      </c>
      <c r="H29" s="1"/>
      <c r="I29" s="1"/>
      <c r="J29" s="1"/>
      <c r="K29" s="1"/>
      <c r="L29" s="1"/>
    </row>
    <row r="30" spans="1:13" ht="30" customHeight="1" thickBot="1">
      <c r="A30" s="1"/>
      <c r="B30" s="1"/>
      <c r="C30" s="1"/>
      <c r="D30" s="150" t="s">
        <v>163</v>
      </c>
      <c r="E30" s="151">
        <v>1100</v>
      </c>
      <c r="F30" s="151">
        <v>1562</v>
      </c>
      <c r="G30" s="216">
        <v>2563</v>
      </c>
      <c r="H30" s="1"/>
      <c r="I30" s="1"/>
      <c r="J30" s="1"/>
      <c r="K30" s="1"/>
      <c r="L30" s="1"/>
    </row>
    <row r="31" spans="1:13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.1" customHeight="1">
      <c r="A32" s="1"/>
      <c r="B32" s="1"/>
      <c r="C32" s="1"/>
      <c r="D32" s="114"/>
      <c r="E32" s="114"/>
      <c r="F32" s="1"/>
      <c r="G32" s="1"/>
      <c r="H32" s="1"/>
      <c r="I32" s="1"/>
      <c r="J32" s="1"/>
      <c r="K32" s="1"/>
      <c r="L32" s="1"/>
      <c r="M32" s="1"/>
    </row>
    <row r="33" spans="1:13" ht="2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30" customHeight="1">
      <c r="A34" s="1"/>
      <c r="B34" s="1"/>
      <c r="C34" s="1"/>
      <c r="D34" s="217" t="s">
        <v>164</v>
      </c>
      <c r="E34" s="223">
        <f>AVERAGE(E26:E30)</f>
        <v>1330.6</v>
      </c>
      <c r="F34" s="1"/>
      <c r="G34" s="1"/>
      <c r="H34" s="1"/>
      <c r="I34" s="1"/>
      <c r="J34" s="1"/>
      <c r="K34" s="1"/>
      <c r="L34" s="1"/>
      <c r="M34" s="1"/>
    </row>
    <row r="35" spans="1:13" ht="2.1" customHeight="1">
      <c r="A35" s="1"/>
      <c r="B35" s="1"/>
      <c r="C35" s="1"/>
      <c r="D35" s="189"/>
      <c r="E35" s="189"/>
      <c r="F35" s="1"/>
      <c r="G35" s="1"/>
      <c r="H35" s="1"/>
      <c r="I35" s="1"/>
      <c r="J35" s="1"/>
      <c r="K35" s="1"/>
      <c r="L35" s="1"/>
      <c r="M35" s="1"/>
    </row>
    <row r="36" spans="1:13" ht="30" customHeight="1">
      <c r="A36" s="1"/>
      <c r="B36" s="1"/>
      <c r="C36" s="1"/>
      <c r="D36" s="190" t="s">
        <v>165</v>
      </c>
      <c r="E36" s="224">
        <f>AVERAGE(F26:F30)</f>
        <v>1807.8</v>
      </c>
      <c r="F36" s="1"/>
      <c r="G36" s="1"/>
      <c r="H36" s="1"/>
      <c r="I36" s="1"/>
      <c r="J36" s="1"/>
      <c r="K36" s="1"/>
      <c r="L36" s="1"/>
      <c r="M36" s="1"/>
    </row>
    <row r="37" spans="1:13" ht="2.1" customHeight="1">
      <c r="A37" s="1"/>
      <c r="B37" s="1"/>
      <c r="C37" s="1"/>
      <c r="D37" s="189"/>
      <c r="E37" s="189"/>
      <c r="F37" s="1"/>
      <c r="G37" s="1"/>
      <c r="H37" s="1"/>
      <c r="I37" s="1"/>
      <c r="J37" s="1"/>
      <c r="K37" s="1"/>
      <c r="L37" s="1"/>
      <c r="M37" s="1"/>
    </row>
    <row r="38" spans="1:13" ht="30" customHeight="1">
      <c r="A38" s="1"/>
      <c r="B38" s="1"/>
      <c r="C38" s="1"/>
      <c r="D38" s="190" t="s">
        <v>166</v>
      </c>
      <c r="E38" s="224">
        <f>AVERAGE(G26:G30)</f>
        <v>1976</v>
      </c>
      <c r="F38" s="1"/>
      <c r="G38" s="1"/>
      <c r="H38" s="1"/>
      <c r="I38" s="1"/>
      <c r="J38" s="1"/>
      <c r="K38" s="1"/>
      <c r="L38" s="1"/>
      <c r="M38" s="1"/>
    </row>
    <row r="39" spans="1:13" ht="2.1" customHeight="1">
      <c r="A39" s="1"/>
      <c r="B39" s="1"/>
      <c r="C39" s="1"/>
      <c r="D39" s="17"/>
      <c r="E39" s="17"/>
      <c r="F39" s="1"/>
      <c r="G39" s="1"/>
      <c r="H39" s="1"/>
      <c r="I39" s="1"/>
      <c r="J39" s="1"/>
      <c r="K39" s="1"/>
      <c r="L39" s="1"/>
      <c r="M39" s="1"/>
    </row>
    <row r="40" spans="1:13" ht="2.1" customHeight="1">
      <c r="A40" s="1"/>
      <c r="B40" s="1"/>
      <c r="C40" s="1"/>
      <c r="D40" s="114"/>
      <c r="E40" s="114"/>
      <c r="F40" s="1"/>
      <c r="G40" s="1"/>
      <c r="H40" s="1"/>
      <c r="I40" s="1"/>
      <c r="J40" s="1"/>
      <c r="K40" s="1"/>
      <c r="L40" s="1"/>
      <c r="M40" s="1"/>
    </row>
    <row r="41" spans="1:13" ht="2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30" customHeight="1">
      <c r="A43" s="1"/>
      <c r="B43" s="1"/>
      <c r="C43" s="133" t="s">
        <v>40</v>
      </c>
      <c r="D43" s="135" t="s">
        <v>202</v>
      </c>
      <c r="E43" s="7"/>
      <c r="F43" s="7"/>
      <c r="G43" s="10"/>
      <c r="H43" s="1"/>
      <c r="I43" s="1"/>
      <c r="J43" s="1"/>
      <c r="K43" s="1"/>
      <c r="L43" s="1"/>
      <c r="M43" s="1"/>
    </row>
    <row r="44" spans="1:13" ht="9" customHeight="1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6.75" customHeight="1">
      <c r="A45" s="1"/>
      <c r="B45" s="1"/>
      <c r="C45" s="1"/>
      <c r="D45" s="104" t="s">
        <v>151</v>
      </c>
      <c r="E45" s="108" t="s">
        <v>152</v>
      </c>
      <c r="F45" s="106" t="s">
        <v>153</v>
      </c>
      <c r="G45" s="106" t="s">
        <v>169</v>
      </c>
      <c r="H45" s="108" t="s">
        <v>170</v>
      </c>
      <c r="I45" s="106" t="s">
        <v>171</v>
      </c>
      <c r="J45" s="106" t="s">
        <v>172</v>
      </c>
      <c r="K45" s="107" t="s">
        <v>173</v>
      </c>
      <c r="L45" s="1"/>
      <c r="M45" s="1"/>
    </row>
    <row r="46" spans="1:13" ht="30" customHeight="1">
      <c r="A46" s="1"/>
      <c r="B46" s="1"/>
      <c r="C46" s="1"/>
      <c r="D46" s="145" t="s">
        <v>68</v>
      </c>
      <c r="E46" s="211">
        <v>20</v>
      </c>
      <c r="F46" s="211">
        <v>19</v>
      </c>
      <c r="G46" s="218">
        <f>AVERAGE(E46:F46)</f>
        <v>19.5</v>
      </c>
      <c r="H46" s="211">
        <v>18</v>
      </c>
      <c r="I46" s="211">
        <v>19</v>
      </c>
      <c r="J46" s="218">
        <f>AVERAGE(H46:I46)</f>
        <v>18.5</v>
      </c>
      <c r="K46" s="219">
        <f>AVERAGE(G46,J46)</f>
        <v>19</v>
      </c>
      <c r="L46" s="1"/>
      <c r="M46" s="1"/>
    </row>
    <row r="47" spans="1:13" ht="30" customHeight="1">
      <c r="A47" s="1"/>
      <c r="B47" s="1"/>
      <c r="C47" s="1"/>
      <c r="D47" s="145" t="s">
        <v>69</v>
      </c>
      <c r="E47" s="211">
        <v>11</v>
      </c>
      <c r="F47" s="211">
        <v>15</v>
      </c>
      <c r="G47" s="218">
        <f t="shared" ref="G47:G48" si="1">AVERAGE(E47:F47)</f>
        <v>13</v>
      </c>
      <c r="H47" s="211">
        <v>14</v>
      </c>
      <c r="I47" s="211">
        <v>14</v>
      </c>
      <c r="J47" s="218">
        <f t="shared" ref="J47:J49" si="2">AVERAGE(H47:I47)</f>
        <v>14</v>
      </c>
      <c r="K47" s="219">
        <f t="shared" ref="K47:K49" si="3">AVERAGE(G47,J47)</f>
        <v>13.5</v>
      </c>
      <c r="L47" s="1"/>
      <c r="M47" s="1"/>
    </row>
    <row r="48" spans="1:13" ht="30" customHeight="1">
      <c r="A48" s="1"/>
      <c r="B48" s="1"/>
      <c r="C48" s="1"/>
      <c r="D48" s="145" t="s">
        <v>70</v>
      </c>
      <c r="E48" s="211">
        <v>15</v>
      </c>
      <c r="F48" s="211">
        <v>14</v>
      </c>
      <c r="G48" s="218">
        <f t="shared" si="1"/>
        <v>14.5</v>
      </c>
      <c r="H48" s="211">
        <v>15</v>
      </c>
      <c r="I48" s="211">
        <v>10</v>
      </c>
      <c r="J48" s="218">
        <f t="shared" si="2"/>
        <v>12.5</v>
      </c>
      <c r="K48" s="219">
        <f t="shared" si="3"/>
        <v>13.5</v>
      </c>
      <c r="L48" s="1"/>
      <c r="M48" s="1"/>
    </row>
    <row r="49" spans="1:13" ht="30" customHeight="1" thickBot="1">
      <c r="A49" s="1"/>
      <c r="B49" s="1"/>
      <c r="C49" s="1"/>
      <c r="D49" s="150" t="s">
        <v>71</v>
      </c>
      <c r="E49" s="214">
        <v>5</v>
      </c>
      <c r="F49" s="214">
        <v>11</v>
      </c>
      <c r="G49" s="220">
        <f>AVERAGE(E49:F49)</f>
        <v>8</v>
      </c>
      <c r="H49" s="214">
        <v>15</v>
      </c>
      <c r="I49" s="214">
        <v>9</v>
      </c>
      <c r="J49" s="220">
        <f t="shared" si="2"/>
        <v>12</v>
      </c>
      <c r="K49" s="221">
        <f t="shared" si="3"/>
        <v>10</v>
      </c>
      <c r="L49" s="1"/>
      <c r="M49" s="1"/>
    </row>
    <row r="50" spans="1:13" ht="3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3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3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3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3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3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3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3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3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3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3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3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3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3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</sheetData>
  <sheetProtection selectLockedCells="1"/>
  <mergeCells count="2">
    <mergeCell ref="C3:G3"/>
    <mergeCell ref="D24:G24"/>
  </mergeCells>
  <printOptions headings="1"/>
  <pageMargins left="0.39370078740157483" right="0.39370078740157483" top="0.39370078740157483" bottom="0.39370078740157483" header="0" footer="0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Principal</vt:lpstr>
      <vt:lpstr>Suma</vt:lpstr>
      <vt:lpstr>Multiplicación</vt:lpstr>
      <vt:lpstr>Resta</vt:lpstr>
      <vt:lpstr>División</vt:lpstr>
      <vt:lpstr>Porcentaje</vt:lpstr>
      <vt:lpstr>Potencia</vt:lpstr>
      <vt:lpstr>Promedio</vt:lpstr>
    </vt:vector>
  </TitlesOfParts>
  <Company>LAB04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 Denilson Ramirez Bautista</cp:lastModifiedBy>
  <dcterms:created xsi:type="dcterms:W3CDTF">2004-05-19T14:23:35Z</dcterms:created>
  <dcterms:modified xsi:type="dcterms:W3CDTF">2025-12-23T12:41:12Z</dcterms:modified>
</cp:coreProperties>
</file>