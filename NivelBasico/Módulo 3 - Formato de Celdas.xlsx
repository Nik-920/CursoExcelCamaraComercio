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b\Nik Denilson\Cursos\EXCEL\NivelBasico\"/>
    </mc:Choice>
  </mc:AlternateContent>
  <xr:revisionPtr revIDLastSave="0" documentId="13_ncr:1_{CEE9F801-0639-4D99-BBC8-6631C9E799B8}" xr6:coauthVersionLast="47" xr6:coauthVersionMax="47" xr10:uidLastSave="{00000000-0000-0000-0000-000000000000}"/>
  <bookViews>
    <workbookView xWindow="-108" yWindow="-108" windowWidth="23256" windowHeight="12456" tabRatio="792" activeTab="4" xr2:uid="{00000000-000D-0000-FFFF-FFFF00000000}"/>
  </bookViews>
  <sheets>
    <sheet name="Principal" sheetId="30" r:id="rId1"/>
    <sheet name="Ejercicio 1" sheetId="35" r:id="rId2"/>
    <sheet name="Ejercicio 2" sheetId="27" r:id="rId3"/>
    <sheet name="Muestra-Ejercicio 2" sheetId="31" r:id="rId4"/>
    <sheet name="Ejercicio 3" sheetId="29" r:id="rId5"/>
    <sheet name="Muestra- Ejercicio 3" sheetId="3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7" i="35" l="1"/>
  <c r="F67" i="35"/>
  <c r="D67" i="35"/>
  <c r="B67" i="35"/>
  <c r="H66" i="35"/>
  <c r="F66" i="35"/>
  <c r="D66" i="35"/>
  <c r="B66" i="35"/>
  <c r="H65" i="35"/>
  <c r="F65" i="35"/>
  <c r="D65" i="35"/>
  <c r="B65" i="35"/>
  <c r="H64" i="35"/>
  <c r="F64" i="35"/>
  <c r="D64" i="35"/>
  <c r="B64" i="35"/>
  <c r="H63" i="35"/>
  <c r="F63" i="35"/>
  <c r="D63" i="35"/>
  <c r="B63" i="35"/>
  <c r="H62" i="35"/>
  <c r="F62" i="35"/>
  <c r="D62" i="35"/>
  <c r="B62" i="35"/>
  <c r="H61" i="35"/>
  <c r="F61" i="35"/>
  <c r="D61" i="35"/>
  <c r="B61" i="35"/>
  <c r="L41" i="29" l="1"/>
  <c r="K41" i="29"/>
  <c r="I41" i="29"/>
  <c r="H41" i="29"/>
  <c r="F41" i="29"/>
  <c r="E41" i="29"/>
  <c r="L40" i="29"/>
  <c r="K40" i="29"/>
  <c r="I40" i="29"/>
  <c r="H40" i="29"/>
  <c r="F40" i="29"/>
  <c r="E40" i="29"/>
  <c r="L39" i="29"/>
  <c r="K39" i="29"/>
  <c r="I39" i="29"/>
  <c r="H39" i="29"/>
  <c r="F39" i="29"/>
  <c r="E39" i="29"/>
  <c r="L38" i="29"/>
  <c r="K38" i="29"/>
  <c r="I38" i="29"/>
  <c r="H38" i="29"/>
  <c r="F38" i="29"/>
  <c r="E38" i="29"/>
  <c r="M36" i="29"/>
  <c r="J36" i="29"/>
  <c r="G36" i="29"/>
  <c r="M35" i="29"/>
  <c r="J35" i="29"/>
  <c r="G35" i="29"/>
  <c r="M34" i="29"/>
  <c r="J34" i="29"/>
  <c r="G34" i="29"/>
  <c r="M31" i="29"/>
  <c r="J31" i="29"/>
  <c r="G31" i="29"/>
  <c r="M30" i="29"/>
  <c r="J30" i="29"/>
  <c r="G30" i="29"/>
  <c r="M29" i="29"/>
  <c r="J29" i="29"/>
  <c r="G29" i="29"/>
  <c r="M28" i="29"/>
  <c r="J28" i="29"/>
  <c r="G28" i="29"/>
  <c r="M25" i="29"/>
  <c r="J25" i="29"/>
  <c r="G25" i="29"/>
  <c r="M24" i="29"/>
  <c r="J24" i="29"/>
  <c r="G24" i="29"/>
  <c r="M23" i="29"/>
  <c r="J23" i="29"/>
  <c r="G23" i="29"/>
  <c r="M22" i="29"/>
  <c r="J22" i="29"/>
  <c r="G22" i="29"/>
  <c r="M21" i="29"/>
  <c r="J21" i="29"/>
  <c r="G21" i="29"/>
  <c r="M20" i="29"/>
  <c r="J20" i="29"/>
  <c r="G20" i="29"/>
  <c r="M19" i="29"/>
  <c r="J19" i="29"/>
  <c r="G19" i="29"/>
  <c r="M18" i="29"/>
  <c r="J18" i="29"/>
  <c r="G18" i="29"/>
  <c r="M15" i="29"/>
  <c r="J15" i="29"/>
  <c r="G15" i="29"/>
  <c r="M14" i="29"/>
  <c r="J14" i="29"/>
  <c r="G14" i="29"/>
  <c r="M13" i="29"/>
  <c r="J13" i="29"/>
  <c r="G13" i="29"/>
  <c r="M12" i="29"/>
  <c r="J12" i="29"/>
  <c r="G12" i="29"/>
  <c r="M11" i="29"/>
  <c r="J11" i="29"/>
  <c r="G11" i="29"/>
  <c r="L42" i="29" l="1"/>
  <c r="M38" i="29"/>
  <c r="N13" i="29"/>
  <c r="N19" i="29"/>
  <c r="N23" i="29"/>
  <c r="N29" i="29"/>
  <c r="M41" i="29"/>
  <c r="N35" i="29"/>
  <c r="H42" i="29"/>
  <c r="G38" i="29"/>
  <c r="N15" i="29"/>
  <c r="J39" i="29"/>
  <c r="N21" i="29"/>
  <c r="N25" i="29"/>
  <c r="J40" i="29"/>
  <c r="N31" i="29"/>
  <c r="J41" i="29"/>
  <c r="J38" i="29"/>
  <c r="N14" i="29"/>
  <c r="M39" i="29"/>
  <c r="N20" i="29"/>
  <c r="N24" i="29"/>
  <c r="M40" i="29"/>
  <c r="N30" i="29"/>
  <c r="N36" i="29"/>
  <c r="N12" i="29"/>
  <c r="G39" i="29"/>
  <c r="N22" i="29"/>
  <c r="G40" i="29"/>
  <c r="G41" i="29"/>
  <c r="E42" i="29"/>
  <c r="K42" i="29"/>
  <c r="F42" i="29"/>
  <c r="N11" i="29"/>
  <c r="N18" i="29"/>
  <c r="N28" i="29"/>
  <c r="N34" i="29"/>
  <c r="I42" i="29"/>
  <c r="N40" i="29" l="1"/>
  <c r="N41" i="29"/>
  <c r="N38" i="29"/>
  <c r="J42" i="29"/>
  <c r="M42" i="29"/>
  <c r="N39" i="29"/>
  <c r="G42" i="29"/>
  <c r="N42" i="29" l="1"/>
</calcChain>
</file>

<file path=xl/sharedStrings.xml><?xml version="1.0" encoding="utf-8"?>
<sst xmlns="http://schemas.openxmlformats.org/spreadsheetml/2006/main" count="135" uniqueCount="95">
  <si>
    <t>Total</t>
  </si>
  <si>
    <t>Nº de Cta.</t>
  </si>
  <si>
    <t>Descripción</t>
  </si>
  <si>
    <t>Ene.</t>
  </si>
  <si>
    <t>Feb.</t>
  </si>
  <si>
    <t>Mar.</t>
  </si>
  <si>
    <t>Abr.</t>
  </si>
  <si>
    <t>May.</t>
  </si>
  <si>
    <t>Jun.</t>
  </si>
  <si>
    <t>Costo del personal</t>
  </si>
  <si>
    <t>Sueldos</t>
  </si>
  <si>
    <t>Impuestos</t>
  </si>
  <si>
    <t>Comisiones</t>
  </si>
  <si>
    <t>Planes de jubilación</t>
  </si>
  <si>
    <t>Seguros</t>
  </si>
  <si>
    <t>Subcontratos y servicios</t>
  </si>
  <si>
    <t>Telecomunicaciones</t>
  </si>
  <si>
    <t>Consultorías</t>
  </si>
  <si>
    <t>Serv. de fotografía/vídeo</t>
  </si>
  <si>
    <t>Servicios gráficos</t>
  </si>
  <si>
    <t>Fotocopias</t>
  </si>
  <si>
    <t>Dactilografía</t>
  </si>
  <si>
    <t>Impresión</t>
  </si>
  <si>
    <t>Contabilidad/Jurídico</t>
  </si>
  <si>
    <t>Provisiones y materiales</t>
  </si>
  <si>
    <t>Oficina</t>
  </si>
  <si>
    <t>Correo</t>
  </si>
  <si>
    <t>Equipo de oficina/muebles</t>
  </si>
  <si>
    <t>Otros</t>
  </si>
  <si>
    <t>Instalaciones</t>
  </si>
  <si>
    <t>Planta</t>
  </si>
  <si>
    <t>Oficinas</t>
  </si>
  <si>
    <t>Laboratorio</t>
  </si>
  <si>
    <t>Resumen</t>
  </si>
  <si>
    <t>Analis</t>
  </si>
  <si>
    <t>Lourdes</t>
  </si>
  <si>
    <t>Karla</t>
  </si>
  <si>
    <t>Sara</t>
  </si>
  <si>
    <t>Raquel</t>
  </si>
  <si>
    <t>Fecha de Nacimiento</t>
  </si>
  <si>
    <t xml:space="preserve">Nombre </t>
  </si>
  <si>
    <t xml:space="preserve">Código </t>
  </si>
  <si>
    <t>Sueldo</t>
  </si>
  <si>
    <t>Feha de Nacimiento</t>
  </si>
  <si>
    <t>Katy</t>
  </si>
  <si>
    <t>Edad</t>
  </si>
  <si>
    <t>Nombre</t>
  </si>
  <si>
    <t xml:space="preserve">Codigo </t>
  </si>
  <si>
    <t>Datos de Empleados</t>
  </si>
  <si>
    <t>Suma Bimestre I</t>
  </si>
  <si>
    <t>Suma Bimestre II</t>
  </si>
  <si>
    <t>Suma Bimestre III</t>
  </si>
  <si>
    <t>Suma Semestre I</t>
  </si>
  <si>
    <t>Costos Administrativos</t>
  </si>
  <si>
    <t>Trim I</t>
  </si>
  <si>
    <t>Trim. II</t>
  </si>
  <si>
    <t>Trim. III</t>
  </si>
  <si>
    <t>Semestre I</t>
  </si>
  <si>
    <t>Ejercicio 1</t>
  </si>
  <si>
    <t>Aplicar los siguientes formatos según muestra:</t>
  </si>
  <si>
    <t>Aplicar  formatos según muestra:</t>
  </si>
  <si>
    <t>Aplicar formatos según muestra:</t>
  </si>
  <si>
    <r>
      <t xml:space="preserve">Aplicar </t>
    </r>
    <r>
      <rPr>
        <b/>
        <sz val="11"/>
        <color rgb="FF002060"/>
        <rFont val="Arial Unicode MS"/>
        <family val="2"/>
      </rPr>
      <t xml:space="preserve">FORMATOS </t>
    </r>
    <r>
      <rPr>
        <sz val="11"/>
        <color rgb="FF002060"/>
        <rFont val="Arial Unicode MS"/>
        <family val="2"/>
      </rPr>
      <t>a cada uno de los Ejemplos según Muestra:</t>
    </r>
  </si>
  <si>
    <t>Ejemplo 1</t>
  </si>
  <si>
    <t>Ejemplo 2</t>
  </si>
  <si>
    <t>Ejemplo 3</t>
  </si>
  <si>
    <t>Ejemplo 4</t>
  </si>
  <si>
    <t>Ejemplo 5</t>
  </si>
  <si>
    <t>Ejemplo 6</t>
  </si>
  <si>
    <t>Ejercicio 2</t>
  </si>
  <si>
    <t>Ejercicio 3</t>
  </si>
  <si>
    <r>
      <t>Aplicar los</t>
    </r>
    <r>
      <rPr>
        <b/>
        <sz val="11"/>
        <color rgb="FF002060"/>
        <rFont val="Arial Unicode MS"/>
        <family val="2"/>
      </rPr>
      <t xml:space="preserve"> formatos</t>
    </r>
    <r>
      <rPr>
        <sz val="11"/>
        <color rgb="FF002060"/>
        <rFont val="Arial Unicode MS"/>
        <family val="2"/>
      </rPr>
      <t xml:space="preserve"> correspondientes al siguiente cuadro. </t>
    </r>
    <r>
      <rPr>
        <b/>
        <sz val="11"/>
        <color rgb="FF002060"/>
        <rFont val="Arial Unicode MS"/>
        <family val="2"/>
      </rPr>
      <t>Mirar Muestra.</t>
    </r>
  </si>
  <si>
    <t>0 Decimales</t>
  </si>
  <si>
    <t>2 Decimales</t>
  </si>
  <si>
    <t>1 Decimales</t>
  </si>
  <si>
    <t>Aplicar formato de moneda</t>
  </si>
  <si>
    <t>0 Decimales
Símbolo $</t>
  </si>
  <si>
    <t>2 Decimales
Símbolo $</t>
  </si>
  <si>
    <t>1 Decimales
Símbolo S/.</t>
  </si>
  <si>
    <t>Apliquemos Formato Contabilidad con 0 Decimales y símbolo …</t>
  </si>
  <si>
    <t>Pesos Colombianos</t>
  </si>
  <si>
    <t>Costa Rica
Colon</t>
  </si>
  <si>
    <t>Perú
Sol</t>
  </si>
  <si>
    <t>Euros</t>
  </si>
  <si>
    <t>Apliquemos Formato Porcentaje y …</t>
  </si>
  <si>
    <t>3 Decimales</t>
  </si>
  <si>
    <t>Apliquemos formato de fecha</t>
  </si>
  <si>
    <t>Fecha Corta</t>
  </si>
  <si>
    <t>14-Mar-2001</t>
  </si>
  <si>
    <t>Miércoles, 14 de Marzo de 2001</t>
  </si>
  <si>
    <t>Marzo-01</t>
  </si>
  <si>
    <t>Aplicando formato de números y separador decimal</t>
  </si>
  <si>
    <t>FORMATOS DE NÚMERO</t>
  </si>
  <si>
    <t>Formato de Celdas</t>
  </si>
  <si>
    <t>FORMATO DE BORDE, DE RELLENO Y DE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</si>
</sst>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S/&quot;\ * #,##0_-;\-&quot;S/&quot;\ * #,##0_-;_-&quot;S/&quot;\ * &quot;-&quot;_-;_-@_-"/>
    <numFmt numFmtId="44" formatCode="_-&quot;S/&quot;\ * #,##0.00_-;\-&quot;S/&quot;\ * #,##0.00_-;_-&quot;S/&quot;\ * &quot;-&quot;??_-;_-@_-"/>
    <numFmt numFmtId="164" formatCode="_-* #,##0\ _p_t_a_-;\-* #,##0\ _p_t_a_-;_-* &quot;-&quot;\ _p_t_a_-;_-@_-"/>
    <numFmt numFmtId="165" formatCode="_-[$€]* #,##0.00_-;\-[$€]* #,##0.00_-;_-[$€]* &quot;-&quot;??_-;_-@_-"/>
    <numFmt numFmtId="166" formatCode="#,##0.0"/>
    <numFmt numFmtId="167" formatCode="&quot;S/&quot;\ #,##0.0"/>
    <numFmt numFmtId="168" formatCode="[$$-80A]#,##0.00"/>
    <numFmt numFmtId="169" formatCode="[$$-80A]#,##0"/>
    <numFmt numFmtId="171" formatCode="_-[$$-80A]* #,##0_-;\-[$$-80A]* #,##0_-;_-[$$-80A]* &quot;-&quot;_-;_-@_-"/>
    <numFmt numFmtId="175" formatCode="_-* #,##0\ [$€-203B]_-;\-* #,##0\ [$€-203B]_-;_-* &quot;-&quot;\ [$€-203B]_-;_-@_-"/>
    <numFmt numFmtId="177" formatCode="_-[$₡-140A]* #,##0_-;\-[$₡-140A]* #,##0_-;_-[$₡-140A]* &quot;-&quot;_-;_-@_-"/>
    <numFmt numFmtId="179" formatCode="0.000%"/>
    <numFmt numFmtId="180" formatCode="[$-F800]dddd\,\ mmmm\ dd\,\ yyyy"/>
    <numFmt numFmtId="181" formatCode="dd\-mmm\-yyyy"/>
    <numFmt numFmtId="182" formatCode="mmmm\-dd"/>
    <numFmt numFmtId="183" formatCode="d/mmm/yyyy"/>
    <numFmt numFmtId="184" formatCode="_-[$S/-280A]\ * #,##0.00_-;\-[$S/-280A]\ * #,##0.00_-;_-[$S/-280A]\ * &quot;-&quot;??_-;_-@_-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6"/>
      <color indexed="12"/>
      <name val="Bookman Old Style"/>
      <family val="1"/>
    </font>
    <font>
      <sz val="16"/>
      <name val="Bookman Old Style"/>
      <family val="1"/>
    </font>
    <font>
      <sz val="10"/>
      <name val="MS Sans Serif"/>
      <family val="2"/>
    </font>
    <font>
      <b/>
      <sz val="10"/>
      <name val="Bookman Old Style"/>
      <family val="1"/>
    </font>
    <font>
      <b/>
      <sz val="9"/>
      <name val="Estrangelo Edessa"/>
      <family val="4"/>
    </font>
    <font>
      <b/>
      <sz val="9"/>
      <color rgb="FFFF0000"/>
      <name val="Estrangelo Edessa"/>
      <family val="4"/>
    </font>
    <font>
      <sz val="10"/>
      <name val="Bookman Old Style"/>
      <family val="1"/>
    </font>
    <font>
      <b/>
      <sz val="9"/>
      <name val="Bookman Old Style"/>
      <family val="1"/>
    </font>
    <font>
      <b/>
      <sz val="14"/>
      <color indexed="12"/>
      <name val="Bookman Old Style"/>
      <family val="1"/>
    </font>
    <font>
      <sz val="14"/>
      <name val="Bookman Old Style"/>
      <family val="1"/>
    </font>
    <font>
      <sz val="10"/>
      <color rgb="FF002060"/>
      <name val="Arial Unicode MS"/>
      <family val="2"/>
    </font>
    <font>
      <b/>
      <sz val="10"/>
      <color rgb="FF002060"/>
      <name val="Arial Unicode MS"/>
      <family val="2"/>
    </font>
    <font>
      <b/>
      <sz val="20"/>
      <color theme="0"/>
      <name val="Arial Unicode MS"/>
      <family val="2"/>
    </font>
    <font>
      <b/>
      <sz val="10"/>
      <color theme="0"/>
      <name val="Arial Unicode MS"/>
      <family val="2"/>
    </font>
    <font>
      <sz val="11"/>
      <color rgb="FF002060"/>
      <name val="Arial Unicode MS"/>
      <family val="2"/>
    </font>
    <font>
      <u/>
      <sz val="10"/>
      <color indexed="12"/>
      <name val="Arial Unicode MS"/>
      <family val="2"/>
    </font>
    <font>
      <b/>
      <sz val="11"/>
      <color rgb="FF002060"/>
      <name val="Arial Unicode MS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rgb="FF002060"/>
      <name val="Arial"/>
      <family val="2"/>
    </font>
    <font>
      <b/>
      <sz val="16"/>
      <color rgb="FF0070C0"/>
      <name val="Gilroy ExtraBold"/>
      <family val="3"/>
    </font>
    <font>
      <b/>
      <sz val="16"/>
      <color rgb="FF0070C0"/>
      <name val="Arial"/>
      <family val="2"/>
    </font>
    <font>
      <b/>
      <sz val="16"/>
      <color theme="0"/>
      <name val="Gilroy ExtraBold"/>
      <family val="3"/>
    </font>
    <font>
      <b/>
      <sz val="16"/>
      <color theme="0"/>
      <name val="Arial Black"/>
      <family val="2"/>
    </font>
    <font>
      <b/>
      <sz val="24"/>
      <color theme="0"/>
      <name val="Gilroy ExtraBold"/>
      <family val="3"/>
    </font>
    <font>
      <b/>
      <sz val="12"/>
      <color rgb="FFC00000"/>
      <name val="Arial Narrow"/>
      <family val="2"/>
    </font>
    <font>
      <sz val="10"/>
      <name val="Arial"/>
    </font>
    <font>
      <sz val="11"/>
      <color theme="0"/>
      <name val="Arial"/>
      <family val="2"/>
    </font>
    <font>
      <b/>
      <sz val="10"/>
      <color theme="3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b/>
      <sz val="10"/>
      <color theme="3"/>
      <name val="Bookman Old Style"/>
      <family val="1"/>
    </font>
    <font>
      <b/>
      <sz val="10"/>
      <color theme="0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5A5A5"/>
      </patternFill>
    </fill>
    <fill>
      <patternFill patternType="solid">
        <fgColor rgb="FF21734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</fills>
  <borders count="72">
    <border>
      <left/>
      <right/>
      <top/>
      <bottom/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217346"/>
      </left>
      <right style="medium">
        <color rgb="FF217346"/>
      </right>
      <top style="medium">
        <color rgb="FF217346"/>
      </top>
      <bottom style="hair">
        <color rgb="FF217346"/>
      </bottom>
      <diagonal/>
    </border>
    <border>
      <left style="medium">
        <color rgb="FF217346"/>
      </left>
      <right style="medium">
        <color rgb="FF217346"/>
      </right>
      <top style="hair">
        <color rgb="FF217346"/>
      </top>
      <bottom style="hair">
        <color rgb="FF217346"/>
      </bottom>
      <diagonal/>
    </border>
    <border>
      <left style="medium">
        <color rgb="FF217346"/>
      </left>
      <right style="medium">
        <color rgb="FF217346"/>
      </right>
      <top style="hair">
        <color rgb="FF217346"/>
      </top>
      <bottom style="medium">
        <color rgb="FF217346"/>
      </bottom>
      <diagonal/>
    </border>
    <border>
      <left style="medium">
        <color rgb="FF217346"/>
      </left>
      <right style="medium">
        <color rgb="FF217346"/>
      </right>
      <top style="medium">
        <color rgb="FF21734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dotted">
        <color theme="3" tint="0.59996337778862885"/>
      </left>
      <right style="dotted">
        <color theme="3" tint="0.59996337778862885"/>
      </right>
      <top style="dotted">
        <color theme="3" tint="0.59996337778862885"/>
      </top>
      <bottom style="dotted">
        <color theme="3" tint="0.59996337778862885"/>
      </bottom>
      <diagonal/>
    </border>
    <border>
      <left style="medium">
        <color rgb="FF3366CC"/>
      </left>
      <right style="dotted">
        <color theme="3" tint="0.59996337778862885"/>
      </right>
      <top style="medium">
        <color rgb="FF3366CC"/>
      </top>
      <bottom style="dotted">
        <color theme="3" tint="0.59996337778862885"/>
      </bottom>
      <diagonal/>
    </border>
    <border>
      <left style="dotted">
        <color theme="3" tint="0.59996337778862885"/>
      </left>
      <right style="dotted">
        <color theme="3" tint="0.59996337778862885"/>
      </right>
      <top style="medium">
        <color rgb="FF3366CC"/>
      </top>
      <bottom style="dotted">
        <color theme="3" tint="0.59996337778862885"/>
      </bottom>
      <diagonal/>
    </border>
    <border>
      <left style="dotted">
        <color theme="3" tint="0.59996337778862885"/>
      </left>
      <right style="medium">
        <color rgb="FF3366CC"/>
      </right>
      <top style="medium">
        <color rgb="FF3366CC"/>
      </top>
      <bottom style="dotted">
        <color theme="3" tint="0.59996337778862885"/>
      </bottom>
      <diagonal/>
    </border>
    <border>
      <left style="medium">
        <color rgb="FF3366CC"/>
      </left>
      <right style="dotted">
        <color theme="3" tint="0.59996337778862885"/>
      </right>
      <top style="dotted">
        <color theme="3" tint="0.59996337778862885"/>
      </top>
      <bottom style="dotted">
        <color theme="3" tint="0.59996337778862885"/>
      </bottom>
      <diagonal/>
    </border>
    <border>
      <left style="dotted">
        <color theme="3" tint="0.59996337778862885"/>
      </left>
      <right style="medium">
        <color rgb="FF3366CC"/>
      </right>
      <top style="dotted">
        <color theme="3" tint="0.59996337778862885"/>
      </top>
      <bottom style="dotted">
        <color theme="3" tint="0.59996337778862885"/>
      </bottom>
      <diagonal/>
    </border>
    <border>
      <left style="medium">
        <color rgb="FF3366CC"/>
      </left>
      <right style="dotted">
        <color theme="3" tint="0.59996337778862885"/>
      </right>
      <top style="dotted">
        <color theme="3" tint="0.59996337778862885"/>
      </top>
      <bottom style="medium">
        <color rgb="FF3366CC"/>
      </bottom>
      <diagonal/>
    </border>
    <border>
      <left style="dotted">
        <color theme="3" tint="0.59996337778862885"/>
      </left>
      <right style="dotted">
        <color theme="3" tint="0.59996337778862885"/>
      </right>
      <top style="dotted">
        <color theme="3" tint="0.59996337778862885"/>
      </top>
      <bottom style="medium">
        <color rgb="FF3366CC"/>
      </bottom>
      <diagonal/>
    </border>
    <border>
      <left style="dotted">
        <color theme="3" tint="0.59996337778862885"/>
      </left>
      <right style="medium">
        <color rgb="FF3366CC"/>
      </right>
      <top style="dotted">
        <color theme="3" tint="0.59996337778862885"/>
      </top>
      <bottom style="medium">
        <color rgb="FF3366CC"/>
      </bottom>
      <diagonal/>
    </border>
    <border>
      <left style="dotted">
        <color rgb="FF3399FF"/>
      </left>
      <right style="dotted">
        <color rgb="FF3399FF"/>
      </right>
      <top style="dotted">
        <color rgb="FF3399FF"/>
      </top>
      <bottom style="dotted">
        <color rgb="FF3399FF"/>
      </bottom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 style="hair">
        <color theme="3" tint="0.39994506668294322"/>
      </left>
      <right style="hair">
        <color theme="3" tint="0.39994506668294322"/>
      </right>
      <top style="hair">
        <color theme="3" tint="0.39994506668294322"/>
      </top>
      <bottom style="hair">
        <color theme="3" tint="0.39994506668294322"/>
      </bottom>
      <diagonal/>
    </border>
    <border>
      <left style="thick">
        <color theme="3" tint="0.39991454817346722"/>
      </left>
      <right style="hair">
        <color theme="3" tint="0.39994506668294322"/>
      </right>
      <top style="thick">
        <color theme="3" tint="0.39991454817346722"/>
      </top>
      <bottom style="hair">
        <color theme="3" tint="0.39994506668294322"/>
      </bottom>
      <diagonal/>
    </border>
    <border>
      <left style="hair">
        <color theme="3" tint="0.39994506668294322"/>
      </left>
      <right style="hair">
        <color theme="3" tint="0.39994506668294322"/>
      </right>
      <top style="thick">
        <color theme="3" tint="0.39991454817346722"/>
      </top>
      <bottom style="hair">
        <color theme="3" tint="0.39994506668294322"/>
      </bottom>
      <diagonal/>
    </border>
    <border>
      <left style="hair">
        <color theme="3" tint="0.39994506668294322"/>
      </left>
      <right style="thick">
        <color theme="3" tint="0.39991454817346722"/>
      </right>
      <top style="thick">
        <color theme="3" tint="0.39991454817346722"/>
      </top>
      <bottom style="hair">
        <color theme="3" tint="0.39994506668294322"/>
      </bottom>
      <diagonal/>
    </border>
    <border>
      <left style="thick">
        <color theme="3" tint="0.39991454817346722"/>
      </left>
      <right style="hair">
        <color theme="3" tint="0.39994506668294322"/>
      </right>
      <top style="hair">
        <color theme="3" tint="0.39994506668294322"/>
      </top>
      <bottom style="hair">
        <color theme="3" tint="0.39994506668294322"/>
      </bottom>
      <diagonal/>
    </border>
    <border>
      <left style="hair">
        <color theme="3" tint="0.39994506668294322"/>
      </left>
      <right style="thick">
        <color theme="3" tint="0.39991454817346722"/>
      </right>
      <top style="hair">
        <color theme="3" tint="0.39994506668294322"/>
      </top>
      <bottom style="hair">
        <color theme="3" tint="0.39994506668294322"/>
      </bottom>
      <diagonal/>
    </border>
    <border>
      <left style="thick">
        <color theme="3" tint="0.39991454817346722"/>
      </left>
      <right style="hair">
        <color theme="3" tint="0.39994506668294322"/>
      </right>
      <top style="hair">
        <color theme="3" tint="0.39994506668294322"/>
      </top>
      <bottom style="thick">
        <color theme="3" tint="0.39991454817346722"/>
      </bottom>
      <diagonal/>
    </border>
    <border>
      <left style="hair">
        <color theme="3" tint="0.39994506668294322"/>
      </left>
      <right style="hair">
        <color theme="3" tint="0.39994506668294322"/>
      </right>
      <top style="hair">
        <color theme="3" tint="0.39994506668294322"/>
      </top>
      <bottom style="thick">
        <color theme="3" tint="0.39991454817346722"/>
      </bottom>
      <diagonal/>
    </border>
    <border>
      <left style="hair">
        <color theme="3" tint="0.39994506668294322"/>
      </left>
      <right style="thick">
        <color theme="3" tint="0.39991454817346722"/>
      </right>
      <top style="hair">
        <color theme="3" tint="0.39994506668294322"/>
      </top>
      <bottom style="thick">
        <color theme="3" tint="0.39991454817346722"/>
      </bottom>
      <diagonal/>
    </border>
    <border>
      <left style="thick">
        <color rgb="FF00B0F0"/>
      </left>
      <right style="hair">
        <color theme="8" tint="0.39994506668294322"/>
      </right>
      <top style="thick">
        <color rgb="FF00B0F0"/>
      </top>
      <bottom style="hair">
        <color theme="8" tint="0.39994506668294322"/>
      </bottom>
      <diagonal/>
    </border>
    <border>
      <left style="hair">
        <color theme="8" tint="0.39994506668294322"/>
      </left>
      <right style="hair">
        <color theme="8" tint="0.39994506668294322"/>
      </right>
      <top style="thick">
        <color rgb="FF00B0F0"/>
      </top>
      <bottom style="hair">
        <color theme="8" tint="0.39994506668294322"/>
      </bottom>
      <diagonal/>
    </border>
    <border>
      <left style="hair">
        <color theme="8" tint="0.39994506668294322"/>
      </left>
      <right style="thick">
        <color rgb="FF00B0F0"/>
      </right>
      <top style="thick">
        <color rgb="FF00B0F0"/>
      </top>
      <bottom style="hair">
        <color theme="8" tint="0.39994506668294322"/>
      </bottom>
      <diagonal/>
    </border>
    <border>
      <left style="thick">
        <color rgb="FF00B0F0"/>
      </left>
      <right style="hair">
        <color theme="8" tint="0.39994506668294322"/>
      </right>
      <top style="hair">
        <color theme="8" tint="0.39994506668294322"/>
      </top>
      <bottom style="hair">
        <color theme="8" tint="0.39994506668294322"/>
      </bottom>
      <diagonal/>
    </border>
    <border>
      <left style="hair">
        <color theme="8" tint="0.39994506668294322"/>
      </left>
      <right style="hair">
        <color theme="8" tint="0.39994506668294322"/>
      </right>
      <top style="hair">
        <color theme="8" tint="0.39994506668294322"/>
      </top>
      <bottom style="hair">
        <color theme="8" tint="0.39994506668294322"/>
      </bottom>
      <diagonal/>
    </border>
    <border>
      <left style="hair">
        <color theme="8" tint="0.39994506668294322"/>
      </left>
      <right style="thick">
        <color rgb="FF00B0F0"/>
      </right>
      <top style="hair">
        <color theme="8" tint="0.39994506668294322"/>
      </top>
      <bottom style="hair">
        <color theme="8" tint="0.39994506668294322"/>
      </bottom>
      <diagonal/>
    </border>
    <border>
      <left style="thick">
        <color rgb="FF00B0F0"/>
      </left>
      <right style="hair">
        <color theme="8" tint="0.39994506668294322"/>
      </right>
      <top style="hair">
        <color theme="8" tint="0.39994506668294322"/>
      </top>
      <bottom style="thick">
        <color rgb="FF00B0F0"/>
      </bottom>
      <diagonal/>
    </border>
    <border>
      <left style="hair">
        <color theme="8" tint="0.39994506668294322"/>
      </left>
      <right style="hair">
        <color theme="8" tint="0.39994506668294322"/>
      </right>
      <top style="hair">
        <color theme="8" tint="0.39994506668294322"/>
      </top>
      <bottom style="thick">
        <color rgb="FF00B0F0"/>
      </bottom>
      <diagonal/>
    </border>
    <border>
      <left style="hair">
        <color theme="8" tint="0.39994506668294322"/>
      </left>
      <right style="thick">
        <color rgb="FF00B0F0"/>
      </right>
      <top style="hair">
        <color theme="8" tint="0.39994506668294322"/>
      </top>
      <bottom style="thick">
        <color rgb="FF00B0F0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/>
      <top/>
      <bottom style="hair">
        <color rgb="FF0000FF"/>
      </bottom>
      <diagonal/>
    </border>
    <border>
      <left/>
      <right/>
      <top/>
      <bottom style="hair">
        <color rgb="FF0000FF"/>
      </bottom>
      <diagonal/>
    </border>
    <border>
      <left/>
      <right style="thick">
        <color rgb="FF0000FF"/>
      </right>
      <top/>
      <bottom style="hair">
        <color rgb="FF0000FF"/>
      </bottom>
      <diagonal/>
    </border>
    <border>
      <left style="thick">
        <color rgb="FF0000FF"/>
      </left>
      <right/>
      <top style="hair">
        <color rgb="FF0000FF"/>
      </top>
      <bottom style="hair">
        <color rgb="FF0000FF"/>
      </bottom>
      <diagonal/>
    </border>
    <border>
      <left/>
      <right/>
      <top style="hair">
        <color rgb="FF0000FF"/>
      </top>
      <bottom style="hair">
        <color rgb="FF0000FF"/>
      </bottom>
      <diagonal/>
    </border>
    <border>
      <left/>
      <right style="thick">
        <color rgb="FF0000FF"/>
      </right>
      <top style="hair">
        <color rgb="FF0000FF"/>
      </top>
      <bottom style="hair">
        <color rgb="FF0000FF"/>
      </bottom>
      <diagonal/>
    </border>
    <border>
      <left/>
      <right style="thick">
        <color rgb="FF0000FF"/>
      </right>
      <top style="hair">
        <color rgb="FF0000FF"/>
      </top>
      <bottom/>
      <diagonal/>
    </border>
    <border>
      <left/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hair">
        <color rgb="FF0000FF"/>
      </left>
      <right style="thick">
        <color rgb="FF0000FF"/>
      </right>
      <top style="hair">
        <color rgb="FF0000FF"/>
      </top>
      <bottom style="hair">
        <color rgb="FF0000FF"/>
      </bottom>
      <diagonal/>
    </border>
    <border>
      <left style="thick">
        <color rgb="FF0000FF"/>
      </left>
      <right style="hair">
        <color rgb="FF0000FF"/>
      </right>
      <top style="thick">
        <color rgb="FF0000FF"/>
      </top>
      <bottom/>
      <diagonal/>
    </border>
    <border>
      <left style="hair">
        <color rgb="FF0000FF"/>
      </left>
      <right style="hair">
        <color rgb="FF0000FF"/>
      </right>
      <top style="thick">
        <color rgb="FF0000FF"/>
      </top>
      <bottom/>
      <diagonal/>
    </border>
    <border>
      <left style="hair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/>
      <right style="hair">
        <color rgb="FF0000FF"/>
      </right>
      <top style="thick">
        <color rgb="FF0000FF"/>
      </top>
      <bottom style="thick">
        <color rgb="FF0000FF"/>
      </bottom>
      <diagonal/>
    </border>
    <border>
      <left style="hair">
        <color rgb="FF0000FF"/>
      </left>
      <right style="hair">
        <color rgb="FF0000FF"/>
      </right>
      <top style="thick">
        <color rgb="FF0000FF"/>
      </top>
      <bottom style="thick">
        <color rgb="FF0000FF"/>
      </bottom>
      <diagonal/>
    </border>
    <border>
      <left style="hair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hair">
        <color rgb="FF0000FF"/>
      </right>
      <top style="hair">
        <color rgb="FF0000FF"/>
      </top>
      <bottom/>
      <diagonal/>
    </border>
    <border>
      <left style="hair">
        <color rgb="FF0000FF"/>
      </left>
      <right style="hair">
        <color rgb="FF0000FF"/>
      </right>
      <top style="hair">
        <color rgb="FF0000FF"/>
      </top>
      <bottom/>
      <diagonal/>
    </border>
    <border>
      <left style="thick">
        <color rgb="FF0000FF"/>
      </left>
      <right/>
      <top style="hair">
        <color rgb="FF0000FF"/>
      </top>
      <bottom style="thick">
        <color rgb="FF0000FF"/>
      </bottom>
      <diagonal/>
    </border>
    <border>
      <left/>
      <right style="hair">
        <color rgb="FF0000FF"/>
      </right>
      <top style="hair">
        <color rgb="FF0000FF"/>
      </top>
      <bottom style="thick">
        <color rgb="FF0000FF"/>
      </bottom>
      <diagonal/>
    </border>
  </borders>
  <cellStyleXfs count="16">
    <xf numFmtId="0" fontId="0" fillId="0" borderId="0"/>
    <xf numFmtId="165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8" fillId="0" borderId="0"/>
    <xf numFmtId="9" fontId="5" fillId="0" borderId="0" applyFont="0" applyFill="0" applyBorder="0" applyAlignment="0" applyProtection="0"/>
    <xf numFmtId="0" fontId="3" fillId="0" borderId="0"/>
    <xf numFmtId="0" fontId="2" fillId="0" borderId="0"/>
    <xf numFmtId="0" fontId="3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23" fillId="4" borderId="4" applyNumberFormat="0" applyAlignment="0" applyProtection="0"/>
    <xf numFmtId="0" fontId="3" fillId="0" borderId="0"/>
    <xf numFmtId="44" fontId="38" fillId="0" borderId="0" applyFont="0" applyFill="0" applyBorder="0" applyAlignment="0" applyProtection="0"/>
  </cellStyleXfs>
  <cellXfs count="159">
    <xf numFmtId="0" fontId="0" fillId="0" borderId="0" xfId="0"/>
    <xf numFmtId="0" fontId="3" fillId="2" borderId="0" xfId="8" applyFill="1" applyProtection="1">
      <protection locked="0"/>
    </xf>
    <xf numFmtId="0" fontId="4" fillId="2" borderId="0" xfId="2" applyFill="1" applyAlignment="1" applyProtection="1">
      <alignment horizontal="left"/>
    </xf>
    <xf numFmtId="0" fontId="10" fillId="2" borderId="0" xfId="8" applyFont="1" applyFill="1"/>
    <xf numFmtId="0" fontId="11" fillId="2" borderId="0" xfId="8" applyFont="1" applyFill="1"/>
    <xf numFmtId="0" fontId="13" fillId="2" borderId="0" xfId="0" applyFont="1" applyFill="1" applyAlignment="1">
      <alignment horizontal="left"/>
    </xf>
    <xf numFmtId="0" fontId="7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2" fillId="2" borderId="0" xfId="6" applyFont="1" applyFill="1" applyProtection="1"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/>
      <protection locked="0"/>
    </xf>
    <xf numFmtId="0" fontId="12" fillId="2" borderId="0" xfId="6" applyFont="1" applyFill="1" applyAlignment="1" applyProtection="1">
      <alignment horizontal="center"/>
      <protection locked="0"/>
    </xf>
    <xf numFmtId="3" fontId="12" fillId="2" borderId="0" xfId="6" applyNumberFormat="1" applyFont="1" applyFill="1" applyProtection="1">
      <protection locked="0"/>
    </xf>
    <xf numFmtId="0" fontId="12" fillId="2" borderId="0" xfId="6" applyFont="1" applyFill="1" applyAlignment="1" applyProtection="1">
      <alignment horizontal="right"/>
      <protection locked="0"/>
    </xf>
    <xf numFmtId="0" fontId="9" fillId="2" borderId="0" xfId="0" applyFont="1" applyFill="1" applyProtection="1">
      <protection locked="0"/>
    </xf>
    <xf numFmtId="0" fontId="4" fillId="2" borderId="0" xfId="2" applyFill="1" applyAlignment="1" applyProtection="1">
      <protection locked="0"/>
    </xf>
    <xf numFmtId="0" fontId="9" fillId="2" borderId="0" xfId="6" applyFont="1" applyFill="1" applyAlignment="1" applyProtection="1">
      <alignment horizontal="right"/>
      <protection locked="0"/>
    </xf>
    <xf numFmtId="3" fontId="9" fillId="2" borderId="0" xfId="6" applyNumberFormat="1" applyFont="1" applyFill="1" applyProtection="1">
      <protection locked="0"/>
    </xf>
    <xf numFmtId="0" fontId="9" fillId="2" borderId="0" xfId="0" applyFont="1" applyFill="1" applyAlignment="1" applyProtection="1">
      <alignment horizontal="left"/>
      <protection locked="0"/>
    </xf>
    <xf numFmtId="0" fontId="7" fillId="2" borderId="0" xfId="6" applyFont="1" applyFill="1" applyProtection="1">
      <protection locked="0"/>
    </xf>
    <xf numFmtId="0" fontId="7" fillId="2" borderId="0" xfId="6" applyFont="1" applyFill="1" applyAlignment="1" applyProtection="1">
      <alignment horizontal="right"/>
      <protection locked="0"/>
    </xf>
    <xf numFmtId="3" fontId="7" fillId="2" borderId="0" xfId="6" applyNumberFormat="1" applyFont="1" applyFill="1" applyProtection="1">
      <protection locked="0"/>
    </xf>
    <xf numFmtId="0" fontId="16" fillId="2" borderId="0" xfId="11" applyFont="1" applyFill="1" applyProtection="1">
      <protection locked="0"/>
    </xf>
    <xf numFmtId="0" fontId="20" fillId="2" borderId="0" xfId="11" applyFont="1" applyFill="1" applyProtection="1"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5" fillId="0" borderId="0" xfId="0" applyFont="1"/>
    <xf numFmtId="0" fontId="24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31" fillId="2" borderId="0" xfId="11" applyFont="1" applyFill="1" applyProtection="1">
      <protection locked="0"/>
    </xf>
    <xf numFmtId="0" fontId="16" fillId="5" borderId="0" xfId="11" applyFont="1" applyFill="1" applyProtection="1">
      <protection locked="0"/>
    </xf>
    <xf numFmtId="0" fontId="33" fillId="2" borderId="0" xfId="11" applyFont="1" applyFill="1" applyProtection="1">
      <protection locked="0"/>
    </xf>
    <xf numFmtId="15" fontId="29" fillId="5" borderId="5" xfId="0" quotePrefix="1" applyNumberFormat="1" applyFont="1" applyFill="1" applyBorder="1" applyAlignment="1">
      <alignment horizontal="center" vertical="center" wrapText="1"/>
    </xf>
    <xf numFmtId="0" fontId="26" fillId="5" borderId="5" xfId="0" applyFont="1" applyFill="1" applyBorder="1" applyAlignment="1">
      <alignment horizontal="center" vertical="center" wrapText="1"/>
    </xf>
    <xf numFmtId="14" fontId="30" fillId="0" borderId="6" xfId="0" applyNumberFormat="1" applyFont="1" applyBorder="1"/>
    <xf numFmtId="14" fontId="30" fillId="0" borderId="7" xfId="0" applyNumberFormat="1" applyFont="1" applyBorder="1"/>
    <xf numFmtId="15" fontId="26" fillId="5" borderId="5" xfId="0" quotePrefix="1" applyNumberFormat="1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/>
    </xf>
    <xf numFmtId="0" fontId="19" fillId="5" borderId="0" xfId="8" applyFont="1" applyFill="1" applyAlignment="1">
      <alignment horizontal="center" vertical="center"/>
    </xf>
    <xf numFmtId="0" fontId="19" fillId="5" borderId="0" xfId="8" applyFont="1" applyFill="1" applyAlignment="1" applyProtection="1">
      <alignment horizontal="center" vertical="center"/>
      <protection locked="0"/>
    </xf>
    <xf numFmtId="0" fontId="15" fillId="5" borderId="0" xfId="0" applyFont="1" applyFill="1" applyProtection="1">
      <protection locked="0"/>
    </xf>
    <xf numFmtId="0" fontId="14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vertical="center"/>
      <protection locked="0"/>
    </xf>
    <xf numFmtId="0" fontId="37" fillId="0" borderId="0" xfId="0" applyFont="1"/>
    <xf numFmtId="15" fontId="26" fillId="5" borderId="8" xfId="0" applyNumberFormat="1" applyFont="1" applyFill="1" applyBorder="1" applyAlignment="1">
      <alignment horizontal="center" vertical="center" wrapText="1"/>
    </xf>
    <xf numFmtId="0" fontId="32" fillId="3" borderId="0" xfId="2" applyFont="1" applyFill="1" applyAlignment="1">
      <alignment horizontal="center" vertical="center"/>
      <protection locked="0"/>
    </xf>
    <xf numFmtId="0" fontId="34" fillId="5" borderId="0" xfId="13" applyFont="1" applyFill="1" applyBorder="1" applyAlignment="1">
      <alignment horizontal="center" vertical="center"/>
    </xf>
    <xf numFmtId="0" fontId="35" fillId="5" borderId="0" xfId="13" applyFont="1" applyFill="1" applyBorder="1" applyAlignment="1">
      <alignment horizontal="center" vertical="center"/>
    </xf>
    <xf numFmtId="0" fontId="21" fillId="3" borderId="0" xfId="2" applyFont="1" applyFill="1" applyAlignment="1" applyProtection="1">
      <alignment horizontal="center" vertical="top"/>
    </xf>
    <xf numFmtId="0" fontId="20" fillId="2" borderId="1" xfId="8" applyFont="1" applyFill="1" applyBorder="1" applyAlignment="1" applyProtection="1">
      <alignment horizontal="left" vertical="center"/>
      <protection locked="0"/>
    </xf>
    <xf numFmtId="0" fontId="20" fillId="2" borderId="2" xfId="8" applyFont="1" applyFill="1" applyBorder="1" applyAlignment="1" applyProtection="1">
      <alignment horizontal="left" vertical="center"/>
      <protection locked="0"/>
    </xf>
    <xf numFmtId="0" fontId="20" fillId="2" borderId="3" xfId="8" applyFont="1" applyFill="1" applyBorder="1" applyAlignment="1" applyProtection="1">
      <alignment horizontal="left" vertical="center"/>
      <protection locked="0"/>
    </xf>
    <xf numFmtId="0" fontId="17" fillId="3" borderId="0" xfId="8" applyFont="1" applyFill="1" applyAlignment="1">
      <alignment horizontal="center"/>
    </xf>
    <xf numFmtId="0" fontId="36" fillId="5" borderId="0" xfId="0" applyFont="1" applyFill="1" applyAlignment="1" applyProtection="1">
      <alignment horizontal="center" vertical="center"/>
      <protection locked="0"/>
    </xf>
    <xf numFmtId="3" fontId="0" fillId="0" borderId="6" xfId="0" applyNumberFormat="1" applyBorder="1"/>
    <xf numFmtId="3" fontId="0" fillId="0" borderId="7" xfId="0" applyNumberFormat="1" applyBorder="1"/>
    <xf numFmtId="166" fontId="0" fillId="0" borderId="6" xfId="0" applyNumberFormat="1" applyBorder="1"/>
    <xf numFmtId="166" fontId="0" fillId="0" borderId="7" xfId="0" applyNumberFormat="1" applyBorder="1"/>
    <xf numFmtId="4" fontId="0" fillId="0" borderId="6" xfId="0" applyNumberFormat="1" applyBorder="1"/>
    <xf numFmtId="4" fontId="0" fillId="0" borderId="7" xfId="0" applyNumberFormat="1" applyBorder="1"/>
    <xf numFmtId="167" fontId="0" fillId="0" borderId="6" xfId="0" applyNumberFormat="1" applyBorder="1"/>
    <xf numFmtId="167" fontId="0" fillId="0" borderId="7" xfId="0" applyNumberFormat="1" applyBorder="1"/>
    <xf numFmtId="168" fontId="0" fillId="0" borderId="6" xfId="0" applyNumberFormat="1" applyBorder="1"/>
    <xf numFmtId="168" fontId="0" fillId="0" borderId="7" xfId="0" applyNumberFormat="1" applyBorder="1"/>
    <xf numFmtId="169" fontId="0" fillId="0" borderId="6" xfId="0" applyNumberFormat="1" applyBorder="1"/>
    <xf numFmtId="169" fontId="0" fillId="0" borderId="7" xfId="0" applyNumberFormat="1" applyBorder="1"/>
    <xf numFmtId="171" fontId="0" fillId="0" borderId="6" xfId="0" applyNumberFormat="1" applyBorder="1"/>
    <xf numFmtId="171" fontId="0" fillId="0" borderId="7" xfId="0" applyNumberFormat="1" applyBorder="1"/>
    <xf numFmtId="175" fontId="0" fillId="0" borderId="6" xfId="0" applyNumberFormat="1" applyBorder="1"/>
    <xf numFmtId="175" fontId="0" fillId="0" borderId="7" xfId="0" applyNumberFormat="1" applyBorder="1"/>
    <xf numFmtId="42" fontId="0" fillId="0" borderId="6" xfId="0" applyNumberFormat="1" applyBorder="1"/>
    <xf numFmtId="42" fontId="0" fillId="0" borderId="7" xfId="0" applyNumberFormat="1" applyBorder="1"/>
    <xf numFmtId="177" fontId="0" fillId="0" borderId="6" xfId="0" applyNumberFormat="1" applyBorder="1"/>
    <xf numFmtId="177" fontId="0" fillId="0" borderId="7" xfId="0" applyNumberFormat="1" applyBorder="1"/>
    <xf numFmtId="9" fontId="0" fillId="0" borderId="6" xfId="0" applyNumberFormat="1" applyBorder="1"/>
    <xf numFmtId="9" fontId="0" fillId="0" borderId="7" xfId="0" applyNumberFormat="1" applyBorder="1"/>
    <xf numFmtId="10" fontId="0" fillId="0" borderId="6" xfId="0" applyNumberFormat="1" applyBorder="1"/>
    <xf numFmtId="10" fontId="0" fillId="0" borderId="7" xfId="0" applyNumberFormat="1" applyBorder="1"/>
    <xf numFmtId="179" fontId="0" fillId="0" borderId="6" xfId="0" applyNumberFormat="1" applyBorder="1"/>
    <xf numFmtId="179" fontId="0" fillId="0" borderId="7" xfId="0" applyNumberFormat="1" applyBorder="1"/>
    <xf numFmtId="180" fontId="0" fillId="0" borderId="9" xfId="0" applyNumberFormat="1" applyBorder="1"/>
    <xf numFmtId="180" fontId="0" fillId="0" borderId="10" xfId="0" applyNumberFormat="1" applyBorder="1"/>
    <xf numFmtId="180" fontId="0" fillId="0" borderId="11" xfId="0" applyNumberFormat="1" applyBorder="1"/>
    <xf numFmtId="181" fontId="0" fillId="0" borderId="6" xfId="0" applyNumberFormat="1" applyBorder="1"/>
    <xf numFmtId="181" fontId="0" fillId="0" borderId="7" xfId="0" applyNumberFormat="1" applyBorder="1"/>
    <xf numFmtId="182" fontId="0" fillId="0" borderId="6" xfId="0" applyNumberFormat="1" applyBorder="1"/>
    <xf numFmtId="182" fontId="0" fillId="0" borderId="7" xfId="0" applyNumberFormat="1" applyBorder="1"/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9" fillId="6" borderId="15" xfId="0" applyFont="1" applyFill="1" applyBorder="1" applyAlignment="1">
      <alignment horizontal="center" vertical="center"/>
    </xf>
    <xf numFmtId="0" fontId="39" fillId="6" borderId="0" xfId="0" applyFont="1" applyFill="1" applyBorder="1" applyAlignment="1">
      <alignment horizontal="center" vertical="center"/>
    </xf>
    <xf numFmtId="0" fontId="39" fillId="6" borderId="1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0" fillId="7" borderId="20" xfId="0" applyFont="1" applyFill="1" applyBorder="1" applyAlignment="1">
      <alignment horizontal="center" vertical="center"/>
    </xf>
    <xf numFmtId="0" fontId="40" fillId="7" borderId="21" xfId="0" applyFont="1" applyFill="1" applyBorder="1" applyAlignment="1">
      <alignment horizontal="center" vertical="center"/>
    </xf>
    <xf numFmtId="0" fontId="40" fillId="7" borderId="2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9" borderId="29" xfId="0" applyFill="1" applyBorder="1" applyAlignment="1">
      <alignment horizontal="center" vertical="center"/>
    </xf>
    <xf numFmtId="44" fontId="0" fillId="8" borderId="29" xfId="0" applyNumberFormat="1" applyFill="1" applyBorder="1" applyAlignment="1">
      <alignment horizontal="center" vertical="center"/>
    </xf>
    <xf numFmtId="0" fontId="41" fillId="8" borderId="29" xfId="0" applyFont="1" applyFill="1" applyBorder="1" applyAlignment="1">
      <alignment horizontal="center" vertical="center"/>
    </xf>
    <xf numFmtId="0" fontId="0" fillId="0" borderId="30" xfId="0" applyBorder="1"/>
    <xf numFmtId="0" fontId="42" fillId="10" borderId="31" xfId="0" applyFont="1" applyFill="1" applyBorder="1" applyAlignment="1">
      <alignment horizontal="center"/>
    </xf>
    <xf numFmtId="0" fontId="42" fillId="10" borderId="32" xfId="0" applyFont="1" applyFill="1" applyBorder="1" applyAlignment="1">
      <alignment horizontal="center"/>
    </xf>
    <xf numFmtId="0" fontId="42" fillId="10" borderId="33" xfId="0" applyFont="1" applyFill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40" fillId="0" borderId="39" xfId="0" applyFont="1" applyBorder="1" applyAlignment="1">
      <alignment horizontal="center"/>
    </xf>
    <xf numFmtId="0" fontId="40" fillId="0" borderId="40" xfId="0" applyFont="1" applyBorder="1" applyAlignment="1">
      <alignment horizontal="center"/>
    </xf>
    <xf numFmtId="0" fontId="40" fillId="0" borderId="41" xfId="0" applyFont="1" applyBorder="1" applyAlignment="1">
      <alignment horizontal="center" wrapText="1"/>
    </xf>
    <xf numFmtId="0" fontId="0" fillId="0" borderId="42" xfId="0" applyBorder="1" applyAlignment="1">
      <alignment horizontal="left"/>
    </xf>
    <xf numFmtId="0" fontId="0" fillId="0" borderId="43" xfId="0" applyBorder="1"/>
    <xf numFmtId="0" fontId="0" fillId="0" borderId="45" xfId="0" applyBorder="1" applyAlignment="1">
      <alignment horizontal="left"/>
    </xf>
    <xf numFmtId="0" fontId="0" fillId="0" borderId="46" xfId="0" applyBorder="1"/>
    <xf numFmtId="183" fontId="0" fillId="0" borderId="44" xfId="0" applyNumberFormat="1" applyBorder="1" applyAlignment="1">
      <alignment horizontal="left"/>
    </xf>
    <xf numFmtId="183" fontId="0" fillId="0" borderId="47" xfId="0" applyNumberFormat="1" applyBorder="1" applyAlignment="1">
      <alignment horizontal="left"/>
    </xf>
    <xf numFmtId="0" fontId="43" fillId="2" borderId="51" xfId="0" applyFont="1" applyFill="1" applyBorder="1" applyAlignment="1" applyProtection="1">
      <alignment horizontal="left" vertical="center"/>
      <protection locked="0"/>
    </xf>
    <xf numFmtId="0" fontId="43" fillId="2" borderId="52" xfId="0" applyFont="1" applyFill="1" applyBorder="1" applyAlignment="1" applyProtection="1">
      <alignment horizontal="left" vertical="center"/>
      <protection locked="0"/>
    </xf>
    <xf numFmtId="0" fontId="43" fillId="2" borderId="53" xfId="0" applyFont="1" applyFill="1" applyBorder="1" applyAlignment="1" applyProtection="1">
      <alignment horizontal="left" vertical="center"/>
      <protection locked="0"/>
    </xf>
    <xf numFmtId="0" fontId="43" fillId="2" borderId="54" xfId="0" applyFont="1" applyFill="1" applyBorder="1" applyAlignment="1" applyProtection="1">
      <alignment horizontal="left" vertical="center"/>
      <protection locked="0"/>
    </xf>
    <xf numFmtId="0" fontId="43" fillId="2" borderId="55" xfId="0" applyFont="1" applyFill="1" applyBorder="1" applyAlignment="1" applyProtection="1">
      <alignment horizontal="left" vertical="center"/>
      <protection locked="0"/>
    </xf>
    <xf numFmtId="0" fontId="43" fillId="2" borderId="56" xfId="0" applyFont="1" applyFill="1" applyBorder="1" applyAlignment="1" applyProtection="1">
      <alignment horizontal="left" vertical="center"/>
      <protection locked="0"/>
    </xf>
    <xf numFmtId="44" fontId="12" fillId="2" borderId="59" xfId="15" applyFont="1" applyFill="1" applyBorder="1" applyProtection="1">
      <protection locked="0"/>
    </xf>
    <xf numFmtId="44" fontId="12" fillId="2" borderId="60" xfId="15" applyFont="1" applyFill="1" applyBorder="1" applyProtection="1">
      <protection locked="0"/>
    </xf>
    <xf numFmtId="0" fontId="12" fillId="2" borderId="59" xfId="0" applyFont="1" applyFill="1" applyBorder="1" applyProtection="1">
      <protection locked="0"/>
    </xf>
    <xf numFmtId="0" fontId="12" fillId="2" borderId="69" xfId="0" applyFont="1" applyFill="1" applyBorder="1" applyProtection="1">
      <protection locked="0"/>
    </xf>
    <xf numFmtId="0" fontId="43" fillId="2" borderId="64" xfId="0" applyFont="1" applyFill="1" applyBorder="1" applyAlignment="1" applyProtection="1">
      <alignment horizontal="center"/>
      <protection locked="0"/>
    </xf>
    <xf numFmtId="0" fontId="43" fillId="2" borderId="68" xfId="0" applyFont="1" applyFill="1" applyBorder="1" applyAlignment="1" applyProtection="1">
      <alignment horizontal="center"/>
      <protection locked="0"/>
    </xf>
    <xf numFmtId="0" fontId="43" fillId="2" borderId="54" xfId="0" applyFont="1" applyFill="1" applyBorder="1" applyAlignment="1" applyProtection="1">
      <alignment horizontal="left"/>
      <protection locked="0"/>
    </xf>
    <xf numFmtId="0" fontId="43" fillId="2" borderId="58" xfId="0" applyFont="1" applyFill="1" applyBorder="1" applyAlignment="1" applyProtection="1">
      <alignment horizontal="left"/>
      <protection locked="0"/>
    </xf>
    <xf numFmtId="0" fontId="43" fillId="2" borderId="70" xfId="0" applyFont="1" applyFill="1" applyBorder="1" applyAlignment="1" applyProtection="1">
      <alignment horizontal="left"/>
      <protection locked="0"/>
    </xf>
    <xf numFmtId="0" fontId="43" fillId="2" borderId="71" xfId="0" applyFont="1" applyFill="1" applyBorder="1" applyAlignment="1" applyProtection="1">
      <alignment horizontal="left"/>
      <protection locked="0"/>
    </xf>
    <xf numFmtId="0" fontId="43" fillId="2" borderId="50" xfId="0" applyFont="1" applyFill="1" applyBorder="1" applyAlignment="1" applyProtection="1">
      <alignment horizontal="center" vertical="center"/>
      <protection locked="0"/>
    </xf>
    <xf numFmtId="0" fontId="43" fillId="2" borderId="65" xfId="0" applyFont="1" applyFill="1" applyBorder="1" applyAlignment="1" applyProtection="1">
      <alignment horizontal="center" vertical="center"/>
      <protection locked="0"/>
    </xf>
    <xf numFmtId="0" fontId="43" fillId="2" borderId="48" xfId="0" applyFont="1" applyFill="1" applyBorder="1" applyAlignment="1" applyProtection="1">
      <alignment horizontal="center" vertical="center"/>
      <protection locked="0"/>
    </xf>
    <xf numFmtId="0" fontId="43" fillId="2" borderId="49" xfId="0" applyFont="1" applyFill="1" applyBorder="1" applyAlignment="1" applyProtection="1">
      <alignment horizontal="center" vertical="center"/>
      <protection locked="0"/>
    </xf>
    <xf numFmtId="184" fontId="43" fillId="3" borderId="65" xfId="0" applyNumberFormat="1" applyFont="1" applyFill="1" applyBorder="1" applyAlignment="1" applyProtection="1">
      <alignment horizontal="center" vertical="center"/>
      <protection locked="0"/>
    </xf>
    <xf numFmtId="184" fontId="43" fillId="3" borderId="66" xfId="0" applyNumberFormat="1" applyFont="1" applyFill="1" applyBorder="1" applyAlignment="1" applyProtection="1">
      <alignment horizontal="center" vertical="center"/>
      <protection locked="0"/>
    </xf>
    <xf numFmtId="184" fontId="43" fillId="3" borderId="67" xfId="0" applyNumberFormat="1" applyFont="1" applyFill="1" applyBorder="1" applyAlignment="1" applyProtection="1">
      <alignment horizontal="center" vertical="center"/>
      <protection locked="0"/>
    </xf>
    <xf numFmtId="0" fontId="44" fillId="11" borderId="0" xfId="0" applyFont="1" applyFill="1" applyBorder="1" applyAlignment="1" applyProtection="1">
      <alignment horizontal="center" vertical="center"/>
      <protection locked="0"/>
    </xf>
    <xf numFmtId="0" fontId="44" fillId="11" borderId="57" xfId="0" applyFont="1" applyFill="1" applyBorder="1" applyAlignment="1" applyProtection="1">
      <alignment horizontal="center" vertical="center"/>
      <protection locked="0"/>
    </xf>
    <xf numFmtId="0" fontId="44" fillId="11" borderId="61" xfId="0" applyFont="1" applyFill="1" applyBorder="1" applyAlignment="1" applyProtection="1">
      <alignment horizontal="center" vertical="center"/>
      <protection locked="0"/>
    </xf>
    <xf numFmtId="0" fontId="44" fillId="11" borderId="62" xfId="0" applyFont="1" applyFill="1" applyBorder="1" applyAlignment="1" applyProtection="1">
      <alignment horizontal="center" vertical="center"/>
      <protection locked="0"/>
    </xf>
    <xf numFmtId="0" fontId="44" fillId="11" borderId="63" xfId="0" applyFont="1" applyFill="1" applyBorder="1" applyAlignment="1" applyProtection="1">
      <alignment horizontal="center" vertical="center"/>
      <protection locked="0"/>
    </xf>
  </cellXfs>
  <cellStyles count="16">
    <cellStyle name="Celda de comprobación" xfId="13" builtinId="23"/>
    <cellStyle name="Euro" xfId="1" xr:uid="{00000000-0005-0000-0000-000000000000}"/>
    <cellStyle name="Hipervínculo" xfId="2" builtinId="8"/>
    <cellStyle name="Hipervínculo 2" xfId="12" xr:uid="{188F1FF3-E5A9-45A5-97C4-7A3CCDE30BD4}"/>
    <cellStyle name="Millares [0] 2" xfId="3" xr:uid="{00000000-0005-0000-0000-000003000000}"/>
    <cellStyle name="Millares [0] 3" xfId="4" xr:uid="{00000000-0005-0000-0000-000004000000}"/>
    <cellStyle name="Moneda" xfId="15" builtinId="4"/>
    <cellStyle name="Normal" xfId="0" builtinId="0"/>
    <cellStyle name="Normal 16" xfId="14" xr:uid="{C9B7D9C4-7CDD-48FF-A0ED-BD6CA7BC36EF}"/>
    <cellStyle name="Normal 2" xfId="5" xr:uid="{00000000-0005-0000-0000-000007000000}"/>
    <cellStyle name="Normal 3" xfId="8" xr:uid="{00000000-0005-0000-0000-000008000000}"/>
    <cellStyle name="Normal 3 2" xfId="10" xr:uid="{00000000-0005-0000-0000-000009000000}"/>
    <cellStyle name="Normal 4" xfId="9" xr:uid="{00000000-0005-0000-0000-00000A000000}"/>
    <cellStyle name="Normal 5" xfId="11" xr:uid="{ABDD1A21-C5F0-4CA9-8495-9F28C871DC59}"/>
    <cellStyle name="Normal_SALES93" xfId="6" xr:uid="{00000000-0005-0000-0000-00000C000000}"/>
    <cellStyle name="Porcentual 2" xfId="7" xr:uid="{00000000-0005-0000-0000-00000D000000}"/>
  </cellStyles>
  <dxfs count="0"/>
  <tableStyles count="0" defaultTableStyle="TableStyleMedium9" defaultPivotStyle="PivotStyleLight16"/>
  <colors>
    <mruColors>
      <color rgb="FF0000FF"/>
      <color rgb="FFE7FFFF"/>
      <color rgb="FF3399FF"/>
      <color rgb="FF3366CC"/>
      <color rgb="FFCCECFF"/>
      <color rgb="FF217346"/>
      <color rgb="FF66FFFF"/>
      <color rgb="FF33CCCC"/>
      <color rgb="FF800000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462016</xdr:colOff>
      <xdr:row>1</xdr:row>
      <xdr:rowOff>161026</xdr:rowOff>
    </xdr:from>
    <xdr:ext cx="5212004" cy="783548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08F09D2-6ED0-4876-941D-B35CE84E832B}"/>
            </a:ext>
          </a:extLst>
        </xdr:cNvPr>
        <xdr:cNvSpPr/>
      </xdr:nvSpPr>
      <xdr:spPr>
        <a:xfrm>
          <a:off x="2161276" y="328666"/>
          <a:ext cx="5212004" cy="78354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4400" b="1" cap="none" spc="0" baseline="0">
              <a:ln w="9525">
                <a:noFill/>
                <a:prstDash val="solid"/>
              </a:ln>
              <a:solidFill>
                <a:srgbClr val="217346"/>
              </a:solidFill>
              <a:effectLst/>
              <a:latin typeface="Gilroy ExtraBold" panose="00000900000000000000" pitchFamily="50" charset="0"/>
            </a:rPr>
            <a:t>Formato de Celdas</a:t>
          </a:r>
          <a:endParaRPr lang="es-ES" sz="4400" b="1" cap="none" spc="0">
            <a:ln w="9525">
              <a:noFill/>
              <a:prstDash val="solid"/>
            </a:ln>
            <a:solidFill>
              <a:srgbClr val="217346"/>
            </a:solidFill>
            <a:effectLst/>
            <a:latin typeface="Gilroy ExtraBold" panose="00000900000000000000" pitchFamily="50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0</xdr:rowOff>
    </xdr:from>
    <xdr:to>
      <xdr:col>9</xdr:col>
      <xdr:colOff>412446</xdr:colOff>
      <xdr:row>38</xdr:row>
      <xdr:rowOff>20156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9564DD-F04C-4390-B151-D0C9AE055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0"/>
          <a:ext cx="7514286" cy="6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396786</xdr:colOff>
      <xdr:row>38</xdr:row>
      <xdr:rowOff>7016</xdr:rowOff>
    </xdr:from>
    <xdr:to>
      <xdr:col>9</xdr:col>
      <xdr:colOff>161823</xdr:colOff>
      <xdr:row>72</xdr:row>
      <xdr:rowOff>34864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750CE4-BB01-475C-8FDC-C8AC11BFF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1916" y="6301799"/>
          <a:ext cx="6126081" cy="5660022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609600</xdr:colOff>
      <xdr:row>72</xdr:row>
      <xdr:rowOff>89646</xdr:rowOff>
    </xdr:from>
    <xdr:to>
      <xdr:col>8</xdr:col>
      <xdr:colOff>154008</xdr:colOff>
      <xdr:row>89</xdr:row>
      <xdr:rowOff>89284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BB61940-29F8-4A24-9AB5-25201C6A3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8494" y="12353364"/>
          <a:ext cx="5066667" cy="2895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</xdr:colOff>
      <xdr:row>0</xdr:row>
      <xdr:rowOff>60960</xdr:rowOff>
    </xdr:from>
    <xdr:to>
      <xdr:col>17</xdr:col>
      <xdr:colOff>346328</xdr:colOff>
      <xdr:row>36</xdr:row>
      <xdr:rowOff>83063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0A951F-95DB-4DC0-962A-64FE57DC4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" y="60960"/>
          <a:ext cx="13748564" cy="61539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152400</xdr:rowOff>
    </xdr:from>
    <xdr:to>
      <xdr:col>17</xdr:col>
      <xdr:colOff>318316</xdr:colOff>
      <xdr:row>64</xdr:row>
      <xdr:rowOff>128935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41EA22-B877-4A1E-A4B1-C7176DFC7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13929"/>
          <a:ext cx="13729516" cy="4916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17346"/>
  </sheetPr>
  <dimension ref="B7:N318"/>
  <sheetViews>
    <sheetView zoomScaleNormal="100" workbookViewId="0">
      <selection activeCell="G19" sqref="G19"/>
    </sheetView>
  </sheetViews>
  <sheetFormatPr baseColWidth="10" defaultColWidth="11.44140625" defaultRowHeight="13.2"/>
  <cols>
    <col min="1" max="1" width="5.21875" style="22" customWidth="1"/>
    <col min="2" max="2" width="11.44140625" style="22"/>
    <col min="3" max="3" width="8.109375" style="22" customWidth="1"/>
    <col min="4" max="4" width="15.33203125" style="22" customWidth="1"/>
    <col min="5" max="5" width="11.88671875" style="22" customWidth="1"/>
    <col min="6" max="6" width="0.33203125" style="22" customWidth="1"/>
    <col min="7" max="7" width="11.44140625" style="22"/>
    <col min="8" max="8" width="13" style="22" customWidth="1"/>
    <col min="9" max="9" width="9.44140625" style="22" customWidth="1"/>
    <col min="10" max="10" width="0.33203125" style="22" customWidth="1"/>
    <col min="11" max="11" width="11.44140625" style="22"/>
    <col min="12" max="12" width="14.109375" style="22" customWidth="1"/>
    <col min="13" max="13" width="6.6640625" style="22" customWidth="1"/>
    <col min="14" max="16384" width="11.44140625" style="22"/>
  </cols>
  <sheetData>
    <row r="7" spans="2:14" ht="2.1" customHeight="1"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</row>
    <row r="8" spans="2:14" ht="2.1" customHeight="1"/>
    <row r="9" spans="2:14" ht="2.1" customHeight="1"/>
    <row r="10" spans="2:14" ht="50.1" customHeight="1">
      <c r="C10" s="47" t="s">
        <v>58</v>
      </c>
      <c r="D10" s="47"/>
      <c r="E10" s="47"/>
      <c r="F10" s="32"/>
      <c r="G10" s="47" t="s">
        <v>69</v>
      </c>
      <c r="H10" s="47"/>
      <c r="I10" s="47"/>
      <c r="J10" s="32"/>
      <c r="K10" s="47" t="s">
        <v>70</v>
      </c>
      <c r="L10" s="47"/>
      <c r="M10" s="47"/>
      <c r="N10" s="30"/>
    </row>
    <row r="11" spans="2:14" ht="2.1" customHeight="1"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0"/>
    </row>
    <row r="12" spans="2:14" ht="2.1" customHeight="1"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</row>
    <row r="13" spans="2:14" ht="2.1" customHeight="1"/>
    <row r="14" spans="2:14" ht="2.1" customHeight="1"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</row>
    <row r="15" spans="2:14" ht="1.5" customHeight="1"/>
    <row r="16" spans="2:14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2.1" customHeight="1"/>
    <row r="25" ht="2.1" customHeight="1"/>
    <row r="26" ht="2.1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</sheetData>
  <sheetProtection selectLockedCells="1"/>
  <mergeCells count="3">
    <mergeCell ref="C10:E10"/>
    <mergeCell ref="G10:I10"/>
    <mergeCell ref="K10:M10"/>
  </mergeCells>
  <hyperlinks>
    <hyperlink ref="C10:E10" location="'Ejercicio 1'!A1" display="Ejercicio 1" xr:uid="{BB8289D1-CEED-439E-B6B0-201F75A2BA93}"/>
    <hyperlink ref="G10:I10" location="'Ejercicio 2'!A1" display="Ejercicio 2" xr:uid="{555C4DDB-804B-4FE8-ACFD-E7DB116D489C}"/>
    <hyperlink ref="K10:M10" location="'Ejercicio 3'!A1" display="Ejercicio 3" xr:uid="{12496E6D-3694-4468-9367-DAF3CA3429F8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72A0-1883-4D9A-9D50-69564B90328E}">
  <sheetPr>
    <tabColor rgb="FF217346"/>
  </sheetPr>
  <dimension ref="B3:H67"/>
  <sheetViews>
    <sheetView showGridLines="0" topLeftCell="A52" zoomScale="115" zoomScaleNormal="115" workbookViewId="0">
      <selection activeCell="D71" sqref="D71"/>
    </sheetView>
  </sheetViews>
  <sheetFormatPr baseColWidth="10" defaultRowHeight="13.2"/>
  <cols>
    <col min="1" max="1" width="3.33203125" customWidth="1"/>
    <col min="4" max="4" width="16.77734375" customWidth="1"/>
    <col min="6" max="6" width="30.33203125" bestFit="1" customWidth="1"/>
    <col min="8" max="8" width="12.44140625" bestFit="1" customWidth="1"/>
    <col min="10" max="10" width="17.88671875" bestFit="1" customWidth="1"/>
  </cols>
  <sheetData>
    <row r="3" spans="2:7">
      <c r="B3" s="48" t="s">
        <v>92</v>
      </c>
      <c r="C3" s="48"/>
      <c r="D3" s="48"/>
      <c r="E3" s="48"/>
      <c r="F3" s="48"/>
      <c r="G3" s="48"/>
    </row>
    <row r="4" spans="2:7">
      <c r="B4" s="48"/>
      <c r="C4" s="48"/>
      <c r="D4" s="48"/>
      <c r="E4" s="48"/>
      <c r="F4" s="48"/>
      <c r="G4" s="48"/>
    </row>
    <row r="7" spans="2:7" ht="15.6">
      <c r="B7" s="45" t="s">
        <v>91</v>
      </c>
    </row>
    <row r="8" spans="2:7" ht="13.8" thickBot="1"/>
    <row r="9" spans="2:7" ht="14.4">
      <c r="B9" s="39" t="s">
        <v>72</v>
      </c>
      <c r="C9" s="24"/>
      <c r="D9" s="39" t="s">
        <v>73</v>
      </c>
      <c r="E9" s="24"/>
      <c r="F9" s="39" t="s">
        <v>74</v>
      </c>
    </row>
    <row r="10" spans="2:7">
      <c r="B10" s="56">
        <v>3526.85</v>
      </c>
      <c r="D10" s="60">
        <v>3526.85</v>
      </c>
      <c r="F10" s="58">
        <v>3526.85</v>
      </c>
    </row>
    <row r="11" spans="2:7">
      <c r="B11" s="56">
        <v>123.5</v>
      </c>
      <c r="D11" s="60">
        <v>123.5</v>
      </c>
      <c r="F11" s="58">
        <v>123.5</v>
      </c>
    </row>
    <row r="12" spans="2:7">
      <c r="B12" s="56">
        <v>1450</v>
      </c>
      <c r="D12" s="60">
        <v>1450</v>
      </c>
      <c r="F12" s="58">
        <v>1450</v>
      </c>
    </row>
    <row r="13" spans="2:7">
      <c r="B13" s="56">
        <v>131.19999999999999</v>
      </c>
      <c r="D13" s="60">
        <v>131.19999999999999</v>
      </c>
      <c r="F13" s="58">
        <v>131.19999999999999</v>
      </c>
    </row>
    <row r="14" spans="2:7">
      <c r="B14" s="56">
        <v>16.45</v>
      </c>
      <c r="D14" s="60">
        <v>16.45</v>
      </c>
      <c r="F14" s="58">
        <v>16.45</v>
      </c>
    </row>
    <row r="15" spans="2:7">
      <c r="B15" s="56">
        <v>652.34</v>
      </c>
      <c r="D15" s="60">
        <v>652.34</v>
      </c>
      <c r="F15" s="58">
        <v>652.34</v>
      </c>
    </row>
    <row r="16" spans="2:7" ht="13.8" thickBot="1">
      <c r="B16" s="57">
        <v>25.49</v>
      </c>
      <c r="D16" s="61">
        <v>25.49</v>
      </c>
      <c r="F16" s="59">
        <v>25.49</v>
      </c>
    </row>
    <row r="20" spans="2:6" ht="15.6">
      <c r="B20" s="45" t="s">
        <v>75</v>
      </c>
    </row>
    <row r="21" spans="2:6" ht="13.8" thickBot="1"/>
    <row r="22" spans="2:6" ht="28.8">
      <c r="B22" s="38" t="s">
        <v>76</v>
      </c>
      <c r="C22" s="25"/>
      <c r="D22" s="38" t="s">
        <v>77</v>
      </c>
      <c r="E22" s="25"/>
      <c r="F22" s="38" t="s">
        <v>78</v>
      </c>
    </row>
    <row r="23" spans="2:6" ht="14.4">
      <c r="B23" s="66">
        <v>3526.85</v>
      </c>
      <c r="C23" s="26"/>
      <c r="D23" s="64">
        <v>3526.85</v>
      </c>
      <c r="E23" s="26"/>
      <c r="F23" s="62">
        <v>3526.85</v>
      </c>
    </row>
    <row r="24" spans="2:6" ht="14.4">
      <c r="B24" s="66">
        <v>123.5</v>
      </c>
      <c r="C24" s="26"/>
      <c r="D24" s="64">
        <v>123.5</v>
      </c>
      <c r="E24" s="26"/>
      <c r="F24" s="62">
        <v>123.5</v>
      </c>
    </row>
    <row r="25" spans="2:6" ht="14.4">
      <c r="B25" s="66">
        <v>1450</v>
      </c>
      <c r="C25" s="26"/>
      <c r="D25" s="64">
        <v>1450</v>
      </c>
      <c r="E25" s="26"/>
      <c r="F25" s="62">
        <v>1450</v>
      </c>
    </row>
    <row r="26" spans="2:6" ht="14.4">
      <c r="B26" s="66">
        <v>131.19999999999999</v>
      </c>
      <c r="C26" s="26"/>
      <c r="D26" s="64">
        <v>131.19999999999999</v>
      </c>
      <c r="E26" s="26"/>
      <c r="F26" s="62">
        <v>131.19999999999999</v>
      </c>
    </row>
    <row r="27" spans="2:6" ht="14.4">
      <c r="B27" s="66">
        <v>16.45</v>
      </c>
      <c r="C27" s="26"/>
      <c r="D27" s="64">
        <v>16.45</v>
      </c>
      <c r="E27" s="26"/>
      <c r="F27" s="62">
        <v>16.45</v>
      </c>
    </row>
    <row r="28" spans="2:6" ht="14.4">
      <c r="B28" s="66">
        <v>652.34</v>
      </c>
      <c r="C28" s="26"/>
      <c r="D28" s="64">
        <v>652.34</v>
      </c>
      <c r="E28" s="26"/>
      <c r="F28" s="62">
        <v>652.34</v>
      </c>
    </row>
    <row r="29" spans="2:6" ht="15" thickBot="1">
      <c r="B29" s="67">
        <v>25.49</v>
      </c>
      <c r="C29" s="26"/>
      <c r="D29" s="65">
        <v>25.49</v>
      </c>
      <c r="E29" s="26"/>
      <c r="F29" s="63">
        <v>25.49</v>
      </c>
    </row>
    <row r="32" spans="2:6" ht="15.6">
      <c r="B32" s="45" t="s">
        <v>79</v>
      </c>
    </row>
    <row r="33" spans="2:8" ht="13.8" thickBot="1"/>
    <row r="34" spans="2:8" ht="28.8">
      <c r="B34" s="34" t="s">
        <v>80</v>
      </c>
      <c r="C34" s="27"/>
      <c r="D34" s="38" t="s">
        <v>81</v>
      </c>
      <c r="E34" s="27"/>
      <c r="F34" s="38" t="s">
        <v>82</v>
      </c>
      <c r="H34" s="38" t="s">
        <v>83</v>
      </c>
    </row>
    <row r="35" spans="2:8" ht="14.4">
      <c r="B35" s="68">
        <v>3526.85</v>
      </c>
      <c r="C35" s="28"/>
      <c r="D35" s="74">
        <v>3526.85</v>
      </c>
      <c r="E35" s="28"/>
      <c r="F35" s="72">
        <v>3526.85</v>
      </c>
      <c r="H35" s="70">
        <v>3526.85</v>
      </c>
    </row>
    <row r="36" spans="2:8" ht="14.4">
      <c r="B36" s="68">
        <v>123.5</v>
      </c>
      <c r="C36" s="28"/>
      <c r="D36" s="74">
        <v>123.5</v>
      </c>
      <c r="E36" s="28"/>
      <c r="F36" s="72">
        <v>123.5</v>
      </c>
      <c r="H36" s="70">
        <v>123.5</v>
      </c>
    </row>
    <row r="37" spans="2:8" ht="14.4">
      <c r="B37" s="68">
        <v>1450</v>
      </c>
      <c r="C37" s="28"/>
      <c r="D37" s="74">
        <v>1450</v>
      </c>
      <c r="E37" s="28"/>
      <c r="F37" s="72">
        <v>1450</v>
      </c>
      <c r="H37" s="70">
        <v>1450</v>
      </c>
    </row>
    <row r="38" spans="2:8" ht="14.4">
      <c r="B38" s="68">
        <v>131.19999999999999</v>
      </c>
      <c r="C38" s="28"/>
      <c r="D38" s="74">
        <v>131.19999999999999</v>
      </c>
      <c r="E38" s="28"/>
      <c r="F38" s="72">
        <v>131.19999999999999</v>
      </c>
      <c r="H38" s="70">
        <v>131.19999999999999</v>
      </c>
    </row>
    <row r="39" spans="2:8" ht="14.4">
      <c r="B39" s="68">
        <v>16.45</v>
      </c>
      <c r="C39" s="28"/>
      <c r="D39" s="74">
        <v>16.45</v>
      </c>
      <c r="E39" s="28"/>
      <c r="F39" s="72">
        <v>16.45</v>
      </c>
      <c r="H39" s="70">
        <v>16.45</v>
      </c>
    </row>
    <row r="40" spans="2:8" ht="14.4">
      <c r="B40" s="68">
        <v>652.34</v>
      </c>
      <c r="C40" s="28"/>
      <c r="D40" s="74">
        <v>652.34</v>
      </c>
      <c r="E40" s="28"/>
      <c r="F40" s="72">
        <v>652.34</v>
      </c>
      <c r="H40" s="70">
        <v>652.34</v>
      </c>
    </row>
    <row r="41" spans="2:8" ht="15" thickBot="1">
      <c r="B41" s="69">
        <v>25.49</v>
      </c>
      <c r="C41" s="28"/>
      <c r="D41" s="75">
        <v>25.49</v>
      </c>
      <c r="E41" s="28"/>
      <c r="F41" s="73">
        <v>25.49</v>
      </c>
      <c r="H41" s="71">
        <v>25.49</v>
      </c>
    </row>
    <row r="45" spans="2:8" ht="15.6">
      <c r="B45" s="45" t="s">
        <v>84</v>
      </c>
    </row>
    <row r="46" spans="2:8" ht="13.8" thickBot="1"/>
    <row r="47" spans="2:8" ht="13.8">
      <c r="B47" s="34" t="s">
        <v>72</v>
      </c>
      <c r="D47" s="34" t="s">
        <v>73</v>
      </c>
      <c r="F47" s="34" t="s">
        <v>85</v>
      </c>
    </row>
    <row r="48" spans="2:8">
      <c r="B48" s="76">
        <v>0.125</v>
      </c>
      <c r="D48" s="78">
        <v>0.125</v>
      </c>
      <c r="F48" s="80">
        <v>0.125</v>
      </c>
    </row>
    <row r="49" spans="2:8">
      <c r="B49" s="76">
        <v>0.155</v>
      </c>
      <c r="D49" s="78">
        <v>0.155</v>
      </c>
      <c r="F49" s="80">
        <v>0.155</v>
      </c>
    </row>
    <row r="50" spans="2:8">
      <c r="B50" s="76">
        <v>1.4999999999999999E-2</v>
      </c>
      <c r="D50" s="78">
        <v>1.4999999999999999E-2</v>
      </c>
      <c r="F50" s="80">
        <v>1.4999999999999999E-2</v>
      </c>
    </row>
    <row r="51" spans="2:8">
      <c r="B51" s="76">
        <v>0.55000000000000004</v>
      </c>
      <c r="D51" s="78">
        <v>0.55000000000000004</v>
      </c>
      <c r="F51" s="80">
        <v>0.55000000000000004</v>
      </c>
    </row>
    <row r="52" spans="2:8">
      <c r="B52" s="76">
        <v>0.16</v>
      </c>
      <c r="D52" s="78">
        <v>0.16</v>
      </c>
      <c r="F52" s="80">
        <v>0.16</v>
      </c>
    </row>
    <row r="53" spans="2:8">
      <c r="B53" s="76">
        <v>0.25</v>
      </c>
      <c r="D53" s="78">
        <v>0.25</v>
      </c>
      <c r="F53" s="80">
        <v>0.25</v>
      </c>
    </row>
    <row r="54" spans="2:8" ht="13.8" thickBot="1">
      <c r="B54" s="77">
        <v>2.3300000000000001E-2</v>
      </c>
      <c r="D54" s="79">
        <v>2.3300000000000001E-2</v>
      </c>
      <c r="F54" s="81">
        <v>2.3300000000000001E-2</v>
      </c>
    </row>
    <row r="58" spans="2:8" ht="15.6">
      <c r="B58" s="45" t="s">
        <v>86</v>
      </c>
    </row>
    <row r="59" spans="2:8" ht="13.8" thickBot="1"/>
    <row r="60" spans="2:8" ht="32.4" customHeight="1">
      <c r="B60" s="34" t="s">
        <v>87</v>
      </c>
      <c r="D60" s="33" t="s">
        <v>88</v>
      </c>
      <c r="F60" s="46" t="s">
        <v>89</v>
      </c>
      <c r="H60" s="37" t="s">
        <v>90</v>
      </c>
    </row>
    <row r="61" spans="2:8" ht="14.4">
      <c r="B61" s="35">
        <f ca="1">RANDBETWEEN("5/5/2001",TODAY())</f>
        <v>38085</v>
      </c>
      <c r="C61" s="29"/>
      <c r="D61" s="85">
        <f ca="1">RANDBETWEEN("5/5/2001",TODAY())</f>
        <v>45269</v>
      </c>
      <c r="F61" s="82">
        <f ca="1">RANDBETWEEN("5/5/2001",TODAY())</f>
        <v>42433</v>
      </c>
      <c r="H61" s="87">
        <f ca="1">RANDBETWEEN("5/5/2001",TODAY())</f>
        <v>43491</v>
      </c>
    </row>
    <row r="62" spans="2:8" ht="14.4">
      <c r="B62" s="35">
        <f t="shared" ref="B62:H67" ca="1" si="0">RANDBETWEEN("5/5/2001",TODAY())</f>
        <v>37512</v>
      </c>
      <c r="D62" s="85">
        <f t="shared" ca="1" si="0"/>
        <v>40572</v>
      </c>
      <c r="F62" s="83">
        <f t="shared" ca="1" si="0"/>
        <v>37626</v>
      </c>
      <c r="H62" s="87">
        <f t="shared" ca="1" si="0"/>
        <v>43296</v>
      </c>
    </row>
    <row r="63" spans="2:8" ht="14.4">
      <c r="B63" s="35">
        <f t="shared" ca="1" si="0"/>
        <v>41992</v>
      </c>
      <c r="D63" s="85">
        <f t="shared" ca="1" si="0"/>
        <v>41642</v>
      </c>
      <c r="F63" s="83">
        <f t="shared" ca="1" si="0"/>
        <v>40420</v>
      </c>
      <c r="H63" s="87">
        <f t="shared" ca="1" si="0"/>
        <v>37869</v>
      </c>
    </row>
    <row r="64" spans="2:8" ht="14.4">
      <c r="B64" s="35">
        <f t="shared" ca="1" si="0"/>
        <v>44285</v>
      </c>
      <c r="D64" s="85">
        <f t="shared" ca="1" si="0"/>
        <v>44950</v>
      </c>
      <c r="F64" s="83">
        <f t="shared" ca="1" si="0"/>
        <v>45400</v>
      </c>
      <c r="H64" s="87">
        <f t="shared" ca="1" si="0"/>
        <v>42762</v>
      </c>
    </row>
    <row r="65" spans="2:8" ht="14.4">
      <c r="B65" s="35">
        <f t="shared" ca="1" si="0"/>
        <v>39854</v>
      </c>
      <c r="D65" s="85">
        <f t="shared" ca="1" si="0"/>
        <v>40146</v>
      </c>
      <c r="F65" s="83">
        <f t="shared" ca="1" si="0"/>
        <v>42675</v>
      </c>
      <c r="H65" s="87">
        <f t="shared" ca="1" si="0"/>
        <v>46013</v>
      </c>
    </row>
    <row r="66" spans="2:8" ht="14.4">
      <c r="B66" s="35">
        <f t="shared" ca="1" si="0"/>
        <v>45355</v>
      </c>
      <c r="D66" s="85">
        <f t="shared" ca="1" si="0"/>
        <v>44231</v>
      </c>
      <c r="F66" s="83">
        <f t="shared" ca="1" si="0"/>
        <v>39156</v>
      </c>
      <c r="H66" s="87">
        <f t="shared" ca="1" si="0"/>
        <v>41390</v>
      </c>
    </row>
    <row r="67" spans="2:8" ht="15" thickBot="1">
      <c r="B67" s="36">
        <f t="shared" ca="1" si="0"/>
        <v>37181</v>
      </c>
      <c r="D67" s="86">
        <f t="shared" ca="1" si="0"/>
        <v>39671</v>
      </c>
      <c r="F67" s="84">
        <f t="shared" ca="1" si="0"/>
        <v>43927</v>
      </c>
      <c r="H67" s="88">
        <f t="shared" ca="1" si="0"/>
        <v>40734</v>
      </c>
    </row>
  </sheetData>
  <mergeCells count="1">
    <mergeCell ref="B3:G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17346"/>
  </sheetPr>
  <dimension ref="B3:G58"/>
  <sheetViews>
    <sheetView zoomScaleNormal="100" workbookViewId="0">
      <selection activeCell="D58" sqref="D58:F58"/>
    </sheetView>
  </sheetViews>
  <sheetFormatPr baseColWidth="10" defaultColWidth="11.44140625" defaultRowHeight="13.2"/>
  <cols>
    <col min="1" max="1" width="4.109375" style="1" customWidth="1"/>
    <col min="2" max="2" width="20" style="1" customWidth="1"/>
    <col min="3" max="3" width="17.33203125" style="1" customWidth="1"/>
    <col min="4" max="4" width="15.33203125" style="1" customWidth="1"/>
    <col min="5" max="5" width="13.33203125" style="1" customWidth="1"/>
    <col min="6" max="6" width="15.109375" style="1" customWidth="1"/>
    <col min="7" max="7" width="11.44140625" style="1"/>
    <col min="8" max="8" width="16.109375" style="1" customWidth="1"/>
    <col min="9" max="9" width="12.33203125" style="1" bestFit="1" customWidth="1"/>
    <col min="10" max="10" width="6.6640625" style="1" customWidth="1"/>
    <col min="11" max="11" width="4" style="1" customWidth="1"/>
    <col min="12" max="16384" width="11.44140625" style="1"/>
  </cols>
  <sheetData>
    <row r="3" spans="2:7">
      <c r="B3" s="49" t="s">
        <v>94</v>
      </c>
      <c r="C3" s="49"/>
      <c r="D3" s="49"/>
      <c r="E3" s="49"/>
      <c r="F3" s="49"/>
      <c r="G3" s="49"/>
    </row>
    <row r="4" spans="2:7">
      <c r="B4" s="49"/>
      <c r="C4" s="49"/>
      <c r="D4" s="49"/>
      <c r="E4" s="49"/>
      <c r="F4" s="49"/>
      <c r="G4" s="49"/>
    </row>
    <row r="7" spans="2:7" ht="30" customHeight="1">
      <c r="B7" s="40" t="s">
        <v>69</v>
      </c>
      <c r="C7" s="51" t="s">
        <v>62</v>
      </c>
      <c r="D7" s="52"/>
      <c r="E7" s="52"/>
      <c r="F7" s="52"/>
      <c r="G7" s="53"/>
    </row>
    <row r="9" spans="2:7" ht="30" customHeight="1">
      <c r="C9" s="40" t="s">
        <v>63</v>
      </c>
      <c r="D9" s="51" t="s">
        <v>59</v>
      </c>
      <c r="E9" s="52"/>
      <c r="F9" s="52"/>
      <c r="G9" s="53"/>
    </row>
    <row r="10" spans="2:7" ht="5.25" customHeight="1" thickBot="1"/>
    <row r="11" spans="2:7" ht="13.8" thickTop="1">
      <c r="D11" s="90" t="s">
        <v>48</v>
      </c>
      <c r="E11" s="91"/>
      <c r="F11" s="92"/>
    </row>
    <row r="12" spans="2:7">
      <c r="D12" s="93"/>
      <c r="E12" s="89"/>
      <c r="F12" s="94"/>
    </row>
    <row r="13" spans="2:7" ht="30" customHeight="1">
      <c r="D13" s="95" t="s">
        <v>47</v>
      </c>
      <c r="E13" s="96" t="s">
        <v>46</v>
      </c>
      <c r="F13" s="97" t="s">
        <v>45</v>
      </c>
    </row>
    <row r="14" spans="2:7" ht="30" customHeight="1">
      <c r="D14" s="98">
        <v>1</v>
      </c>
      <c r="E14" s="98" t="s">
        <v>44</v>
      </c>
      <c r="F14" s="98">
        <v>23</v>
      </c>
    </row>
    <row r="15" spans="2:7" ht="30" customHeight="1">
      <c r="D15" s="98">
        <v>2</v>
      </c>
      <c r="E15" s="98" t="s">
        <v>35</v>
      </c>
      <c r="F15" s="98">
        <v>22</v>
      </c>
    </row>
    <row r="16" spans="2:7" ht="30" customHeight="1" thickBot="1">
      <c r="D16" s="99">
        <v>3</v>
      </c>
      <c r="E16" s="99" t="s">
        <v>36</v>
      </c>
      <c r="F16" s="99">
        <v>22</v>
      </c>
    </row>
    <row r="18" spans="3:7" ht="30" customHeight="1">
      <c r="C18" s="40" t="s">
        <v>64</v>
      </c>
      <c r="D18" s="51" t="s">
        <v>59</v>
      </c>
      <c r="E18" s="52"/>
      <c r="F18" s="52"/>
      <c r="G18" s="53"/>
    </row>
    <row r="19" spans="3:7" ht="6" customHeight="1" thickBot="1"/>
    <row r="20" spans="3:7" ht="30" customHeight="1">
      <c r="D20" s="101" t="s">
        <v>47</v>
      </c>
      <c r="E20" s="102" t="s">
        <v>46</v>
      </c>
      <c r="F20" s="103" t="s">
        <v>45</v>
      </c>
    </row>
    <row r="21" spans="3:7" ht="30" customHeight="1">
      <c r="D21" s="104">
        <v>1</v>
      </c>
      <c r="E21" s="100" t="s">
        <v>44</v>
      </c>
      <c r="F21" s="105">
        <v>23</v>
      </c>
    </row>
    <row r="22" spans="3:7" ht="30" customHeight="1">
      <c r="D22" s="104">
        <v>2</v>
      </c>
      <c r="E22" s="100" t="s">
        <v>35</v>
      </c>
      <c r="F22" s="105">
        <v>22</v>
      </c>
    </row>
    <row r="23" spans="3:7" ht="30" customHeight="1" thickBot="1">
      <c r="D23" s="106">
        <v>3</v>
      </c>
      <c r="E23" s="107" t="s">
        <v>36</v>
      </c>
      <c r="F23" s="108">
        <v>22</v>
      </c>
    </row>
    <row r="25" spans="3:7" ht="30" customHeight="1">
      <c r="C25" s="40" t="s">
        <v>65</v>
      </c>
      <c r="D25" s="51" t="s">
        <v>61</v>
      </c>
      <c r="E25" s="52"/>
      <c r="F25" s="52"/>
      <c r="G25" s="53"/>
    </row>
    <row r="26" spans="3:7" ht="6.75" customHeight="1"/>
    <row r="27" spans="3:7" ht="33.75" customHeight="1">
      <c r="D27" s="109" t="s">
        <v>43</v>
      </c>
    </row>
    <row r="29" spans="3:7" ht="30" customHeight="1">
      <c r="C29" s="40" t="s">
        <v>66</v>
      </c>
      <c r="D29" s="51" t="s">
        <v>60</v>
      </c>
      <c r="E29" s="52"/>
      <c r="F29" s="52"/>
      <c r="G29" s="53"/>
    </row>
    <row r="30" spans="3:7" ht="5.25" customHeight="1" thickBot="1"/>
    <row r="31" spans="3:7" ht="30" customHeight="1" thickTop="1" thickBot="1">
      <c r="D31" s="112" t="s">
        <v>41</v>
      </c>
      <c r="E31" s="112" t="s">
        <v>40</v>
      </c>
      <c r="F31" s="112" t="s">
        <v>42</v>
      </c>
    </row>
    <row r="32" spans="3:7" ht="30" customHeight="1" thickTop="1" thickBot="1">
      <c r="D32" s="110">
        <v>1</v>
      </c>
      <c r="E32" s="110" t="s">
        <v>38</v>
      </c>
      <c r="F32" s="111">
        <v>850</v>
      </c>
    </row>
    <row r="33" spans="3:7" ht="30" customHeight="1" thickTop="1" thickBot="1">
      <c r="D33" s="110">
        <v>2</v>
      </c>
      <c r="E33" s="110" t="s">
        <v>37</v>
      </c>
      <c r="F33" s="111">
        <v>950</v>
      </c>
    </row>
    <row r="34" spans="3:7" ht="30" customHeight="1" thickTop="1" thickBot="1">
      <c r="D34" s="110">
        <v>3</v>
      </c>
      <c r="E34" s="110" t="s">
        <v>36</v>
      </c>
      <c r="F34" s="111">
        <v>1200</v>
      </c>
    </row>
    <row r="35" spans="3:7" ht="30" customHeight="1" thickTop="1" thickBot="1">
      <c r="D35" s="110">
        <v>4</v>
      </c>
      <c r="E35" s="110" t="s">
        <v>35</v>
      </c>
      <c r="F35" s="111">
        <v>1100</v>
      </c>
    </row>
    <row r="36" spans="3:7" ht="30" customHeight="1" thickTop="1" thickBot="1">
      <c r="D36" s="110">
        <v>5</v>
      </c>
      <c r="E36" s="110" t="s">
        <v>34</v>
      </c>
      <c r="F36" s="111">
        <v>950</v>
      </c>
    </row>
    <row r="37" spans="3:7" ht="13.8" thickTop="1"/>
    <row r="38" spans="3:7" ht="30" customHeight="1">
      <c r="C38" s="40" t="s">
        <v>67</v>
      </c>
      <c r="D38" s="51" t="s">
        <v>60</v>
      </c>
      <c r="E38" s="52"/>
      <c r="F38" s="52"/>
      <c r="G38" s="53"/>
    </row>
    <row r="39" spans="3:7" ht="4.5" customHeight="1" thickBot="1"/>
    <row r="40" spans="3:7" ht="30" customHeight="1" thickTop="1">
      <c r="D40" s="114" t="s">
        <v>41</v>
      </c>
      <c r="E40" s="115" t="s">
        <v>40</v>
      </c>
      <c r="F40" s="116" t="s">
        <v>42</v>
      </c>
    </row>
    <row r="41" spans="3:7" ht="30" customHeight="1">
      <c r="D41" s="117">
        <v>1</v>
      </c>
      <c r="E41" s="113" t="s">
        <v>38</v>
      </c>
      <c r="F41" s="118">
        <v>850</v>
      </c>
    </row>
    <row r="42" spans="3:7" ht="30" customHeight="1">
      <c r="D42" s="117">
        <v>2</v>
      </c>
      <c r="E42" s="113" t="s">
        <v>37</v>
      </c>
      <c r="F42" s="118">
        <v>950</v>
      </c>
    </row>
    <row r="43" spans="3:7" ht="30" customHeight="1">
      <c r="D43" s="117">
        <v>3</v>
      </c>
      <c r="E43" s="113" t="s">
        <v>36</v>
      </c>
      <c r="F43" s="118">
        <v>1200</v>
      </c>
    </row>
    <row r="44" spans="3:7" ht="30" customHeight="1">
      <c r="D44" s="117">
        <v>4</v>
      </c>
      <c r="E44" s="113" t="s">
        <v>35</v>
      </c>
      <c r="F44" s="118">
        <v>1100</v>
      </c>
    </row>
    <row r="45" spans="3:7" ht="30" customHeight="1" thickBot="1">
      <c r="D45" s="119">
        <v>5</v>
      </c>
      <c r="E45" s="120" t="s">
        <v>34</v>
      </c>
      <c r="F45" s="121">
        <v>950</v>
      </c>
    </row>
    <row r="46" spans="3:7" ht="13.8" thickTop="1"/>
    <row r="47" spans="3:7" ht="30" customHeight="1">
      <c r="C47" s="40" t="s">
        <v>68</v>
      </c>
      <c r="D47" s="51" t="s">
        <v>60</v>
      </c>
      <c r="E47" s="52"/>
      <c r="F47" s="52"/>
      <c r="G47" s="53"/>
    </row>
    <row r="48" spans="3:7" ht="4.5" customHeight="1" thickBot="1"/>
    <row r="49" spans="4:6" ht="30" customHeight="1" thickTop="1">
      <c r="D49" s="122" t="s">
        <v>41</v>
      </c>
      <c r="E49" s="123" t="s">
        <v>40</v>
      </c>
      <c r="F49" s="124" t="s">
        <v>39</v>
      </c>
    </row>
    <row r="50" spans="4:6" ht="30" customHeight="1">
      <c r="D50" s="125">
        <v>1</v>
      </c>
      <c r="E50" s="126" t="s">
        <v>38</v>
      </c>
      <c r="F50" s="129">
        <v>28172</v>
      </c>
    </row>
    <row r="51" spans="4:6" ht="30" customHeight="1">
      <c r="D51" s="125">
        <v>2</v>
      </c>
      <c r="E51" s="126" t="s">
        <v>37</v>
      </c>
      <c r="F51" s="129">
        <v>27500</v>
      </c>
    </row>
    <row r="52" spans="4:6" ht="30" customHeight="1">
      <c r="D52" s="125">
        <v>3</v>
      </c>
      <c r="E52" s="126" t="s">
        <v>36</v>
      </c>
      <c r="F52" s="129">
        <v>28601</v>
      </c>
    </row>
    <row r="53" spans="4:6" ht="30" customHeight="1">
      <c r="D53" s="125">
        <v>4</v>
      </c>
      <c r="E53" s="126" t="s">
        <v>35</v>
      </c>
      <c r="F53" s="129">
        <v>29395</v>
      </c>
    </row>
    <row r="54" spans="4:6" ht="30" customHeight="1" thickBot="1">
      <c r="D54" s="127">
        <v>5</v>
      </c>
      <c r="E54" s="128" t="s">
        <v>34</v>
      </c>
      <c r="F54" s="130">
        <v>28246</v>
      </c>
    </row>
    <row r="55" spans="4:6" ht="13.8" thickTop="1"/>
    <row r="57" spans="4:6" ht="30" customHeight="1">
      <c r="D57" s="54"/>
      <c r="E57" s="54"/>
      <c r="F57" s="54"/>
    </row>
    <row r="58" spans="4:6" ht="30" customHeight="1">
      <c r="D58" s="50"/>
      <c r="E58" s="50"/>
      <c r="F58" s="50"/>
    </row>
  </sheetData>
  <sheetProtection selectLockedCells="1"/>
  <mergeCells count="11">
    <mergeCell ref="B3:G4"/>
    <mergeCell ref="D58:F58"/>
    <mergeCell ref="C7:G7"/>
    <mergeCell ref="D9:G9"/>
    <mergeCell ref="D18:G18"/>
    <mergeCell ref="D25:G25"/>
    <mergeCell ref="D29:G29"/>
    <mergeCell ref="D38:G38"/>
    <mergeCell ref="D47:G47"/>
    <mergeCell ref="D57:F57"/>
    <mergeCell ref="D11:F12"/>
  </mergeCells>
  <printOptions headings="1"/>
  <pageMargins left="0.55118110236220474" right="0.55118110236220474" top="0.39370078740157483" bottom="0.39370078740157483" header="0" footer="0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4DE7-B06F-4A90-B030-B3180BBC812F}">
  <sheetPr>
    <tabColor rgb="FF217346"/>
  </sheetPr>
  <dimension ref="A1"/>
  <sheetViews>
    <sheetView showGridLines="0" topLeftCell="A61" zoomScale="115" zoomScaleNormal="115" workbookViewId="0">
      <selection activeCell="K48" sqref="K48"/>
    </sheetView>
  </sheetViews>
  <sheetFormatPr baseColWidth="10" defaultRowHeight="13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17346"/>
  </sheetPr>
  <dimension ref="B1:AA51"/>
  <sheetViews>
    <sheetView showGridLines="0" tabSelected="1" zoomScale="130" zoomScaleNormal="130" workbookViewId="0">
      <selection activeCell="C5" sqref="C5"/>
    </sheetView>
  </sheetViews>
  <sheetFormatPr baseColWidth="10" defaultColWidth="20.6640625" defaultRowHeight="24.9" customHeight="1"/>
  <cols>
    <col min="1" max="1" width="5.44140625" style="6" customWidth="1"/>
    <col min="2" max="2" width="19" style="6" customWidth="1"/>
    <col min="3" max="3" width="21.88671875" style="6" customWidth="1"/>
    <col min="4" max="4" width="23.5546875" style="6" customWidth="1"/>
    <col min="5" max="5" width="16.109375" style="6" customWidth="1"/>
    <col min="6" max="6" width="16.6640625" style="6" customWidth="1"/>
    <col min="7" max="7" width="18.5546875" style="6" customWidth="1"/>
    <col min="8" max="8" width="17.6640625" style="6" customWidth="1"/>
    <col min="9" max="9" width="17.33203125" style="6" customWidth="1"/>
    <col min="10" max="10" width="17.5546875" style="6" customWidth="1"/>
    <col min="11" max="11" width="17.33203125" style="6" customWidth="1"/>
    <col min="12" max="12" width="18.33203125" style="6" customWidth="1"/>
    <col min="13" max="13" width="19.33203125" style="6" customWidth="1"/>
    <col min="14" max="16384" width="20.6640625" style="6"/>
  </cols>
  <sheetData>
    <row r="1" spans="2:21" s="42" customFormat="1" ht="37.200000000000003" customHeight="1">
      <c r="D1" s="43"/>
      <c r="E1" s="55" t="s">
        <v>93</v>
      </c>
      <c r="F1" s="55"/>
      <c r="G1" s="55"/>
      <c r="H1" s="55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2:21" ht="15.75" customHeight="1"/>
    <row r="3" spans="2:21" ht="30" customHeight="1">
      <c r="B3" s="41" t="s">
        <v>70</v>
      </c>
      <c r="C3" s="51" t="s">
        <v>71</v>
      </c>
      <c r="D3" s="52"/>
      <c r="E3" s="52"/>
      <c r="F3" s="52"/>
      <c r="G3" s="53"/>
      <c r="K3" s="3"/>
    </row>
    <row r="4" spans="2:21" ht="18" customHeight="1">
      <c r="B4" s="7"/>
      <c r="C4" s="7"/>
      <c r="K4" s="4"/>
    </row>
    <row r="5" spans="2:21" ht="18" customHeight="1">
      <c r="B5" s="7"/>
      <c r="C5" s="7"/>
      <c r="K5" s="4"/>
    </row>
    <row r="6" spans="2:21" ht="15" customHeight="1">
      <c r="B6" s="5"/>
      <c r="C6" s="9" t="s">
        <v>53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2:21" ht="15" customHeight="1" thickBot="1">
      <c r="B7" s="2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2:21" ht="30" customHeight="1" thickTop="1">
      <c r="C8" s="156" t="s">
        <v>1</v>
      </c>
      <c r="D8" s="157" t="s">
        <v>2</v>
      </c>
      <c r="E8" s="157" t="s">
        <v>3</v>
      </c>
      <c r="F8" s="157" t="s">
        <v>4</v>
      </c>
      <c r="G8" s="157" t="s">
        <v>49</v>
      </c>
      <c r="H8" s="157" t="s">
        <v>5</v>
      </c>
      <c r="I8" s="157" t="s">
        <v>6</v>
      </c>
      <c r="J8" s="157" t="s">
        <v>50</v>
      </c>
      <c r="K8" s="157" t="s">
        <v>7</v>
      </c>
      <c r="L8" s="157" t="s">
        <v>8</v>
      </c>
      <c r="M8" s="157" t="s">
        <v>51</v>
      </c>
      <c r="N8" s="158" t="s">
        <v>52</v>
      </c>
    </row>
    <row r="9" spans="2:21" ht="22.05" customHeight="1">
      <c r="C9" s="131" t="s">
        <v>9</v>
      </c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3"/>
    </row>
    <row r="10" spans="2:21" ht="22.05" customHeight="1">
      <c r="C10" s="134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6"/>
    </row>
    <row r="11" spans="2:21" ht="25.05" customHeight="1">
      <c r="C11" s="141">
        <v>110</v>
      </c>
      <c r="D11" s="139" t="s">
        <v>10</v>
      </c>
      <c r="E11" s="137">
        <v>27540</v>
      </c>
      <c r="F11" s="137">
        <v>27540</v>
      </c>
      <c r="G11" s="137">
        <f>SUM(E11:F11)</f>
        <v>55080</v>
      </c>
      <c r="H11" s="137">
        <v>28547</v>
      </c>
      <c r="I11" s="137">
        <v>27540</v>
      </c>
      <c r="J11" s="137">
        <f>SUM(H11:I11)</f>
        <v>56087</v>
      </c>
      <c r="K11" s="137">
        <v>28547</v>
      </c>
      <c r="L11" s="137">
        <v>29750</v>
      </c>
      <c r="M11" s="137">
        <f>SUM(K11:L11)</f>
        <v>58297</v>
      </c>
      <c r="N11" s="138">
        <f>SUM(G11,J11,M11)</f>
        <v>169464</v>
      </c>
    </row>
    <row r="12" spans="2:21" ht="25.05" customHeight="1">
      <c r="C12" s="141">
        <v>120</v>
      </c>
      <c r="D12" s="139" t="s">
        <v>11</v>
      </c>
      <c r="E12" s="137">
        <v>7435</v>
      </c>
      <c r="F12" s="137">
        <v>7435</v>
      </c>
      <c r="G12" s="137">
        <f t="shared" ref="G12:G36" si="0">SUM(E12:F12)</f>
        <v>14870</v>
      </c>
      <c r="H12" s="137">
        <v>7707</v>
      </c>
      <c r="I12" s="137">
        <v>7435</v>
      </c>
      <c r="J12" s="137">
        <f t="shared" ref="J12:J36" si="1">SUM(H12:I12)</f>
        <v>15142</v>
      </c>
      <c r="K12" s="137">
        <v>7707</v>
      </c>
      <c r="L12" s="137">
        <v>8032</v>
      </c>
      <c r="M12" s="137">
        <f t="shared" ref="M12:M36" si="2">SUM(K12:L12)</f>
        <v>15739</v>
      </c>
      <c r="N12" s="138">
        <f t="shared" ref="N12:N15" si="3">SUM(G12,J12,M12)</f>
        <v>45751</v>
      </c>
    </row>
    <row r="13" spans="2:21" ht="25.05" customHeight="1">
      <c r="C13" s="141">
        <v>130</v>
      </c>
      <c r="D13" s="139" t="s">
        <v>12</v>
      </c>
      <c r="E13" s="137">
        <v>1234</v>
      </c>
      <c r="F13" s="137">
        <v>9825</v>
      </c>
      <c r="G13" s="137">
        <f t="shared" si="0"/>
        <v>11059</v>
      </c>
      <c r="H13" s="137">
        <v>8875</v>
      </c>
      <c r="I13" s="137">
        <v>9825</v>
      </c>
      <c r="J13" s="137">
        <f t="shared" si="1"/>
        <v>18700</v>
      </c>
      <c r="K13" s="137">
        <v>8875</v>
      </c>
      <c r="L13" s="137">
        <v>9520</v>
      </c>
      <c r="M13" s="137">
        <f t="shared" si="2"/>
        <v>18395</v>
      </c>
      <c r="N13" s="138">
        <f t="shared" si="3"/>
        <v>48154</v>
      </c>
    </row>
    <row r="14" spans="2:21" ht="25.05" customHeight="1">
      <c r="C14" s="141">
        <v>140</v>
      </c>
      <c r="D14" s="139" t="s">
        <v>13</v>
      </c>
      <c r="E14" s="137">
        <v>3570</v>
      </c>
      <c r="F14" s="137">
        <v>3304</v>
      </c>
      <c r="G14" s="137">
        <f t="shared" si="0"/>
        <v>6874</v>
      </c>
      <c r="H14" s="137">
        <v>3425</v>
      </c>
      <c r="I14" s="137">
        <v>3304</v>
      </c>
      <c r="J14" s="137">
        <f t="shared" si="1"/>
        <v>6729</v>
      </c>
      <c r="K14" s="137">
        <v>3425</v>
      </c>
      <c r="L14" s="137">
        <v>3570</v>
      </c>
      <c r="M14" s="137">
        <f t="shared" si="2"/>
        <v>6995</v>
      </c>
      <c r="N14" s="138">
        <f t="shared" si="3"/>
        <v>20598</v>
      </c>
    </row>
    <row r="15" spans="2:21" ht="25.05" customHeight="1">
      <c r="C15" s="141">
        <v>150</v>
      </c>
      <c r="D15" s="139" t="s">
        <v>14</v>
      </c>
      <c r="E15" s="137">
        <v>2345</v>
      </c>
      <c r="F15" s="137">
        <v>1500</v>
      </c>
      <c r="G15" s="137">
        <f t="shared" si="0"/>
        <v>3845</v>
      </c>
      <c r="H15" s="137">
        <v>1500</v>
      </c>
      <c r="I15" s="137">
        <v>1500</v>
      </c>
      <c r="J15" s="137">
        <f t="shared" si="1"/>
        <v>3000</v>
      </c>
      <c r="K15" s="137">
        <v>1500</v>
      </c>
      <c r="L15" s="137">
        <v>1500</v>
      </c>
      <c r="M15" s="137">
        <f t="shared" si="2"/>
        <v>3000</v>
      </c>
      <c r="N15" s="138">
        <f t="shared" si="3"/>
        <v>9845</v>
      </c>
    </row>
    <row r="16" spans="2:21" ht="22.05" customHeight="1">
      <c r="C16" s="131" t="s">
        <v>15</v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3"/>
    </row>
    <row r="17" spans="3:14" ht="22.05" customHeight="1">
      <c r="C17" s="134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6"/>
    </row>
    <row r="18" spans="3:14" ht="25.05" customHeight="1">
      <c r="C18" s="141">
        <v>201</v>
      </c>
      <c r="D18" s="139" t="s">
        <v>16</v>
      </c>
      <c r="E18" s="137">
        <v>436</v>
      </c>
      <c r="F18" s="137">
        <v>436</v>
      </c>
      <c r="G18" s="137">
        <f t="shared" si="0"/>
        <v>872</v>
      </c>
      <c r="H18" s="137">
        <v>436</v>
      </c>
      <c r="I18" s="137">
        <v>436</v>
      </c>
      <c r="J18" s="137">
        <f t="shared" si="1"/>
        <v>872</v>
      </c>
      <c r="K18" s="137">
        <v>436</v>
      </c>
      <c r="L18" s="137">
        <v>436</v>
      </c>
      <c r="M18" s="137">
        <f t="shared" si="2"/>
        <v>872</v>
      </c>
      <c r="N18" s="138">
        <f>SUM(G18,J18,M18)</f>
        <v>2616</v>
      </c>
    </row>
    <row r="19" spans="3:14" ht="25.05" customHeight="1">
      <c r="C19" s="141">
        <v>202</v>
      </c>
      <c r="D19" s="139" t="s">
        <v>17</v>
      </c>
      <c r="E19" s="137">
        <v>375</v>
      </c>
      <c r="F19" s="137">
        <v>0</v>
      </c>
      <c r="G19" s="137">
        <f t="shared" si="0"/>
        <v>375</v>
      </c>
      <c r="H19" s="137">
        <v>375</v>
      </c>
      <c r="I19" s="137">
        <v>0</v>
      </c>
      <c r="J19" s="137">
        <f t="shared" si="1"/>
        <v>375</v>
      </c>
      <c r="K19" s="137">
        <v>375</v>
      </c>
      <c r="L19" s="137">
        <v>500</v>
      </c>
      <c r="M19" s="137">
        <f t="shared" si="2"/>
        <v>875</v>
      </c>
      <c r="N19" s="138">
        <f t="shared" ref="N19:N25" si="4">SUM(G19,J19,M19)</f>
        <v>1625</v>
      </c>
    </row>
    <row r="20" spans="3:14" ht="25.05" customHeight="1">
      <c r="C20" s="141">
        <v>203</v>
      </c>
      <c r="D20" s="139" t="s">
        <v>18</v>
      </c>
      <c r="E20" s="137">
        <v>45</v>
      </c>
      <c r="F20" s="137">
        <v>45</v>
      </c>
      <c r="G20" s="137">
        <f t="shared" si="0"/>
        <v>90</v>
      </c>
      <c r="H20" s="137">
        <v>325</v>
      </c>
      <c r="I20" s="137">
        <v>45</v>
      </c>
      <c r="J20" s="137">
        <f t="shared" si="1"/>
        <v>370</v>
      </c>
      <c r="K20" s="137">
        <v>325</v>
      </c>
      <c r="L20" s="137">
        <v>45</v>
      </c>
      <c r="M20" s="137">
        <f t="shared" si="2"/>
        <v>370</v>
      </c>
      <c r="N20" s="138">
        <f t="shared" si="4"/>
        <v>830</v>
      </c>
    </row>
    <row r="21" spans="3:14" ht="25.05" customHeight="1">
      <c r="C21" s="141">
        <v>250</v>
      </c>
      <c r="D21" s="139" t="s">
        <v>19</v>
      </c>
      <c r="E21" s="137">
        <v>856</v>
      </c>
      <c r="F21" s="137">
        <v>375</v>
      </c>
      <c r="G21" s="137">
        <f t="shared" si="0"/>
        <v>1231</v>
      </c>
      <c r="H21" s="137">
        <v>95</v>
      </c>
      <c r="I21" s="137">
        <v>375</v>
      </c>
      <c r="J21" s="137">
        <f t="shared" si="1"/>
        <v>470</v>
      </c>
      <c r="K21" s="137">
        <v>95</v>
      </c>
      <c r="L21" s="137">
        <v>765</v>
      </c>
      <c r="M21" s="137">
        <f t="shared" si="2"/>
        <v>860</v>
      </c>
      <c r="N21" s="138">
        <f t="shared" si="4"/>
        <v>2561</v>
      </c>
    </row>
    <row r="22" spans="3:14" ht="25.05" customHeight="1">
      <c r="C22" s="141">
        <v>251</v>
      </c>
      <c r="D22" s="139" t="s">
        <v>20</v>
      </c>
      <c r="E22" s="137">
        <v>150</v>
      </c>
      <c r="F22" s="137">
        <v>0</v>
      </c>
      <c r="G22" s="137">
        <f t="shared" si="0"/>
        <v>150</v>
      </c>
      <c r="H22" s="137">
        <v>755</v>
      </c>
      <c r="I22" s="137">
        <v>0</v>
      </c>
      <c r="J22" s="137">
        <f t="shared" si="1"/>
        <v>755</v>
      </c>
      <c r="K22" s="137">
        <v>755</v>
      </c>
      <c r="L22" s="137">
        <v>568</v>
      </c>
      <c r="M22" s="137">
        <f t="shared" si="2"/>
        <v>1323</v>
      </c>
      <c r="N22" s="138">
        <f t="shared" si="4"/>
        <v>2228</v>
      </c>
    </row>
    <row r="23" spans="3:14" ht="25.05" customHeight="1">
      <c r="C23" s="141">
        <v>252</v>
      </c>
      <c r="D23" s="139" t="s">
        <v>21</v>
      </c>
      <c r="E23" s="137">
        <v>55</v>
      </c>
      <c r="F23" s="137">
        <v>195</v>
      </c>
      <c r="G23" s="137">
        <f t="shared" si="0"/>
        <v>250</v>
      </c>
      <c r="H23" s="137">
        <v>325</v>
      </c>
      <c r="I23" s="137">
        <v>195</v>
      </c>
      <c r="J23" s="137">
        <f t="shared" si="1"/>
        <v>520</v>
      </c>
      <c r="K23" s="137">
        <v>325</v>
      </c>
      <c r="L23" s="137">
        <v>388</v>
      </c>
      <c r="M23" s="137">
        <f t="shared" si="2"/>
        <v>713</v>
      </c>
      <c r="N23" s="138">
        <f t="shared" si="4"/>
        <v>1483</v>
      </c>
    </row>
    <row r="24" spans="3:14" ht="25.05" customHeight="1">
      <c r="C24" s="141">
        <v>253</v>
      </c>
      <c r="D24" s="139" t="s">
        <v>22</v>
      </c>
      <c r="E24" s="137">
        <v>2368</v>
      </c>
      <c r="F24" s="137">
        <v>325</v>
      </c>
      <c r="G24" s="137">
        <f t="shared" si="0"/>
        <v>2693</v>
      </c>
      <c r="H24" s="137">
        <v>849</v>
      </c>
      <c r="I24" s="137">
        <v>325</v>
      </c>
      <c r="J24" s="137">
        <f t="shared" si="1"/>
        <v>1174</v>
      </c>
      <c r="K24" s="137">
        <v>849</v>
      </c>
      <c r="L24" s="137">
        <v>951</v>
      </c>
      <c r="M24" s="137">
        <f t="shared" si="2"/>
        <v>1800</v>
      </c>
      <c r="N24" s="138">
        <f t="shared" si="4"/>
        <v>5667</v>
      </c>
    </row>
    <row r="25" spans="3:14" ht="25.05" customHeight="1">
      <c r="C25" s="141">
        <v>254</v>
      </c>
      <c r="D25" s="139" t="s">
        <v>23</v>
      </c>
      <c r="E25" s="137">
        <v>130</v>
      </c>
      <c r="F25" s="137">
        <v>130</v>
      </c>
      <c r="G25" s="137">
        <f t="shared" si="0"/>
        <v>260</v>
      </c>
      <c r="H25" s="137">
        <v>130</v>
      </c>
      <c r="I25" s="137">
        <v>130</v>
      </c>
      <c r="J25" s="137">
        <f t="shared" si="1"/>
        <v>260</v>
      </c>
      <c r="K25" s="137">
        <v>130</v>
      </c>
      <c r="L25" s="137">
        <v>130</v>
      </c>
      <c r="M25" s="137">
        <f t="shared" si="2"/>
        <v>260</v>
      </c>
      <c r="N25" s="138">
        <f t="shared" si="4"/>
        <v>780</v>
      </c>
    </row>
    <row r="26" spans="3:14" ht="22.05" customHeight="1">
      <c r="C26" s="131" t="s">
        <v>24</v>
      </c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3"/>
    </row>
    <row r="27" spans="3:14" ht="22.05" customHeight="1"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6"/>
    </row>
    <row r="28" spans="3:14" ht="25.05" customHeight="1">
      <c r="C28" s="141">
        <v>301</v>
      </c>
      <c r="D28" s="139" t="s">
        <v>25</v>
      </c>
      <c r="E28" s="137">
        <v>215</v>
      </c>
      <c r="F28" s="137">
        <v>433</v>
      </c>
      <c r="G28" s="137">
        <f t="shared" si="0"/>
        <v>648</v>
      </c>
      <c r="H28" s="137">
        <v>732</v>
      </c>
      <c r="I28" s="137">
        <v>433</v>
      </c>
      <c r="J28" s="137">
        <f t="shared" si="1"/>
        <v>1165</v>
      </c>
      <c r="K28" s="137">
        <v>732</v>
      </c>
      <c r="L28" s="137">
        <v>500</v>
      </c>
      <c r="M28" s="137">
        <f t="shared" si="2"/>
        <v>1232</v>
      </c>
      <c r="N28" s="138">
        <f>SUM(G28,J28,M28)</f>
        <v>3045</v>
      </c>
    </row>
    <row r="29" spans="3:14" ht="25.05" customHeight="1">
      <c r="C29" s="141">
        <v>302</v>
      </c>
      <c r="D29" s="139" t="s">
        <v>26</v>
      </c>
      <c r="E29" s="137">
        <v>255</v>
      </c>
      <c r="F29" s="137">
        <v>325</v>
      </c>
      <c r="G29" s="137">
        <f t="shared" si="0"/>
        <v>580</v>
      </c>
      <c r="H29" s="137">
        <v>255</v>
      </c>
      <c r="I29" s="137">
        <v>325</v>
      </c>
      <c r="J29" s="137">
        <f t="shared" si="1"/>
        <v>580</v>
      </c>
      <c r="K29" s="137">
        <v>255</v>
      </c>
      <c r="L29" s="137">
        <v>45</v>
      </c>
      <c r="M29" s="137">
        <f t="shared" si="2"/>
        <v>300</v>
      </c>
      <c r="N29" s="138">
        <f t="shared" ref="N29:N31" si="5">SUM(G29,J29,M29)</f>
        <v>1460</v>
      </c>
    </row>
    <row r="30" spans="3:14" ht="25.05" customHeight="1">
      <c r="C30" s="141">
        <v>303</v>
      </c>
      <c r="D30" s="139" t="s">
        <v>27</v>
      </c>
      <c r="E30" s="137">
        <v>360</v>
      </c>
      <c r="F30" s="137">
        <v>21</v>
      </c>
      <c r="G30" s="137">
        <f t="shared" si="0"/>
        <v>381</v>
      </c>
      <c r="H30" s="137">
        <v>78</v>
      </c>
      <c r="I30" s="137">
        <v>21</v>
      </c>
      <c r="J30" s="137">
        <f t="shared" si="1"/>
        <v>99</v>
      </c>
      <c r="K30" s="137">
        <v>78</v>
      </c>
      <c r="L30" s="137">
        <v>765</v>
      </c>
      <c r="M30" s="137">
        <f t="shared" si="2"/>
        <v>843</v>
      </c>
      <c r="N30" s="138">
        <f t="shared" si="5"/>
        <v>1323</v>
      </c>
    </row>
    <row r="31" spans="3:14" ht="25.05" customHeight="1">
      <c r="C31" s="141">
        <v>304</v>
      </c>
      <c r="D31" s="139" t="s">
        <v>28</v>
      </c>
      <c r="E31" s="137">
        <v>71</v>
      </c>
      <c r="F31" s="137">
        <v>36</v>
      </c>
      <c r="G31" s="137">
        <f t="shared" si="0"/>
        <v>107</v>
      </c>
      <c r="H31" s="137">
        <v>49</v>
      </c>
      <c r="I31" s="137">
        <v>36</v>
      </c>
      <c r="J31" s="137">
        <f t="shared" si="1"/>
        <v>85</v>
      </c>
      <c r="K31" s="137">
        <v>49</v>
      </c>
      <c r="L31" s="137">
        <v>568</v>
      </c>
      <c r="M31" s="137">
        <f t="shared" si="2"/>
        <v>617</v>
      </c>
      <c r="N31" s="138">
        <f t="shared" si="5"/>
        <v>809</v>
      </c>
    </row>
    <row r="32" spans="3:14" ht="22.05" customHeight="1">
      <c r="C32" s="131" t="s">
        <v>29</v>
      </c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3"/>
    </row>
    <row r="33" spans="2:27" ht="22.05" customHeight="1">
      <c r="C33" s="134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6"/>
    </row>
    <row r="34" spans="2:27" ht="25.05" customHeight="1">
      <c r="C34" s="141">
        <v>405</v>
      </c>
      <c r="D34" s="139" t="s">
        <v>30</v>
      </c>
      <c r="E34" s="137">
        <v>1700</v>
      </c>
      <c r="F34" s="137">
        <v>1700</v>
      </c>
      <c r="G34" s="137">
        <f t="shared" si="0"/>
        <v>3400</v>
      </c>
      <c r="H34" s="137">
        <v>2700</v>
      </c>
      <c r="I34" s="137">
        <v>700</v>
      </c>
      <c r="J34" s="137">
        <f t="shared" si="1"/>
        <v>3400</v>
      </c>
      <c r="K34" s="137">
        <v>1700</v>
      </c>
      <c r="L34" s="137">
        <v>789</v>
      </c>
      <c r="M34" s="137">
        <f t="shared" si="2"/>
        <v>2489</v>
      </c>
      <c r="N34" s="138">
        <f>SUM(G34,J34,M34)</f>
        <v>9289</v>
      </c>
    </row>
    <row r="35" spans="2:27" ht="25.05" customHeight="1">
      <c r="C35" s="141">
        <v>410</v>
      </c>
      <c r="D35" s="139" t="s">
        <v>31</v>
      </c>
      <c r="E35" s="137">
        <v>1500</v>
      </c>
      <c r="F35" s="137">
        <v>1200</v>
      </c>
      <c r="G35" s="137">
        <f t="shared" si="0"/>
        <v>2700</v>
      </c>
      <c r="H35" s="137">
        <v>1200</v>
      </c>
      <c r="I35" s="137">
        <v>345</v>
      </c>
      <c r="J35" s="137">
        <f t="shared" si="1"/>
        <v>1545</v>
      </c>
      <c r="K35" s="137">
        <v>1200</v>
      </c>
      <c r="L35" s="137">
        <v>679</v>
      </c>
      <c r="M35" s="137">
        <f t="shared" si="2"/>
        <v>1879</v>
      </c>
      <c r="N35" s="138">
        <f t="shared" ref="N35:N36" si="6">SUM(G35,J35,M35)</f>
        <v>6124</v>
      </c>
    </row>
    <row r="36" spans="2:27" ht="25.05" customHeight="1" thickBot="1">
      <c r="C36" s="142">
        <v>415</v>
      </c>
      <c r="D36" s="140" t="s">
        <v>32</v>
      </c>
      <c r="E36" s="137">
        <v>456</v>
      </c>
      <c r="F36" s="137">
        <v>300</v>
      </c>
      <c r="G36" s="137">
        <f t="shared" si="0"/>
        <v>756</v>
      </c>
      <c r="H36" s="137">
        <v>800</v>
      </c>
      <c r="I36" s="137">
        <v>300</v>
      </c>
      <c r="J36" s="137">
        <f t="shared" si="1"/>
        <v>1100</v>
      </c>
      <c r="K36" s="137">
        <v>567</v>
      </c>
      <c r="L36" s="137">
        <v>300</v>
      </c>
      <c r="M36" s="137">
        <f t="shared" si="2"/>
        <v>867</v>
      </c>
      <c r="N36" s="138">
        <f t="shared" si="6"/>
        <v>2723</v>
      </c>
    </row>
    <row r="37" spans="2:27" s="9" customFormat="1" ht="30" customHeight="1" thickTop="1">
      <c r="C37" s="149" t="s">
        <v>33</v>
      </c>
      <c r="D37" s="150"/>
      <c r="E37" s="154" t="s">
        <v>3</v>
      </c>
      <c r="F37" s="154" t="s">
        <v>4</v>
      </c>
      <c r="G37" s="154" t="s">
        <v>54</v>
      </c>
      <c r="H37" s="154" t="s">
        <v>5</v>
      </c>
      <c r="I37" s="154" t="s">
        <v>6</v>
      </c>
      <c r="J37" s="154" t="s">
        <v>55</v>
      </c>
      <c r="K37" s="154" t="s">
        <v>7</v>
      </c>
      <c r="L37" s="154" t="s">
        <v>8</v>
      </c>
      <c r="M37" s="154" t="s">
        <v>56</v>
      </c>
      <c r="N37" s="155" t="s">
        <v>57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2:27" s="9" customFormat="1" ht="25.05" customHeight="1">
      <c r="C38" s="143" t="s">
        <v>9</v>
      </c>
      <c r="D38" s="144"/>
      <c r="E38" s="139">
        <f t="shared" ref="E38:N38" si="7">SUM(E11:E15)</f>
        <v>42124</v>
      </c>
      <c r="F38" s="137">
        <f t="shared" si="7"/>
        <v>49604</v>
      </c>
      <c r="G38" s="137">
        <f t="shared" si="7"/>
        <v>91728</v>
      </c>
      <c r="H38" s="137">
        <f t="shared" si="7"/>
        <v>50054</v>
      </c>
      <c r="I38" s="137">
        <f t="shared" si="7"/>
        <v>49604</v>
      </c>
      <c r="J38" s="137">
        <f t="shared" si="7"/>
        <v>99658</v>
      </c>
      <c r="K38" s="137">
        <f t="shared" si="7"/>
        <v>50054</v>
      </c>
      <c r="L38" s="137">
        <f t="shared" si="7"/>
        <v>52372</v>
      </c>
      <c r="M38" s="137">
        <f t="shared" si="7"/>
        <v>102426</v>
      </c>
      <c r="N38" s="138">
        <f t="shared" si="7"/>
        <v>293812</v>
      </c>
      <c r="P38" s="11"/>
      <c r="Q38" s="11"/>
      <c r="R38" s="10"/>
      <c r="S38" s="11"/>
      <c r="T38" s="11"/>
      <c r="U38" s="11"/>
      <c r="V38" s="10"/>
      <c r="W38" s="11"/>
      <c r="X38" s="11"/>
      <c r="Y38" s="11"/>
      <c r="Z38" s="11"/>
      <c r="AA38" s="11"/>
    </row>
    <row r="39" spans="2:27" s="9" customFormat="1" ht="25.05" customHeight="1">
      <c r="C39" s="143" t="s">
        <v>15</v>
      </c>
      <c r="D39" s="144"/>
      <c r="E39" s="139">
        <f t="shared" ref="E39:N39" si="8">SUM(E18:E25)</f>
        <v>4415</v>
      </c>
      <c r="F39" s="137">
        <f t="shared" si="8"/>
        <v>1506</v>
      </c>
      <c r="G39" s="137">
        <f t="shared" si="8"/>
        <v>5921</v>
      </c>
      <c r="H39" s="137">
        <f t="shared" si="8"/>
        <v>3290</v>
      </c>
      <c r="I39" s="137">
        <f t="shared" si="8"/>
        <v>1506</v>
      </c>
      <c r="J39" s="137">
        <f t="shared" si="8"/>
        <v>4796</v>
      </c>
      <c r="K39" s="137">
        <f t="shared" si="8"/>
        <v>3290</v>
      </c>
      <c r="L39" s="137">
        <f t="shared" si="8"/>
        <v>3783</v>
      </c>
      <c r="M39" s="137">
        <f t="shared" si="8"/>
        <v>7073</v>
      </c>
      <c r="N39" s="138">
        <f t="shared" si="8"/>
        <v>17790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2:27" s="9" customFormat="1" ht="25.05" customHeight="1">
      <c r="C40" s="143" t="s">
        <v>24</v>
      </c>
      <c r="D40" s="144"/>
      <c r="E40" s="139">
        <f t="shared" ref="E40:N40" si="9">SUM(E28:E31)</f>
        <v>901</v>
      </c>
      <c r="F40" s="137">
        <f t="shared" si="9"/>
        <v>815</v>
      </c>
      <c r="G40" s="137">
        <f t="shared" si="9"/>
        <v>1716</v>
      </c>
      <c r="H40" s="137">
        <f t="shared" si="9"/>
        <v>1114</v>
      </c>
      <c r="I40" s="137">
        <f t="shared" si="9"/>
        <v>815</v>
      </c>
      <c r="J40" s="137">
        <f t="shared" si="9"/>
        <v>1929</v>
      </c>
      <c r="K40" s="137">
        <f t="shared" si="9"/>
        <v>1114</v>
      </c>
      <c r="L40" s="137">
        <f t="shared" si="9"/>
        <v>1878</v>
      </c>
      <c r="M40" s="137">
        <f t="shared" si="9"/>
        <v>2992</v>
      </c>
      <c r="N40" s="138">
        <f t="shared" si="9"/>
        <v>6637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2:27" s="9" customFormat="1" ht="25.05" customHeight="1" thickBot="1">
      <c r="C41" s="145" t="s">
        <v>29</v>
      </c>
      <c r="D41" s="146"/>
      <c r="E41" s="139">
        <f t="shared" ref="E41:N41" si="10">SUM(E34:E36)</f>
        <v>3656</v>
      </c>
      <c r="F41" s="137">
        <f t="shared" si="10"/>
        <v>3200</v>
      </c>
      <c r="G41" s="137">
        <f t="shared" si="10"/>
        <v>6856</v>
      </c>
      <c r="H41" s="137">
        <f t="shared" si="10"/>
        <v>4700</v>
      </c>
      <c r="I41" s="137">
        <f t="shared" si="10"/>
        <v>1345</v>
      </c>
      <c r="J41" s="137">
        <f t="shared" si="10"/>
        <v>6045</v>
      </c>
      <c r="K41" s="137">
        <f t="shared" si="10"/>
        <v>3467</v>
      </c>
      <c r="L41" s="137">
        <f t="shared" si="10"/>
        <v>1768</v>
      </c>
      <c r="M41" s="137">
        <f t="shared" si="10"/>
        <v>5235</v>
      </c>
      <c r="N41" s="138">
        <f t="shared" si="10"/>
        <v>18136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2:27" s="9" customFormat="1" ht="25.05" customHeight="1" thickTop="1" thickBot="1">
      <c r="C42" s="147" t="s">
        <v>0</v>
      </c>
      <c r="D42" s="148"/>
      <c r="E42" s="151">
        <f>SUM(E38:E41)</f>
        <v>51096</v>
      </c>
      <c r="F42" s="152">
        <f t="shared" ref="F42:N42" si="11">SUM(F38:F41)</f>
        <v>55125</v>
      </c>
      <c r="G42" s="152">
        <f t="shared" si="11"/>
        <v>106221</v>
      </c>
      <c r="H42" s="152">
        <f t="shared" si="11"/>
        <v>59158</v>
      </c>
      <c r="I42" s="152">
        <f t="shared" si="11"/>
        <v>53270</v>
      </c>
      <c r="J42" s="152">
        <f t="shared" si="11"/>
        <v>112428</v>
      </c>
      <c r="K42" s="152">
        <f t="shared" si="11"/>
        <v>57925</v>
      </c>
      <c r="L42" s="152">
        <f t="shared" si="11"/>
        <v>59801</v>
      </c>
      <c r="M42" s="152">
        <f t="shared" si="11"/>
        <v>117726</v>
      </c>
      <c r="N42" s="153">
        <f t="shared" si="11"/>
        <v>336375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2:27" s="9" customFormat="1" ht="30" customHeight="1" thickTop="1"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s="9" customFormat="1" ht="30" customHeight="1">
      <c r="B44" s="14"/>
      <c r="M44" s="54"/>
      <c r="N44" s="54"/>
      <c r="O44" s="21"/>
      <c r="P44" s="21"/>
      <c r="Q44" s="21"/>
      <c r="R44" s="21"/>
      <c r="S44" s="12"/>
      <c r="T44" s="12"/>
      <c r="U44" s="12"/>
      <c r="V44" s="12"/>
      <c r="W44" s="12"/>
      <c r="X44" s="12"/>
      <c r="Y44" s="12"/>
      <c r="Z44" s="12"/>
      <c r="AA44" s="12"/>
    </row>
    <row r="45" spans="2:27" s="9" customFormat="1" ht="30" customHeight="1">
      <c r="B45" s="15"/>
      <c r="D45" s="14"/>
      <c r="E45" s="14"/>
      <c r="F45" s="14"/>
      <c r="G45" s="14"/>
      <c r="H45" s="16"/>
      <c r="I45" s="16"/>
      <c r="J45" s="16"/>
      <c r="K45" s="17"/>
      <c r="L45" s="12"/>
      <c r="M45" s="50"/>
      <c r="N45" s="50"/>
      <c r="O45" s="19"/>
      <c r="P45" s="19"/>
      <c r="Q45" s="19"/>
      <c r="R45" s="19"/>
      <c r="S45" s="12"/>
      <c r="T45" s="12"/>
      <c r="U45" s="12"/>
      <c r="V45" s="12"/>
      <c r="W45" s="12"/>
      <c r="X45" s="12"/>
      <c r="Y45" s="12"/>
      <c r="Z45" s="12"/>
      <c r="AA45" s="12"/>
    </row>
    <row r="46" spans="2:27" s="9" customFormat="1" ht="18" customHeight="1">
      <c r="H46" s="8"/>
      <c r="I46" s="8"/>
      <c r="J46" s="13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2:27" s="9" customFormat="1" ht="18" customHeight="1">
      <c r="H47" s="8"/>
      <c r="I47" s="8"/>
      <c r="J47" s="13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2:27" s="9" customFormat="1" ht="18" customHeight="1">
      <c r="C48" s="18"/>
      <c r="H48" s="8"/>
      <c r="I48" s="8"/>
      <c r="J48" s="13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3:27" s="9" customFormat="1" ht="18" customHeight="1">
      <c r="C49" s="18"/>
      <c r="H49" s="8"/>
      <c r="I49" s="8"/>
      <c r="J49" s="8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3:27" ht="24.9" customHeight="1">
      <c r="H50" s="19"/>
      <c r="I50" s="19"/>
      <c r="J50" s="20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3:27" ht="24.9" customHeight="1"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</sheetData>
  <sheetProtection selectLockedCells="1"/>
  <mergeCells count="14">
    <mergeCell ref="C40:D40"/>
    <mergeCell ref="C39:D39"/>
    <mergeCell ref="C38:D38"/>
    <mergeCell ref="C37:D37"/>
    <mergeCell ref="M44:N44"/>
    <mergeCell ref="M45:N45"/>
    <mergeCell ref="C3:G3"/>
    <mergeCell ref="E1:H1"/>
    <mergeCell ref="C9:N10"/>
    <mergeCell ref="C16:N17"/>
    <mergeCell ref="C26:N27"/>
    <mergeCell ref="C32:N33"/>
    <mergeCell ref="C42:D42"/>
    <mergeCell ref="C41:D41"/>
  </mergeCells>
  <printOptions headings="1"/>
  <pageMargins left="0.35433070866141736" right="0.35433070866141736" top="0.39370078740157483" bottom="0.39370078740157483" header="0" footer="0"/>
  <pageSetup orientation="landscape" r:id="rId1"/>
  <headerFooter>
    <oddFooter>&amp;LProf. José Huangal Castillo&amp;CMs - Office Specialist Basic&amp;R&amp;P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9C7E-E4D9-497C-B62C-E546E2C74A02}">
  <sheetPr>
    <tabColor rgb="FF217346"/>
  </sheetPr>
  <dimension ref="A1"/>
  <sheetViews>
    <sheetView showGridLines="0" zoomScale="85" zoomScaleNormal="85" workbookViewId="0">
      <selection activeCell="S24" sqref="S24"/>
    </sheetView>
  </sheetViews>
  <sheetFormatPr baseColWidth="10" defaultRowHeight="13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Principal</vt:lpstr>
      <vt:lpstr>Ejercicio 1</vt:lpstr>
      <vt:lpstr>Ejercicio 2</vt:lpstr>
      <vt:lpstr>Muestra-Ejercicio 2</vt:lpstr>
      <vt:lpstr>Ejercicio 3</vt:lpstr>
      <vt:lpstr>Muestra- Ejercicio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 Denilson Ramirez Bautista</cp:lastModifiedBy>
  <cp:lastPrinted>2013-06-18T21:45:01Z</cp:lastPrinted>
  <dcterms:created xsi:type="dcterms:W3CDTF">2008-10-03T14:02:23Z</dcterms:created>
  <dcterms:modified xsi:type="dcterms:W3CDTF">2025-12-23T02:46:54Z</dcterms:modified>
</cp:coreProperties>
</file>