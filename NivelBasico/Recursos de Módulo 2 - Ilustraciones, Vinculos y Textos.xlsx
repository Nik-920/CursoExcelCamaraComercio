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b\Nik Denilson\Cursos\EXCEL\NivelBasico\"/>
    </mc:Choice>
  </mc:AlternateContent>
  <xr:revisionPtr revIDLastSave="0" documentId="13_ncr:1_{B6E09524-8951-4DB3-A00B-07E51985EA23}" xr6:coauthVersionLast="47" xr6:coauthVersionMax="47" xr10:uidLastSave="{00000000-0000-0000-0000-000000000000}"/>
  <bookViews>
    <workbookView xWindow="-108" yWindow="-108" windowWidth="23256" windowHeight="12456" tabRatio="827" xr2:uid="{00000000-000D-0000-FFFF-FFFF00000000}"/>
  </bookViews>
  <sheets>
    <sheet name="Indice" sheetId="8" r:id="rId1"/>
    <sheet name="Lista de Empleados Lima Norte" sheetId="9" r:id="rId2"/>
    <sheet name="Lista de Empleados Lima Centro" sheetId="10" r:id="rId3"/>
    <sheet name="Lista de Empleados Lima Este" sheetId="11" r:id="rId4"/>
    <sheet name="Lista de Empleados Lima Sur" sheetId="12" r:id="rId5"/>
    <sheet name="Reporte de Ventas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9" i="13" l="1"/>
  <c r="K179" i="13"/>
  <c r="C179" i="13"/>
  <c r="K178" i="13"/>
  <c r="L178" i="13" s="1"/>
  <c r="C178" i="13"/>
  <c r="K177" i="13"/>
  <c r="L177" i="13" s="1"/>
  <c r="C177" i="13"/>
  <c r="K176" i="13"/>
  <c r="L176" i="13" s="1"/>
  <c r="C176" i="13"/>
  <c r="K175" i="13"/>
  <c r="L175" i="13" s="1"/>
  <c r="C175" i="13"/>
  <c r="K174" i="13"/>
  <c r="L174" i="13" s="1"/>
  <c r="C174" i="13"/>
  <c r="L173" i="13"/>
  <c r="K173" i="13"/>
  <c r="C173" i="13"/>
  <c r="K172" i="13"/>
  <c r="L172" i="13" s="1"/>
  <c r="C172" i="13"/>
  <c r="L171" i="13"/>
  <c r="K171" i="13"/>
  <c r="C171" i="13"/>
  <c r="K170" i="13"/>
  <c r="L170" i="13" s="1"/>
  <c r="C170" i="13"/>
  <c r="K169" i="13"/>
  <c r="L169" i="13" s="1"/>
  <c r="C169" i="13"/>
  <c r="K168" i="13"/>
  <c r="L168" i="13" s="1"/>
  <c r="C168" i="13"/>
  <c r="K167" i="13"/>
  <c r="L167" i="13" s="1"/>
  <c r="C167" i="13"/>
  <c r="K166" i="13"/>
  <c r="L166" i="13" s="1"/>
  <c r="C166" i="13"/>
  <c r="L165" i="13"/>
  <c r="K165" i="13"/>
  <c r="C165" i="13"/>
  <c r="K164" i="13"/>
  <c r="L164" i="13" s="1"/>
  <c r="C164" i="13"/>
  <c r="K163" i="13"/>
  <c r="L163" i="13" s="1"/>
  <c r="C163" i="13"/>
  <c r="K162" i="13"/>
  <c r="L162" i="13" s="1"/>
  <c r="C162" i="13"/>
  <c r="K161" i="13"/>
  <c r="L161" i="13" s="1"/>
  <c r="C161" i="13"/>
  <c r="K160" i="13"/>
  <c r="L160" i="13" s="1"/>
  <c r="C160" i="13"/>
  <c r="K159" i="13"/>
  <c r="L159" i="13" s="1"/>
  <c r="C159" i="13"/>
  <c r="L158" i="13"/>
  <c r="K158" i="13"/>
  <c r="C158" i="13"/>
  <c r="K157" i="13"/>
  <c r="L157" i="13" s="1"/>
  <c r="C157" i="13"/>
  <c r="K156" i="13"/>
  <c r="L156" i="13" s="1"/>
  <c r="C156" i="13"/>
  <c r="K155" i="13"/>
  <c r="L155" i="13" s="1"/>
  <c r="C155" i="13"/>
  <c r="K154" i="13"/>
  <c r="L154" i="13" s="1"/>
  <c r="C154" i="13"/>
  <c r="L153" i="13"/>
  <c r="K153" i="13"/>
  <c r="C153" i="13"/>
  <c r="K152" i="13"/>
  <c r="L152" i="13" s="1"/>
  <c r="C152" i="13"/>
  <c r="K151" i="13"/>
  <c r="L151" i="13" s="1"/>
  <c r="C151" i="13"/>
  <c r="L150" i="13"/>
  <c r="K150" i="13"/>
  <c r="C150" i="13"/>
  <c r="K149" i="13"/>
  <c r="L149" i="13" s="1"/>
  <c r="C149" i="13"/>
  <c r="K148" i="13"/>
  <c r="L148" i="13" s="1"/>
  <c r="C148" i="13"/>
  <c r="K147" i="13"/>
  <c r="L147" i="13" s="1"/>
  <c r="C147" i="13"/>
  <c r="K146" i="13"/>
  <c r="L146" i="13" s="1"/>
  <c r="C146" i="13"/>
  <c r="L145" i="13"/>
  <c r="K145" i="13"/>
  <c r="C145" i="13"/>
  <c r="K144" i="13"/>
  <c r="L144" i="13" s="1"/>
  <c r="C144" i="13"/>
  <c r="K143" i="13"/>
  <c r="L143" i="13" s="1"/>
  <c r="C143" i="13"/>
  <c r="L142" i="13"/>
  <c r="K142" i="13"/>
  <c r="C142" i="13"/>
  <c r="K141" i="13"/>
  <c r="L141" i="13" s="1"/>
  <c r="C141" i="13"/>
  <c r="K140" i="13"/>
  <c r="L140" i="13" s="1"/>
  <c r="C140" i="13"/>
  <c r="K139" i="13"/>
  <c r="L139" i="13" s="1"/>
  <c r="C139" i="13"/>
  <c r="K138" i="13"/>
  <c r="L138" i="13" s="1"/>
  <c r="C138" i="13"/>
  <c r="L137" i="13"/>
  <c r="K137" i="13"/>
  <c r="C137" i="13"/>
  <c r="K136" i="13"/>
  <c r="L136" i="13" s="1"/>
  <c r="C136" i="13"/>
  <c r="K135" i="13"/>
  <c r="L135" i="13" s="1"/>
  <c r="C135" i="13"/>
  <c r="L134" i="13"/>
  <c r="K134" i="13"/>
  <c r="C134" i="13"/>
  <c r="K133" i="13"/>
  <c r="L133" i="13" s="1"/>
  <c r="C133" i="13"/>
  <c r="K132" i="13"/>
  <c r="L132" i="13" s="1"/>
  <c r="C132" i="13"/>
  <c r="K131" i="13"/>
  <c r="L131" i="13" s="1"/>
  <c r="C131" i="13"/>
  <c r="K130" i="13"/>
  <c r="L130" i="13" s="1"/>
  <c r="C130" i="13"/>
  <c r="L129" i="13"/>
  <c r="K129" i="13"/>
  <c r="C129" i="13"/>
  <c r="K128" i="13"/>
  <c r="L128" i="13" s="1"/>
  <c r="C128" i="13"/>
  <c r="K127" i="13"/>
  <c r="L127" i="13" s="1"/>
  <c r="C127" i="13"/>
  <c r="L126" i="13"/>
  <c r="K126" i="13"/>
  <c r="C126" i="13"/>
  <c r="K125" i="13"/>
  <c r="L125" i="13" s="1"/>
  <c r="C125" i="13"/>
  <c r="K124" i="13"/>
  <c r="L124" i="13" s="1"/>
  <c r="C124" i="13"/>
  <c r="K123" i="13"/>
  <c r="L123" i="13" s="1"/>
  <c r="C123" i="13"/>
  <c r="K122" i="13"/>
  <c r="L122" i="13" s="1"/>
  <c r="C122" i="13"/>
  <c r="L121" i="13"/>
  <c r="K121" i="13"/>
  <c r="C121" i="13"/>
  <c r="K120" i="13"/>
  <c r="L120" i="13" s="1"/>
  <c r="C120" i="13"/>
  <c r="K119" i="13"/>
  <c r="L119" i="13" s="1"/>
  <c r="C119" i="13"/>
  <c r="L118" i="13"/>
  <c r="K118" i="13"/>
  <c r="C118" i="13"/>
  <c r="K117" i="13"/>
  <c r="L117" i="13" s="1"/>
  <c r="C117" i="13"/>
  <c r="K116" i="13"/>
  <c r="L116" i="13" s="1"/>
  <c r="C116" i="13"/>
  <c r="K115" i="13"/>
  <c r="L115" i="13" s="1"/>
  <c r="C115" i="13"/>
  <c r="K114" i="13"/>
  <c r="L114" i="13" s="1"/>
  <c r="C114" i="13"/>
  <c r="L113" i="13"/>
  <c r="K113" i="13"/>
  <c r="C113" i="13"/>
  <c r="K112" i="13"/>
  <c r="L112" i="13" s="1"/>
  <c r="C112" i="13"/>
  <c r="K111" i="13"/>
  <c r="L111" i="13" s="1"/>
  <c r="C111" i="13"/>
  <c r="L110" i="13"/>
  <c r="K110" i="13"/>
  <c r="C110" i="13"/>
  <c r="K109" i="13"/>
  <c r="L109" i="13" s="1"/>
  <c r="C109" i="13"/>
  <c r="K108" i="13"/>
  <c r="L108" i="13" s="1"/>
  <c r="C108" i="13"/>
  <c r="K107" i="13"/>
  <c r="L107" i="13" s="1"/>
  <c r="C107" i="13"/>
  <c r="K106" i="13"/>
  <c r="L106" i="13" s="1"/>
  <c r="C106" i="13"/>
  <c r="L105" i="13"/>
  <c r="K105" i="13"/>
  <c r="C105" i="13"/>
  <c r="K104" i="13"/>
  <c r="L104" i="13" s="1"/>
  <c r="C104" i="13"/>
  <c r="K103" i="13"/>
  <c r="L103" i="13" s="1"/>
  <c r="C103" i="13"/>
  <c r="L102" i="13"/>
  <c r="K102" i="13"/>
  <c r="C102" i="13"/>
  <c r="K101" i="13"/>
  <c r="L101" i="13" s="1"/>
  <c r="C101" i="13"/>
  <c r="K100" i="13"/>
  <c r="L100" i="13" s="1"/>
  <c r="C100" i="13"/>
  <c r="K99" i="13"/>
  <c r="L99" i="13" s="1"/>
  <c r="C99" i="13"/>
  <c r="K98" i="13"/>
  <c r="L98" i="13" s="1"/>
  <c r="C98" i="13"/>
  <c r="L97" i="13"/>
  <c r="K97" i="13"/>
  <c r="C97" i="13"/>
  <c r="K96" i="13"/>
  <c r="L96" i="13" s="1"/>
  <c r="C96" i="13"/>
  <c r="K95" i="13"/>
  <c r="L95" i="13" s="1"/>
  <c r="C95" i="13"/>
  <c r="L94" i="13"/>
  <c r="K94" i="13"/>
  <c r="C94" i="13"/>
  <c r="K93" i="13"/>
  <c r="L93" i="13" s="1"/>
  <c r="C93" i="13"/>
  <c r="K92" i="13"/>
  <c r="L92" i="13" s="1"/>
  <c r="C92" i="13"/>
  <c r="K91" i="13"/>
  <c r="L91" i="13" s="1"/>
  <c r="C91" i="13"/>
  <c r="K90" i="13"/>
  <c r="L90" i="13" s="1"/>
  <c r="C90" i="13"/>
  <c r="L89" i="13"/>
  <c r="K89" i="13"/>
  <c r="C89" i="13"/>
  <c r="K88" i="13"/>
  <c r="L88" i="13" s="1"/>
  <c r="C88" i="13"/>
  <c r="K87" i="13"/>
  <c r="L87" i="13" s="1"/>
  <c r="C87" i="13"/>
  <c r="L86" i="13"/>
  <c r="K86" i="13"/>
  <c r="C86" i="13"/>
  <c r="K85" i="13"/>
  <c r="L85" i="13" s="1"/>
  <c r="C85" i="13"/>
  <c r="K84" i="13"/>
  <c r="L84" i="13" s="1"/>
  <c r="C84" i="13"/>
  <c r="K83" i="13"/>
  <c r="L83" i="13" s="1"/>
  <c r="C83" i="13"/>
  <c r="K82" i="13"/>
  <c r="L82" i="13" s="1"/>
  <c r="C82" i="13"/>
  <c r="L81" i="13"/>
  <c r="K81" i="13"/>
  <c r="C81" i="13"/>
  <c r="K80" i="13"/>
  <c r="L80" i="13" s="1"/>
  <c r="C80" i="13"/>
  <c r="L79" i="13"/>
  <c r="K79" i="13"/>
  <c r="C79" i="13"/>
  <c r="K78" i="13"/>
  <c r="L78" i="13" s="1"/>
  <c r="C78" i="13"/>
  <c r="K77" i="13"/>
  <c r="L77" i="13" s="1"/>
  <c r="C77" i="13"/>
  <c r="K76" i="13"/>
  <c r="L76" i="13" s="1"/>
  <c r="C76" i="13"/>
  <c r="K75" i="13"/>
  <c r="L75" i="13" s="1"/>
  <c r="C75" i="13"/>
  <c r="K74" i="13"/>
  <c r="L74" i="13" s="1"/>
  <c r="C74" i="13"/>
  <c r="L73" i="13"/>
  <c r="K73" i="13"/>
  <c r="C73" i="13"/>
  <c r="K72" i="13"/>
  <c r="L72" i="13" s="1"/>
  <c r="C72" i="13"/>
  <c r="L71" i="13"/>
  <c r="K71" i="13"/>
  <c r="C71" i="13"/>
  <c r="K70" i="13"/>
  <c r="L70" i="13" s="1"/>
  <c r="C70" i="13"/>
  <c r="K69" i="13"/>
  <c r="L69" i="13" s="1"/>
  <c r="C69" i="13"/>
  <c r="K68" i="13"/>
  <c r="L68" i="13" s="1"/>
  <c r="C68" i="13"/>
  <c r="K67" i="13"/>
  <c r="L67" i="13" s="1"/>
  <c r="C67" i="13"/>
  <c r="K66" i="13"/>
  <c r="L66" i="13" s="1"/>
  <c r="C66" i="13"/>
  <c r="L65" i="13"/>
  <c r="K65" i="13"/>
  <c r="C65" i="13"/>
  <c r="K64" i="13"/>
  <c r="L64" i="13" s="1"/>
  <c r="C64" i="13"/>
  <c r="L63" i="13"/>
  <c r="K63" i="13"/>
  <c r="C63" i="13"/>
  <c r="K62" i="13"/>
  <c r="L62" i="13" s="1"/>
  <c r="C62" i="13"/>
  <c r="K61" i="13"/>
  <c r="L61" i="13" s="1"/>
  <c r="C61" i="13"/>
  <c r="K60" i="13"/>
  <c r="L60" i="13" s="1"/>
  <c r="C60" i="13"/>
  <c r="K59" i="13"/>
  <c r="L59" i="13" s="1"/>
  <c r="C59" i="13"/>
  <c r="K58" i="13"/>
  <c r="L58" i="13" s="1"/>
  <c r="C58" i="13"/>
  <c r="L57" i="13"/>
  <c r="K57" i="13"/>
  <c r="C57" i="13"/>
  <c r="K56" i="13"/>
  <c r="L56" i="13" s="1"/>
  <c r="C56" i="13"/>
  <c r="L55" i="13"/>
  <c r="K55" i="13"/>
  <c r="C55" i="13"/>
  <c r="K54" i="13"/>
  <c r="L54" i="13" s="1"/>
  <c r="C54" i="13"/>
  <c r="K53" i="13"/>
  <c r="L53" i="13" s="1"/>
  <c r="C53" i="13"/>
  <c r="K52" i="13"/>
  <c r="L52" i="13" s="1"/>
  <c r="C52" i="13"/>
  <c r="K51" i="13"/>
  <c r="L51" i="13" s="1"/>
  <c r="C51" i="13"/>
  <c r="K50" i="13"/>
  <c r="L50" i="13" s="1"/>
  <c r="C50" i="13"/>
  <c r="L49" i="13"/>
  <c r="K49" i="13"/>
  <c r="C49" i="13"/>
  <c r="K48" i="13"/>
  <c r="L48" i="13" s="1"/>
  <c r="C48" i="13"/>
  <c r="L47" i="13"/>
  <c r="K47" i="13"/>
  <c r="C47" i="13"/>
  <c r="K46" i="13"/>
  <c r="L46" i="13" s="1"/>
  <c r="C46" i="13"/>
  <c r="K45" i="13"/>
  <c r="L45" i="13" s="1"/>
  <c r="C45" i="13"/>
  <c r="K44" i="13"/>
  <c r="L44" i="13" s="1"/>
  <c r="C44" i="13"/>
  <c r="K43" i="13"/>
  <c r="L43" i="13" s="1"/>
  <c r="C43" i="13"/>
  <c r="K42" i="13"/>
  <c r="L42" i="13" s="1"/>
  <c r="C42" i="13"/>
  <c r="L41" i="13"/>
  <c r="K41" i="13"/>
  <c r="C41" i="13"/>
  <c r="K40" i="13"/>
  <c r="L40" i="13" s="1"/>
  <c r="C40" i="13"/>
  <c r="L39" i="13"/>
  <c r="K39" i="13"/>
  <c r="C39" i="13"/>
  <c r="K38" i="13"/>
  <c r="L38" i="13" s="1"/>
  <c r="C38" i="13"/>
  <c r="K37" i="13"/>
  <c r="L37" i="13" s="1"/>
  <c r="C37" i="13"/>
  <c r="K36" i="13"/>
  <c r="L36" i="13" s="1"/>
  <c r="C36" i="13"/>
  <c r="K35" i="13"/>
  <c r="L35" i="13" s="1"/>
  <c r="C35" i="13"/>
  <c r="K34" i="13"/>
  <c r="L34" i="13" s="1"/>
  <c r="C34" i="13"/>
  <c r="L33" i="13"/>
  <c r="K33" i="13"/>
  <c r="C33" i="13"/>
  <c r="K32" i="13"/>
  <c r="L32" i="13" s="1"/>
  <c r="C32" i="13"/>
  <c r="L31" i="13"/>
  <c r="K31" i="13"/>
  <c r="C31" i="13"/>
  <c r="K30" i="13"/>
  <c r="L30" i="13" s="1"/>
  <c r="C30" i="13"/>
  <c r="K29" i="13"/>
  <c r="L29" i="13" s="1"/>
  <c r="C29" i="13"/>
  <c r="K28" i="13"/>
  <c r="L28" i="13" s="1"/>
  <c r="C28" i="13"/>
  <c r="K27" i="13"/>
  <c r="L27" i="13" s="1"/>
  <c r="C27" i="13"/>
  <c r="K26" i="13"/>
  <c r="L26" i="13" s="1"/>
  <c r="C26" i="13"/>
  <c r="L25" i="13"/>
  <c r="K25" i="13"/>
  <c r="C25" i="13"/>
  <c r="K24" i="13"/>
  <c r="L24" i="13" s="1"/>
  <c r="C24" i="13"/>
  <c r="L23" i="13"/>
  <c r="K23" i="13"/>
  <c r="C23" i="13"/>
  <c r="K22" i="13"/>
  <c r="L22" i="13" s="1"/>
  <c r="C22" i="13"/>
  <c r="K21" i="13"/>
  <c r="L21" i="13" s="1"/>
  <c r="C21" i="13"/>
  <c r="K20" i="13"/>
  <c r="L20" i="13" s="1"/>
  <c r="C20" i="13"/>
  <c r="K19" i="13"/>
  <c r="L19" i="13" s="1"/>
  <c r="C19" i="13"/>
  <c r="K18" i="13"/>
  <c r="L18" i="13" s="1"/>
  <c r="C18" i="13"/>
  <c r="L17" i="13"/>
  <c r="K17" i="13"/>
  <c r="C17" i="13"/>
  <c r="K16" i="13"/>
  <c r="L16" i="13" s="1"/>
  <c r="C16" i="13"/>
  <c r="L15" i="13"/>
  <c r="K15" i="13"/>
  <c r="C15" i="13"/>
  <c r="K14" i="13"/>
  <c r="L14" i="13" s="1"/>
  <c r="C14" i="13"/>
  <c r="K13" i="13"/>
  <c r="L13" i="13" s="1"/>
  <c r="C13" i="13"/>
  <c r="K12" i="13"/>
  <c r="L12" i="13" s="1"/>
  <c r="C12" i="13"/>
  <c r="K11" i="13"/>
  <c r="L11" i="13" s="1"/>
  <c r="C11" i="13"/>
  <c r="K10" i="13"/>
  <c r="L10" i="13" s="1"/>
  <c r="C10" i="13"/>
  <c r="L9" i="13"/>
  <c r="K9" i="13"/>
  <c r="C9" i="13"/>
  <c r="K8" i="13"/>
  <c r="L8" i="13" s="1"/>
  <c r="C8" i="13"/>
  <c r="L7" i="13"/>
  <c r="K7" i="13"/>
  <c r="C7" i="13"/>
  <c r="K6" i="13"/>
  <c r="L6" i="13" s="1"/>
  <c r="C6" i="13"/>
  <c r="K5" i="13"/>
  <c r="L5" i="13" s="1"/>
  <c r="C5" i="13"/>
  <c r="K4" i="13"/>
  <c r="L4" i="13" s="1"/>
  <c r="C4" i="13"/>
</calcChain>
</file>

<file path=xl/sharedStrings.xml><?xml version="1.0" encoding="utf-8"?>
<sst xmlns="http://schemas.openxmlformats.org/spreadsheetml/2006/main" count="1847" uniqueCount="310">
  <si>
    <t>ROSA</t>
  </si>
  <si>
    <t>JUAN</t>
  </si>
  <si>
    <t>MARIA</t>
  </si>
  <si>
    <t>ALFREDO</t>
  </si>
  <si>
    <t>Código</t>
  </si>
  <si>
    <t>Nombres</t>
  </si>
  <si>
    <t>Apellido
Paterno</t>
  </si>
  <si>
    <t>Apellido
Materno</t>
  </si>
  <si>
    <t>Cargo</t>
  </si>
  <si>
    <t>Distrito</t>
  </si>
  <si>
    <t>Teléfono</t>
  </si>
  <si>
    <t>Fecha
Nacimiento</t>
  </si>
  <si>
    <t>Sexo</t>
  </si>
  <si>
    <t>Fecha
Ingreso</t>
  </si>
  <si>
    <t>Area</t>
  </si>
  <si>
    <t>Sueldo</t>
  </si>
  <si>
    <t>E001</t>
  </si>
  <si>
    <t>JULIA</t>
  </si>
  <si>
    <t>REYNA</t>
  </si>
  <si>
    <t>GAMA</t>
  </si>
  <si>
    <t>SECRETARIA</t>
  </si>
  <si>
    <t>LIMA</t>
  </si>
  <si>
    <t>F</t>
  </si>
  <si>
    <t>SISTEMAS</t>
  </si>
  <si>
    <t>E002</t>
  </si>
  <si>
    <t>MARIO</t>
  </si>
  <si>
    <t>ARTEAGA</t>
  </si>
  <si>
    <t>URBINA</t>
  </si>
  <si>
    <t>CONTABILIDAD</t>
  </si>
  <si>
    <t>ANCON</t>
  </si>
  <si>
    <t>M</t>
  </si>
  <si>
    <t>ADMINISTRACION</t>
  </si>
  <si>
    <t>E003</t>
  </si>
  <si>
    <t>CESAR</t>
  </si>
  <si>
    <t>GUTIERREZ</t>
  </si>
  <si>
    <t>MORAN</t>
  </si>
  <si>
    <t>BARRANCO</t>
  </si>
  <si>
    <t>PERSONAL</t>
  </si>
  <si>
    <t>E004</t>
  </si>
  <si>
    <t>ESTHER</t>
  </si>
  <si>
    <t>PALOMINO</t>
  </si>
  <si>
    <t>BUENDIA</t>
  </si>
  <si>
    <t>CARABAYLLO</t>
  </si>
  <si>
    <t>E005</t>
  </si>
  <si>
    <t>VELEZ</t>
  </si>
  <si>
    <t>CONTRERAS</t>
  </si>
  <si>
    <t>COMAS</t>
  </si>
  <si>
    <t>E006</t>
  </si>
  <si>
    <t>MILAGROS</t>
  </si>
  <si>
    <t>TORRES</t>
  </si>
  <si>
    <t>CRUZADO</t>
  </si>
  <si>
    <t>EL AGUSTINO</t>
  </si>
  <si>
    <t>MARKETING</t>
  </si>
  <si>
    <t>E007</t>
  </si>
  <si>
    <t>DORIS</t>
  </si>
  <si>
    <t>MENESES</t>
  </si>
  <si>
    <t>ASTOS</t>
  </si>
  <si>
    <t>E008</t>
  </si>
  <si>
    <t>CECILIA</t>
  </si>
  <si>
    <t>PONCE</t>
  </si>
  <si>
    <t>ZAVALA</t>
  </si>
  <si>
    <t>E009</t>
  </si>
  <si>
    <t>CRISTHIAN</t>
  </si>
  <si>
    <t>MOROCHO</t>
  </si>
  <si>
    <t>BALAREZO</t>
  </si>
  <si>
    <t>LA MOLINA</t>
  </si>
  <si>
    <t>E010</t>
  </si>
  <si>
    <t>HUANGAL</t>
  </si>
  <si>
    <t>MALASQUEZ</t>
  </si>
  <si>
    <t>MIRAFLORES</t>
  </si>
  <si>
    <t>E011</t>
  </si>
  <si>
    <t>HECTOR</t>
  </si>
  <si>
    <t>DAVILA</t>
  </si>
  <si>
    <t>ORTEGA</t>
  </si>
  <si>
    <t>SAN ISIDRO</t>
  </si>
  <si>
    <t>E012</t>
  </si>
  <si>
    <t>VICTOR</t>
  </si>
  <si>
    <t>RAMIREZ</t>
  </si>
  <si>
    <t>BERNAL</t>
  </si>
  <si>
    <t>E013</t>
  </si>
  <si>
    <t>CALDERON</t>
  </si>
  <si>
    <t>E014</t>
  </si>
  <si>
    <t>SONIA</t>
  </si>
  <si>
    <t>AREVALO</t>
  </si>
  <si>
    <t>CASTRO</t>
  </si>
  <si>
    <t>SAN BORJA</t>
  </si>
  <si>
    <t>E015</t>
  </si>
  <si>
    <t>REBECA</t>
  </si>
  <si>
    <t>CISNEROS</t>
  </si>
  <si>
    <t>FLORES</t>
  </si>
  <si>
    <t>E016</t>
  </si>
  <si>
    <t>MELISA</t>
  </si>
  <si>
    <t>PAZOS</t>
  </si>
  <si>
    <t>TAFUR</t>
  </si>
  <si>
    <t>E017</t>
  </si>
  <si>
    <t>LUNA</t>
  </si>
  <si>
    <t>VERTIZ</t>
  </si>
  <si>
    <t>E018</t>
  </si>
  <si>
    <t>ALEJANDRO</t>
  </si>
  <si>
    <t>SANCHEZ</t>
  </si>
  <si>
    <t>COLLAZOS</t>
  </si>
  <si>
    <t>E019</t>
  </si>
  <si>
    <t>LEONOR</t>
  </si>
  <si>
    <t>SANTOS</t>
  </si>
  <si>
    <t>E020</t>
  </si>
  <si>
    <t>MIGUEL</t>
  </si>
  <si>
    <t>ARCE</t>
  </si>
  <si>
    <t>BAUMMAN</t>
  </si>
  <si>
    <t>E021</t>
  </si>
  <si>
    <t>ELIZABETH</t>
  </si>
  <si>
    <t>PORTILLA</t>
  </si>
  <si>
    <t>FARAH</t>
  </si>
  <si>
    <t>E022</t>
  </si>
  <si>
    <t>DOMINGO</t>
  </si>
  <si>
    <t>FARFAN</t>
  </si>
  <si>
    <t>CHU</t>
  </si>
  <si>
    <t>E023</t>
  </si>
  <si>
    <t>JORGE</t>
  </si>
  <si>
    <t>BARRAZA</t>
  </si>
  <si>
    <t>DONGO</t>
  </si>
  <si>
    <t>VENTAS</t>
  </si>
  <si>
    <t>E024</t>
  </si>
  <si>
    <t>ALBERTO</t>
  </si>
  <si>
    <t>NAKAIMA</t>
  </si>
  <si>
    <t>E025</t>
  </si>
  <si>
    <t>BETARIZ</t>
  </si>
  <si>
    <t>PANDURO</t>
  </si>
  <si>
    <t>ARAUJO</t>
  </si>
  <si>
    <t>SURQUILLO</t>
  </si>
  <si>
    <t>E026</t>
  </si>
  <si>
    <t>VICTORIA</t>
  </si>
  <si>
    <t>DURAND</t>
  </si>
  <si>
    <t>LA VICTORIA</t>
  </si>
  <si>
    <t>E027</t>
  </si>
  <si>
    <t>ENRIQUE</t>
  </si>
  <si>
    <t>MENDIOLA</t>
  </si>
  <si>
    <t>YABAR</t>
  </si>
  <si>
    <t>E028</t>
  </si>
  <si>
    <t>ALDO</t>
  </si>
  <si>
    <t>BUSTILLO</t>
  </si>
  <si>
    <t>NARCISO</t>
  </si>
  <si>
    <t>E029</t>
  </si>
  <si>
    <t>IBETH</t>
  </si>
  <si>
    <t>TORREJON</t>
  </si>
  <si>
    <t>CAMPOS</t>
  </si>
  <si>
    <t>E030</t>
  </si>
  <si>
    <t>GUSTAVO</t>
  </si>
  <si>
    <t>DEZA</t>
  </si>
  <si>
    <t>POMAR</t>
  </si>
  <si>
    <t>LOGISTICA</t>
  </si>
  <si>
    <t>VILLA MARIA</t>
  </si>
  <si>
    <t>E031</t>
  </si>
  <si>
    <t>RENATO</t>
  </si>
  <si>
    <t>VACA</t>
  </si>
  <si>
    <t>PULIDO</t>
  </si>
  <si>
    <t>GERENTE</t>
  </si>
  <si>
    <t>E032</t>
  </si>
  <si>
    <t>HILDA</t>
  </si>
  <si>
    <t>CARRILLO</t>
  </si>
  <si>
    <t>JARA</t>
  </si>
  <si>
    <t>E033</t>
  </si>
  <si>
    <t>EDUARDO</t>
  </si>
  <si>
    <t>GUTARRA</t>
  </si>
  <si>
    <t>TICSE</t>
  </si>
  <si>
    <t>E034</t>
  </si>
  <si>
    <t>ISABEL</t>
  </si>
  <si>
    <t>ABANTO</t>
  </si>
  <si>
    <t>ROJAS</t>
  </si>
  <si>
    <t>E035</t>
  </si>
  <si>
    <t>ROSSANA</t>
  </si>
  <si>
    <t>PASTOR</t>
  </si>
  <si>
    <t>CARRANZA</t>
  </si>
  <si>
    <t>E036</t>
  </si>
  <si>
    <t>CAROLINA</t>
  </si>
  <si>
    <t>SANTILLAN</t>
  </si>
  <si>
    <t>GUILLEN</t>
  </si>
  <si>
    <t>FINANZAS</t>
  </si>
  <si>
    <t>E037</t>
  </si>
  <si>
    <t>JULIO</t>
  </si>
  <si>
    <t>MILLA</t>
  </si>
  <si>
    <t>E038</t>
  </si>
  <si>
    <t>FERNANDO</t>
  </si>
  <si>
    <t>E039</t>
  </si>
  <si>
    <t>CHIANG</t>
  </si>
  <si>
    <t>SILVA</t>
  </si>
  <si>
    <t>E040</t>
  </si>
  <si>
    <t>DIAZ</t>
  </si>
  <si>
    <t>RONDON</t>
  </si>
  <si>
    <t>Apellidos y Nombres</t>
  </si>
  <si>
    <t>Morales Zamora, Italo</t>
  </si>
  <si>
    <t xml:space="preserve">Zapata Soto, Henry </t>
  </si>
  <si>
    <t>Visalot Ordinola, Fiorela</t>
  </si>
  <si>
    <t>Silva Sandoval, Miriam Iliana</t>
  </si>
  <si>
    <t>Diaz Vigo, Magaly</t>
  </si>
  <si>
    <t>Minetti Zandal, Cristy</t>
  </si>
  <si>
    <t>Fernandez Casas, Diana</t>
  </si>
  <si>
    <t>Correa Ventura, Victor</t>
  </si>
  <si>
    <t>Zubieta Perez, Teresa</t>
  </si>
  <si>
    <t>Castro Jimenez, Rodolfo</t>
  </si>
  <si>
    <t>Morante Castillo, Juan</t>
  </si>
  <si>
    <t>Jeferson Quijandria, Nadia</t>
  </si>
  <si>
    <t>Miranda Castro, Luz</t>
  </si>
  <si>
    <t>Diaz Vargas, Luna</t>
  </si>
  <si>
    <t>Sandoval Carrion, Miriam</t>
  </si>
  <si>
    <t>Morales Soto, Octavio</t>
  </si>
  <si>
    <t>BECERRA CRUZADO, Tania</t>
  </si>
  <si>
    <t>MENDOZA PEREYRA, Rosa</t>
  </si>
  <si>
    <t>ODAR BARRIENTE, Karina</t>
  </si>
  <si>
    <t>ALVARADO TIRADO, Patricia</t>
  </si>
  <si>
    <t>SHEFFER MENDOZA, Milagros</t>
  </si>
  <si>
    <t>CRUZ BRICEÑO, Yolanda</t>
  </si>
  <si>
    <t>HILARIO CANOVA, Corina</t>
  </si>
  <si>
    <t>BEJAR PILLACA, Marlene</t>
  </si>
  <si>
    <t>ALLCCARIMA CRISOSTOMO, Eliana</t>
  </si>
  <si>
    <t>FLORES PEREZ, Lourdes</t>
  </si>
  <si>
    <t>EMPLEADOS</t>
  </si>
  <si>
    <t>SEXO</t>
  </si>
  <si>
    <t>FECHA DE NACIMIENTO</t>
  </si>
  <si>
    <t>FECHA DE INGRESO</t>
  </si>
  <si>
    <t>SUELDO</t>
  </si>
  <si>
    <t>DISTRITO</t>
  </si>
  <si>
    <t>AREA</t>
  </si>
  <si>
    <t>Nº DE HIJOS</t>
  </si>
  <si>
    <t>ABANTO ROJAS, ISABEL</t>
  </si>
  <si>
    <t>ARCE BAUMMAN, MIGUEL</t>
  </si>
  <si>
    <t>ARÉVALO CASTRO, SONIA</t>
  </si>
  <si>
    <t>ARTEAGA URBINA, RAMIRO</t>
  </si>
  <si>
    <t>BARRAZA DONGO, JORGE</t>
  </si>
  <si>
    <t>BUSTILLO NARCISO, ALDO</t>
  </si>
  <si>
    <t>CALDERÓN MILLA, JULIO</t>
  </si>
  <si>
    <t>CARRILLO JARA, HILDA</t>
  </si>
  <si>
    <t>CASTRO NAKAIMA, ALBERTO</t>
  </si>
  <si>
    <t>CHIANG SILVA, MARIA</t>
  </si>
  <si>
    <t>CISNEROS FLORES, REBECA</t>
  </si>
  <si>
    <t>DÁVILA ORTEGA, HÉCTOR</t>
  </si>
  <si>
    <t>DAZA POMAR, GUSTAVO</t>
  </si>
  <si>
    <t>DÍAZ RONDÓN, ALFREDO</t>
  </si>
  <si>
    <t>FARFÁN CHU, DOMINGO</t>
  </si>
  <si>
    <t>GUTARRA TICSE, EDUARDO</t>
  </si>
  <si>
    <t>GUTIÉRREZ MORÁN, CÉSAR</t>
  </si>
  <si>
    <t>LUNA VÉRTIZ, MARIO</t>
  </si>
  <si>
    <t>MENDIOLA YÁBAR, ENRIQUE</t>
  </si>
  <si>
    <t>MENESES ASTOS, DORIS</t>
  </si>
  <si>
    <t>MOROCHO BALAREZO, CHRISTIAN</t>
  </si>
  <si>
    <t>PALOMINO BUENDÍA, ESTHER</t>
  </si>
  <si>
    <t>PALOMINO DURAND, VICTORIA</t>
  </si>
  <si>
    <t>PANDURO ARAUJO, BEATRIZ</t>
  </si>
  <si>
    <t>PASTOR CARRANZA, ROSSANA</t>
  </si>
  <si>
    <t>PAZOS TAFUR, MELISSA</t>
  </si>
  <si>
    <t>PÉREZ MALÁSQUEZ, ROSA</t>
  </si>
  <si>
    <t>PONCE ZAVALA, CECILIA</t>
  </si>
  <si>
    <t>PORTILLA FARAH, ELÍZABETH</t>
  </si>
  <si>
    <t>RAMÍREZ BERNAL, VÍCTOR</t>
  </si>
  <si>
    <t>REYNA GAMARRA, JULIA</t>
  </si>
  <si>
    <t>SÁNCHEZ COLLAZOS, ALEJANDRO</t>
  </si>
  <si>
    <t>SANTILLÁN GUILLÉN, CAROLINA</t>
  </si>
  <si>
    <t>SANTOS MORÁN, LEONOR</t>
  </si>
  <si>
    <t>TORREJÓN CAMPOS, IBETH</t>
  </si>
  <si>
    <t>TORRES CERRÓN, ROSA</t>
  </si>
  <si>
    <t>TORRES CRUZADO, MILAGROS</t>
  </si>
  <si>
    <t>VACA PULIDO, RENATO</t>
  </si>
  <si>
    <t>VÉLEZ CONTRERAS, JUAN</t>
  </si>
  <si>
    <t>ZAVALA ZAVALA, FERNADO</t>
  </si>
  <si>
    <t>Reporte de Ventas</t>
  </si>
  <si>
    <t>Nº Pedido</t>
  </si>
  <si>
    <t>Fecha</t>
  </si>
  <si>
    <t>Mes</t>
  </si>
  <si>
    <t>Sucursal</t>
  </si>
  <si>
    <t>Vendedor</t>
  </si>
  <si>
    <t>Articulo</t>
  </si>
  <si>
    <t>Unidad</t>
  </si>
  <si>
    <t>Precio Unitario</t>
  </si>
  <si>
    <t>Cantidad</t>
  </si>
  <si>
    <t>Venta</t>
  </si>
  <si>
    <t>Comisión</t>
  </si>
  <si>
    <t>Lima</t>
  </si>
  <si>
    <t>Josué</t>
  </si>
  <si>
    <t>L1-001</t>
  </si>
  <si>
    <t>Lápiz Nº 2 Faber Castell</t>
  </si>
  <si>
    <t>Caja x 12</t>
  </si>
  <si>
    <t>P3-001</t>
  </si>
  <si>
    <t>Post-it 3X3</t>
  </si>
  <si>
    <t>Bolsa x 10</t>
  </si>
  <si>
    <t>P1-001</t>
  </si>
  <si>
    <t>Post-it 5X5</t>
  </si>
  <si>
    <t>D1-001</t>
  </si>
  <si>
    <t>CD-R Sony 700 MB</t>
  </si>
  <si>
    <t>Caja x 10</t>
  </si>
  <si>
    <t>P2-001</t>
  </si>
  <si>
    <t>Post-it 5X8</t>
  </si>
  <si>
    <t>S1-001</t>
  </si>
  <si>
    <t>Sobre Manila A4</t>
  </si>
  <si>
    <t>Ciento</t>
  </si>
  <si>
    <t>Elías</t>
  </si>
  <si>
    <t>Miraflores</t>
  </si>
  <si>
    <t>Alberto</t>
  </si>
  <si>
    <t>Daniel</t>
  </si>
  <si>
    <t>Surco</t>
  </si>
  <si>
    <t>Piero</t>
  </si>
  <si>
    <t>Fabián</t>
  </si>
  <si>
    <t>Lista de Empleados Lima Norte</t>
  </si>
  <si>
    <t>Lista de Empleados Lima Centro</t>
  </si>
  <si>
    <t>Lista de Empleados Lima Este</t>
  </si>
  <si>
    <t>Lista de Empleados Lima Sur</t>
  </si>
  <si>
    <t>Visita nuestra web</t>
  </si>
  <si>
    <t>Lima Norte</t>
  </si>
  <si>
    <t>Lima Centro</t>
  </si>
  <si>
    <t>Lima Sur</t>
  </si>
  <si>
    <t>Lima Este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</si>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</sst>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S/.&quot;\ #,##0.00"/>
    <numFmt numFmtId="165" formatCode="_(&quot;S/.&quot;\ * #,##0.00_);_(&quot;S/.&quot;\ * \(#,##0.00\);_(&quot;S/.&quot;\ * &quot;-&quot;??_);_(@_)"/>
    <numFmt numFmtId="166" formatCode="_ * #,##0.00_ ;_ * \-#,##0.00_ ;_ * &quot;-&quot;??_ ;_ @_ 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2060"/>
      <name val="Arial Unicode MS"/>
      <family val="2"/>
    </font>
    <font>
      <u/>
      <sz val="10"/>
      <color indexed="12"/>
      <name val="Arial"/>
      <family val="2"/>
    </font>
    <font>
      <sz val="11"/>
      <color rgb="FF002060"/>
      <name val="Arial Unicode MS"/>
      <family val="2"/>
    </font>
    <font>
      <sz val="10"/>
      <name val="Arial"/>
      <family val="2"/>
    </font>
    <font>
      <b/>
      <sz val="12"/>
      <color theme="0"/>
      <name val="Bookman Old Style"/>
      <family val="1"/>
    </font>
    <font>
      <sz val="10"/>
      <color rgb="FF002060"/>
      <name val="Bookman Old Style"/>
      <family val="1"/>
    </font>
    <font>
      <sz val="11"/>
      <color rgb="FF002060"/>
      <name val="Bookman Old Style"/>
      <family val="1"/>
    </font>
    <font>
      <sz val="28"/>
      <color rgb="FFC00000"/>
      <name val="Berlin Sans FB Demi"/>
      <family val="2"/>
    </font>
    <font>
      <b/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b/>
      <sz val="20"/>
      <color rgb="FFC00000"/>
      <name val="Bookman Old Style"/>
      <family val="1"/>
    </font>
    <font>
      <u/>
      <sz val="11"/>
      <color theme="1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002060"/>
      <name val="Arial Unicode MS"/>
      <family val="2"/>
    </font>
    <font>
      <sz val="9"/>
      <color rgb="FF002060"/>
      <name val="Arial"/>
      <family val="2"/>
    </font>
    <font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28"/>
      <color rgb="FFC00000"/>
      <name val="Gilroy ExtraBold"/>
      <family val="3"/>
    </font>
    <font>
      <sz val="28"/>
      <color rgb="FFC00000"/>
      <name val="Gilroy ExtraBold"/>
      <family val="3"/>
    </font>
    <font>
      <b/>
      <u/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217346"/>
      </left>
      <right style="hair">
        <color rgb="FF217346"/>
      </right>
      <top style="medium">
        <color rgb="FF217346"/>
      </top>
      <bottom style="hair">
        <color rgb="FF217346"/>
      </bottom>
      <diagonal/>
    </border>
    <border>
      <left style="hair">
        <color rgb="FF217346"/>
      </left>
      <right style="hair">
        <color rgb="FF217346"/>
      </right>
      <top style="medium">
        <color rgb="FF217346"/>
      </top>
      <bottom style="hair">
        <color rgb="FF217346"/>
      </bottom>
      <diagonal/>
    </border>
    <border>
      <left style="hair">
        <color rgb="FF217346"/>
      </left>
      <right style="medium">
        <color rgb="FF217346"/>
      </right>
      <top style="medium">
        <color rgb="FF217346"/>
      </top>
      <bottom style="hair">
        <color rgb="FF217346"/>
      </bottom>
      <diagonal/>
    </border>
    <border>
      <left style="medium">
        <color rgb="FF217346"/>
      </left>
      <right style="hair">
        <color rgb="FF217346"/>
      </right>
      <top style="hair">
        <color rgb="FF217346"/>
      </top>
      <bottom style="hair">
        <color rgb="FF217346"/>
      </bottom>
      <diagonal/>
    </border>
    <border>
      <left style="hair">
        <color rgb="FF217346"/>
      </left>
      <right style="hair">
        <color rgb="FF217346"/>
      </right>
      <top style="hair">
        <color rgb="FF217346"/>
      </top>
      <bottom style="hair">
        <color rgb="FF217346"/>
      </bottom>
      <diagonal/>
    </border>
    <border>
      <left style="hair">
        <color rgb="FF217346"/>
      </left>
      <right style="medium">
        <color rgb="FF217346"/>
      </right>
      <top style="hair">
        <color rgb="FF217346"/>
      </top>
      <bottom style="hair">
        <color rgb="FF217346"/>
      </bottom>
      <diagonal/>
    </border>
    <border>
      <left style="medium">
        <color rgb="FF217346"/>
      </left>
      <right style="hair">
        <color rgb="FF217346"/>
      </right>
      <top style="hair">
        <color rgb="FF217346"/>
      </top>
      <bottom style="medium">
        <color rgb="FF217346"/>
      </bottom>
      <diagonal/>
    </border>
    <border>
      <left style="hair">
        <color rgb="FF217346"/>
      </left>
      <right style="hair">
        <color rgb="FF217346"/>
      </right>
      <top style="hair">
        <color rgb="FF217346"/>
      </top>
      <bottom style="medium">
        <color rgb="FF217346"/>
      </bottom>
      <diagonal/>
    </border>
    <border>
      <left style="hair">
        <color rgb="FF217346"/>
      </left>
      <right style="medium">
        <color rgb="FF217346"/>
      </right>
      <top style="hair">
        <color rgb="FF217346"/>
      </top>
      <bottom style="medium">
        <color rgb="FF217346"/>
      </bottom>
      <diagonal/>
    </border>
    <border>
      <left style="medium">
        <color rgb="FF217346"/>
      </left>
      <right style="hair">
        <color rgb="FF217346"/>
      </right>
      <top/>
      <bottom style="hair">
        <color rgb="FF217346"/>
      </bottom>
      <diagonal/>
    </border>
    <border>
      <left style="hair">
        <color rgb="FF217346"/>
      </left>
      <right style="hair">
        <color rgb="FF217346"/>
      </right>
      <top/>
      <bottom style="hair">
        <color rgb="FF217346"/>
      </bottom>
      <diagonal/>
    </border>
    <border>
      <left style="hair">
        <color rgb="FF217346"/>
      </left>
      <right style="medium">
        <color rgb="FF217346"/>
      </right>
      <top/>
      <bottom style="hair">
        <color rgb="FF217346"/>
      </bottom>
      <diagonal/>
    </border>
  </borders>
  <cellStyleXfs count="6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/>
    <xf numFmtId="166" fontId="5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8">
    <xf numFmtId="0" fontId="0" fillId="0" borderId="0" xfId="0"/>
    <xf numFmtId="0" fontId="2" fillId="2" borderId="0" xfId="1" applyFont="1" applyFill="1" applyProtection="1">
      <protection locked="0"/>
    </xf>
    <xf numFmtId="0" fontId="4" fillId="2" borderId="0" xfId="1" applyFont="1" applyFill="1" applyProtection="1">
      <protection locked="0"/>
    </xf>
    <xf numFmtId="0" fontId="0" fillId="0" borderId="0" xfId="0" applyProtection="1">
      <protection locked="0"/>
    </xf>
    <xf numFmtId="0" fontId="14" fillId="2" borderId="0" xfId="5" applyFont="1" applyFill="1" applyProtection="1">
      <protection locked="0"/>
    </xf>
    <xf numFmtId="0" fontId="15" fillId="2" borderId="0" xfId="1" applyFont="1" applyFill="1" applyAlignment="1" applyProtection="1">
      <alignment horizontal="center" vertical="center"/>
      <protection locked="0"/>
    </xf>
    <xf numFmtId="0" fontId="2" fillId="4" borderId="0" xfId="1" applyFont="1" applyFill="1" applyProtection="1">
      <protection locked="0"/>
    </xf>
    <xf numFmtId="0" fontId="7" fillId="2" borderId="4" xfId="0" applyFont="1" applyFill="1" applyBorder="1"/>
    <xf numFmtId="0" fontId="7" fillId="2" borderId="5" xfId="0" applyFont="1" applyFill="1" applyBorder="1"/>
    <xf numFmtId="0" fontId="7" fillId="2" borderId="5" xfId="0" applyFont="1" applyFill="1" applyBorder="1" applyAlignment="1">
      <alignment horizontal="left"/>
    </xf>
    <xf numFmtId="14" fontId="7" fillId="2" borderId="5" xfId="0" applyNumberFormat="1" applyFont="1" applyFill="1" applyBorder="1" applyAlignment="1">
      <alignment horizontal="right"/>
    </xf>
    <xf numFmtId="0" fontId="7" fillId="2" borderId="5" xfId="0" applyFont="1" applyFill="1" applyBorder="1" applyAlignment="1">
      <alignment horizontal="center"/>
    </xf>
    <xf numFmtId="165" fontId="7" fillId="2" borderId="6" xfId="0" applyNumberFormat="1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7" fillId="2" borderId="8" xfId="0" applyFont="1" applyFill="1" applyBorder="1" applyAlignment="1">
      <alignment horizontal="left"/>
    </xf>
    <xf numFmtId="14" fontId="7" fillId="2" borderId="8" xfId="0" applyNumberFormat="1" applyFont="1" applyFill="1" applyBorder="1" applyAlignment="1">
      <alignment horizontal="right"/>
    </xf>
    <xf numFmtId="0" fontId="7" fillId="2" borderId="8" xfId="0" applyFont="1" applyFill="1" applyBorder="1" applyAlignment="1">
      <alignment horizontal="center"/>
    </xf>
    <xf numFmtId="165" fontId="7" fillId="2" borderId="9" xfId="0" applyNumberFormat="1" applyFont="1" applyFill="1" applyBorder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/>
    </xf>
    <xf numFmtId="0" fontId="0" fillId="2" borderId="0" xfId="0" applyFill="1"/>
    <xf numFmtId="0" fontId="12" fillId="2" borderId="0" xfId="0" applyFont="1" applyFill="1" applyAlignment="1">
      <alignment vertical="center"/>
    </xf>
    <xf numFmtId="0" fontId="8" fillId="2" borderId="5" xfId="0" applyFont="1" applyFill="1" applyBorder="1"/>
    <xf numFmtId="0" fontId="8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horizontal="center" vertical="center" wrapText="1"/>
    </xf>
    <xf numFmtId="0" fontId="16" fillId="3" borderId="4" xfId="0" applyFont="1" applyFill="1" applyBorder="1"/>
    <xf numFmtId="0" fontId="16" fillId="3" borderId="5" xfId="0" applyFont="1" applyFill="1" applyBorder="1" applyAlignment="1">
      <alignment horizontal="center"/>
    </xf>
    <xf numFmtId="14" fontId="16" fillId="3" borderId="5" xfId="0" applyNumberFormat="1" applyFont="1" applyFill="1" applyBorder="1" applyAlignment="1">
      <alignment horizontal="center"/>
    </xf>
    <xf numFmtId="164" fontId="16" fillId="3" borderId="5" xfId="0" applyNumberFormat="1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7" fillId="0" borderId="0" xfId="0" applyFont="1"/>
    <xf numFmtId="0" fontId="16" fillId="3" borderId="7" xfId="0" applyFont="1" applyFill="1" applyBorder="1"/>
    <xf numFmtId="0" fontId="16" fillId="3" borderId="8" xfId="0" applyFont="1" applyFill="1" applyBorder="1" applyAlignment="1">
      <alignment horizontal="center"/>
    </xf>
    <xf numFmtId="14" fontId="16" fillId="3" borderId="8" xfId="0" applyNumberFormat="1" applyFont="1" applyFill="1" applyBorder="1" applyAlignment="1">
      <alignment horizontal="center"/>
    </xf>
    <xf numFmtId="164" fontId="16" fillId="3" borderId="8" xfId="0" applyNumberFormat="1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1" fillId="4" borderId="1" xfId="3" applyFont="1" applyFill="1" applyBorder="1" applyAlignment="1">
      <alignment horizontal="center" vertical="center" wrapText="1"/>
    </xf>
    <xf numFmtId="14" fontId="11" fillId="4" borderId="2" xfId="3" applyNumberFormat="1" applyFont="1" applyFill="1" applyBorder="1" applyAlignment="1">
      <alignment horizontal="center" vertical="center" wrapText="1"/>
    </xf>
    <xf numFmtId="17" fontId="11" fillId="4" borderId="2" xfId="3" applyNumberFormat="1" applyFont="1" applyFill="1" applyBorder="1" applyAlignment="1">
      <alignment horizontal="center" vertical="center" wrapText="1"/>
    </xf>
    <xf numFmtId="0" fontId="11" fillId="4" borderId="2" xfId="3" applyFont="1" applyFill="1" applyBorder="1" applyAlignment="1">
      <alignment horizontal="center" vertical="center" wrapText="1"/>
    </xf>
    <xf numFmtId="0" fontId="11" fillId="4" borderId="3" xfId="3" applyFont="1" applyFill="1" applyBorder="1" applyAlignment="1">
      <alignment horizontal="center" vertical="center" wrapText="1"/>
    </xf>
    <xf numFmtId="0" fontId="18" fillId="0" borderId="4" xfId="3" applyFont="1" applyBorder="1" applyAlignment="1">
      <alignment horizontal="center"/>
    </xf>
    <xf numFmtId="14" fontId="18" fillId="0" borderId="5" xfId="3" applyNumberFormat="1" applyFont="1" applyBorder="1" applyAlignment="1">
      <alignment horizontal="center"/>
    </xf>
    <xf numFmtId="0" fontId="18" fillId="0" borderId="5" xfId="3" applyFont="1" applyBorder="1" applyAlignment="1">
      <alignment horizontal="center"/>
    </xf>
    <xf numFmtId="0" fontId="18" fillId="0" borderId="5" xfId="3" applyFont="1" applyBorder="1"/>
    <xf numFmtId="166" fontId="18" fillId="0" borderId="5" xfId="4" applyFont="1" applyBorder="1"/>
    <xf numFmtId="166" fontId="18" fillId="0" borderId="5" xfId="3" applyNumberFormat="1" applyFont="1" applyBorder="1"/>
    <xf numFmtId="166" fontId="18" fillId="0" borderId="6" xfId="3" applyNumberFormat="1" applyFont="1" applyBorder="1"/>
    <xf numFmtId="0" fontId="18" fillId="0" borderId="7" xfId="3" applyFont="1" applyBorder="1" applyAlignment="1">
      <alignment horizontal="center"/>
    </xf>
    <xf numFmtId="14" fontId="18" fillId="0" borderId="8" xfId="3" applyNumberFormat="1" applyFont="1" applyBorder="1" applyAlignment="1">
      <alignment horizontal="center"/>
    </xf>
    <xf numFmtId="0" fontId="18" fillId="0" borderId="8" xfId="3" applyFont="1" applyBorder="1" applyAlignment="1">
      <alignment horizontal="center"/>
    </xf>
    <xf numFmtId="0" fontId="18" fillId="0" borderId="8" xfId="3" applyFont="1" applyBorder="1"/>
    <xf numFmtId="166" fontId="18" fillId="0" borderId="8" xfId="4" applyFont="1" applyBorder="1"/>
    <xf numFmtId="166" fontId="18" fillId="0" borderId="8" xfId="3" applyNumberFormat="1" applyFont="1" applyBorder="1"/>
    <xf numFmtId="166" fontId="18" fillId="0" borderId="9" xfId="3" applyNumberFormat="1" applyFont="1" applyBorder="1"/>
    <xf numFmtId="0" fontId="19" fillId="2" borderId="0" xfId="0" applyFont="1" applyFill="1" applyAlignment="1">
      <alignment vertical="center"/>
    </xf>
    <xf numFmtId="0" fontId="13" fillId="2" borderId="0" xfId="5" applyFill="1" applyProtection="1">
      <protection locked="0"/>
    </xf>
    <xf numFmtId="0" fontId="19" fillId="2" borderId="0" xfId="0" applyFont="1" applyFill="1" applyAlignment="1">
      <alignment horizontal="center" vertical="center"/>
    </xf>
    <xf numFmtId="14" fontId="9" fillId="0" borderId="0" xfId="3" applyNumberFormat="1" applyFont="1" applyAlignment="1" applyProtection="1">
      <alignment horizontal="center"/>
      <protection locked="0"/>
    </xf>
    <xf numFmtId="14" fontId="20" fillId="0" borderId="0" xfId="3" applyNumberFormat="1" applyFont="1" applyAlignment="1">
      <alignment horizontal="center"/>
    </xf>
    <xf numFmtId="0" fontId="21" fillId="5" borderId="0" xfId="5" applyFont="1" applyFill="1" applyAlignment="1">
      <alignment horizontal="center" vertical="center"/>
    </xf>
  </cellXfs>
  <cellStyles count="6">
    <cellStyle name="Hipervínculo" xfId="5" builtinId="8"/>
    <cellStyle name="Hipervínculo 2" xfId="2" xr:uid="{AFE089A3-D4F2-4CD7-8453-9B25CE294B8E}"/>
    <cellStyle name="Millares 2" xfId="4" xr:uid="{55CFE25B-4697-4062-8E04-89AD2BE9E311}"/>
    <cellStyle name="Normal" xfId="0" builtinId="0"/>
    <cellStyle name="Normal 3 2" xfId="3" xr:uid="{85A10F9B-C778-4B24-A354-929E7A20AB1F}"/>
    <cellStyle name="Normal 5" xfId="1" xr:uid="{1126C4D6-B5F4-472D-9C1A-E1E4C83D09FA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21734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194476</xdr:colOff>
      <xdr:row>0</xdr:row>
      <xdr:rowOff>161026</xdr:rowOff>
    </xdr:from>
    <xdr:ext cx="8414099" cy="783548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645CFB4-916F-4141-979D-E4F82BCDFEFA}"/>
            </a:ext>
          </a:extLst>
        </xdr:cNvPr>
        <xdr:cNvSpPr/>
      </xdr:nvSpPr>
      <xdr:spPr>
        <a:xfrm>
          <a:off x="331636" y="999226"/>
          <a:ext cx="8414099" cy="78354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4400" b="1" cap="none" spc="0" baseline="0">
              <a:ln w="12700">
                <a:noFill/>
                <a:prstDash val="solid"/>
              </a:ln>
              <a:solidFill>
                <a:srgbClr val="217346"/>
              </a:solidFill>
              <a:effectLst/>
              <a:latin typeface="Gilroy ExtraBold" panose="00000900000000000000" pitchFamily="50" charset="0"/>
            </a:rPr>
            <a:t>Ilustraciones, Vínculos y Textos</a:t>
          </a:r>
          <a:endParaRPr lang="es-ES" sz="4400" b="1" cap="none" spc="0">
            <a:ln w="12700">
              <a:noFill/>
              <a:prstDash val="solid"/>
            </a:ln>
            <a:solidFill>
              <a:srgbClr val="217346"/>
            </a:solidFill>
            <a:effectLst/>
            <a:latin typeface="Gilroy ExtraBold" panose="00000900000000000000" pitchFamily="50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385481</xdr:colOff>
      <xdr:row>0</xdr:row>
      <xdr:rowOff>143435</xdr:rowOff>
    </xdr:from>
    <xdr:to>
      <xdr:col>14</xdr:col>
      <xdr:colOff>286869</xdr:colOff>
      <xdr:row>3</xdr:row>
      <xdr:rowOff>116542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FB3CE7-8493-BBC9-BB1A-B8098CD8C3B1}"/>
            </a:ext>
          </a:extLst>
        </xdr:cNvPr>
        <xdr:cNvSpPr/>
      </xdr:nvSpPr>
      <xdr:spPr>
        <a:xfrm>
          <a:off x="15006916" y="143435"/>
          <a:ext cx="1479177" cy="726142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INDICE</a:t>
          </a:r>
          <a:endParaRPr lang="es-PE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295835</xdr:colOff>
      <xdr:row>1</xdr:row>
      <xdr:rowOff>233082</xdr:rowOff>
    </xdr:from>
    <xdr:to>
      <xdr:col>14</xdr:col>
      <xdr:colOff>197224</xdr:colOff>
      <xdr:row>4</xdr:row>
      <xdr:rowOff>44824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F8F785-DDCE-4118-8FAA-1570EACC3073}"/>
            </a:ext>
          </a:extLst>
        </xdr:cNvPr>
        <xdr:cNvSpPr/>
      </xdr:nvSpPr>
      <xdr:spPr>
        <a:xfrm>
          <a:off x="14890376" y="421341"/>
          <a:ext cx="1479177" cy="726142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INDICE</a:t>
          </a:r>
          <a:endParaRPr lang="es-PE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</xdr:row>
      <xdr:rowOff>114300</xdr:rowOff>
    </xdr:from>
    <xdr:to>
      <xdr:col>9</xdr:col>
      <xdr:colOff>762897</xdr:colOff>
      <xdr:row>3</xdr:row>
      <xdr:rowOff>177502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13C921-C498-49D1-958A-375BAFE70978}"/>
            </a:ext>
          </a:extLst>
        </xdr:cNvPr>
        <xdr:cNvSpPr/>
      </xdr:nvSpPr>
      <xdr:spPr>
        <a:xfrm>
          <a:off x="11780520" y="304800"/>
          <a:ext cx="1479177" cy="726142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INDICE</a:t>
          </a:r>
          <a:endParaRPr lang="es-PE" sz="11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472440</xdr:colOff>
      <xdr:row>0</xdr:row>
      <xdr:rowOff>236220</xdr:rowOff>
    </xdr:from>
    <xdr:to>
      <xdr:col>10</xdr:col>
      <xdr:colOff>366657</xdr:colOff>
      <xdr:row>3</xdr:row>
      <xdr:rowOff>147022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0950F-A1ED-4793-A7F8-9B5858C71FBA}"/>
            </a:ext>
          </a:extLst>
        </xdr:cNvPr>
        <xdr:cNvSpPr/>
      </xdr:nvSpPr>
      <xdr:spPr>
        <a:xfrm>
          <a:off x="7749540" y="236220"/>
          <a:ext cx="1479177" cy="726142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INDICE</a:t>
          </a:r>
          <a:endParaRPr lang="es-PE" sz="11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312420</xdr:colOff>
      <xdr:row>0</xdr:row>
      <xdr:rowOff>220980</xdr:rowOff>
    </xdr:from>
    <xdr:to>
      <xdr:col>14</xdr:col>
      <xdr:colOff>206637</xdr:colOff>
      <xdr:row>2</xdr:row>
      <xdr:rowOff>291802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552058-A2EA-41CB-BE7F-CC2B31045617}"/>
            </a:ext>
          </a:extLst>
        </xdr:cNvPr>
        <xdr:cNvSpPr/>
      </xdr:nvSpPr>
      <xdr:spPr>
        <a:xfrm>
          <a:off x="10355580" y="220980"/>
          <a:ext cx="1479177" cy="726142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600" b="1"/>
            <a:t>INDICE</a:t>
          </a:r>
          <a:endParaRPr lang="es-PE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mara-de-comercio-exterior.teachable.com/courses/2665897/lectures/57876139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BE07-B9D9-4A95-ADB3-7625045C3861}">
  <sheetPr>
    <tabColor rgb="FF217346"/>
  </sheetPr>
  <dimension ref="A6:N318"/>
  <sheetViews>
    <sheetView tabSelected="1" workbookViewId="0"/>
  </sheetViews>
  <sheetFormatPr baseColWidth="10" defaultColWidth="11.44140625" defaultRowHeight="13.2"/>
  <cols>
    <col min="1" max="1" width="2" style="1" customWidth="1"/>
    <col min="2" max="2" width="11.44140625" style="1"/>
    <col min="3" max="3" width="8.109375" style="1" customWidth="1"/>
    <col min="4" max="4" width="15.33203125" style="1" customWidth="1"/>
    <col min="5" max="5" width="11.88671875" style="1" customWidth="1"/>
    <col min="6" max="6" width="0.33203125" style="1" customWidth="1"/>
    <col min="7" max="7" width="11.44140625" style="1"/>
    <col min="8" max="8" width="13" style="1" customWidth="1"/>
    <col min="9" max="9" width="9.44140625" style="1" customWidth="1"/>
    <col min="10" max="10" width="0.33203125" style="1" customWidth="1"/>
    <col min="11" max="11" width="11.44140625" style="1"/>
    <col min="12" max="12" width="14.109375" style="1" customWidth="1"/>
    <col min="13" max="13" width="6.6640625" style="1" customWidth="1"/>
    <col min="14" max="16384" width="11.44140625" style="1"/>
  </cols>
  <sheetData>
    <row r="6" spans="2:14" ht="2.1" customHeight="1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2.1" customHeight="1"/>
    <row r="8" spans="2:14" ht="2.1" customHeight="1"/>
    <row r="9" spans="2:14" ht="50.1" customHeight="1">
      <c r="C9" s="67" t="s">
        <v>300</v>
      </c>
      <c r="D9" s="67"/>
      <c r="E9" s="67"/>
      <c r="F9" s="5"/>
      <c r="G9" s="67" t="s">
        <v>301</v>
      </c>
      <c r="H9" s="67"/>
      <c r="I9" s="67"/>
      <c r="J9" s="5"/>
      <c r="K9" s="67" t="s">
        <v>302</v>
      </c>
      <c r="L9" s="67"/>
      <c r="M9" s="67"/>
    </row>
    <row r="10" spans="2:14" ht="2.1" customHeight="1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2:14" ht="50.1" customHeight="1">
      <c r="C11" s="67" t="s">
        <v>303</v>
      </c>
      <c r="D11" s="67"/>
      <c r="E11" s="67"/>
      <c r="F11" s="5"/>
      <c r="G11" s="67" t="s">
        <v>263</v>
      </c>
      <c r="H11" s="67"/>
      <c r="I11" s="67"/>
      <c r="J11" s="5"/>
      <c r="K11" s="67" t="s">
        <v>304</v>
      </c>
      <c r="L11" s="67"/>
      <c r="M11" s="67"/>
    </row>
    <row r="12" spans="2:14" ht="2.1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2:14" ht="2.1" customHeight="1"/>
    <row r="14" spans="2:14" ht="2.1" customHeight="1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2:14" ht="1.5" customHeight="1"/>
    <row r="16" spans="2:14" ht="30" customHeight="1"/>
    <row r="17" spans="1:5" ht="30" customHeight="1">
      <c r="C17" s="4"/>
      <c r="D17" s="63"/>
      <c r="E17" s="4"/>
    </row>
    <row r="18" spans="1:5" ht="30" customHeight="1">
      <c r="D18" s="63"/>
    </row>
    <row r="19" spans="1:5" ht="30" customHeight="1"/>
    <row r="20" spans="1:5" ht="30" customHeight="1">
      <c r="A20" s="1" t="s">
        <v>309</v>
      </c>
    </row>
    <row r="21" spans="1:5" ht="30" customHeight="1"/>
    <row r="22" spans="1:5" ht="30" customHeight="1"/>
    <row r="23" spans="1:5" ht="30" customHeight="1"/>
    <row r="24" spans="1:5" ht="2.1" customHeight="1"/>
    <row r="25" spans="1:5" ht="2.1" customHeight="1"/>
    <row r="26" spans="1:5" ht="2.1" customHeight="1"/>
    <row r="27" spans="1:5" ht="30" customHeight="1"/>
    <row r="28" spans="1:5" ht="30" customHeight="1"/>
    <row r="29" spans="1:5" ht="30" customHeight="1"/>
    <row r="30" spans="1:5" ht="30" customHeight="1"/>
    <row r="31" spans="1:5" ht="30" customHeight="1"/>
    <row r="32" spans="1:5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</sheetData>
  <mergeCells count="6">
    <mergeCell ref="C9:E9"/>
    <mergeCell ref="G9:I9"/>
    <mergeCell ref="K9:M9"/>
    <mergeCell ref="C11:E11"/>
    <mergeCell ref="G11:I11"/>
    <mergeCell ref="K11:M11"/>
  </mergeCells>
  <hyperlinks>
    <hyperlink ref="C9:E9" location="'Lista de Empleados Lima Norte'!B6" display="Lista de Empleados Lima Norte" xr:uid="{CF3BDCC7-7657-4315-8A4D-9A36420CDB0E}"/>
    <hyperlink ref="G9:I9" location="'Lista de Empleados Lima Centro'!A20" display="Lista de Empleados Lima Centro" xr:uid="{33951718-CC47-49CD-A4A7-9D678B9159E0}"/>
    <hyperlink ref="K9:M9" location="'Lista de Empleados Lima Este'!B5" display="Lista de Empleados Lima Este" xr:uid="{0FD98C84-54D9-4CCE-A1C7-CB077E0B0B50}"/>
    <hyperlink ref="C11:E11" location="'Lista de Empleados Lima Sur'!A1" display="Lista de Empleados Lima Sur" xr:uid="{6D191AAB-80D9-4CE9-A58A-BC72978A47F4}"/>
    <hyperlink ref="G11:I11" location="'Reporte de Ventas'!A5" display="Reporte de Ventas" xr:uid="{14B32036-C16E-45BB-A908-DC73809D5D0D}"/>
    <hyperlink ref="K11:M11" r:id="rId1" display="Visita nuestra web" xr:uid="{E2A3F402-0A0D-42CD-BB70-E25450B9F1E3}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6B14-19B2-44C8-8D7D-E637CCE353DF}">
  <sheetPr>
    <tabColor rgb="FF217346"/>
  </sheetPr>
  <dimension ref="A1:L44"/>
  <sheetViews>
    <sheetView showGridLines="0" zoomScale="85" zoomScaleNormal="85" workbookViewId="0">
      <selection activeCell="M9" sqref="M9"/>
    </sheetView>
  </sheetViews>
  <sheetFormatPr baseColWidth="10" defaultRowHeight="14.4"/>
  <cols>
    <col min="1" max="1" width="13.33203125" customWidth="1"/>
    <col min="2" max="2" width="21.109375" customWidth="1"/>
    <col min="3" max="3" width="16.109375" customWidth="1"/>
    <col min="4" max="4" width="16.88671875" customWidth="1"/>
    <col min="5" max="5" width="20.88671875" customWidth="1"/>
    <col min="6" max="6" width="20.5546875" customWidth="1"/>
    <col min="7" max="7" width="13.44140625" customWidth="1"/>
    <col min="8" max="8" width="16.88671875" customWidth="1"/>
    <col min="9" max="9" width="12.44140625" customWidth="1"/>
    <col min="10" max="10" width="16.44140625" customWidth="1"/>
    <col min="11" max="11" width="25.44140625" customWidth="1"/>
    <col min="12" max="12" width="19.6640625" customWidth="1"/>
  </cols>
  <sheetData>
    <row r="1" spans="1:12" ht="15" customHeight="1">
      <c r="A1" s="23"/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29.4" customHeight="1">
      <c r="A2" s="24"/>
      <c r="B2" s="24"/>
      <c r="C2" s="24"/>
      <c r="D2" s="24"/>
      <c r="E2" s="64" t="s">
        <v>305</v>
      </c>
      <c r="F2" s="64"/>
      <c r="G2" s="64"/>
      <c r="H2" s="64"/>
      <c r="I2" s="24"/>
      <c r="J2" s="24"/>
      <c r="K2" s="24"/>
      <c r="L2" s="24"/>
    </row>
    <row r="3" spans="1:12" ht="1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ht="31.2">
      <c r="A4" s="19" t="s">
        <v>4</v>
      </c>
      <c r="B4" s="20" t="s">
        <v>5</v>
      </c>
      <c r="C4" s="21" t="s">
        <v>6</v>
      </c>
      <c r="D4" s="21" t="s">
        <v>7</v>
      </c>
      <c r="E4" s="20" t="s">
        <v>8</v>
      </c>
      <c r="F4" s="20" t="s">
        <v>9</v>
      </c>
      <c r="G4" s="20" t="s">
        <v>10</v>
      </c>
      <c r="H4" s="21" t="s">
        <v>11</v>
      </c>
      <c r="I4" s="20" t="s">
        <v>12</v>
      </c>
      <c r="J4" s="21" t="s">
        <v>13</v>
      </c>
      <c r="K4" s="20" t="s">
        <v>14</v>
      </c>
      <c r="L4" s="22" t="s">
        <v>15</v>
      </c>
    </row>
    <row r="5" spans="1:12" ht="25.05" customHeight="1">
      <c r="A5" s="7" t="s">
        <v>16</v>
      </c>
      <c r="B5" s="8" t="s">
        <v>17</v>
      </c>
      <c r="C5" s="8" t="s">
        <v>18</v>
      </c>
      <c r="D5" s="8" t="s">
        <v>19</v>
      </c>
      <c r="E5" s="8" t="s">
        <v>20</v>
      </c>
      <c r="F5" s="9" t="s">
        <v>21</v>
      </c>
      <c r="G5" s="8">
        <v>4569852</v>
      </c>
      <c r="H5" s="10">
        <v>33161</v>
      </c>
      <c r="I5" s="11" t="s">
        <v>22</v>
      </c>
      <c r="J5" s="10">
        <v>40882</v>
      </c>
      <c r="K5" s="9" t="s">
        <v>23</v>
      </c>
      <c r="L5" s="12">
        <v>1500</v>
      </c>
    </row>
    <row r="6" spans="1:12" ht="25.05" customHeight="1">
      <c r="A6" s="7" t="s">
        <v>24</v>
      </c>
      <c r="B6" s="8" t="s">
        <v>25</v>
      </c>
      <c r="C6" s="8" t="s">
        <v>26</v>
      </c>
      <c r="D6" s="8" t="s">
        <v>27</v>
      </c>
      <c r="E6" s="8" t="s">
        <v>28</v>
      </c>
      <c r="F6" s="9" t="s">
        <v>29</v>
      </c>
      <c r="G6" s="8">
        <v>3698523</v>
      </c>
      <c r="H6" s="10">
        <v>34075</v>
      </c>
      <c r="I6" s="11" t="s">
        <v>30</v>
      </c>
      <c r="J6" s="10">
        <v>41183</v>
      </c>
      <c r="K6" s="9" t="s">
        <v>31</v>
      </c>
      <c r="L6" s="12">
        <v>1300</v>
      </c>
    </row>
    <row r="7" spans="1:12" ht="25.05" customHeight="1">
      <c r="A7" s="7" t="s">
        <v>32</v>
      </c>
      <c r="B7" s="8" t="s">
        <v>33</v>
      </c>
      <c r="C7" s="8" t="s">
        <v>34</v>
      </c>
      <c r="D7" s="8" t="s">
        <v>35</v>
      </c>
      <c r="E7" s="8" t="s">
        <v>31</v>
      </c>
      <c r="F7" s="9" t="s">
        <v>36</v>
      </c>
      <c r="G7" s="8">
        <v>3214564</v>
      </c>
      <c r="H7" s="10">
        <v>33446</v>
      </c>
      <c r="I7" s="11" t="s">
        <v>30</v>
      </c>
      <c r="J7" s="10">
        <v>40765</v>
      </c>
      <c r="K7" s="9" t="s">
        <v>37</v>
      </c>
      <c r="L7" s="12">
        <v>1000</v>
      </c>
    </row>
    <row r="8" spans="1:12" ht="25.05" customHeight="1">
      <c r="A8" s="7" t="s">
        <v>38</v>
      </c>
      <c r="B8" s="8" t="s">
        <v>39</v>
      </c>
      <c r="C8" s="8" t="s">
        <v>40</v>
      </c>
      <c r="D8" s="8" t="s">
        <v>41</v>
      </c>
      <c r="E8" s="8" t="s">
        <v>20</v>
      </c>
      <c r="F8" s="9" t="s">
        <v>42</v>
      </c>
      <c r="G8" s="8">
        <v>9874522</v>
      </c>
      <c r="H8" s="10">
        <v>32925</v>
      </c>
      <c r="I8" s="11" t="s">
        <v>22</v>
      </c>
      <c r="J8" s="10">
        <v>40961</v>
      </c>
      <c r="K8" s="9" t="s">
        <v>23</v>
      </c>
      <c r="L8" s="12">
        <v>1500</v>
      </c>
    </row>
    <row r="9" spans="1:12" ht="25.05" customHeight="1">
      <c r="A9" s="7" t="s">
        <v>43</v>
      </c>
      <c r="B9" s="8" t="s">
        <v>1</v>
      </c>
      <c r="C9" s="8" t="s">
        <v>44</v>
      </c>
      <c r="D9" s="8" t="s">
        <v>45</v>
      </c>
      <c r="E9" s="8" t="s">
        <v>31</v>
      </c>
      <c r="F9" s="9" t="s">
        <v>46</v>
      </c>
      <c r="G9" s="8">
        <v>3698998</v>
      </c>
      <c r="H9" s="10">
        <v>33806</v>
      </c>
      <c r="I9" s="11" t="s">
        <v>30</v>
      </c>
      <c r="J9" s="10">
        <v>41263</v>
      </c>
      <c r="K9" s="9" t="s">
        <v>31</v>
      </c>
      <c r="L9" s="12">
        <v>1300</v>
      </c>
    </row>
    <row r="10" spans="1:12" ht="25.05" customHeight="1">
      <c r="A10" s="7" t="s">
        <v>47</v>
      </c>
      <c r="B10" s="8" t="s">
        <v>48</v>
      </c>
      <c r="C10" s="8" t="s">
        <v>49</v>
      </c>
      <c r="D10" s="8" t="s">
        <v>50</v>
      </c>
      <c r="E10" s="8" t="s">
        <v>31</v>
      </c>
      <c r="F10" s="9" t="s">
        <v>51</v>
      </c>
      <c r="G10" s="8">
        <v>2541025</v>
      </c>
      <c r="H10" s="10">
        <v>32870</v>
      </c>
      <c r="I10" s="11" t="s">
        <v>22</v>
      </c>
      <c r="J10" s="10">
        <v>40573</v>
      </c>
      <c r="K10" s="9" t="s">
        <v>52</v>
      </c>
      <c r="L10" s="12">
        <v>1200</v>
      </c>
    </row>
    <row r="11" spans="1:12" ht="25.05" customHeight="1">
      <c r="A11" s="7" t="s">
        <v>53</v>
      </c>
      <c r="B11" s="8" t="s">
        <v>54</v>
      </c>
      <c r="C11" s="8" t="s">
        <v>55</v>
      </c>
      <c r="D11" s="8" t="s">
        <v>56</v>
      </c>
      <c r="E11" s="8" t="s">
        <v>28</v>
      </c>
      <c r="F11" s="9" t="s">
        <v>21</v>
      </c>
      <c r="G11" s="8">
        <v>2501254</v>
      </c>
      <c r="H11" s="10">
        <v>33893</v>
      </c>
      <c r="I11" s="11" t="s">
        <v>30</v>
      </c>
      <c r="J11" s="10">
        <v>41233</v>
      </c>
      <c r="K11" s="9" t="s">
        <v>23</v>
      </c>
      <c r="L11" s="12">
        <v>1500</v>
      </c>
    </row>
    <row r="12" spans="1:12" ht="25.05" customHeight="1">
      <c r="A12" s="7" t="s">
        <v>57</v>
      </c>
      <c r="B12" s="8" t="s">
        <v>58</v>
      </c>
      <c r="C12" s="8" t="s">
        <v>59</v>
      </c>
      <c r="D12" s="8" t="s">
        <v>60</v>
      </c>
      <c r="E12" s="8" t="s">
        <v>28</v>
      </c>
      <c r="F12" s="9" t="s">
        <v>21</v>
      </c>
      <c r="G12" s="8">
        <v>3210254</v>
      </c>
      <c r="H12" s="10">
        <v>33251</v>
      </c>
      <c r="I12" s="11" t="s">
        <v>22</v>
      </c>
      <c r="J12" s="10">
        <v>41325</v>
      </c>
      <c r="K12" s="9" t="s">
        <v>23</v>
      </c>
      <c r="L12" s="12">
        <v>1500</v>
      </c>
    </row>
    <row r="13" spans="1:12" ht="25.05" customHeight="1">
      <c r="A13" s="7" t="s">
        <v>61</v>
      </c>
      <c r="B13" s="8" t="s">
        <v>62</v>
      </c>
      <c r="C13" s="8" t="s">
        <v>63</v>
      </c>
      <c r="D13" s="8" t="s">
        <v>64</v>
      </c>
      <c r="E13" s="8" t="s">
        <v>20</v>
      </c>
      <c r="F13" s="9" t="s">
        <v>65</v>
      </c>
      <c r="G13" s="8">
        <v>7452100</v>
      </c>
      <c r="H13" s="10">
        <v>33074</v>
      </c>
      <c r="I13" s="11" t="s">
        <v>30</v>
      </c>
      <c r="J13" s="10">
        <v>40960</v>
      </c>
      <c r="K13" s="9" t="s">
        <v>23</v>
      </c>
      <c r="L13" s="12">
        <v>1500</v>
      </c>
    </row>
    <row r="14" spans="1:12" ht="25.05" customHeight="1">
      <c r="A14" s="7" t="s">
        <v>66</v>
      </c>
      <c r="B14" s="8" t="s">
        <v>0</v>
      </c>
      <c r="C14" s="8" t="s">
        <v>67</v>
      </c>
      <c r="D14" s="8" t="s">
        <v>68</v>
      </c>
      <c r="E14" s="8" t="s">
        <v>52</v>
      </c>
      <c r="F14" s="9" t="s">
        <v>69</v>
      </c>
      <c r="G14" s="8">
        <v>4520012</v>
      </c>
      <c r="H14" s="10">
        <v>33877</v>
      </c>
      <c r="I14" s="11" t="s">
        <v>22</v>
      </c>
      <c r="J14" s="10">
        <v>41120</v>
      </c>
      <c r="K14" s="9" t="s">
        <v>28</v>
      </c>
      <c r="L14" s="12">
        <v>1400</v>
      </c>
    </row>
    <row r="15" spans="1:12" ht="25.05" customHeight="1">
      <c r="A15" s="7" t="s">
        <v>70</v>
      </c>
      <c r="B15" s="8" t="s">
        <v>71</v>
      </c>
      <c r="C15" s="8" t="s">
        <v>72</v>
      </c>
      <c r="D15" s="8" t="s">
        <v>73</v>
      </c>
      <c r="E15" s="8" t="s">
        <v>31</v>
      </c>
      <c r="F15" s="9" t="s">
        <v>74</v>
      </c>
      <c r="G15" s="8">
        <v>3256998</v>
      </c>
      <c r="H15" s="10">
        <v>33550</v>
      </c>
      <c r="I15" s="11" t="s">
        <v>30</v>
      </c>
      <c r="J15" s="10">
        <v>41191</v>
      </c>
      <c r="K15" s="9" t="s">
        <v>52</v>
      </c>
      <c r="L15" s="12">
        <v>1200</v>
      </c>
    </row>
    <row r="16" spans="1:12" ht="25.05" customHeight="1">
      <c r="A16" s="7" t="s">
        <v>75</v>
      </c>
      <c r="B16" s="8" t="s">
        <v>76</v>
      </c>
      <c r="C16" s="8" t="s">
        <v>77</v>
      </c>
      <c r="D16" s="8" t="s">
        <v>78</v>
      </c>
      <c r="E16" s="8" t="s">
        <v>52</v>
      </c>
      <c r="F16" s="9" t="s">
        <v>74</v>
      </c>
      <c r="G16" s="8">
        <v>2365412</v>
      </c>
      <c r="H16" s="10">
        <v>33620</v>
      </c>
      <c r="I16" s="11" t="s">
        <v>30</v>
      </c>
      <c r="J16" s="10">
        <v>40560</v>
      </c>
      <c r="K16" s="9" t="s">
        <v>37</v>
      </c>
      <c r="L16" s="12">
        <v>1000</v>
      </c>
    </row>
    <row r="17" spans="1:12" ht="25.05" customHeight="1">
      <c r="A17" s="7" t="s">
        <v>79</v>
      </c>
      <c r="B17" s="8" t="s">
        <v>0</v>
      </c>
      <c r="C17" s="8" t="s">
        <v>49</v>
      </c>
      <c r="D17" s="8" t="s">
        <v>80</v>
      </c>
      <c r="E17" s="8" t="s">
        <v>52</v>
      </c>
      <c r="F17" s="9" t="s">
        <v>74</v>
      </c>
      <c r="G17" s="8">
        <v>3025698</v>
      </c>
      <c r="H17" s="10">
        <v>32984</v>
      </c>
      <c r="I17" s="11" t="s">
        <v>22</v>
      </c>
      <c r="J17" s="10">
        <v>41059</v>
      </c>
      <c r="K17" s="9" t="s">
        <v>37</v>
      </c>
      <c r="L17" s="12">
        <v>1000</v>
      </c>
    </row>
    <row r="18" spans="1:12" ht="25.05" customHeight="1">
      <c r="A18" s="7" t="s">
        <v>81</v>
      </c>
      <c r="B18" s="8" t="s">
        <v>82</v>
      </c>
      <c r="C18" s="8" t="s">
        <v>83</v>
      </c>
      <c r="D18" s="8" t="s">
        <v>84</v>
      </c>
      <c r="E18" s="8" t="s">
        <v>23</v>
      </c>
      <c r="F18" s="9" t="s">
        <v>85</v>
      </c>
      <c r="G18" s="8">
        <v>4205632</v>
      </c>
      <c r="H18" s="10">
        <v>33284</v>
      </c>
      <c r="I18" s="11" t="s">
        <v>22</v>
      </c>
      <c r="J18" s="10">
        <v>40988</v>
      </c>
      <c r="K18" s="9" t="s">
        <v>23</v>
      </c>
      <c r="L18" s="12">
        <v>1500</v>
      </c>
    </row>
    <row r="19" spans="1:12" ht="25.05" customHeight="1">
      <c r="A19" s="7" t="s">
        <v>86</v>
      </c>
      <c r="B19" s="8" t="s">
        <v>87</v>
      </c>
      <c r="C19" s="8" t="s">
        <v>88</v>
      </c>
      <c r="D19" s="8" t="s">
        <v>89</v>
      </c>
      <c r="E19" s="8" t="s">
        <v>20</v>
      </c>
      <c r="F19" s="9" t="s">
        <v>69</v>
      </c>
      <c r="G19" s="8">
        <v>5402156</v>
      </c>
      <c r="H19" s="10">
        <v>33671</v>
      </c>
      <c r="I19" s="11" t="s">
        <v>22</v>
      </c>
      <c r="J19" s="10">
        <v>40696</v>
      </c>
      <c r="K19" s="9" t="s">
        <v>31</v>
      </c>
      <c r="L19" s="12">
        <v>1300</v>
      </c>
    </row>
    <row r="20" spans="1:12" ht="25.05" customHeight="1">
      <c r="A20" s="7" t="s">
        <v>90</v>
      </c>
      <c r="B20" s="8" t="s">
        <v>91</v>
      </c>
      <c r="C20" s="8" t="s">
        <v>92</v>
      </c>
      <c r="D20" s="8" t="s">
        <v>93</v>
      </c>
      <c r="E20" s="8" t="s">
        <v>23</v>
      </c>
      <c r="F20" s="9" t="s">
        <v>85</v>
      </c>
      <c r="G20" s="8">
        <v>6203658</v>
      </c>
      <c r="H20" s="10">
        <v>33474</v>
      </c>
      <c r="I20" s="11" t="s">
        <v>22</v>
      </c>
      <c r="J20" s="10">
        <v>41063</v>
      </c>
      <c r="K20" s="9" t="s">
        <v>23</v>
      </c>
      <c r="L20" s="12">
        <v>1500</v>
      </c>
    </row>
    <row r="21" spans="1:12" ht="25.05" customHeight="1">
      <c r="A21" s="7" t="s">
        <v>94</v>
      </c>
      <c r="B21" s="8" t="s">
        <v>25</v>
      </c>
      <c r="C21" s="8" t="s">
        <v>95</v>
      </c>
      <c r="D21" s="8" t="s">
        <v>96</v>
      </c>
      <c r="E21" s="8" t="s">
        <v>23</v>
      </c>
      <c r="F21" s="9" t="s">
        <v>21</v>
      </c>
      <c r="G21" s="8">
        <v>4523698</v>
      </c>
      <c r="H21" s="10">
        <v>33772</v>
      </c>
      <c r="I21" s="11" t="s">
        <v>30</v>
      </c>
      <c r="J21" s="10">
        <v>40959</v>
      </c>
      <c r="K21" s="9" t="s">
        <v>23</v>
      </c>
      <c r="L21" s="12">
        <v>1500</v>
      </c>
    </row>
    <row r="22" spans="1:12" ht="25.05" customHeight="1">
      <c r="A22" s="7" t="s">
        <v>97</v>
      </c>
      <c r="B22" s="8" t="s">
        <v>98</v>
      </c>
      <c r="C22" s="8" t="s">
        <v>99</v>
      </c>
      <c r="D22" s="8" t="s">
        <v>100</v>
      </c>
      <c r="E22" s="8" t="s">
        <v>31</v>
      </c>
      <c r="F22" s="9" t="s">
        <v>21</v>
      </c>
      <c r="G22" s="8">
        <v>4102587</v>
      </c>
      <c r="H22" s="10">
        <v>33527</v>
      </c>
      <c r="I22" s="11" t="s">
        <v>30</v>
      </c>
      <c r="J22" s="10">
        <v>40907</v>
      </c>
      <c r="K22" s="9" t="s">
        <v>37</v>
      </c>
      <c r="L22" s="12">
        <v>1000</v>
      </c>
    </row>
    <row r="23" spans="1:12" ht="25.05" customHeight="1">
      <c r="A23" s="7" t="s">
        <v>101</v>
      </c>
      <c r="B23" s="8" t="s">
        <v>102</v>
      </c>
      <c r="C23" s="8" t="s">
        <v>103</v>
      </c>
      <c r="D23" s="8" t="s">
        <v>35</v>
      </c>
      <c r="E23" s="8" t="s">
        <v>28</v>
      </c>
      <c r="F23" s="9" t="s">
        <v>65</v>
      </c>
      <c r="G23" s="8">
        <v>3026598</v>
      </c>
      <c r="H23" s="10">
        <v>33773</v>
      </c>
      <c r="I23" s="11" t="s">
        <v>22</v>
      </c>
      <c r="J23" s="10">
        <v>41110</v>
      </c>
      <c r="K23" s="9" t="s">
        <v>31</v>
      </c>
      <c r="L23" s="12">
        <v>1300</v>
      </c>
    </row>
    <row r="24" spans="1:12" ht="25.05" customHeight="1">
      <c r="A24" s="7" t="s">
        <v>104</v>
      </c>
      <c r="B24" s="8" t="s">
        <v>105</v>
      </c>
      <c r="C24" s="8" t="s">
        <v>106</v>
      </c>
      <c r="D24" s="8" t="s">
        <v>107</v>
      </c>
      <c r="E24" s="8" t="s">
        <v>52</v>
      </c>
      <c r="F24" s="9" t="s">
        <v>21</v>
      </c>
      <c r="G24" s="8">
        <v>4120365</v>
      </c>
      <c r="H24" s="10">
        <v>33162</v>
      </c>
      <c r="I24" s="11" t="s">
        <v>30</v>
      </c>
      <c r="J24" s="10">
        <v>41198</v>
      </c>
      <c r="K24" s="9" t="s">
        <v>28</v>
      </c>
      <c r="L24" s="12">
        <v>1400</v>
      </c>
    </row>
    <row r="25" spans="1:12" ht="25.05" customHeight="1">
      <c r="A25" s="7" t="s">
        <v>108</v>
      </c>
      <c r="B25" s="8" t="s">
        <v>109</v>
      </c>
      <c r="C25" s="8" t="s">
        <v>110</v>
      </c>
      <c r="D25" s="8" t="s">
        <v>111</v>
      </c>
      <c r="E25" s="8" t="s">
        <v>52</v>
      </c>
      <c r="F25" s="9" t="s">
        <v>21</v>
      </c>
      <c r="G25" s="8">
        <v>4578963</v>
      </c>
      <c r="H25" s="10">
        <v>33407</v>
      </c>
      <c r="I25" s="11" t="s">
        <v>22</v>
      </c>
      <c r="J25" s="10">
        <v>41353</v>
      </c>
      <c r="K25" s="9" t="s">
        <v>52</v>
      </c>
      <c r="L25" s="12">
        <v>1200</v>
      </c>
    </row>
    <row r="26" spans="1:12" ht="25.05" customHeight="1">
      <c r="A26" s="7" t="s">
        <v>112</v>
      </c>
      <c r="B26" s="8" t="s">
        <v>113</v>
      </c>
      <c r="C26" s="8" t="s">
        <v>114</v>
      </c>
      <c r="D26" s="8" t="s">
        <v>115</v>
      </c>
      <c r="E26" s="8" t="s">
        <v>23</v>
      </c>
      <c r="F26" s="9" t="s">
        <v>85</v>
      </c>
      <c r="G26" s="8">
        <v>4102596</v>
      </c>
      <c r="H26" s="10">
        <v>33854</v>
      </c>
      <c r="I26" s="11" t="s">
        <v>30</v>
      </c>
      <c r="J26" s="10">
        <v>40878</v>
      </c>
      <c r="K26" s="9" t="s">
        <v>31</v>
      </c>
      <c r="L26" s="12">
        <v>1300</v>
      </c>
    </row>
    <row r="27" spans="1:12" ht="25.05" customHeight="1">
      <c r="A27" s="7" t="s">
        <v>116</v>
      </c>
      <c r="B27" s="8" t="s">
        <v>117</v>
      </c>
      <c r="C27" s="8" t="s">
        <v>118</v>
      </c>
      <c r="D27" s="8" t="s">
        <v>119</v>
      </c>
      <c r="E27" s="8" t="s">
        <v>120</v>
      </c>
      <c r="F27" s="9" t="s">
        <v>74</v>
      </c>
      <c r="G27" s="8">
        <v>6203658</v>
      </c>
      <c r="H27" s="10">
        <v>33059</v>
      </c>
      <c r="I27" s="11" t="s">
        <v>30</v>
      </c>
      <c r="J27" s="10">
        <v>41157</v>
      </c>
      <c r="K27" s="9" t="s">
        <v>23</v>
      </c>
      <c r="L27" s="12">
        <v>1500</v>
      </c>
    </row>
    <row r="28" spans="1:12" ht="25.05" customHeight="1">
      <c r="A28" s="7" t="s">
        <v>121</v>
      </c>
      <c r="B28" s="8" t="s">
        <v>122</v>
      </c>
      <c r="C28" s="8" t="s">
        <v>84</v>
      </c>
      <c r="D28" s="8" t="s">
        <v>123</v>
      </c>
      <c r="E28" s="8" t="s">
        <v>23</v>
      </c>
      <c r="F28" s="9" t="s">
        <v>65</v>
      </c>
      <c r="G28" s="8">
        <v>7458036</v>
      </c>
      <c r="H28" s="10">
        <v>33435</v>
      </c>
      <c r="I28" s="11" t="s">
        <v>30</v>
      </c>
      <c r="J28" s="10">
        <v>41260</v>
      </c>
      <c r="K28" s="9" t="s">
        <v>23</v>
      </c>
      <c r="L28" s="12">
        <v>1500</v>
      </c>
    </row>
    <row r="29" spans="1:12" ht="25.05" customHeight="1">
      <c r="A29" s="7" t="s">
        <v>124</v>
      </c>
      <c r="B29" s="8" t="s">
        <v>125</v>
      </c>
      <c r="C29" s="8" t="s">
        <v>126</v>
      </c>
      <c r="D29" s="8" t="s">
        <v>127</v>
      </c>
      <c r="E29" s="8" t="s">
        <v>120</v>
      </c>
      <c r="F29" s="9" t="s">
        <v>128</v>
      </c>
      <c r="G29" s="8">
        <v>8524369</v>
      </c>
      <c r="H29" s="10">
        <v>33882</v>
      </c>
      <c r="I29" s="11" t="s">
        <v>22</v>
      </c>
      <c r="J29" s="10">
        <v>40859</v>
      </c>
      <c r="K29" s="9" t="s">
        <v>31</v>
      </c>
      <c r="L29" s="12">
        <v>1300</v>
      </c>
    </row>
    <row r="30" spans="1:12" ht="25.05" customHeight="1">
      <c r="A30" s="7" t="s">
        <v>129</v>
      </c>
      <c r="B30" s="8" t="s">
        <v>130</v>
      </c>
      <c r="C30" s="8" t="s">
        <v>40</v>
      </c>
      <c r="D30" s="8" t="s">
        <v>131</v>
      </c>
      <c r="E30" s="8" t="s">
        <v>120</v>
      </c>
      <c r="F30" s="9" t="s">
        <v>132</v>
      </c>
      <c r="G30" s="8">
        <v>7410258</v>
      </c>
      <c r="H30" s="10">
        <v>32981</v>
      </c>
      <c r="I30" s="11" t="s">
        <v>22</v>
      </c>
      <c r="J30" s="10">
        <v>41018</v>
      </c>
      <c r="K30" s="9" t="s">
        <v>37</v>
      </c>
      <c r="L30" s="12">
        <v>1000</v>
      </c>
    </row>
    <row r="31" spans="1:12" ht="25.05" customHeight="1">
      <c r="A31" s="7" t="s">
        <v>133</v>
      </c>
      <c r="B31" s="8" t="s">
        <v>134</v>
      </c>
      <c r="C31" s="8" t="s">
        <v>135</v>
      </c>
      <c r="D31" s="8" t="s">
        <v>136</v>
      </c>
      <c r="E31" s="8" t="s">
        <v>120</v>
      </c>
      <c r="F31" s="9" t="s">
        <v>128</v>
      </c>
      <c r="G31" s="8">
        <v>3659862</v>
      </c>
      <c r="H31" s="10">
        <v>33502</v>
      </c>
      <c r="I31" s="11" t="s">
        <v>30</v>
      </c>
      <c r="J31" s="10">
        <v>40846</v>
      </c>
      <c r="K31" s="9" t="s">
        <v>52</v>
      </c>
      <c r="L31" s="12">
        <v>1200</v>
      </c>
    </row>
    <row r="32" spans="1:12" ht="25.05" customHeight="1">
      <c r="A32" s="7" t="s">
        <v>137</v>
      </c>
      <c r="B32" s="8" t="s">
        <v>138</v>
      </c>
      <c r="C32" s="8" t="s">
        <v>139</v>
      </c>
      <c r="D32" s="8" t="s">
        <v>140</v>
      </c>
      <c r="E32" s="8" t="s">
        <v>31</v>
      </c>
      <c r="F32" s="9" t="s">
        <v>128</v>
      </c>
      <c r="G32" s="8">
        <v>4201563</v>
      </c>
      <c r="H32" s="10">
        <v>33579</v>
      </c>
      <c r="I32" s="11" t="s">
        <v>30</v>
      </c>
      <c r="J32" s="10">
        <v>41110</v>
      </c>
      <c r="K32" s="9" t="s">
        <v>28</v>
      </c>
      <c r="L32" s="12">
        <v>1400</v>
      </c>
    </row>
    <row r="33" spans="1:12" ht="25.05" customHeight="1">
      <c r="A33" s="7" t="s">
        <v>141</v>
      </c>
      <c r="B33" s="8" t="s">
        <v>142</v>
      </c>
      <c r="C33" s="8" t="s">
        <v>143</v>
      </c>
      <c r="D33" s="8" t="s">
        <v>144</v>
      </c>
      <c r="E33" s="8" t="s">
        <v>23</v>
      </c>
      <c r="F33" s="9" t="s">
        <v>69</v>
      </c>
      <c r="G33" s="8">
        <v>4102587</v>
      </c>
      <c r="H33" s="10">
        <v>33940</v>
      </c>
      <c r="I33" s="11" t="s">
        <v>22</v>
      </c>
      <c r="J33" s="10">
        <v>41223</v>
      </c>
      <c r="K33" s="9" t="s">
        <v>28</v>
      </c>
      <c r="L33" s="12">
        <v>1400</v>
      </c>
    </row>
    <row r="34" spans="1:12" ht="25.05" customHeight="1">
      <c r="A34" s="7" t="s">
        <v>145</v>
      </c>
      <c r="B34" s="8" t="s">
        <v>146</v>
      </c>
      <c r="C34" s="8" t="s">
        <v>147</v>
      </c>
      <c r="D34" s="8" t="s">
        <v>148</v>
      </c>
      <c r="E34" s="8" t="s">
        <v>149</v>
      </c>
      <c r="F34" s="9" t="s">
        <v>150</v>
      </c>
      <c r="G34" s="8">
        <v>3023659</v>
      </c>
      <c r="H34" s="10">
        <v>33397</v>
      </c>
      <c r="I34" s="11" t="s">
        <v>30</v>
      </c>
      <c r="J34" s="10">
        <v>40585</v>
      </c>
      <c r="K34" s="9" t="s">
        <v>52</v>
      </c>
      <c r="L34" s="12">
        <v>1200</v>
      </c>
    </row>
    <row r="35" spans="1:12" ht="25.05" customHeight="1">
      <c r="A35" s="7" t="s">
        <v>151</v>
      </c>
      <c r="B35" s="8" t="s">
        <v>152</v>
      </c>
      <c r="C35" s="8" t="s">
        <v>153</v>
      </c>
      <c r="D35" s="8" t="s">
        <v>154</v>
      </c>
      <c r="E35" s="8" t="s">
        <v>155</v>
      </c>
      <c r="F35" s="9" t="s">
        <v>150</v>
      </c>
      <c r="G35" s="8">
        <v>5236201</v>
      </c>
      <c r="H35" s="10">
        <v>33811</v>
      </c>
      <c r="I35" s="11" t="s">
        <v>30</v>
      </c>
      <c r="J35" s="10">
        <v>41127</v>
      </c>
      <c r="K35" s="9" t="s">
        <v>52</v>
      </c>
      <c r="L35" s="12">
        <v>1200</v>
      </c>
    </row>
    <row r="36" spans="1:12" ht="25.05" customHeight="1">
      <c r="A36" s="7" t="s">
        <v>156</v>
      </c>
      <c r="B36" s="8" t="s">
        <v>157</v>
      </c>
      <c r="C36" s="8" t="s">
        <v>158</v>
      </c>
      <c r="D36" s="8" t="s">
        <v>159</v>
      </c>
      <c r="E36" s="8" t="s">
        <v>149</v>
      </c>
      <c r="F36" s="9" t="s">
        <v>65</v>
      </c>
      <c r="G36" s="8">
        <v>4520368</v>
      </c>
      <c r="H36" s="10">
        <v>33411</v>
      </c>
      <c r="I36" s="11" t="s">
        <v>22</v>
      </c>
      <c r="J36" s="10">
        <v>41113</v>
      </c>
      <c r="K36" s="9" t="s">
        <v>37</v>
      </c>
      <c r="L36" s="12">
        <v>1000</v>
      </c>
    </row>
    <row r="37" spans="1:12" ht="25.05" customHeight="1">
      <c r="A37" s="7" t="s">
        <v>160</v>
      </c>
      <c r="B37" s="8" t="s">
        <v>161</v>
      </c>
      <c r="C37" s="8" t="s">
        <v>162</v>
      </c>
      <c r="D37" s="8" t="s">
        <v>163</v>
      </c>
      <c r="E37" s="8" t="s">
        <v>149</v>
      </c>
      <c r="F37" s="9" t="s">
        <v>36</v>
      </c>
      <c r="G37" s="8">
        <v>4520368</v>
      </c>
      <c r="H37" s="10">
        <v>33351</v>
      </c>
      <c r="I37" s="11" t="s">
        <v>30</v>
      </c>
      <c r="J37" s="10">
        <v>41146</v>
      </c>
      <c r="K37" s="9" t="s">
        <v>23</v>
      </c>
      <c r="L37" s="12">
        <v>1500</v>
      </c>
    </row>
    <row r="38" spans="1:12" ht="25.05" customHeight="1">
      <c r="A38" s="7" t="s">
        <v>164</v>
      </c>
      <c r="B38" s="8" t="s">
        <v>165</v>
      </c>
      <c r="C38" s="8" t="s">
        <v>166</v>
      </c>
      <c r="D38" s="8" t="s">
        <v>167</v>
      </c>
      <c r="E38" s="8" t="s">
        <v>120</v>
      </c>
      <c r="F38" s="9" t="s">
        <v>74</v>
      </c>
      <c r="G38" s="8">
        <v>2036598</v>
      </c>
      <c r="H38" s="10">
        <v>33038</v>
      </c>
      <c r="I38" s="11" t="s">
        <v>22</v>
      </c>
      <c r="J38" s="10">
        <v>41404</v>
      </c>
      <c r="K38" s="9" t="s">
        <v>23</v>
      </c>
      <c r="L38" s="12">
        <v>1500</v>
      </c>
    </row>
    <row r="39" spans="1:12" ht="25.05" customHeight="1">
      <c r="A39" s="7" t="s">
        <v>168</v>
      </c>
      <c r="B39" s="8" t="s">
        <v>169</v>
      </c>
      <c r="C39" s="8" t="s">
        <v>170</v>
      </c>
      <c r="D39" s="8" t="s">
        <v>171</v>
      </c>
      <c r="E39" s="8" t="s">
        <v>23</v>
      </c>
      <c r="F39" s="9" t="s">
        <v>36</v>
      </c>
      <c r="G39" s="8">
        <v>4203659</v>
      </c>
      <c r="H39" s="10">
        <v>33320</v>
      </c>
      <c r="I39" s="11" t="s">
        <v>22</v>
      </c>
      <c r="J39" s="10">
        <v>41254</v>
      </c>
      <c r="K39" s="9" t="s">
        <v>28</v>
      </c>
      <c r="L39" s="12">
        <v>1400</v>
      </c>
    </row>
    <row r="40" spans="1:12" ht="25.05" customHeight="1">
      <c r="A40" s="7" t="s">
        <v>172</v>
      </c>
      <c r="B40" s="8" t="s">
        <v>173</v>
      </c>
      <c r="C40" s="8" t="s">
        <v>174</v>
      </c>
      <c r="D40" s="8" t="s">
        <v>175</v>
      </c>
      <c r="E40" s="8" t="s">
        <v>176</v>
      </c>
      <c r="F40" s="9" t="s">
        <v>36</v>
      </c>
      <c r="G40" s="8">
        <v>4520365</v>
      </c>
      <c r="H40" s="10">
        <v>33907</v>
      </c>
      <c r="I40" s="11" t="s">
        <v>22</v>
      </c>
      <c r="J40" s="10">
        <v>41258</v>
      </c>
      <c r="K40" s="9" t="s">
        <v>31</v>
      </c>
      <c r="L40" s="12">
        <v>1300</v>
      </c>
    </row>
    <row r="41" spans="1:12" ht="25.05" customHeight="1">
      <c r="A41" s="7" t="s">
        <v>177</v>
      </c>
      <c r="B41" s="8" t="s">
        <v>178</v>
      </c>
      <c r="C41" s="8" t="s">
        <v>80</v>
      </c>
      <c r="D41" s="8" t="s">
        <v>179</v>
      </c>
      <c r="E41" s="8" t="s">
        <v>23</v>
      </c>
      <c r="F41" s="9" t="s">
        <v>36</v>
      </c>
      <c r="G41" s="8">
        <v>5326830</v>
      </c>
      <c r="H41" s="10">
        <v>33239</v>
      </c>
      <c r="I41" s="11" t="s">
        <v>30</v>
      </c>
      <c r="J41" s="10">
        <v>40909</v>
      </c>
      <c r="K41" s="9" t="s">
        <v>52</v>
      </c>
      <c r="L41" s="12">
        <v>1200</v>
      </c>
    </row>
    <row r="42" spans="1:12" ht="25.05" customHeight="1">
      <c r="A42" s="7" t="s">
        <v>180</v>
      </c>
      <c r="B42" s="8" t="s">
        <v>181</v>
      </c>
      <c r="C42" s="8" t="s">
        <v>60</v>
      </c>
      <c r="D42" s="8" t="s">
        <v>60</v>
      </c>
      <c r="E42" s="8" t="s">
        <v>176</v>
      </c>
      <c r="F42" s="9" t="s">
        <v>150</v>
      </c>
      <c r="G42" s="8">
        <v>3206598</v>
      </c>
      <c r="H42" s="10">
        <v>32916</v>
      </c>
      <c r="I42" s="11" t="s">
        <v>30</v>
      </c>
      <c r="J42" s="10">
        <v>40909</v>
      </c>
      <c r="K42" s="9" t="s">
        <v>28</v>
      </c>
      <c r="L42" s="12">
        <v>1400</v>
      </c>
    </row>
    <row r="43" spans="1:12" ht="25.05" customHeight="1">
      <c r="A43" s="7" t="s">
        <v>182</v>
      </c>
      <c r="B43" s="8" t="s">
        <v>2</v>
      </c>
      <c r="C43" s="8" t="s">
        <v>183</v>
      </c>
      <c r="D43" s="8" t="s">
        <v>184</v>
      </c>
      <c r="E43" s="8" t="s">
        <v>120</v>
      </c>
      <c r="F43" s="9" t="s">
        <v>150</v>
      </c>
      <c r="G43" s="8">
        <v>3026547</v>
      </c>
      <c r="H43" s="10">
        <v>33346</v>
      </c>
      <c r="I43" s="11" t="s">
        <v>22</v>
      </c>
      <c r="J43" s="10">
        <v>41202</v>
      </c>
      <c r="K43" s="9" t="s">
        <v>52</v>
      </c>
      <c r="L43" s="12">
        <v>1200</v>
      </c>
    </row>
    <row r="44" spans="1:12" ht="25.05" customHeight="1" thickBot="1">
      <c r="A44" s="13" t="s">
        <v>185</v>
      </c>
      <c r="B44" s="14" t="s">
        <v>3</v>
      </c>
      <c r="C44" s="14" t="s">
        <v>186</v>
      </c>
      <c r="D44" s="14" t="s">
        <v>187</v>
      </c>
      <c r="E44" s="14" t="s">
        <v>176</v>
      </c>
      <c r="F44" s="15" t="s">
        <v>74</v>
      </c>
      <c r="G44" s="14">
        <v>7520369</v>
      </c>
      <c r="H44" s="16">
        <v>33832</v>
      </c>
      <c r="I44" s="17" t="s">
        <v>30</v>
      </c>
      <c r="J44" s="16">
        <v>40927</v>
      </c>
      <c r="K44" s="15" t="s">
        <v>37</v>
      </c>
      <c r="L44" s="18">
        <v>1000</v>
      </c>
    </row>
  </sheetData>
  <mergeCells count="1">
    <mergeCell ref="E2:H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85DB-8AD2-44FE-9E0E-F2A24B041837}">
  <sheetPr>
    <tabColor rgb="FF217346"/>
  </sheetPr>
  <dimension ref="A1:L44"/>
  <sheetViews>
    <sheetView showGridLines="0" topLeftCell="A2" zoomScale="85" zoomScaleNormal="85" workbookViewId="0">
      <selection activeCell="N9" sqref="N9"/>
    </sheetView>
  </sheetViews>
  <sheetFormatPr baseColWidth="10" defaultRowHeight="14.4"/>
  <cols>
    <col min="1" max="1" width="11.5546875" customWidth="1"/>
    <col min="2" max="2" width="22.6640625" customWidth="1"/>
    <col min="3" max="3" width="16.109375" customWidth="1"/>
    <col min="4" max="4" width="16.88671875" customWidth="1"/>
    <col min="5" max="5" width="20.88671875" customWidth="1"/>
    <col min="6" max="6" width="20.5546875" customWidth="1"/>
    <col min="7" max="7" width="13.44140625" customWidth="1"/>
    <col min="8" max="8" width="16.88671875" customWidth="1"/>
    <col min="9" max="9" width="12.44140625" customWidth="1"/>
    <col min="10" max="10" width="16.44140625" customWidth="1"/>
    <col min="11" max="11" width="25.44140625" customWidth="1"/>
    <col min="12" max="12" width="19.6640625" customWidth="1"/>
  </cols>
  <sheetData>
    <row r="1" spans="1:12" ht="15" customHeight="1">
      <c r="A1" s="23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23.4" customHeight="1">
      <c r="A2" s="24"/>
      <c r="B2" s="24"/>
      <c r="C2" s="24"/>
      <c r="D2" s="24"/>
      <c r="E2" s="64" t="s">
        <v>306</v>
      </c>
      <c r="F2" s="64"/>
      <c r="G2" s="64"/>
      <c r="H2" s="24"/>
      <c r="I2" s="24"/>
      <c r="J2" s="24"/>
      <c r="K2" s="24"/>
      <c r="L2" s="24"/>
    </row>
    <row r="3" spans="1:12" ht="1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ht="34.200000000000003" customHeight="1">
      <c r="A4" s="19" t="s">
        <v>4</v>
      </c>
      <c r="B4" s="20" t="s">
        <v>5</v>
      </c>
      <c r="C4" s="21" t="s">
        <v>6</v>
      </c>
      <c r="D4" s="21" t="s">
        <v>7</v>
      </c>
      <c r="E4" s="20" t="s">
        <v>8</v>
      </c>
      <c r="F4" s="20" t="s">
        <v>9</v>
      </c>
      <c r="G4" s="20" t="s">
        <v>10</v>
      </c>
      <c r="H4" s="21" t="s">
        <v>11</v>
      </c>
      <c r="I4" s="20" t="s">
        <v>12</v>
      </c>
      <c r="J4" s="21" t="s">
        <v>13</v>
      </c>
      <c r="K4" s="20" t="s">
        <v>14</v>
      </c>
      <c r="L4" s="22" t="s">
        <v>15</v>
      </c>
    </row>
    <row r="5" spans="1:12" ht="25.05" customHeight="1">
      <c r="A5" s="7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9" t="s">
        <v>29</v>
      </c>
      <c r="G5" s="8">
        <v>3698523</v>
      </c>
      <c r="H5" s="10">
        <v>34075</v>
      </c>
      <c r="I5" s="11" t="s">
        <v>30</v>
      </c>
      <c r="J5" s="10">
        <v>41183</v>
      </c>
      <c r="K5" s="9" t="s">
        <v>31</v>
      </c>
      <c r="L5" s="12">
        <v>1300</v>
      </c>
    </row>
    <row r="6" spans="1:12" ht="25.05" customHeight="1">
      <c r="A6" s="7" t="s">
        <v>43</v>
      </c>
      <c r="B6" s="8" t="s">
        <v>1</v>
      </c>
      <c r="C6" s="8" t="s">
        <v>44</v>
      </c>
      <c r="D6" s="8" t="s">
        <v>45</v>
      </c>
      <c r="E6" s="8" t="s">
        <v>31</v>
      </c>
      <c r="F6" s="9" t="s">
        <v>46</v>
      </c>
      <c r="G6" s="8">
        <v>3698998</v>
      </c>
      <c r="H6" s="10">
        <v>33806</v>
      </c>
      <c r="I6" s="11" t="s">
        <v>30</v>
      </c>
      <c r="J6" s="10">
        <v>41263</v>
      </c>
      <c r="K6" s="9" t="s">
        <v>31</v>
      </c>
      <c r="L6" s="12">
        <v>1300</v>
      </c>
    </row>
    <row r="7" spans="1:12" ht="25.05" customHeight="1">
      <c r="A7" s="7" t="s">
        <v>86</v>
      </c>
      <c r="B7" s="8" t="s">
        <v>87</v>
      </c>
      <c r="C7" s="8" t="s">
        <v>88</v>
      </c>
      <c r="D7" s="8" t="s">
        <v>89</v>
      </c>
      <c r="E7" s="8" t="s">
        <v>20</v>
      </c>
      <c r="F7" s="9" t="s">
        <v>69</v>
      </c>
      <c r="G7" s="8">
        <v>5402156</v>
      </c>
      <c r="H7" s="10">
        <v>33671</v>
      </c>
      <c r="I7" s="11" t="s">
        <v>22</v>
      </c>
      <c r="J7" s="10">
        <v>40696</v>
      </c>
      <c r="K7" s="9" t="s">
        <v>31</v>
      </c>
      <c r="L7" s="12">
        <v>1300</v>
      </c>
    </row>
    <row r="8" spans="1:12" ht="25.05" customHeight="1">
      <c r="A8" s="7" t="s">
        <v>101</v>
      </c>
      <c r="B8" s="8" t="s">
        <v>102</v>
      </c>
      <c r="C8" s="8" t="s">
        <v>103</v>
      </c>
      <c r="D8" s="8" t="s">
        <v>35</v>
      </c>
      <c r="E8" s="8" t="s">
        <v>28</v>
      </c>
      <c r="F8" s="9" t="s">
        <v>65</v>
      </c>
      <c r="G8" s="8">
        <v>3026598</v>
      </c>
      <c r="H8" s="10">
        <v>33773</v>
      </c>
      <c r="I8" s="11" t="s">
        <v>22</v>
      </c>
      <c r="J8" s="10">
        <v>41110</v>
      </c>
      <c r="K8" s="9" t="s">
        <v>31</v>
      </c>
      <c r="L8" s="12">
        <v>1300</v>
      </c>
    </row>
    <row r="9" spans="1:12" ht="25.05" customHeight="1">
      <c r="A9" s="7" t="s">
        <v>112</v>
      </c>
      <c r="B9" s="8" t="s">
        <v>113</v>
      </c>
      <c r="C9" s="8" t="s">
        <v>114</v>
      </c>
      <c r="D9" s="8" t="s">
        <v>115</v>
      </c>
      <c r="E9" s="8" t="s">
        <v>23</v>
      </c>
      <c r="F9" s="9" t="s">
        <v>85</v>
      </c>
      <c r="G9" s="8">
        <v>4102596</v>
      </c>
      <c r="H9" s="10">
        <v>33854</v>
      </c>
      <c r="I9" s="11" t="s">
        <v>30</v>
      </c>
      <c r="J9" s="10">
        <v>40878</v>
      </c>
      <c r="K9" s="9" t="s">
        <v>31</v>
      </c>
      <c r="L9" s="12">
        <v>1300</v>
      </c>
    </row>
    <row r="10" spans="1:12" ht="25.05" customHeight="1">
      <c r="A10" s="7" t="s">
        <v>124</v>
      </c>
      <c r="B10" s="8" t="s">
        <v>125</v>
      </c>
      <c r="C10" s="8" t="s">
        <v>126</v>
      </c>
      <c r="D10" s="8" t="s">
        <v>127</v>
      </c>
      <c r="E10" s="8" t="s">
        <v>120</v>
      </c>
      <c r="F10" s="9" t="s">
        <v>128</v>
      </c>
      <c r="G10" s="8">
        <v>8524369</v>
      </c>
      <c r="H10" s="10">
        <v>33882</v>
      </c>
      <c r="I10" s="11" t="s">
        <v>22</v>
      </c>
      <c r="J10" s="10">
        <v>40859</v>
      </c>
      <c r="K10" s="9" t="s">
        <v>31</v>
      </c>
      <c r="L10" s="12">
        <v>1300</v>
      </c>
    </row>
    <row r="11" spans="1:12" ht="25.05" customHeight="1">
      <c r="A11" s="7" t="s">
        <v>172</v>
      </c>
      <c r="B11" s="8" t="s">
        <v>173</v>
      </c>
      <c r="C11" s="8" t="s">
        <v>174</v>
      </c>
      <c r="D11" s="8" t="s">
        <v>175</v>
      </c>
      <c r="E11" s="8" t="s">
        <v>176</v>
      </c>
      <c r="F11" s="9" t="s">
        <v>36</v>
      </c>
      <c r="G11" s="8">
        <v>4520365</v>
      </c>
      <c r="H11" s="10">
        <v>33907</v>
      </c>
      <c r="I11" s="11" t="s">
        <v>22</v>
      </c>
      <c r="J11" s="10">
        <v>41258</v>
      </c>
      <c r="K11" s="9" t="s">
        <v>31</v>
      </c>
      <c r="L11" s="12">
        <v>1300</v>
      </c>
    </row>
    <row r="12" spans="1:12" ht="25.05" customHeight="1">
      <c r="A12" s="7" t="s">
        <v>66</v>
      </c>
      <c r="B12" s="8" t="s">
        <v>0</v>
      </c>
      <c r="C12" s="8" t="s">
        <v>67</v>
      </c>
      <c r="D12" s="8" t="s">
        <v>68</v>
      </c>
      <c r="E12" s="8" t="s">
        <v>52</v>
      </c>
      <c r="F12" s="9" t="s">
        <v>69</v>
      </c>
      <c r="G12" s="8">
        <v>4520012</v>
      </c>
      <c r="H12" s="10">
        <v>33877</v>
      </c>
      <c r="I12" s="11" t="s">
        <v>22</v>
      </c>
      <c r="J12" s="10">
        <v>41120</v>
      </c>
      <c r="K12" s="9" t="s">
        <v>28</v>
      </c>
      <c r="L12" s="12">
        <v>1400</v>
      </c>
    </row>
    <row r="13" spans="1:12" ht="25.05" customHeight="1">
      <c r="A13" s="7" t="s">
        <v>104</v>
      </c>
      <c r="B13" s="8" t="s">
        <v>105</v>
      </c>
      <c r="C13" s="8" t="s">
        <v>106</v>
      </c>
      <c r="D13" s="8" t="s">
        <v>107</v>
      </c>
      <c r="E13" s="8" t="s">
        <v>52</v>
      </c>
      <c r="F13" s="9" t="s">
        <v>21</v>
      </c>
      <c r="G13" s="8">
        <v>4120365</v>
      </c>
      <c r="H13" s="10">
        <v>33162</v>
      </c>
      <c r="I13" s="11" t="s">
        <v>30</v>
      </c>
      <c r="J13" s="10">
        <v>41198</v>
      </c>
      <c r="K13" s="9" t="s">
        <v>28</v>
      </c>
      <c r="L13" s="12">
        <v>1400</v>
      </c>
    </row>
    <row r="14" spans="1:12" ht="25.05" customHeight="1">
      <c r="A14" s="7" t="s">
        <v>137</v>
      </c>
      <c r="B14" s="8" t="s">
        <v>138</v>
      </c>
      <c r="C14" s="8" t="s">
        <v>139</v>
      </c>
      <c r="D14" s="8" t="s">
        <v>140</v>
      </c>
      <c r="E14" s="8" t="s">
        <v>31</v>
      </c>
      <c r="F14" s="9" t="s">
        <v>128</v>
      </c>
      <c r="G14" s="8">
        <v>4201563</v>
      </c>
      <c r="H14" s="10">
        <v>33579</v>
      </c>
      <c r="I14" s="11" t="s">
        <v>30</v>
      </c>
      <c r="J14" s="10">
        <v>41110</v>
      </c>
      <c r="K14" s="9" t="s">
        <v>28</v>
      </c>
      <c r="L14" s="12">
        <v>1400</v>
      </c>
    </row>
    <row r="15" spans="1:12" ht="25.05" customHeight="1">
      <c r="A15" s="7" t="s">
        <v>141</v>
      </c>
      <c r="B15" s="8" t="s">
        <v>142</v>
      </c>
      <c r="C15" s="8" t="s">
        <v>143</v>
      </c>
      <c r="D15" s="8" t="s">
        <v>144</v>
      </c>
      <c r="E15" s="8" t="s">
        <v>23</v>
      </c>
      <c r="F15" s="9" t="s">
        <v>69</v>
      </c>
      <c r="G15" s="8">
        <v>4102587</v>
      </c>
      <c r="H15" s="10">
        <v>33940</v>
      </c>
      <c r="I15" s="11" t="s">
        <v>22</v>
      </c>
      <c r="J15" s="10">
        <v>41223</v>
      </c>
      <c r="K15" s="9" t="s">
        <v>28</v>
      </c>
      <c r="L15" s="12">
        <v>1400</v>
      </c>
    </row>
    <row r="16" spans="1:12" ht="25.05" customHeight="1">
      <c r="A16" s="7" t="s">
        <v>168</v>
      </c>
      <c r="B16" s="8" t="s">
        <v>169</v>
      </c>
      <c r="C16" s="8" t="s">
        <v>170</v>
      </c>
      <c r="D16" s="8" t="s">
        <v>171</v>
      </c>
      <c r="E16" s="8" t="s">
        <v>23</v>
      </c>
      <c r="F16" s="9" t="s">
        <v>36</v>
      </c>
      <c r="G16" s="8">
        <v>4203659</v>
      </c>
      <c r="H16" s="10">
        <v>33320</v>
      </c>
      <c r="I16" s="11" t="s">
        <v>22</v>
      </c>
      <c r="J16" s="10">
        <v>41254</v>
      </c>
      <c r="K16" s="9" t="s">
        <v>28</v>
      </c>
      <c r="L16" s="12">
        <v>1400</v>
      </c>
    </row>
    <row r="17" spans="1:12" ht="25.05" customHeight="1">
      <c r="A17" s="7" t="s">
        <v>180</v>
      </c>
      <c r="B17" s="8" t="s">
        <v>181</v>
      </c>
      <c r="C17" s="8" t="s">
        <v>60</v>
      </c>
      <c r="D17" s="8" t="s">
        <v>60</v>
      </c>
      <c r="E17" s="8" t="s">
        <v>176</v>
      </c>
      <c r="F17" s="9" t="s">
        <v>150</v>
      </c>
      <c r="G17" s="8">
        <v>3206598</v>
      </c>
      <c r="H17" s="10">
        <v>32916</v>
      </c>
      <c r="I17" s="11" t="s">
        <v>30</v>
      </c>
      <c r="J17" s="10">
        <v>40909</v>
      </c>
      <c r="K17" s="9" t="s">
        <v>28</v>
      </c>
      <c r="L17" s="12">
        <v>1400</v>
      </c>
    </row>
    <row r="18" spans="1:12" ht="25.05" customHeight="1">
      <c r="A18" s="7" t="s">
        <v>47</v>
      </c>
      <c r="B18" s="8" t="s">
        <v>48</v>
      </c>
      <c r="C18" s="8" t="s">
        <v>49</v>
      </c>
      <c r="D18" s="8" t="s">
        <v>50</v>
      </c>
      <c r="E18" s="8" t="s">
        <v>31</v>
      </c>
      <c r="F18" s="9" t="s">
        <v>51</v>
      </c>
      <c r="G18" s="8">
        <v>2541025</v>
      </c>
      <c r="H18" s="10">
        <v>32870</v>
      </c>
      <c r="I18" s="11" t="s">
        <v>22</v>
      </c>
      <c r="J18" s="10">
        <v>40573</v>
      </c>
      <c r="K18" s="9" t="s">
        <v>52</v>
      </c>
      <c r="L18" s="12">
        <v>1200</v>
      </c>
    </row>
    <row r="19" spans="1:12" ht="25.05" customHeight="1">
      <c r="A19" s="7" t="s">
        <v>70</v>
      </c>
      <c r="B19" s="8" t="s">
        <v>71</v>
      </c>
      <c r="C19" s="8" t="s">
        <v>72</v>
      </c>
      <c r="D19" s="8" t="s">
        <v>73</v>
      </c>
      <c r="E19" s="8" t="s">
        <v>31</v>
      </c>
      <c r="F19" s="9" t="s">
        <v>74</v>
      </c>
      <c r="G19" s="8">
        <v>3256998</v>
      </c>
      <c r="H19" s="10">
        <v>33550</v>
      </c>
      <c r="I19" s="11" t="s">
        <v>30</v>
      </c>
      <c r="J19" s="10">
        <v>41191</v>
      </c>
      <c r="K19" s="9" t="s">
        <v>52</v>
      </c>
      <c r="L19" s="12">
        <v>1200</v>
      </c>
    </row>
    <row r="20" spans="1:12" ht="25.05" customHeight="1">
      <c r="A20" s="7" t="s">
        <v>108</v>
      </c>
      <c r="B20" s="8" t="s">
        <v>109</v>
      </c>
      <c r="C20" s="8" t="s">
        <v>110</v>
      </c>
      <c r="D20" s="8" t="s">
        <v>111</v>
      </c>
      <c r="E20" s="8" t="s">
        <v>52</v>
      </c>
      <c r="F20" s="9" t="s">
        <v>21</v>
      </c>
      <c r="G20" s="8">
        <v>4578963</v>
      </c>
      <c r="H20" s="10">
        <v>33407</v>
      </c>
      <c r="I20" s="11" t="s">
        <v>22</v>
      </c>
      <c r="J20" s="10">
        <v>41353</v>
      </c>
      <c r="K20" s="9" t="s">
        <v>52</v>
      </c>
      <c r="L20" s="12">
        <v>1200</v>
      </c>
    </row>
    <row r="21" spans="1:12" ht="25.05" customHeight="1">
      <c r="A21" s="7" t="s">
        <v>133</v>
      </c>
      <c r="B21" s="8" t="s">
        <v>134</v>
      </c>
      <c r="C21" s="8" t="s">
        <v>135</v>
      </c>
      <c r="D21" s="8" t="s">
        <v>136</v>
      </c>
      <c r="E21" s="8" t="s">
        <v>120</v>
      </c>
      <c r="F21" s="9" t="s">
        <v>128</v>
      </c>
      <c r="G21" s="8">
        <v>3659862</v>
      </c>
      <c r="H21" s="10">
        <v>33502</v>
      </c>
      <c r="I21" s="11" t="s">
        <v>30</v>
      </c>
      <c r="J21" s="10">
        <v>40846</v>
      </c>
      <c r="K21" s="9" t="s">
        <v>52</v>
      </c>
      <c r="L21" s="12">
        <v>1200</v>
      </c>
    </row>
    <row r="22" spans="1:12" ht="25.05" customHeight="1">
      <c r="A22" s="7" t="s">
        <v>145</v>
      </c>
      <c r="B22" s="8" t="s">
        <v>146</v>
      </c>
      <c r="C22" s="8" t="s">
        <v>147</v>
      </c>
      <c r="D22" s="8" t="s">
        <v>148</v>
      </c>
      <c r="E22" s="8" t="s">
        <v>149</v>
      </c>
      <c r="F22" s="9" t="s">
        <v>150</v>
      </c>
      <c r="G22" s="8">
        <v>3023659</v>
      </c>
      <c r="H22" s="10">
        <v>33397</v>
      </c>
      <c r="I22" s="11" t="s">
        <v>30</v>
      </c>
      <c r="J22" s="10">
        <v>40585</v>
      </c>
      <c r="K22" s="9" t="s">
        <v>52</v>
      </c>
      <c r="L22" s="12">
        <v>1200</v>
      </c>
    </row>
    <row r="23" spans="1:12" ht="25.05" customHeight="1">
      <c r="A23" s="7" t="s">
        <v>151</v>
      </c>
      <c r="B23" s="8" t="s">
        <v>152</v>
      </c>
      <c r="C23" s="8" t="s">
        <v>153</v>
      </c>
      <c r="D23" s="8" t="s">
        <v>154</v>
      </c>
      <c r="E23" s="8" t="s">
        <v>155</v>
      </c>
      <c r="F23" s="9" t="s">
        <v>150</v>
      </c>
      <c r="G23" s="8">
        <v>5236201</v>
      </c>
      <c r="H23" s="10">
        <v>33811</v>
      </c>
      <c r="I23" s="11" t="s">
        <v>30</v>
      </c>
      <c r="J23" s="10">
        <v>41127</v>
      </c>
      <c r="K23" s="9" t="s">
        <v>52</v>
      </c>
      <c r="L23" s="12">
        <v>1200</v>
      </c>
    </row>
    <row r="24" spans="1:12" ht="25.05" customHeight="1">
      <c r="A24" s="7" t="s">
        <v>177</v>
      </c>
      <c r="B24" s="8" t="s">
        <v>178</v>
      </c>
      <c r="C24" s="8" t="s">
        <v>80</v>
      </c>
      <c r="D24" s="8" t="s">
        <v>179</v>
      </c>
      <c r="E24" s="8" t="s">
        <v>23</v>
      </c>
      <c r="F24" s="9" t="s">
        <v>36</v>
      </c>
      <c r="G24" s="8">
        <v>5326830</v>
      </c>
      <c r="H24" s="10">
        <v>33239</v>
      </c>
      <c r="I24" s="11" t="s">
        <v>30</v>
      </c>
      <c r="J24" s="10">
        <v>40909</v>
      </c>
      <c r="K24" s="9" t="s">
        <v>52</v>
      </c>
      <c r="L24" s="12">
        <v>1200</v>
      </c>
    </row>
    <row r="25" spans="1:12" ht="25.05" customHeight="1">
      <c r="A25" s="7" t="s">
        <v>182</v>
      </c>
      <c r="B25" s="8" t="s">
        <v>2</v>
      </c>
      <c r="C25" s="8" t="s">
        <v>183</v>
      </c>
      <c r="D25" s="8" t="s">
        <v>184</v>
      </c>
      <c r="E25" s="8" t="s">
        <v>120</v>
      </c>
      <c r="F25" s="9" t="s">
        <v>150</v>
      </c>
      <c r="G25" s="8">
        <v>3026547</v>
      </c>
      <c r="H25" s="10">
        <v>33346</v>
      </c>
      <c r="I25" s="11" t="s">
        <v>22</v>
      </c>
      <c r="J25" s="10">
        <v>41202</v>
      </c>
      <c r="K25" s="9" t="s">
        <v>52</v>
      </c>
      <c r="L25" s="12">
        <v>1200</v>
      </c>
    </row>
    <row r="26" spans="1:12" ht="25.05" customHeight="1">
      <c r="A26" s="7" t="s">
        <v>32</v>
      </c>
      <c r="B26" s="8" t="s">
        <v>33</v>
      </c>
      <c r="C26" s="8" t="s">
        <v>34</v>
      </c>
      <c r="D26" s="8" t="s">
        <v>35</v>
      </c>
      <c r="E26" s="8" t="s">
        <v>31</v>
      </c>
      <c r="F26" s="9" t="s">
        <v>36</v>
      </c>
      <c r="G26" s="8">
        <v>3214564</v>
      </c>
      <c r="H26" s="10">
        <v>33446</v>
      </c>
      <c r="I26" s="11" t="s">
        <v>30</v>
      </c>
      <c r="J26" s="10">
        <v>40765</v>
      </c>
      <c r="K26" s="9" t="s">
        <v>37</v>
      </c>
      <c r="L26" s="12">
        <v>1000</v>
      </c>
    </row>
    <row r="27" spans="1:12" ht="25.05" customHeight="1">
      <c r="A27" s="7" t="s">
        <v>75</v>
      </c>
      <c r="B27" s="8" t="s">
        <v>76</v>
      </c>
      <c r="C27" s="8" t="s">
        <v>77</v>
      </c>
      <c r="D27" s="8" t="s">
        <v>78</v>
      </c>
      <c r="E27" s="8" t="s">
        <v>52</v>
      </c>
      <c r="F27" s="9" t="s">
        <v>74</v>
      </c>
      <c r="G27" s="8">
        <v>2365412</v>
      </c>
      <c r="H27" s="10">
        <v>33620</v>
      </c>
      <c r="I27" s="11" t="s">
        <v>30</v>
      </c>
      <c r="J27" s="10">
        <v>40560</v>
      </c>
      <c r="K27" s="9" t="s">
        <v>37</v>
      </c>
      <c r="L27" s="12">
        <v>1000</v>
      </c>
    </row>
    <row r="28" spans="1:12" ht="25.05" customHeight="1">
      <c r="A28" s="7" t="s">
        <v>79</v>
      </c>
      <c r="B28" s="8" t="s">
        <v>0</v>
      </c>
      <c r="C28" s="8" t="s">
        <v>49</v>
      </c>
      <c r="D28" s="8" t="s">
        <v>80</v>
      </c>
      <c r="E28" s="8" t="s">
        <v>52</v>
      </c>
      <c r="F28" s="9" t="s">
        <v>74</v>
      </c>
      <c r="G28" s="8">
        <v>3025698</v>
      </c>
      <c r="H28" s="10">
        <v>32984</v>
      </c>
      <c r="I28" s="11" t="s">
        <v>22</v>
      </c>
      <c r="J28" s="10">
        <v>41059</v>
      </c>
      <c r="K28" s="9" t="s">
        <v>37</v>
      </c>
      <c r="L28" s="12">
        <v>1000</v>
      </c>
    </row>
    <row r="29" spans="1:12" ht="25.05" customHeight="1">
      <c r="A29" s="7" t="s">
        <v>97</v>
      </c>
      <c r="B29" s="8" t="s">
        <v>98</v>
      </c>
      <c r="C29" s="8" t="s">
        <v>99</v>
      </c>
      <c r="D29" s="8" t="s">
        <v>100</v>
      </c>
      <c r="E29" s="8" t="s">
        <v>31</v>
      </c>
      <c r="F29" s="9" t="s">
        <v>21</v>
      </c>
      <c r="G29" s="8">
        <v>4102587</v>
      </c>
      <c r="H29" s="10">
        <v>33527</v>
      </c>
      <c r="I29" s="11" t="s">
        <v>30</v>
      </c>
      <c r="J29" s="10">
        <v>40907</v>
      </c>
      <c r="K29" s="9" t="s">
        <v>37</v>
      </c>
      <c r="L29" s="12">
        <v>1000</v>
      </c>
    </row>
    <row r="30" spans="1:12" ht="25.05" customHeight="1">
      <c r="A30" s="7" t="s">
        <v>129</v>
      </c>
      <c r="B30" s="8" t="s">
        <v>130</v>
      </c>
      <c r="C30" s="8" t="s">
        <v>40</v>
      </c>
      <c r="D30" s="8" t="s">
        <v>131</v>
      </c>
      <c r="E30" s="8" t="s">
        <v>120</v>
      </c>
      <c r="F30" s="9" t="s">
        <v>132</v>
      </c>
      <c r="G30" s="8">
        <v>7410258</v>
      </c>
      <c r="H30" s="10">
        <v>32981</v>
      </c>
      <c r="I30" s="11" t="s">
        <v>22</v>
      </c>
      <c r="J30" s="10">
        <v>41018</v>
      </c>
      <c r="K30" s="9" t="s">
        <v>37</v>
      </c>
      <c r="L30" s="12">
        <v>1000</v>
      </c>
    </row>
    <row r="31" spans="1:12" ht="25.05" customHeight="1">
      <c r="A31" s="7" t="s">
        <v>156</v>
      </c>
      <c r="B31" s="8" t="s">
        <v>157</v>
      </c>
      <c r="C31" s="8" t="s">
        <v>158</v>
      </c>
      <c r="D31" s="8" t="s">
        <v>159</v>
      </c>
      <c r="E31" s="8" t="s">
        <v>149</v>
      </c>
      <c r="F31" s="9" t="s">
        <v>65</v>
      </c>
      <c r="G31" s="8">
        <v>4520368</v>
      </c>
      <c r="H31" s="10">
        <v>33411</v>
      </c>
      <c r="I31" s="11" t="s">
        <v>22</v>
      </c>
      <c r="J31" s="10">
        <v>41113</v>
      </c>
      <c r="K31" s="9" t="s">
        <v>37</v>
      </c>
      <c r="L31" s="12">
        <v>1000</v>
      </c>
    </row>
    <row r="32" spans="1:12" ht="25.05" customHeight="1">
      <c r="A32" s="7" t="s">
        <v>185</v>
      </c>
      <c r="B32" s="8" t="s">
        <v>3</v>
      </c>
      <c r="C32" s="8" t="s">
        <v>186</v>
      </c>
      <c r="D32" s="8" t="s">
        <v>187</v>
      </c>
      <c r="E32" s="8" t="s">
        <v>176</v>
      </c>
      <c r="F32" s="9" t="s">
        <v>74</v>
      </c>
      <c r="G32" s="8">
        <v>7520369</v>
      </c>
      <c r="H32" s="10">
        <v>33832</v>
      </c>
      <c r="I32" s="11" t="s">
        <v>30</v>
      </c>
      <c r="J32" s="10">
        <v>40927</v>
      </c>
      <c r="K32" s="9" t="s">
        <v>37</v>
      </c>
      <c r="L32" s="12">
        <v>1000</v>
      </c>
    </row>
    <row r="33" spans="1:12" ht="25.05" customHeight="1">
      <c r="A33" s="7" t="s">
        <v>16</v>
      </c>
      <c r="B33" s="8" t="s">
        <v>17</v>
      </c>
      <c r="C33" s="8" t="s">
        <v>18</v>
      </c>
      <c r="D33" s="8" t="s">
        <v>19</v>
      </c>
      <c r="E33" s="8" t="s">
        <v>20</v>
      </c>
      <c r="F33" s="9" t="s">
        <v>21</v>
      </c>
      <c r="G33" s="8">
        <v>4569852</v>
      </c>
      <c r="H33" s="10">
        <v>33161</v>
      </c>
      <c r="I33" s="11" t="s">
        <v>22</v>
      </c>
      <c r="J33" s="10">
        <v>40882</v>
      </c>
      <c r="K33" s="9" t="s">
        <v>23</v>
      </c>
      <c r="L33" s="12">
        <v>1500</v>
      </c>
    </row>
    <row r="34" spans="1:12" ht="25.05" customHeight="1">
      <c r="A34" s="7" t="s">
        <v>38</v>
      </c>
      <c r="B34" s="8" t="s">
        <v>39</v>
      </c>
      <c r="C34" s="8" t="s">
        <v>40</v>
      </c>
      <c r="D34" s="8" t="s">
        <v>41</v>
      </c>
      <c r="E34" s="8" t="s">
        <v>20</v>
      </c>
      <c r="F34" s="9" t="s">
        <v>42</v>
      </c>
      <c r="G34" s="8">
        <v>9874522</v>
      </c>
      <c r="H34" s="10">
        <v>32925</v>
      </c>
      <c r="I34" s="11" t="s">
        <v>22</v>
      </c>
      <c r="J34" s="10">
        <v>40961</v>
      </c>
      <c r="K34" s="9" t="s">
        <v>23</v>
      </c>
      <c r="L34" s="12">
        <v>1500</v>
      </c>
    </row>
    <row r="35" spans="1:12" ht="25.05" customHeight="1">
      <c r="A35" s="7" t="s">
        <v>53</v>
      </c>
      <c r="B35" s="8" t="s">
        <v>54</v>
      </c>
      <c r="C35" s="8" t="s">
        <v>55</v>
      </c>
      <c r="D35" s="8" t="s">
        <v>56</v>
      </c>
      <c r="E35" s="8" t="s">
        <v>28</v>
      </c>
      <c r="F35" s="9" t="s">
        <v>21</v>
      </c>
      <c r="G35" s="8">
        <v>2501254</v>
      </c>
      <c r="H35" s="10">
        <v>33893</v>
      </c>
      <c r="I35" s="11" t="s">
        <v>30</v>
      </c>
      <c r="J35" s="10">
        <v>41233</v>
      </c>
      <c r="K35" s="9" t="s">
        <v>23</v>
      </c>
      <c r="L35" s="12">
        <v>1500</v>
      </c>
    </row>
    <row r="36" spans="1:12" ht="25.05" customHeight="1">
      <c r="A36" s="7" t="s">
        <v>57</v>
      </c>
      <c r="B36" s="8" t="s">
        <v>58</v>
      </c>
      <c r="C36" s="8" t="s">
        <v>59</v>
      </c>
      <c r="D36" s="8" t="s">
        <v>60</v>
      </c>
      <c r="E36" s="8" t="s">
        <v>28</v>
      </c>
      <c r="F36" s="9" t="s">
        <v>21</v>
      </c>
      <c r="G36" s="8">
        <v>3210254</v>
      </c>
      <c r="H36" s="10">
        <v>33251</v>
      </c>
      <c r="I36" s="11" t="s">
        <v>22</v>
      </c>
      <c r="J36" s="10">
        <v>41325</v>
      </c>
      <c r="K36" s="9" t="s">
        <v>23</v>
      </c>
      <c r="L36" s="12">
        <v>1500</v>
      </c>
    </row>
    <row r="37" spans="1:12" ht="25.05" customHeight="1">
      <c r="A37" s="7" t="s">
        <v>61</v>
      </c>
      <c r="B37" s="8" t="s">
        <v>62</v>
      </c>
      <c r="C37" s="8" t="s">
        <v>63</v>
      </c>
      <c r="D37" s="8" t="s">
        <v>64</v>
      </c>
      <c r="E37" s="8" t="s">
        <v>20</v>
      </c>
      <c r="F37" s="9" t="s">
        <v>65</v>
      </c>
      <c r="G37" s="8">
        <v>7452100</v>
      </c>
      <c r="H37" s="10">
        <v>33074</v>
      </c>
      <c r="I37" s="11" t="s">
        <v>30</v>
      </c>
      <c r="J37" s="10">
        <v>40960</v>
      </c>
      <c r="K37" s="9" t="s">
        <v>23</v>
      </c>
      <c r="L37" s="12">
        <v>1500</v>
      </c>
    </row>
    <row r="38" spans="1:12" ht="25.05" customHeight="1">
      <c r="A38" s="7" t="s">
        <v>81</v>
      </c>
      <c r="B38" s="8" t="s">
        <v>82</v>
      </c>
      <c r="C38" s="8" t="s">
        <v>83</v>
      </c>
      <c r="D38" s="8" t="s">
        <v>84</v>
      </c>
      <c r="E38" s="8" t="s">
        <v>23</v>
      </c>
      <c r="F38" s="9" t="s">
        <v>85</v>
      </c>
      <c r="G38" s="8">
        <v>4205632</v>
      </c>
      <c r="H38" s="10">
        <v>33284</v>
      </c>
      <c r="I38" s="11" t="s">
        <v>22</v>
      </c>
      <c r="J38" s="10">
        <v>40988</v>
      </c>
      <c r="K38" s="9" t="s">
        <v>23</v>
      </c>
      <c r="L38" s="12">
        <v>1500</v>
      </c>
    </row>
    <row r="39" spans="1:12" ht="25.05" customHeight="1">
      <c r="A39" s="7" t="s">
        <v>90</v>
      </c>
      <c r="B39" s="8" t="s">
        <v>91</v>
      </c>
      <c r="C39" s="8" t="s">
        <v>92</v>
      </c>
      <c r="D39" s="8" t="s">
        <v>93</v>
      </c>
      <c r="E39" s="8" t="s">
        <v>23</v>
      </c>
      <c r="F39" s="9" t="s">
        <v>85</v>
      </c>
      <c r="G39" s="8">
        <v>6203658</v>
      </c>
      <c r="H39" s="10">
        <v>33474</v>
      </c>
      <c r="I39" s="11" t="s">
        <v>22</v>
      </c>
      <c r="J39" s="10">
        <v>41063</v>
      </c>
      <c r="K39" s="9" t="s">
        <v>23</v>
      </c>
      <c r="L39" s="12">
        <v>1500</v>
      </c>
    </row>
    <row r="40" spans="1:12" ht="25.05" customHeight="1">
      <c r="A40" s="7" t="s">
        <v>94</v>
      </c>
      <c r="B40" s="8" t="s">
        <v>25</v>
      </c>
      <c r="C40" s="8" t="s">
        <v>95</v>
      </c>
      <c r="D40" s="8" t="s">
        <v>96</v>
      </c>
      <c r="E40" s="8" t="s">
        <v>23</v>
      </c>
      <c r="F40" s="9" t="s">
        <v>21</v>
      </c>
      <c r="G40" s="8">
        <v>4523698</v>
      </c>
      <c r="H40" s="10">
        <v>33772</v>
      </c>
      <c r="I40" s="11" t="s">
        <v>30</v>
      </c>
      <c r="J40" s="10">
        <v>40959</v>
      </c>
      <c r="K40" s="9" t="s">
        <v>23</v>
      </c>
      <c r="L40" s="12">
        <v>1500</v>
      </c>
    </row>
    <row r="41" spans="1:12" ht="25.05" customHeight="1">
      <c r="A41" s="7" t="s">
        <v>116</v>
      </c>
      <c r="B41" s="8" t="s">
        <v>117</v>
      </c>
      <c r="C41" s="8" t="s">
        <v>118</v>
      </c>
      <c r="D41" s="8" t="s">
        <v>119</v>
      </c>
      <c r="E41" s="8" t="s">
        <v>120</v>
      </c>
      <c r="F41" s="9" t="s">
        <v>74</v>
      </c>
      <c r="G41" s="8">
        <v>6203658</v>
      </c>
      <c r="H41" s="10">
        <v>33059</v>
      </c>
      <c r="I41" s="11" t="s">
        <v>30</v>
      </c>
      <c r="J41" s="10">
        <v>41157</v>
      </c>
      <c r="K41" s="9" t="s">
        <v>23</v>
      </c>
      <c r="L41" s="12">
        <v>1500</v>
      </c>
    </row>
    <row r="42" spans="1:12" ht="25.05" customHeight="1">
      <c r="A42" s="7" t="s">
        <v>121</v>
      </c>
      <c r="B42" s="8" t="s">
        <v>122</v>
      </c>
      <c r="C42" s="8" t="s">
        <v>84</v>
      </c>
      <c r="D42" s="8" t="s">
        <v>123</v>
      </c>
      <c r="E42" s="8" t="s">
        <v>23</v>
      </c>
      <c r="F42" s="9" t="s">
        <v>65</v>
      </c>
      <c r="G42" s="8">
        <v>7458036</v>
      </c>
      <c r="H42" s="10">
        <v>33435</v>
      </c>
      <c r="I42" s="11" t="s">
        <v>30</v>
      </c>
      <c r="J42" s="10">
        <v>41260</v>
      </c>
      <c r="K42" s="9" t="s">
        <v>23</v>
      </c>
      <c r="L42" s="12">
        <v>1500</v>
      </c>
    </row>
    <row r="43" spans="1:12" ht="25.05" customHeight="1">
      <c r="A43" s="7" t="s">
        <v>160</v>
      </c>
      <c r="B43" s="8" t="s">
        <v>161</v>
      </c>
      <c r="C43" s="8" t="s">
        <v>162</v>
      </c>
      <c r="D43" s="8" t="s">
        <v>163</v>
      </c>
      <c r="E43" s="8" t="s">
        <v>149</v>
      </c>
      <c r="F43" s="9" t="s">
        <v>36</v>
      </c>
      <c r="G43" s="8">
        <v>4520368</v>
      </c>
      <c r="H43" s="10">
        <v>33351</v>
      </c>
      <c r="I43" s="11" t="s">
        <v>30</v>
      </c>
      <c r="J43" s="10">
        <v>41146</v>
      </c>
      <c r="K43" s="9" t="s">
        <v>23</v>
      </c>
      <c r="L43" s="12">
        <v>1500</v>
      </c>
    </row>
    <row r="44" spans="1:12" ht="25.05" customHeight="1" thickBot="1">
      <c r="A44" s="13" t="s">
        <v>164</v>
      </c>
      <c r="B44" s="14" t="s">
        <v>165</v>
      </c>
      <c r="C44" s="14" t="s">
        <v>166</v>
      </c>
      <c r="D44" s="14" t="s">
        <v>167</v>
      </c>
      <c r="E44" s="14" t="s">
        <v>120</v>
      </c>
      <c r="F44" s="15" t="s">
        <v>74</v>
      </c>
      <c r="G44" s="14">
        <v>2036598</v>
      </c>
      <c r="H44" s="16">
        <v>33038</v>
      </c>
      <c r="I44" s="17" t="s">
        <v>22</v>
      </c>
      <c r="J44" s="16">
        <v>41404</v>
      </c>
      <c r="K44" s="15" t="s">
        <v>23</v>
      </c>
      <c r="L44" s="18">
        <v>1500</v>
      </c>
    </row>
  </sheetData>
  <mergeCells count="1">
    <mergeCell ref="E2:G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959A-DF9E-49CB-9268-853D03F3F8D4}">
  <sheetPr>
    <tabColor rgb="FF217346"/>
  </sheetPr>
  <dimension ref="A1:G30"/>
  <sheetViews>
    <sheetView showGridLines="0" workbookViewId="0">
      <selection activeCell="J11" sqref="J11"/>
    </sheetView>
  </sheetViews>
  <sheetFormatPr baseColWidth="10" defaultRowHeight="14.4"/>
  <cols>
    <col min="1" max="1" width="20.6640625" customWidth="1"/>
    <col min="2" max="2" width="39.109375" customWidth="1"/>
    <col min="3" max="3" width="20.88671875" customWidth="1"/>
    <col min="4" max="4" width="16.88671875" customWidth="1"/>
    <col min="5" max="5" width="16.44140625" customWidth="1"/>
    <col min="6" max="6" width="25.44140625" customWidth="1"/>
    <col min="7" max="7" width="19.6640625" customWidth="1"/>
  </cols>
  <sheetData>
    <row r="1" spans="1:7" ht="15" customHeight="1">
      <c r="A1" s="23"/>
      <c r="B1" s="24"/>
      <c r="C1" s="24"/>
      <c r="D1" s="24"/>
      <c r="E1" s="24"/>
      <c r="F1" s="24"/>
      <c r="G1" s="24"/>
    </row>
    <row r="2" spans="1:7" ht="37.200000000000003">
      <c r="A2" s="24"/>
      <c r="B2" s="24"/>
      <c r="C2" s="62" t="s">
        <v>308</v>
      </c>
      <c r="D2" s="27"/>
      <c r="E2" s="24"/>
      <c r="F2" s="24"/>
      <c r="G2" s="24"/>
    </row>
    <row r="3" spans="1:7" ht="15" customHeight="1">
      <c r="A3" s="24"/>
      <c r="B3" s="24"/>
      <c r="C3" s="24"/>
      <c r="D3" s="24"/>
      <c r="E3" s="24"/>
      <c r="F3" s="24"/>
      <c r="G3" s="24"/>
    </row>
    <row r="4" spans="1:7" ht="30" customHeight="1">
      <c r="A4" s="19" t="s">
        <v>4</v>
      </c>
      <c r="B4" s="20" t="s">
        <v>188</v>
      </c>
      <c r="C4" s="20" t="s">
        <v>8</v>
      </c>
      <c r="D4" s="21" t="s">
        <v>11</v>
      </c>
      <c r="E4" s="21" t="s">
        <v>13</v>
      </c>
      <c r="F4" s="20" t="s">
        <v>14</v>
      </c>
      <c r="G4" s="22" t="s">
        <v>15</v>
      </c>
    </row>
    <row r="5" spans="1:7" ht="25.05" customHeight="1">
      <c r="A5" s="7" t="s">
        <v>24</v>
      </c>
      <c r="B5" s="25" t="s">
        <v>189</v>
      </c>
      <c r="C5" s="8" t="s">
        <v>28</v>
      </c>
      <c r="D5" s="10">
        <v>34075</v>
      </c>
      <c r="E5" s="10">
        <v>41183</v>
      </c>
      <c r="F5" s="9" t="s">
        <v>31</v>
      </c>
      <c r="G5" s="12">
        <v>1300</v>
      </c>
    </row>
    <row r="6" spans="1:7" ht="25.05" customHeight="1">
      <c r="A6" s="7" t="s">
        <v>43</v>
      </c>
      <c r="B6" s="25" t="s">
        <v>190</v>
      </c>
      <c r="C6" s="8" t="s">
        <v>31</v>
      </c>
      <c r="D6" s="10">
        <v>33806</v>
      </c>
      <c r="E6" s="10">
        <v>41263</v>
      </c>
      <c r="F6" s="9" t="s">
        <v>31</v>
      </c>
      <c r="G6" s="12">
        <v>1300</v>
      </c>
    </row>
    <row r="7" spans="1:7" ht="25.05" customHeight="1">
      <c r="A7" s="7" t="s">
        <v>86</v>
      </c>
      <c r="B7" s="25" t="s">
        <v>191</v>
      </c>
      <c r="C7" s="8" t="s">
        <v>20</v>
      </c>
      <c r="D7" s="10">
        <v>33671</v>
      </c>
      <c r="E7" s="10">
        <v>40696</v>
      </c>
      <c r="F7" s="9" t="s">
        <v>31</v>
      </c>
      <c r="G7" s="12">
        <v>1300</v>
      </c>
    </row>
    <row r="8" spans="1:7" ht="25.05" customHeight="1">
      <c r="A8" s="7" t="s">
        <v>101</v>
      </c>
      <c r="B8" s="25" t="s">
        <v>192</v>
      </c>
      <c r="C8" s="8" t="s">
        <v>28</v>
      </c>
      <c r="D8" s="10">
        <v>33773</v>
      </c>
      <c r="E8" s="10">
        <v>41110</v>
      </c>
      <c r="F8" s="9" t="s">
        <v>31</v>
      </c>
      <c r="G8" s="12">
        <v>1300</v>
      </c>
    </row>
    <row r="9" spans="1:7" ht="25.05" customHeight="1">
      <c r="A9" s="7" t="s">
        <v>112</v>
      </c>
      <c r="B9" s="25" t="s">
        <v>193</v>
      </c>
      <c r="C9" s="8" t="s">
        <v>23</v>
      </c>
      <c r="D9" s="10">
        <v>33854</v>
      </c>
      <c r="E9" s="10">
        <v>40878</v>
      </c>
      <c r="F9" s="9" t="s">
        <v>31</v>
      </c>
      <c r="G9" s="12">
        <v>1300</v>
      </c>
    </row>
    <row r="10" spans="1:7" ht="25.05" customHeight="1">
      <c r="A10" s="7" t="s">
        <v>124</v>
      </c>
      <c r="B10" s="25" t="s">
        <v>194</v>
      </c>
      <c r="C10" s="8" t="s">
        <v>120</v>
      </c>
      <c r="D10" s="10">
        <v>33882</v>
      </c>
      <c r="E10" s="10">
        <v>40859</v>
      </c>
      <c r="F10" s="9" t="s">
        <v>31</v>
      </c>
      <c r="G10" s="12">
        <v>1300</v>
      </c>
    </row>
    <row r="11" spans="1:7" ht="25.05" customHeight="1">
      <c r="A11" s="7" t="s">
        <v>172</v>
      </c>
      <c r="B11" s="25" t="s">
        <v>195</v>
      </c>
      <c r="C11" s="8" t="s">
        <v>176</v>
      </c>
      <c r="D11" s="10">
        <v>33907</v>
      </c>
      <c r="E11" s="10">
        <v>41258</v>
      </c>
      <c r="F11" s="9" t="s">
        <v>31</v>
      </c>
      <c r="G11" s="12">
        <v>1300</v>
      </c>
    </row>
    <row r="12" spans="1:7" ht="25.05" customHeight="1">
      <c r="A12" s="7" t="s">
        <v>66</v>
      </c>
      <c r="B12" s="25" t="s">
        <v>196</v>
      </c>
      <c r="C12" s="8" t="s">
        <v>52</v>
      </c>
      <c r="D12" s="10">
        <v>33877</v>
      </c>
      <c r="E12" s="10">
        <v>41120</v>
      </c>
      <c r="F12" s="9" t="s">
        <v>28</v>
      </c>
      <c r="G12" s="12">
        <v>1400</v>
      </c>
    </row>
    <row r="13" spans="1:7" ht="25.05" customHeight="1">
      <c r="A13" s="7" t="s">
        <v>104</v>
      </c>
      <c r="B13" s="25" t="s">
        <v>197</v>
      </c>
      <c r="C13" s="8" t="s">
        <v>52</v>
      </c>
      <c r="D13" s="10">
        <v>33162</v>
      </c>
      <c r="E13" s="10">
        <v>41198</v>
      </c>
      <c r="F13" s="9" t="s">
        <v>28</v>
      </c>
      <c r="G13" s="12">
        <v>1400</v>
      </c>
    </row>
    <row r="14" spans="1:7" ht="25.05" customHeight="1">
      <c r="A14" s="7" t="s">
        <v>137</v>
      </c>
      <c r="B14" s="25" t="s">
        <v>198</v>
      </c>
      <c r="C14" s="8" t="s">
        <v>31</v>
      </c>
      <c r="D14" s="10">
        <v>33579</v>
      </c>
      <c r="E14" s="10">
        <v>41110</v>
      </c>
      <c r="F14" s="9" t="s">
        <v>28</v>
      </c>
      <c r="G14" s="12">
        <v>1400</v>
      </c>
    </row>
    <row r="15" spans="1:7" ht="25.05" customHeight="1">
      <c r="A15" s="7" t="s">
        <v>141</v>
      </c>
      <c r="B15" s="25" t="s">
        <v>199</v>
      </c>
      <c r="C15" s="8" t="s">
        <v>23</v>
      </c>
      <c r="D15" s="10">
        <v>33940</v>
      </c>
      <c r="E15" s="10">
        <v>41223</v>
      </c>
      <c r="F15" s="9" t="s">
        <v>28</v>
      </c>
      <c r="G15" s="12">
        <v>1400</v>
      </c>
    </row>
    <row r="16" spans="1:7" ht="25.05" customHeight="1">
      <c r="A16" s="7" t="s">
        <v>168</v>
      </c>
      <c r="B16" s="25" t="s">
        <v>200</v>
      </c>
      <c r="C16" s="8" t="s">
        <v>23</v>
      </c>
      <c r="D16" s="10">
        <v>33320</v>
      </c>
      <c r="E16" s="10">
        <v>41254</v>
      </c>
      <c r="F16" s="9" t="s">
        <v>28</v>
      </c>
      <c r="G16" s="12">
        <v>1400</v>
      </c>
    </row>
    <row r="17" spans="1:7" ht="25.05" customHeight="1">
      <c r="A17" s="7" t="s">
        <v>180</v>
      </c>
      <c r="B17" s="25" t="s">
        <v>201</v>
      </c>
      <c r="C17" s="8" t="s">
        <v>176</v>
      </c>
      <c r="D17" s="10">
        <v>32916</v>
      </c>
      <c r="E17" s="10">
        <v>40909</v>
      </c>
      <c r="F17" s="9" t="s">
        <v>28</v>
      </c>
      <c r="G17" s="12">
        <v>1400</v>
      </c>
    </row>
    <row r="18" spans="1:7" ht="25.05" customHeight="1">
      <c r="A18" s="7" t="s">
        <v>47</v>
      </c>
      <c r="B18" s="25" t="s">
        <v>202</v>
      </c>
      <c r="C18" s="8" t="s">
        <v>31</v>
      </c>
      <c r="D18" s="10">
        <v>32870</v>
      </c>
      <c r="E18" s="10">
        <v>40573</v>
      </c>
      <c r="F18" s="9" t="s">
        <v>52</v>
      </c>
      <c r="G18" s="12">
        <v>1200</v>
      </c>
    </row>
    <row r="19" spans="1:7" ht="25.05" customHeight="1">
      <c r="A19" s="7" t="s">
        <v>70</v>
      </c>
      <c r="B19" s="25" t="s">
        <v>203</v>
      </c>
      <c r="C19" s="8" t="s">
        <v>31</v>
      </c>
      <c r="D19" s="10">
        <v>33550</v>
      </c>
      <c r="E19" s="10">
        <v>41191</v>
      </c>
      <c r="F19" s="9" t="s">
        <v>52</v>
      </c>
      <c r="G19" s="12">
        <v>1200</v>
      </c>
    </row>
    <row r="20" spans="1:7" ht="25.05" customHeight="1">
      <c r="A20" s="7" t="s">
        <v>108</v>
      </c>
      <c r="B20" s="25" t="s">
        <v>204</v>
      </c>
      <c r="C20" s="8" t="s">
        <v>52</v>
      </c>
      <c r="D20" s="10">
        <v>33407</v>
      </c>
      <c r="E20" s="10">
        <v>41353</v>
      </c>
      <c r="F20" s="9" t="s">
        <v>52</v>
      </c>
      <c r="G20" s="12">
        <v>1200</v>
      </c>
    </row>
    <row r="21" spans="1:7" ht="25.05" customHeight="1">
      <c r="A21" s="7" t="s">
        <v>133</v>
      </c>
      <c r="B21" s="25" t="s">
        <v>205</v>
      </c>
      <c r="C21" s="8" t="s">
        <v>120</v>
      </c>
      <c r="D21" s="10">
        <v>33502</v>
      </c>
      <c r="E21" s="10">
        <v>40846</v>
      </c>
      <c r="F21" s="9" t="s">
        <v>52</v>
      </c>
      <c r="G21" s="12">
        <v>1200</v>
      </c>
    </row>
    <row r="22" spans="1:7" ht="25.05" customHeight="1">
      <c r="A22" s="7" t="s">
        <v>145</v>
      </c>
      <c r="B22" s="25" t="s">
        <v>206</v>
      </c>
      <c r="C22" s="8" t="s">
        <v>149</v>
      </c>
      <c r="D22" s="10">
        <v>33397</v>
      </c>
      <c r="E22" s="10">
        <v>40585</v>
      </c>
      <c r="F22" s="9" t="s">
        <v>52</v>
      </c>
      <c r="G22" s="12">
        <v>1200</v>
      </c>
    </row>
    <row r="23" spans="1:7" ht="25.05" customHeight="1">
      <c r="A23" s="7" t="s">
        <v>151</v>
      </c>
      <c r="B23" s="25" t="s">
        <v>207</v>
      </c>
      <c r="C23" s="8" t="s">
        <v>155</v>
      </c>
      <c r="D23" s="10">
        <v>33811</v>
      </c>
      <c r="E23" s="10">
        <v>41127</v>
      </c>
      <c r="F23" s="9" t="s">
        <v>52</v>
      </c>
      <c r="G23" s="12">
        <v>1200</v>
      </c>
    </row>
    <row r="24" spans="1:7" ht="25.05" customHeight="1">
      <c r="A24" s="7" t="s">
        <v>177</v>
      </c>
      <c r="B24" s="25" t="s">
        <v>208</v>
      </c>
      <c r="C24" s="8" t="s">
        <v>23</v>
      </c>
      <c r="D24" s="10">
        <v>33239</v>
      </c>
      <c r="E24" s="10">
        <v>40909</v>
      </c>
      <c r="F24" s="9" t="s">
        <v>52</v>
      </c>
      <c r="G24" s="12">
        <v>1200</v>
      </c>
    </row>
    <row r="25" spans="1:7" ht="25.05" customHeight="1">
      <c r="A25" s="7" t="s">
        <v>182</v>
      </c>
      <c r="B25" s="25" t="s">
        <v>209</v>
      </c>
      <c r="C25" s="8" t="s">
        <v>120</v>
      </c>
      <c r="D25" s="10">
        <v>33346</v>
      </c>
      <c r="E25" s="10">
        <v>41202</v>
      </c>
      <c r="F25" s="9" t="s">
        <v>52</v>
      </c>
      <c r="G25" s="12">
        <v>1200</v>
      </c>
    </row>
    <row r="26" spans="1:7" ht="25.05" customHeight="1">
      <c r="A26" s="7" t="s">
        <v>32</v>
      </c>
      <c r="B26" s="25" t="s">
        <v>210</v>
      </c>
      <c r="C26" s="8" t="s">
        <v>31</v>
      </c>
      <c r="D26" s="10">
        <v>33446</v>
      </c>
      <c r="E26" s="10">
        <v>40765</v>
      </c>
      <c r="F26" s="9" t="s">
        <v>37</v>
      </c>
      <c r="G26" s="12">
        <v>1000</v>
      </c>
    </row>
    <row r="27" spans="1:7" ht="25.05" customHeight="1">
      <c r="A27" s="7" t="s">
        <v>75</v>
      </c>
      <c r="B27" s="25" t="s">
        <v>211</v>
      </c>
      <c r="C27" s="8" t="s">
        <v>52</v>
      </c>
      <c r="D27" s="10">
        <v>33620</v>
      </c>
      <c r="E27" s="10">
        <v>40560</v>
      </c>
      <c r="F27" s="9" t="s">
        <v>37</v>
      </c>
      <c r="G27" s="12">
        <v>1000</v>
      </c>
    </row>
    <row r="28" spans="1:7" ht="25.05" customHeight="1">
      <c r="A28" s="7" t="s">
        <v>79</v>
      </c>
      <c r="B28" s="25" t="s">
        <v>212</v>
      </c>
      <c r="C28" s="8" t="s">
        <v>52</v>
      </c>
      <c r="D28" s="10">
        <v>32984</v>
      </c>
      <c r="E28" s="10">
        <v>41059</v>
      </c>
      <c r="F28" s="9" t="s">
        <v>37</v>
      </c>
      <c r="G28" s="12">
        <v>1000</v>
      </c>
    </row>
    <row r="29" spans="1:7" ht="25.05" customHeight="1">
      <c r="A29" s="7" t="s">
        <v>97</v>
      </c>
      <c r="B29" s="25" t="s">
        <v>213</v>
      </c>
      <c r="C29" s="8" t="s">
        <v>31</v>
      </c>
      <c r="D29" s="10">
        <v>33527</v>
      </c>
      <c r="E29" s="10">
        <v>40907</v>
      </c>
      <c r="F29" s="9" t="s">
        <v>37</v>
      </c>
      <c r="G29" s="12">
        <v>1000</v>
      </c>
    </row>
    <row r="30" spans="1:7" ht="25.05" customHeight="1" thickBot="1">
      <c r="A30" s="13" t="s">
        <v>129</v>
      </c>
      <c r="B30" s="26" t="s">
        <v>214</v>
      </c>
      <c r="C30" s="14" t="s">
        <v>120</v>
      </c>
      <c r="D30" s="16">
        <v>32981</v>
      </c>
      <c r="E30" s="16">
        <v>41018</v>
      </c>
      <c r="F30" s="15" t="s">
        <v>37</v>
      </c>
      <c r="G30" s="18">
        <v>1000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3F12-3AF0-42F3-A1E9-959BCD726CDB}">
  <sheetPr>
    <tabColor rgb="FF217346"/>
  </sheetPr>
  <dimension ref="A1:H45"/>
  <sheetViews>
    <sheetView showGridLines="0" workbookViewId="0">
      <selection activeCell="K8" sqref="K8"/>
    </sheetView>
  </sheetViews>
  <sheetFormatPr baseColWidth="10" defaultRowHeight="14.4"/>
  <cols>
    <col min="1" max="1" width="28.33203125" bestFit="1" customWidth="1"/>
    <col min="2" max="2" width="5.44140625" bestFit="1" customWidth="1"/>
    <col min="3" max="3" width="11.33203125" bestFit="1" customWidth="1"/>
    <col min="4" max="4" width="9.88671875" customWidth="1"/>
    <col min="5" max="5" width="14.6640625" customWidth="1"/>
    <col min="6" max="6" width="11.44140625" bestFit="1" customWidth="1"/>
    <col min="7" max="7" width="14.33203125" bestFit="1" customWidth="1"/>
    <col min="8" max="8" width="10.6640625" bestFit="1" customWidth="1"/>
  </cols>
  <sheetData>
    <row r="1" spans="1:8" ht="34.799999999999997">
      <c r="A1" s="65" t="s">
        <v>307</v>
      </c>
      <c r="B1" s="65"/>
      <c r="C1" s="65"/>
      <c r="D1" s="65"/>
      <c r="E1" s="65"/>
      <c r="F1" s="65"/>
      <c r="G1" s="65"/>
      <c r="H1" s="65"/>
    </row>
    <row r="2" spans="1:8">
      <c r="A2" s="3"/>
      <c r="B2" s="3"/>
      <c r="C2" s="3"/>
      <c r="D2" s="3"/>
      <c r="E2" s="3"/>
      <c r="F2" s="3"/>
      <c r="G2" s="3"/>
      <c r="H2" s="3"/>
    </row>
    <row r="3" spans="1:8" ht="15" thickBot="1">
      <c r="A3" s="3"/>
      <c r="B3" s="3"/>
      <c r="C3" s="3"/>
      <c r="D3" s="3"/>
      <c r="E3" s="3"/>
      <c r="F3" s="3"/>
      <c r="G3" s="3"/>
      <c r="H3" s="3"/>
    </row>
    <row r="4" spans="1:8" ht="27" customHeight="1">
      <c r="A4" s="28" t="s">
        <v>215</v>
      </c>
      <c r="B4" s="29" t="s">
        <v>216</v>
      </c>
      <c r="C4" s="30" t="s">
        <v>217</v>
      </c>
      <c r="D4" s="30" t="s">
        <v>218</v>
      </c>
      <c r="E4" s="29" t="s">
        <v>219</v>
      </c>
      <c r="F4" s="29" t="s">
        <v>220</v>
      </c>
      <c r="G4" s="29" t="s">
        <v>221</v>
      </c>
      <c r="H4" s="31" t="s">
        <v>222</v>
      </c>
    </row>
    <row r="5" spans="1:8" s="37" customFormat="1" ht="25.05" customHeight="1">
      <c r="A5" s="32" t="s">
        <v>223</v>
      </c>
      <c r="B5" s="33" t="s">
        <v>22</v>
      </c>
      <c r="C5" s="34">
        <v>29386</v>
      </c>
      <c r="D5" s="34">
        <v>36656</v>
      </c>
      <c r="E5" s="35">
        <v>1400</v>
      </c>
      <c r="F5" s="33" t="s">
        <v>74</v>
      </c>
      <c r="G5" s="33" t="s">
        <v>23</v>
      </c>
      <c r="H5" s="36">
        <v>3</v>
      </c>
    </row>
    <row r="6" spans="1:8" s="37" customFormat="1" ht="25.05" customHeight="1">
      <c r="A6" s="32" t="s">
        <v>224</v>
      </c>
      <c r="B6" s="33" t="s">
        <v>30</v>
      </c>
      <c r="C6" s="34">
        <v>29510</v>
      </c>
      <c r="D6" s="34">
        <v>36449</v>
      </c>
      <c r="E6" s="35">
        <v>750</v>
      </c>
      <c r="F6" s="33" t="s">
        <v>21</v>
      </c>
      <c r="G6" s="33" t="s">
        <v>28</v>
      </c>
      <c r="H6" s="36">
        <v>2</v>
      </c>
    </row>
    <row r="7" spans="1:8" s="37" customFormat="1" ht="25.05" customHeight="1">
      <c r="A7" s="32" t="s">
        <v>225</v>
      </c>
      <c r="B7" s="33" t="s">
        <v>22</v>
      </c>
      <c r="C7" s="34">
        <v>28901</v>
      </c>
      <c r="D7" s="34">
        <v>36239</v>
      </c>
      <c r="E7" s="35">
        <v>1620</v>
      </c>
      <c r="F7" s="33" t="s">
        <v>85</v>
      </c>
      <c r="G7" s="33" t="s">
        <v>23</v>
      </c>
      <c r="H7" s="36">
        <v>8</v>
      </c>
    </row>
    <row r="8" spans="1:8" s="37" customFormat="1" ht="25.05" customHeight="1">
      <c r="A8" s="32" t="s">
        <v>226</v>
      </c>
      <c r="B8" s="33" t="s">
        <v>30</v>
      </c>
      <c r="C8" s="34">
        <v>27135</v>
      </c>
      <c r="D8" s="34">
        <v>34973</v>
      </c>
      <c r="E8" s="35">
        <v>560</v>
      </c>
      <c r="F8" s="33" t="s">
        <v>29</v>
      </c>
      <c r="G8" s="33" t="s">
        <v>31</v>
      </c>
      <c r="H8" s="36">
        <v>2</v>
      </c>
    </row>
    <row r="9" spans="1:8" s="37" customFormat="1" ht="25.05" customHeight="1">
      <c r="A9" s="32" t="s">
        <v>227</v>
      </c>
      <c r="B9" s="33" t="s">
        <v>30</v>
      </c>
      <c r="C9" s="34">
        <v>27946</v>
      </c>
      <c r="D9" s="34">
        <v>36043</v>
      </c>
      <c r="E9" s="35">
        <v>840</v>
      </c>
      <c r="F9" s="33" t="s">
        <v>74</v>
      </c>
      <c r="G9" s="33" t="s">
        <v>23</v>
      </c>
      <c r="H9" s="36">
        <v>2</v>
      </c>
    </row>
    <row r="10" spans="1:8" s="37" customFormat="1" ht="25.05" customHeight="1">
      <c r="A10" s="32" t="s">
        <v>228</v>
      </c>
      <c r="B10" s="33" t="s">
        <v>30</v>
      </c>
      <c r="C10" s="34">
        <v>27370</v>
      </c>
      <c r="D10" s="34">
        <v>35266</v>
      </c>
      <c r="E10" s="35">
        <v>1200</v>
      </c>
      <c r="F10" s="33" t="s">
        <v>128</v>
      </c>
      <c r="G10" s="33" t="s">
        <v>28</v>
      </c>
      <c r="H10" s="36">
        <v>3</v>
      </c>
    </row>
    <row r="11" spans="1:8" s="37" customFormat="1" ht="25.05" customHeight="1">
      <c r="A11" s="32" t="s">
        <v>229</v>
      </c>
      <c r="B11" s="33" t="s">
        <v>30</v>
      </c>
      <c r="C11" s="34">
        <v>28491</v>
      </c>
      <c r="D11" s="34">
        <v>36161</v>
      </c>
      <c r="E11" s="35">
        <v>1100</v>
      </c>
      <c r="F11" s="33" t="s">
        <v>36</v>
      </c>
      <c r="G11" s="33" t="s">
        <v>52</v>
      </c>
      <c r="H11" s="36">
        <v>2</v>
      </c>
    </row>
    <row r="12" spans="1:8" s="37" customFormat="1" ht="25.05" customHeight="1">
      <c r="A12" s="32" t="s">
        <v>230</v>
      </c>
      <c r="B12" s="33" t="s">
        <v>22</v>
      </c>
      <c r="C12" s="34">
        <v>27933</v>
      </c>
      <c r="D12" s="34">
        <v>35634</v>
      </c>
      <c r="E12" s="35">
        <v>1100</v>
      </c>
      <c r="F12" s="33" t="s">
        <v>65</v>
      </c>
      <c r="G12" s="33" t="s">
        <v>37</v>
      </c>
      <c r="H12" s="36">
        <v>4</v>
      </c>
    </row>
    <row r="13" spans="1:8" s="37" customFormat="1" ht="25.05" customHeight="1">
      <c r="A13" s="32" t="s">
        <v>231</v>
      </c>
      <c r="B13" s="33" t="s">
        <v>30</v>
      </c>
      <c r="C13" s="34">
        <v>29052</v>
      </c>
      <c r="D13" s="34">
        <v>36877</v>
      </c>
      <c r="E13" s="35">
        <v>750</v>
      </c>
      <c r="F13" s="33" t="s">
        <v>65</v>
      </c>
      <c r="G13" s="33" t="s">
        <v>23</v>
      </c>
      <c r="H13" s="36">
        <v>3</v>
      </c>
    </row>
    <row r="14" spans="1:8" s="37" customFormat="1" ht="25.05" customHeight="1">
      <c r="A14" s="32" t="s">
        <v>232</v>
      </c>
      <c r="B14" s="33" t="s">
        <v>22</v>
      </c>
      <c r="C14" s="34">
        <v>26772</v>
      </c>
      <c r="D14" s="34">
        <v>35358</v>
      </c>
      <c r="E14" s="35">
        <v>900</v>
      </c>
      <c r="F14" s="33" t="s">
        <v>150</v>
      </c>
      <c r="G14" s="33" t="s">
        <v>52</v>
      </c>
      <c r="H14" s="36">
        <v>5</v>
      </c>
    </row>
    <row r="15" spans="1:8" s="37" customFormat="1" ht="25.05" customHeight="1">
      <c r="A15" s="32" t="s">
        <v>233</v>
      </c>
      <c r="B15" s="33" t="s">
        <v>22</v>
      </c>
      <c r="C15" s="34">
        <v>27827</v>
      </c>
      <c r="D15" s="34">
        <v>35583</v>
      </c>
      <c r="E15" s="35">
        <v>1100</v>
      </c>
      <c r="F15" s="33" t="s">
        <v>69</v>
      </c>
      <c r="G15" s="33" t="s">
        <v>31</v>
      </c>
      <c r="H15" s="36">
        <v>4</v>
      </c>
    </row>
    <row r="16" spans="1:8" s="37" customFormat="1" ht="25.05" customHeight="1">
      <c r="A16" s="32" t="s">
        <v>234</v>
      </c>
      <c r="B16" s="33" t="s">
        <v>30</v>
      </c>
      <c r="C16" s="34">
        <v>25880</v>
      </c>
      <c r="D16" s="34">
        <v>26581</v>
      </c>
      <c r="E16" s="35">
        <v>1200</v>
      </c>
      <c r="F16" s="33" t="s">
        <v>74</v>
      </c>
      <c r="G16" s="33" t="s">
        <v>52</v>
      </c>
      <c r="H16" s="36">
        <v>3</v>
      </c>
    </row>
    <row r="17" spans="1:8" s="37" customFormat="1" ht="25.05" customHeight="1">
      <c r="A17" s="32" t="s">
        <v>235</v>
      </c>
      <c r="B17" s="33" t="s">
        <v>30</v>
      </c>
      <c r="C17" s="34">
        <v>26458</v>
      </c>
      <c r="D17" s="34">
        <v>36202</v>
      </c>
      <c r="E17" s="35">
        <v>1200</v>
      </c>
      <c r="F17" s="33" t="s">
        <v>150</v>
      </c>
      <c r="G17" s="33" t="s">
        <v>52</v>
      </c>
      <c r="H17" s="36">
        <v>6</v>
      </c>
    </row>
    <row r="18" spans="1:8" s="37" customFormat="1" ht="25.05" customHeight="1">
      <c r="A18" s="32" t="s">
        <v>236</v>
      </c>
      <c r="B18" s="33" t="s">
        <v>30</v>
      </c>
      <c r="C18" s="34">
        <v>26527</v>
      </c>
      <c r="D18" s="34">
        <v>34353</v>
      </c>
      <c r="E18" s="35">
        <v>950</v>
      </c>
      <c r="F18" s="33" t="s">
        <v>74</v>
      </c>
      <c r="G18" s="33" t="s">
        <v>37</v>
      </c>
      <c r="H18" s="36">
        <v>5</v>
      </c>
    </row>
    <row r="19" spans="1:8" s="37" customFormat="1" ht="25.05" customHeight="1">
      <c r="A19" s="32" t="s">
        <v>237</v>
      </c>
      <c r="B19" s="33" t="s">
        <v>30</v>
      </c>
      <c r="C19" s="34">
        <v>29471</v>
      </c>
      <c r="D19" s="34">
        <v>36495</v>
      </c>
      <c r="E19" s="35">
        <v>950</v>
      </c>
      <c r="F19" s="33" t="s">
        <v>85</v>
      </c>
      <c r="G19" s="33" t="s">
        <v>31</v>
      </c>
      <c r="H19" s="36">
        <v>2</v>
      </c>
    </row>
    <row r="20" spans="1:8" s="37" customFormat="1" ht="25.05" customHeight="1">
      <c r="A20" s="32" t="s">
        <v>238</v>
      </c>
      <c r="B20" s="33" t="s">
        <v>30</v>
      </c>
      <c r="C20" s="34">
        <v>28968</v>
      </c>
      <c r="D20" s="34">
        <v>36032</v>
      </c>
      <c r="E20" s="35">
        <v>1200</v>
      </c>
      <c r="F20" s="33" t="s">
        <v>36</v>
      </c>
      <c r="G20" s="33" t="s">
        <v>23</v>
      </c>
      <c r="H20" s="36">
        <v>2</v>
      </c>
    </row>
    <row r="21" spans="1:8" s="37" customFormat="1" ht="25.05" customHeight="1">
      <c r="A21" s="32" t="s">
        <v>239</v>
      </c>
      <c r="B21" s="33" t="s">
        <v>30</v>
      </c>
      <c r="C21" s="34">
        <v>26141</v>
      </c>
      <c r="D21" s="34">
        <v>34191</v>
      </c>
      <c r="E21" s="35">
        <v>850</v>
      </c>
      <c r="F21" s="33" t="s">
        <v>36</v>
      </c>
      <c r="G21" s="33" t="s">
        <v>37</v>
      </c>
      <c r="H21" s="36">
        <v>3</v>
      </c>
    </row>
    <row r="22" spans="1:8" s="37" customFormat="1" ht="25.05" customHeight="1">
      <c r="A22" s="32" t="s">
        <v>240</v>
      </c>
      <c r="B22" s="33" t="s">
        <v>30</v>
      </c>
      <c r="C22" s="34">
        <v>27197</v>
      </c>
      <c r="D22" s="34">
        <v>35846</v>
      </c>
      <c r="E22" s="35">
        <v>960</v>
      </c>
      <c r="F22" s="33" t="s">
        <v>21</v>
      </c>
      <c r="G22" s="33" t="s">
        <v>23</v>
      </c>
      <c r="H22" s="36">
        <v>3</v>
      </c>
    </row>
    <row r="23" spans="1:8" s="37" customFormat="1" ht="25.05" customHeight="1">
      <c r="A23" s="32" t="s">
        <v>241</v>
      </c>
      <c r="B23" s="33" t="s">
        <v>30</v>
      </c>
      <c r="C23" s="34">
        <v>26563</v>
      </c>
      <c r="D23" s="34">
        <v>35002</v>
      </c>
      <c r="E23" s="35">
        <v>1100</v>
      </c>
      <c r="F23" s="33" t="s">
        <v>128</v>
      </c>
      <c r="G23" s="33" t="s">
        <v>52</v>
      </c>
      <c r="H23" s="36">
        <v>6</v>
      </c>
    </row>
    <row r="24" spans="1:8" s="37" customFormat="1" ht="25.05" customHeight="1">
      <c r="A24" s="32" t="s">
        <v>242</v>
      </c>
      <c r="B24" s="33" t="s">
        <v>30</v>
      </c>
      <c r="C24" s="34">
        <v>27318</v>
      </c>
      <c r="D24" s="34">
        <v>34658</v>
      </c>
      <c r="E24" s="35">
        <v>1200</v>
      </c>
      <c r="F24" s="33" t="s">
        <v>21</v>
      </c>
      <c r="G24" s="33" t="s">
        <v>23</v>
      </c>
      <c r="H24" s="36">
        <v>3</v>
      </c>
    </row>
    <row r="25" spans="1:8" s="37" customFormat="1" ht="25.05" customHeight="1">
      <c r="A25" s="32" t="s">
        <v>243</v>
      </c>
      <c r="B25" s="33" t="s">
        <v>30</v>
      </c>
      <c r="C25" s="34">
        <v>28326</v>
      </c>
      <c r="D25" s="34">
        <v>35847</v>
      </c>
      <c r="E25" s="35">
        <v>900</v>
      </c>
      <c r="F25" s="33" t="s">
        <v>65</v>
      </c>
      <c r="G25" s="33" t="s">
        <v>23</v>
      </c>
      <c r="H25" s="36">
        <v>2</v>
      </c>
    </row>
    <row r="26" spans="1:8" s="37" customFormat="1" ht="25.05" customHeight="1">
      <c r="A26" s="32" t="s">
        <v>244</v>
      </c>
      <c r="B26" s="33" t="s">
        <v>22</v>
      </c>
      <c r="C26" s="34">
        <v>26350</v>
      </c>
      <c r="D26" s="34">
        <v>33656</v>
      </c>
      <c r="E26" s="35">
        <v>600</v>
      </c>
      <c r="F26" s="33" t="s">
        <v>42</v>
      </c>
      <c r="G26" s="33" t="s">
        <v>23</v>
      </c>
      <c r="H26" s="36">
        <v>4</v>
      </c>
    </row>
    <row r="27" spans="1:8" s="37" customFormat="1" ht="25.05" customHeight="1">
      <c r="A27" s="32" t="s">
        <v>245</v>
      </c>
      <c r="B27" s="33" t="s">
        <v>22</v>
      </c>
      <c r="C27" s="34">
        <v>26772</v>
      </c>
      <c r="D27" s="34">
        <v>34808</v>
      </c>
      <c r="E27" s="35">
        <v>980</v>
      </c>
      <c r="F27" s="33" t="s">
        <v>132</v>
      </c>
      <c r="G27" s="33" t="s">
        <v>37</v>
      </c>
      <c r="H27" s="36">
        <v>2</v>
      </c>
    </row>
    <row r="28" spans="1:8" s="37" customFormat="1" ht="25.05" customHeight="1">
      <c r="A28" s="32" t="s">
        <v>246</v>
      </c>
      <c r="B28" s="33" t="s">
        <v>22</v>
      </c>
      <c r="C28" s="34">
        <v>26577</v>
      </c>
      <c r="D28" s="34">
        <v>34650</v>
      </c>
      <c r="E28" s="35">
        <v>758</v>
      </c>
      <c r="F28" s="33" t="s">
        <v>128</v>
      </c>
      <c r="G28" s="33" t="s">
        <v>31</v>
      </c>
      <c r="H28" s="36">
        <v>5</v>
      </c>
    </row>
    <row r="29" spans="1:8" s="37" customFormat="1" ht="25.05" customHeight="1">
      <c r="A29" s="32" t="s">
        <v>247</v>
      </c>
      <c r="B29" s="33" t="s">
        <v>22</v>
      </c>
      <c r="C29" s="34">
        <v>28207</v>
      </c>
      <c r="D29" s="34">
        <v>36871</v>
      </c>
      <c r="E29" s="35">
        <v>1300</v>
      </c>
      <c r="F29" s="33" t="s">
        <v>36</v>
      </c>
      <c r="G29" s="33" t="s">
        <v>28</v>
      </c>
      <c r="H29" s="36">
        <v>5</v>
      </c>
    </row>
    <row r="30" spans="1:8" s="37" customFormat="1" ht="25.05" customHeight="1">
      <c r="A30" s="32" t="s">
        <v>248</v>
      </c>
      <c r="B30" s="33" t="s">
        <v>22</v>
      </c>
      <c r="C30" s="34">
        <v>28361</v>
      </c>
      <c r="D30" s="34">
        <v>35584</v>
      </c>
      <c r="E30" s="35">
        <v>900</v>
      </c>
      <c r="F30" s="33" t="s">
        <v>85</v>
      </c>
      <c r="G30" s="33" t="s">
        <v>23</v>
      </c>
      <c r="H30" s="36">
        <v>2</v>
      </c>
    </row>
    <row r="31" spans="1:8" s="37" customFormat="1" ht="25.05" customHeight="1">
      <c r="A31" s="32" t="s">
        <v>249</v>
      </c>
      <c r="B31" s="33" t="s">
        <v>22</v>
      </c>
      <c r="C31" s="34">
        <v>28398</v>
      </c>
      <c r="D31" s="34">
        <v>36006</v>
      </c>
      <c r="E31" s="35">
        <v>950</v>
      </c>
      <c r="F31" s="33" t="s">
        <v>69</v>
      </c>
      <c r="G31" s="33" t="s">
        <v>28</v>
      </c>
      <c r="H31" s="36">
        <v>6</v>
      </c>
    </row>
    <row r="32" spans="1:8" s="37" customFormat="1" ht="25.05" customHeight="1">
      <c r="A32" s="32" t="s">
        <v>250</v>
      </c>
      <c r="B32" s="33" t="s">
        <v>22</v>
      </c>
      <c r="C32" s="34">
        <v>27042</v>
      </c>
      <c r="D32" s="34">
        <v>35846</v>
      </c>
      <c r="E32" s="35">
        <v>1320</v>
      </c>
      <c r="F32" s="33" t="s">
        <v>21</v>
      </c>
      <c r="G32" s="33" t="s">
        <v>23</v>
      </c>
      <c r="H32" s="36">
        <v>5</v>
      </c>
    </row>
    <row r="33" spans="1:8" s="37" customFormat="1" ht="25.05" customHeight="1">
      <c r="A33" s="32" t="s">
        <v>251</v>
      </c>
      <c r="B33" s="33" t="s">
        <v>22</v>
      </c>
      <c r="C33" s="34">
        <v>27929</v>
      </c>
      <c r="D33" s="34">
        <v>35509</v>
      </c>
      <c r="E33" s="35">
        <v>980</v>
      </c>
      <c r="F33" s="33" t="s">
        <v>21</v>
      </c>
      <c r="G33" s="33" t="s">
        <v>52</v>
      </c>
      <c r="H33" s="36">
        <v>4</v>
      </c>
    </row>
    <row r="34" spans="1:8" s="37" customFormat="1" ht="25.05" customHeight="1">
      <c r="A34" s="32" t="s">
        <v>252</v>
      </c>
      <c r="B34" s="33" t="s">
        <v>30</v>
      </c>
      <c r="C34" s="34">
        <v>25585</v>
      </c>
      <c r="D34" s="34">
        <v>33255</v>
      </c>
      <c r="E34" s="35">
        <v>1100</v>
      </c>
      <c r="F34" s="33" t="s">
        <v>74</v>
      </c>
      <c r="G34" s="33" t="s">
        <v>37</v>
      </c>
      <c r="H34" s="36">
        <v>5</v>
      </c>
    </row>
    <row r="35" spans="1:8" s="37" customFormat="1" ht="25.05" customHeight="1">
      <c r="A35" s="32" t="s">
        <v>253</v>
      </c>
      <c r="B35" s="33" t="s">
        <v>22</v>
      </c>
      <c r="C35" s="34">
        <v>28048</v>
      </c>
      <c r="D35" s="34">
        <v>35404</v>
      </c>
      <c r="E35" s="35">
        <v>1100</v>
      </c>
      <c r="F35" s="33" t="s">
        <v>21</v>
      </c>
      <c r="G35" s="33" t="s">
        <v>23</v>
      </c>
      <c r="H35" s="36">
        <v>5</v>
      </c>
    </row>
    <row r="36" spans="1:8" s="37" customFormat="1" ht="25.05" customHeight="1">
      <c r="A36" s="32" t="s">
        <v>254</v>
      </c>
      <c r="B36" s="33" t="s">
        <v>30</v>
      </c>
      <c r="C36" s="34">
        <v>29510</v>
      </c>
      <c r="D36" s="34">
        <v>36524</v>
      </c>
      <c r="E36" s="35">
        <v>850</v>
      </c>
      <c r="F36" s="33" t="s">
        <v>21</v>
      </c>
      <c r="G36" s="33" t="s">
        <v>37</v>
      </c>
      <c r="H36" s="36">
        <v>1</v>
      </c>
    </row>
    <row r="37" spans="1:8" s="37" customFormat="1" ht="25.05" customHeight="1">
      <c r="A37" s="32" t="s">
        <v>255</v>
      </c>
      <c r="B37" s="33" t="s">
        <v>22</v>
      </c>
      <c r="C37" s="34">
        <v>28428</v>
      </c>
      <c r="D37" s="34">
        <v>36509</v>
      </c>
      <c r="E37" s="35">
        <v>1100</v>
      </c>
      <c r="F37" s="33" t="s">
        <v>36</v>
      </c>
      <c r="G37" s="33" t="s">
        <v>31</v>
      </c>
      <c r="H37" s="36">
        <v>4</v>
      </c>
    </row>
    <row r="38" spans="1:8" s="37" customFormat="1" ht="25.05" customHeight="1">
      <c r="A38" s="32" t="s">
        <v>256</v>
      </c>
      <c r="B38" s="33" t="s">
        <v>22</v>
      </c>
      <c r="C38" s="34">
        <v>27198</v>
      </c>
      <c r="D38" s="34">
        <v>35266</v>
      </c>
      <c r="E38" s="35">
        <v>650</v>
      </c>
      <c r="F38" s="33" t="s">
        <v>65</v>
      </c>
      <c r="G38" s="33" t="s">
        <v>31</v>
      </c>
      <c r="H38" s="36">
        <v>4</v>
      </c>
    </row>
    <row r="39" spans="1:8" s="37" customFormat="1" ht="25.05" customHeight="1">
      <c r="A39" s="32" t="s">
        <v>257</v>
      </c>
      <c r="B39" s="33" t="s">
        <v>22</v>
      </c>
      <c r="C39" s="34">
        <v>28096</v>
      </c>
      <c r="D39" s="34">
        <v>36109</v>
      </c>
      <c r="E39" s="35">
        <v>1000</v>
      </c>
      <c r="F39" s="33" t="s">
        <v>69</v>
      </c>
      <c r="G39" s="33" t="s">
        <v>28</v>
      </c>
      <c r="H39" s="36">
        <v>5</v>
      </c>
    </row>
    <row r="40" spans="1:8" s="37" customFormat="1" ht="25.05" customHeight="1">
      <c r="A40" s="32" t="s">
        <v>258</v>
      </c>
      <c r="B40" s="33" t="s">
        <v>22</v>
      </c>
      <c r="C40" s="34">
        <v>29332</v>
      </c>
      <c r="D40" s="34">
        <v>36310</v>
      </c>
      <c r="E40" s="35">
        <v>1250</v>
      </c>
      <c r="F40" s="33" t="s">
        <v>74</v>
      </c>
      <c r="G40" s="33" t="s">
        <v>37</v>
      </c>
      <c r="H40" s="36">
        <v>6</v>
      </c>
    </row>
    <row r="41" spans="1:8" s="37" customFormat="1" ht="25.05" customHeight="1">
      <c r="A41" s="32" t="s">
        <v>259</v>
      </c>
      <c r="B41" s="33" t="s">
        <v>22</v>
      </c>
      <c r="C41" s="34">
        <v>28122</v>
      </c>
      <c r="D41" s="34">
        <v>35460</v>
      </c>
      <c r="E41" s="35">
        <v>980</v>
      </c>
      <c r="F41" s="33" t="s">
        <v>51</v>
      </c>
      <c r="G41" s="33" t="s">
        <v>52</v>
      </c>
      <c r="H41" s="36">
        <v>2</v>
      </c>
    </row>
    <row r="42" spans="1:8" s="37" customFormat="1" ht="25.05" customHeight="1">
      <c r="A42" s="32" t="s">
        <v>260</v>
      </c>
      <c r="B42" s="33" t="s">
        <v>30</v>
      </c>
      <c r="C42" s="34">
        <v>28332</v>
      </c>
      <c r="D42" s="34">
        <v>36013</v>
      </c>
      <c r="E42" s="35">
        <v>1450</v>
      </c>
      <c r="F42" s="33" t="s">
        <v>150</v>
      </c>
      <c r="G42" s="33" t="s">
        <v>52</v>
      </c>
      <c r="H42" s="36">
        <v>2</v>
      </c>
    </row>
    <row r="43" spans="1:8" s="37" customFormat="1" ht="25.05" customHeight="1">
      <c r="A43" s="32" t="s">
        <v>261</v>
      </c>
      <c r="B43" s="33" t="s">
        <v>30</v>
      </c>
      <c r="C43" s="34">
        <v>27962</v>
      </c>
      <c r="D43" s="34">
        <v>35419</v>
      </c>
      <c r="E43" s="35">
        <v>940</v>
      </c>
      <c r="F43" s="33" t="s">
        <v>46</v>
      </c>
      <c r="G43" s="33" t="s">
        <v>31</v>
      </c>
      <c r="H43" s="36">
        <v>2</v>
      </c>
    </row>
    <row r="44" spans="1:8" s="37" customFormat="1" ht="25.05" customHeight="1" thickBot="1">
      <c r="A44" s="38" t="s">
        <v>262</v>
      </c>
      <c r="B44" s="39" t="s">
        <v>30</v>
      </c>
      <c r="C44" s="40">
        <v>25611</v>
      </c>
      <c r="D44" s="40">
        <v>36161</v>
      </c>
      <c r="E44" s="41">
        <v>850</v>
      </c>
      <c r="F44" s="39" t="s">
        <v>150</v>
      </c>
      <c r="G44" s="39" t="s">
        <v>28</v>
      </c>
      <c r="H44" s="42">
        <v>3</v>
      </c>
    </row>
    <row r="45" spans="1:8">
      <c r="A45" s="3"/>
      <c r="B45" s="3"/>
      <c r="C45" s="3"/>
      <c r="D45" s="3"/>
      <c r="E45" s="3"/>
      <c r="F45" s="3"/>
      <c r="G45" s="3"/>
      <c r="H45" s="3"/>
    </row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FC61-109D-4860-BADF-263A548F97C2}">
  <sheetPr>
    <tabColor rgb="FF217346"/>
  </sheetPr>
  <dimension ref="A1:L179"/>
  <sheetViews>
    <sheetView showGridLines="0" workbookViewId="0">
      <selection activeCell="O10" sqref="O10"/>
    </sheetView>
  </sheetViews>
  <sheetFormatPr baseColWidth="10" defaultRowHeight="14.4"/>
  <cols>
    <col min="7" max="7" width="19.33203125" bestFit="1" customWidth="1"/>
  </cols>
  <sheetData>
    <row r="1" spans="1:12" ht="36.6">
      <c r="A1" s="66" t="s">
        <v>263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 ht="15" thickBot="1"/>
    <row r="3" spans="1:12" ht="27.6">
      <c r="A3" s="43" t="s">
        <v>264</v>
      </c>
      <c r="B3" s="44" t="s">
        <v>265</v>
      </c>
      <c r="C3" s="45" t="s">
        <v>266</v>
      </c>
      <c r="D3" s="46" t="s">
        <v>267</v>
      </c>
      <c r="E3" s="46" t="s">
        <v>268</v>
      </c>
      <c r="F3" s="46" t="s">
        <v>4</v>
      </c>
      <c r="G3" s="46" t="s">
        <v>269</v>
      </c>
      <c r="H3" s="46" t="s">
        <v>270</v>
      </c>
      <c r="I3" s="46" t="s">
        <v>271</v>
      </c>
      <c r="J3" s="46" t="s">
        <v>272</v>
      </c>
      <c r="K3" s="46" t="s">
        <v>273</v>
      </c>
      <c r="L3" s="47" t="s">
        <v>274</v>
      </c>
    </row>
    <row r="4" spans="1:12" s="37" customFormat="1" ht="25.05" customHeight="1">
      <c r="A4" s="48">
        <v>1</v>
      </c>
      <c r="B4" s="49">
        <v>41080</v>
      </c>
      <c r="C4" s="50" t="str">
        <f t="shared" ref="C4:C67" si="0">TEXT(B4,"Mmmm")</f>
        <v>Junio</v>
      </c>
      <c r="D4" s="50" t="s">
        <v>275</v>
      </c>
      <c r="E4" s="50" t="s">
        <v>276</v>
      </c>
      <c r="F4" s="50" t="s">
        <v>277</v>
      </c>
      <c r="G4" s="51" t="s">
        <v>278</v>
      </c>
      <c r="H4" s="50" t="s">
        <v>279</v>
      </c>
      <c r="I4" s="52">
        <v>3</v>
      </c>
      <c r="J4" s="50">
        <v>30</v>
      </c>
      <c r="K4" s="53">
        <f t="shared" ref="K4:K67" si="1">I4*J4</f>
        <v>90</v>
      </c>
      <c r="L4" s="54">
        <f t="shared" ref="L4:L67" si="2">IF(J4&gt;=30,K4*4%,K4*3%)</f>
        <v>3.6</v>
      </c>
    </row>
    <row r="5" spans="1:12" s="37" customFormat="1" ht="25.05" customHeight="1">
      <c r="A5" s="48">
        <v>1</v>
      </c>
      <c r="B5" s="49">
        <v>41080</v>
      </c>
      <c r="C5" s="50" t="str">
        <f t="shared" si="0"/>
        <v>Junio</v>
      </c>
      <c r="D5" s="50" t="s">
        <v>275</v>
      </c>
      <c r="E5" s="50" t="s">
        <v>276</v>
      </c>
      <c r="F5" s="50" t="s">
        <v>280</v>
      </c>
      <c r="G5" s="51" t="s">
        <v>281</v>
      </c>
      <c r="H5" s="50" t="s">
        <v>282</v>
      </c>
      <c r="I5" s="52">
        <v>10</v>
      </c>
      <c r="J5" s="50">
        <v>30</v>
      </c>
      <c r="K5" s="53">
        <f t="shared" si="1"/>
        <v>300</v>
      </c>
      <c r="L5" s="54">
        <f t="shared" si="2"/>
        <v>12</v>
      </c>
    </row>
    <row r="6" spans="1:12" s="37" customFormat="1" ht="25.05" customHeight="1">
      <c r="A6" s="48">
        <v>1</v>
      </c>
      <c r="B6" s="49">
        <v>41080</v>
      </c>
      <c r="C6" s="50" t="str">
        <f t="shared" si="0"/>
        <v>Junio</v>
      </c>
      <c r="D6" s="50" t="s">
        <v>275</v>
      </c>
      <c r="E6" s="50" t="s">
        <v>276</v>
      </c>
      <c r="F6" s="50" t="s">
        <v>283</v>
      </c>
      <c r="G6" s="51" t="s">
        <v>284</v>
      </c>
      <c r="H6" s="50" t="s">
        <v>282</v>
      </c>
      <c r="I6" s="52">
        <v>12</v>
      </c>
      <c r="J6" s="50">
        <v>30</v>
      </c>
      <c r="K6" s="53">
        <f t="shared" si="1"/>
        <v>360</v>
      </c>
      <c r="L6" s="54">
        <f t="shared" si="2"/>
        <v>14.4</v>
      </c>
    </row>
    <row r="7" spans="1:12" s="37" customFormat="1" ht="25.05" customHeight="1">
      <c r="A7" s="48">
        <v>1</v>
      </c>
      <c r="B7" s="49">
        <v>41080</v>
      </c>
      <c r="C7" s="50" t="str">
        <f t="shared" si="0"/>
        <v>Junio</v>
      </c>
      <c r="D7" s="50" t="s">
        <v>275</v>
      </c>
      <c r="E7" s="50" t="s">
        <v>276</v>
      </c>
      <c r="F7" s="50" t="s">
        <v>285</v>
      </c>
      <c r="G7" s="51" t="s">
        <v>286</v>
      </c>
      <c r="H7" s="50" t="s">
        <v>287</v>
      </c>
      <c r="I7" s="52">
        <v>2.5</v>
      </c>
      <c r="J7" s="50">
        <v>20</v>
      </c>
      <c r="K7" s="53">
        <f t="shared" si="1"/>
        <v>50</v>
      </c>
      <c r="L7" s="54">
        <f t="shared" si="2"/>
        <v>1.5</v>
      </c>
    </row>
    <row r="8" spans="1:12" s="37" customFormat="1" ht="25.05" customHeight="1">
      <c r="A8" s="48">
        <v>1</v>
      </c>
      <c r="B8" s="49">
        <v>41080</v>
      </c>
      <c r="C8" s="50" t="str">
        <f t="shared" si="0"/>
        <v>Junio</v>
      </c>
      <c r="D8" s="50" t="s">
        <v>275</v>
      </c>
      <c r="E8" s="50" t="s">
        <v>276</v>
      </c>
      <c r="F8" s="50" t="s">
        <v>288</v>
      </c>
      <c r="G8" s="51" t="s">
        <v>289</v>
      </c>
      <c r="H8" s="50" t="s">
        <v>282</v>
      </c>
      <c r="I8" s="52">
        <v>15</v>
      </c>
      <c r="J8" s="50">
        <v>20</v>
      </c>
      <c r="K8" s="53">
        <f t="shared" si="1"/>
        <v>300</v>
      </c>
      <c r="L8" s="54">
        <f t="shared" si="2"/>
        <v>9</v>
      </c>
    </row>
    <row r="9" spans="1:12" s="37" customFormat="1" ht="25.05" customHeight="1">
      <c r="A9" s="48">
        <v>1</v>
      </c>
      <c r="B9" s="49">
        <v>41080</v>
      </c>
      <c r="C9" s="50" t="str">
        <f t="shared" si="0"/>
        <v>Junio</v>
      </c>
      <c r="D9" s="50" t="s">
        <v>275</v>
      </c>
      <c r="E9" s="50" t="s">
        <v>276</v>
      </c>
      <c r="F9" s="50" t="s">
        <v>290</v>
      </c>
      <c r="G9" s="51" t="s">
        <v>291</v>
      </c>
      <c r="H9" s="50" t="s">
        <v>292</v>
      </c>
      <c r="I9" s="52">
        <v>25</v>
      </c>
      <c r="J9" s="50">
        <v>10</v>
      </c>
      <c r="K9" s="53">
        <f t="shared" si="1"/>
        <v>250</v>
      </c>
      <c r="L9" s="54">
        <f t="shared" si="2"/>
        <v>7.5</v>
      </c>
    </row>
    <row r="10" spans="1:12" s="37" customFormat="1" ht="25.05" customHeight="1">
      <c r="A10" s="48">
        <v>2</v>
      </c>
      <c r="B10" s="49">
        <v>41090</v>
      </c>
      <c r="C10" s="50" t="str">
        <f t="shared" si="0"/>
        <v>Junio</v>
      </c>
      <c r="D10" s="50" t="s">
        <v>275</v>
      </c>
      <c r="E10" s="50" t="s">
        <v>293</v>
      </c>
      <c r="F10" s="50" t="s">
        <v>285</v>
      </c>
      <c r="G10" s="51" t="s">
        <v>286</v>
      </c>
      <c r="H10" s="50" t="s">
        <v>287</v>
      </c>
      <c r="I10" s="52">
        <v>2.5</v>
      </c>
      <c r="J10" s="50">
        <v>40</v>
      </c>
      <c r="K10" s="53">
        <f t="shared" si="1"/>
        <v>100</v>
      </c>
      <c r="L10" s="54">
        <f t="shared" si="2"/>
        <v>4</v>
      </c>
    </row>
    <row r="11" spans="1:12" s="37" customFormat="1" ht="25.05" customHeight="1">
      <c r="A11" s="48">
        <v>2</v>
      </c>
      <c r="B11" s="49">
        <v>41090</v>
      </c>
      <c r="C11" s="50" t="str">
        <f t="shared" si="0"/>
        <v>Junio</v>
      </c>
      <c r="D11" s="50" t="s">
        <v>275</v>
      </c>
      <c r="E11" s="50" t="s">
        <v>293</v>
      </c>
      <c r="F11" s="50" t="s">
        <v>277</v>
      </c>
      <c r="G11" s="51" t="s">
        <v>278</v>
      </c>
      <c r="H11" s="50" t="s">
        <v>279</v>
      </c>
      <c r="I11" s="52">
        <v>3</v>
      </c>
      <c r="J11" s="50">
        <v>30</v>
      </c>
      <c r="K11" s="53">
        <f t="shared" si="1"/>
        <v>90</v>
      </c>
      <c r="L11" s="54">
        <f t="shared" si="2"/>
        <v>3.6</v>
      </c>
    </row>
    <row r="12" spans="1:12" s="37" customFormat="1" ht="25.05" customHeight="1">
      <c r="A12" s="48">
        <v>2</v>
      </c>
      <c r="B12" s="49">
        <v>41090</v>
      </c>
      <c r="C12" s="50" t="str">
        <f t="shared" si="0"/>
        <v>Junio</v>
      </c>
      <c r="D12" s="50" t="s">
        <v>275</v>
      </c>
      <c r="E12" s="50" t="s">
        <v>293</v>
      </c>
      <c r="F12" s="50" t="s">
        <v>283</v>
      </c>
      <c r="G12" s="51" t="s">
        <v>284</v>
      </c>
      <c r="H12" s="50" t="s">
        <v>282</v>
      </c>
      <c r="I12" s="52">
        <v>12</v>
      </c>
      <c r="J12" s="50">
        <v>30</v>
      </c>
      <c r="K12" s="53">
        <f t="shared" si="1"/>
        <v>360</v>
      </c>
      <c r="L12" s="54">
        <f t="shared" si="2"/>
        <v>14.4</v>
      </c>
    </row>
    <row r="13" spans="1:12" s="37" customFormat="1" ht="25.05" customHeight="1">
      <c r="A13" s="48">
        <v>2</v>
      </c>
      <c r="B13" s="49">
        <v>41090</v>
      </c>
      <c r="C13" s="50" t="str">
        <f t="shared" si="0"/>
        <v>Junio</v>
      </c>
      <c r="D13" s="50" t="s">
        <v>275</v>
      </c>
      <c r="E13" s="50" t="s">
        <v>293</v>
      </c>
      <c r="F13" s="50" t="s">
        <v>280</v>
      </c>
      <c r="G13" s="51" t="s">
        <v>281</v>
      </c>
      <c r="H13" s="50" t="s">
        <v>282</v>
      </c>
      <c r="I13" s="52">
        <v>10</v>
      </c>
      <c r="J13" s="50">
        <v>20</v>
      </c>
      <c r="K13" s="53">
        <f t="shared" si="1"/>
        <v>200</v>
      </c>
      <c r="L13" s="54">
        <f t="shared" si="2"/>
        <v>6</v>
      </c>
    </row>
    <row r="14" spans="1:12" s="37" customFormat="1" ht="25.05" customHeight="1">
      <c r="A14" s="48">
        <v>2</v>
      </c>
      <c r="B14" s="49">
        <v>41090</v>
      </c>
      <c r="C14" s="50" t="str">
        <f t="shared" si="0"/>
        <v>Junio</v>
      </c>
      <c r="D14" s="50" t="s">
        <v>275</v>
      </c>
      <c r="E14" s="50" t="s">
        <v>293</v>
      </c>
      <c r="F14" s="50" t="s">
        <v>288</v>
      </c>
      <c r="G14" s="51" t="s">
        <v>289</v>
      </c>
      <c r="H14" s="50" t="s">
        <v>282</v>
      </c>
      <c r="I14" s="52">
        <v>15</v>
      </c>
      <c r="J14" s="50">
        <v>20</v>
      </c>
      <c r="K14" s="53">
        <f t="shared" si="1"/>
        <v>300</v>
      </c>
      <c r="L14" s="54">
        <f t="shared" si="2"/>
        <v>9</v>
      </c>
    </row>
    <row r="15" spans="1:12" s="37" customFormat="1" ht="25.05" customHeight="1">
      <c r="A15" s="48">
        <v>2</v>
      </c>
      <c r="B15" s="49">
        <v>41090</v>
      </c>
      <c r="C15" s="50" t="str">
        <f t="shared" si="0"/>
        <v>Junio</v>
      </c>
      <c r="D15" s="50" t="s">
        <v>275</v>
      </c>
      <c r="E15" s="50" t="s">
        <v>293</v>
      </c>
      <c r="F15" s="50" t="s">
        <v>290</v>
      </c>
      <c r="G15" s="51" t="s">
        <v>291</v>
      </c>
      <c r="H15" s="50" t="s">
        <v>292</v>
      </c>
      <c r="I15" s="52">
        <v>25</v>
      </c>
      <c r="J15" s="50">
        <v>10</v>
      </c>
      <c r="K15" s="53">
        <f t="shared" si="1"/>
        <v>250</v>
      </c>
      <c r="L15" s="54">
        <f t="shared" si="2"/>
        <v>7.5</v>
      </c>
    </row>
    <row r="16" spans="1:12" s="37" customFormat="1" ht="25.05" customHeight="1">
      <c r="A16" s="48">
        <v>3</v>
      </c>
      <c r="B16" s="49">
        <v>41100</v>
      </c>
      <c r="C16" s="50" t="str">
        <f t="shared" si="0"/>
        <v>Julio</v>
      </c>
      <c r="D16" s="50" t="s">
        <v>275</v>
      </c>
      <c r="E16" s="50" t="s">
        <v>276</v>
      </c>
      <c r="F16" s="50" t="s">
        <v>280</v>
      </c>
      <c r="G16" s="51" t="s">
        <v>281</v>
      </c>
      <c r="H16" s="50" t="s">
        <v>282</v>
      </c>
      <c r="I16" s="52">
        <v>10</v>
      </c>
      <c r="J16" s="50">
        <v>50</v>
      </c>
      <c r="K16" s="53">
        <f t="shared" si="1"/>
        <v>500</v>
      </c>
      <c r="L16" s="54">
        <f t="shared" si="2"/>
        <v>20</v>
      </c>
    </row>
    <row r="17" spans="1:12" s="37" customFormat="1" ht="25.05" customHeight="1">
      <c r="A17" s="48">
        <v>3</v>
      </c>
      <c r="B17" s="49">
        <v>41100</v>
      </c>
      <c r="C17" s="50" t="str">
        <f t="shared" si="0"/>
        <v>Julio</v>
      </c>
      <c r="D17" s="50" t="s">
        <v>275</v>
      </c>
      <c r="E17" s="50" t="s">
        <v>276</v>
      </c>
      <c r="F17" s="50" t="s">
        <v>290</v>
      </c>
      <c r="G17" s="51" t="s">
        <v>291</v>
      </c>
      <c r="H17" s="50" t="s">
        <v>292</v>
      </c>
      <c r="I17" s="52">
        <v>25</v>
      </c>
      <c r="J17" s="50">
        <v>50</v>
      </c>
      <c r="K17" s="53">
        <f t="shared" si="1"/>
        <v>1250</v>
      </c>
      <c r="L17" s="54">
        <f t="shared" si="2"/>
        <v>50</v>
      </c>
    </row>
    <row r="18" spans="1:12" s="37" customFormat="1" ht="25.05" customHeight="1">
      <c r="A18" s="48">
        <v>3</v>
      </c>
      <c r="B18" s="49">
        <v>41100</v>
      </c>
      <c r="C18" s="50" t="str">
        <f t="shared" si="0"/>
        <v>Julio</v>
      </c>
      <c r="D18" s="50" t="s">
        <v>275</v>
      </c>
      <c r="E18" s="50" t="s">
        <v>276</v>
      </c>
      <c r="F18" s="50" t="s">
        <v>277</v>
      </c>
      <c r="G18" s="51" t="s">
        <v>278</v>
      </c>
      <c r="H18" s="50" t="s">
        <v>279</v>
      </c>
      <c r="I18" s="52">
        <v>3</v>
      </c>
      <c r="J18" s="50">
        <v>40</v>
      </c>
      <c r="K18" s="53">
        <f t="shared" si="1"/>
        <v>120</v>
      </c>
      <c r="L18" s="54">
        <f t="shared" si="2"/>
        <v>4.8</v>
      </c>
    </row>
    <row r="19" spans="1:12" s="37" customFormat="1" ht="25.05" customHeight="1">
      <c r="A19" s="48">
        <v>3</v>
      </c>
      <c r="B19" s="49">
        <v>41100</v>
      </c>
      <c r="C19" s="50" t="str">
        <f t="shared" si="0"/>
        <v>Julio</v>
      </c>
      <c r="D19" s="50" t="s">
        <v>275</v>
      </c>
      <c r="E19" s="50" t="s">
        <v>276</v>
      </c>
      <c r="F19" s="50" t="s">
        <v>288</v>
      </c>
      <c r="G19" s="51" t="s">
        <v>289</v>
      </c>
      <c r="H19" s="50" t="s">
        <v>282</v>
      </c>
      <c r="I19" s="52">
        <v>15</v>
      </c>
      <c r="J19" s="50">
        <v>40</v>
      </c>
      <c r="K19" s="53">
        <f t="shared" si="1"/>
        <v>600</v>
      </c>
      <c r="L19" s="54">
        <f t="shared" si="2"/>
        <v>24</v>
      </c>
    </row>
    <row r="20" spans="1:12" s="37" customFormat="1" ht="25.05" customHeight="1">
      <c r="A20" s="48">
        <v>3</v>
      </c>
      <c r="B20" s="49">
        <v>41100</v>
      </c>
      <c r="C20" s="50" t="str">
        <f t="shared" si="0"/>
        <v>Julio</v>
      </c>
      <c r="D20" s="50" t="s">
        <v>275</v>
      </c>
      <c r="E20" s="50" t="s">
        <v>276</v>
      </c>
      <c r="F20" s="50" t="s">
        <v>285</v>
      </c>
      <c r="G20" s="51" t="s">
        <v>286</v>
      </c>
      <c r="H20" s="50" t="s">
        <v>287</v>
      </c>
      <c r="I20" s="52">
        <v>2.5</v>
      </c>
      <c r="J20" s="50">
        <v>30</v>
      </c>
      <c r="K20" s="53">
        <f t="shared" si="1"/>
        <v>75</v>
      </c>
      <c r="L20" s="54">
        <f t="shared" si="2"/>
        <v>3</v>
      </c>
    </row>
    <row r="21" spans="1:12" s="37" customFormat="1" ht="25.05" customHeight="1">
      <c r="A21" s="48">
        <v>3</v>
      </c>
      <c r="B21" s="49">
        <v>41100</v>
      </c>
      <c r="C21" s="50" t="str">
        <f t="shared" si="0"/>
        <v>Julio</v>
      </c>
      <c r="D21" s="50" t="s">
        <v>275</v>
      </c>
      <c r="E21" s="50" t="s">
        <v>276</v>
      </c>
      <c r="F21" s="50" t="s">
        <v>283</v>
      </c>
      <c r="G21" s="51" t="s">
        <v>284</v>
      </c>
      <c r="H21" s="50" t="s">
        <v>282</v>
      </c>
      <c r="I21" s="52">
        <v>12</v>
      </c>
      <c r="J21" s="50">
        <v>30</v>
      </c>
      <c r="K21" s="53">
        <f t="shared" si="1"/>
        <v>360</v>
      </c>
      <c r="L21" s="54">
        <f t="shared" si="2"/>
        <v>14.4</v>
      </c>
    </row>
    <row r="22" spans="1:12" s="37" customFormat="1" ht="25.05" customHeight="1">
      <c r="A22" s="48">
        <v>4</v>
      </c>
      <c r="B22" s="49">
        <v>41110</v>
      </c>
      <c r="C22" s="50" t="str">
        <f t="shared" si="0"/>
        <v>Julio</v>
      </c>
      <c r="D22" s="50" t="s">
        <v>275</v>
      </c>
      <c r="E22" s="50" t="s">
        <v>293</v>
      </c>
      <c r="F22" s="50" t="s">
        <v>288</v>
      </c>
      <c r="G22" s="51" t="s">
        <v>289</v>
      </c>
      <c r="H22" s="50" t="s">
        <v>282</v>
      </c>
      <c r="I22" s="52">
        <v>15</v>
      </c>
      <c r="J22" s="50">
        <v>40</v>
      </c>
      <c r="K22" s="53">
        <f t="shared" si="1"/>
        <v>600</v>
      </c>
      <c r="L22" s="54">
        <f t="shared" si="2"/>
        <v>24</v>
      </c>
    </row>
    <row r="23" spans="1:12" s="37" customFormat="1" ht="25.05" customHeight="1">
      <c r="A23" s="48">
        <v>4</v>
      </c>
      <c r="B23" s="49">
        <v>41110</v>
      </c>
      <c r="C23" s="50" t="str">
        <f t="shared" si="0"/>
        <v>Julio</v>
      </c>
      <c r="D23" s="50" t="s">
        <v>275</v>
      </c>
      <c r="E23" s="50" t="s">
        <v>293</v>
      </c>
      <c r="F23" s="50" t="s">
        <v>277</v>
      </c>
      <c r="G23" s="51" t="s">
        <v>278</v>
      </c>
      <c r="H23" s="50" t="s">
        <v>279</v>
      </c>
      <c r="I23" s="52">
        <v>3</v>
      </c>
      <c r="J23" s="50">
        <v>30</v>
      </c>
      <c r="K23" s="53">
        <f t="shared" si="1"/>
        <v>90</v>
      </c>
      <c r="L23" s="54">
        <f t="shared" si="2"/>
        <v>3.6</v>
      </c>
    </row>
    <row r="24" spans="1:12" s="37" customFormat="1" ht="25.05" customHeight="1">
      <c r="A24" s="48">
        <v>4</v>
      </c>
      <c r="B24" s="49">
        <v>41110</v>
      </c>
      <c r="C24" s="50" t="str">
        <f t="shared" si="0"/>
        <v>Julio</v>
      </c>
      <c r="D24" s="50" t="s">
        <v>275</v>
      </c>
      <c r="E24" s="50" t="s">
        <v>293</v>
      </c>
      <c r="F24" s="50" t="s">
        <v>283</v>
      </c>
      <c r="G24" s="51" t="s">
        <v>284</v>
      </c>
      <c r="H24" s="50" t="s">
        <v>282</v>
      </c>
      <c r="I24" s="52">
        <v>12</v>
      </c>
      <c r="J24" s="50">
        <v>30</v>
      </c>
      <c r="K24" s="53">
        <f t="shared" si="1"/>
        <v>360</v>
      </c>
      <c r="L24" s="54">
        <f t="shared" si="2"/>
        <v>14.4</v>
      </c>
    </row>
    <row r="25" spans="1:12" s="37" customFormat="1" ht="25.05" customHeight="1">
      <c r="A25" s="48">
        <v>4</v>
      </c>
      <c r="B25" s="49">
        <v>41110</v>
      </c>
      <c r="C25" s="50" t="str">
        <f t="shared" si="0"/>
        <v>Julio</v>
      </c>
      <c r="D25" s="50" t="s">
        <v>275</v>
      </c>
      <c r="E25" s="50" t="s">
        <v>293</v>
      </c>
      <c r="F25" s="50" t="s">
        <v>290</v>
      </c>
      <c r="G25" s="51" t="s">
        <v>291</v>
      </c>
      <c r="H25" s="50" t="s">
        <v>292</v>
      </c>
      <c r="I25" s="52">
        <v>25</v>
      </c>
      <c r="J25" s="50">
        <v>30</v>
      </c>
      <c r="K25" s="53">
        <f t="shared" si="1"/>
        <v>750</v>
      </c>
      <c r="L25" s="54">
        <f t="shared" si="2"/>
        <v>30</v>
      </c>
    </row>
    <row r="26" spans="1:12" s="37" customFormat="1" ht="25.05" customHeight="1">
      <c r="A26" s="48">
        <v>4</v>
      </c>
      <c r="B26" s="49">
        <v>41110</v>
      </c>
      <c r="C26" s="50" t="str">
        <f t="shared" si="0"/>
        <v>Julio</v>
      </c>
      <c r="D26" s="50" t="s">
        <v>275</v>
      </c>
      <c r="E26" s="50" t="s">
        <v>293</v>
      </c>
      <c r="F26" s="50" t="s">
        <v>285</v>
      </c>
      <c r="G26" s="51" t="s">
        <v>286</v>
      </c>
      <c r="H26" s="50" t="s">
        <v>287</v>
      </c>
      <c r="I26" s="52">
        <v>2.5</v>
      </c>
      <c r="J26" s="50">
        <v>20</v>
      </c>
      <c r="K26" s="53">
        <f t="shared" si="1"/>
        <v>50</v>
      </c>
      <c r="L26" s="54">
        <f t="shared" si="2"/>
        <v>1.5</v>
      </c>
    </row>
    <row r="27" spans="1:12" s="37" customFormat="1" ht="25.05" customHeight="1">
      <c r="A27" s="48">
        <v>4</v>
      </c>
      <c r="B27" s="49">
        <v>41110</v>
      </c>
      <c r="C27" s="50" t="str">
        <f t="shared" si="0"/>
        <v>Julio</v>
      </c>
      <c r="D27" s="50" t="s">
        <v>275</v>
      </c>
      <c r="E27" s="50" t="s">
        <v>293</v>
      </c>
      <c r="F27" s="50" t="s">
        <v>280</v>
      </c>
      <c r="G27" s="51" t="s">
        <v>281</v>
      </c>
      <c r="H27" s="50" t="s">
        <v>282</v>
      </c>
      <c r="I27" s="52">
        <v>10</v>
      </c>
      <c r="J27" s="50">
        <v>20</v>
      </c>
      <c r="K27" s="53">
        <f t="shared" si="1"/>
        <v>200</v>
      </c>
      <c r="L27" s="54">
        <f t="shared" si="2"/>
        <v>6</v>
      </c>
    </row>
    <row r="28" spans="1:12" s="37" customFormat="1" ht="25.05" customHeight="1">
      <c r="A28" s="48">
        <v>5</v>
      </c>
      <c r="B28" s="49">
        <v>41120</v>
      </c>
      <c r="C28" s="50" t="str">
        <f t="shared" si="0"/>
        <v>Julio</v>
      </c>
      <c r="D28" s="50" t="s">
        <v>275</v>
      </c>
      <c r="E28" s="50" t="s">
        <v>276</v>
      </c>
      <c r="F28" s="50" t="s">
        <v>283</v>
      </c>
      <c r="G28" s="51" t="s">
        <v>284</v>
      </c>
      <c r="H28" s="50" t="s">
        <v>282</v>
      </c>
      <c r="I28" s="52">
        <v>12</v>
      </c>
      <c r="J28" s="50">
        <v>40</v>
      </c>
      <c r="K28" s="53">
        <f t="shared" si="1"/>
        <v>480</v>
      </c>
      <c r="L28" s="54">
        <f t="shared" si="2"/>
        <v>19.2</v>
      </c>
    </row>
    <row r="29" spans="1:12" s="37" customFormat="1" ht="25.05" customHeight="1">
      <c r="A29" s="48">
        <v>5</v>
      </c>
      <c r="B29" s="49">
        <v>41120</v>
      </c>
      <c r="C29" s="50" t="str">
        <f t="shared" si="0"/>
        <v>Julio</v>
      </c>
      <c r="D29" s="50" t="s">
        <v>275</v>
      </c>
      <c r="E29" s="50" t="s">
        <v>276</v>
      </c>
      <c r="F29" s="50" t="s">
        <v>277</v>
      </c>
      <c r="G29" s="51" t="s">
        <v>278</v>
      </c>
      <c r="H29" s="50" t="s">
        <v>279</v>
      </c>
      <c r="I29" s="52">
        <v>3</v>
      </c>
      <c r="J29" s="50">
        <v>30</v>
      </c>
      <c r="K29" s="53">
        <f t="shared" si="1"/>
        <v>90</v>
      </c>
      <c r="L29" s="54">
        <f t="shared" si="2"/>
        <v>3.6</v>
      </c>
    </row>
    <row r="30" spans="1:12" s="37" customFormat="1" ht="25.05" customHeight="1">
      <c r="A30" s="48">
        <v>5</v>
      </c>
      <c r="B30" s="49">
        <v>41120</v>
      </c>
      <c r="C30" s="50" t="str">
        <f t="shared" si="0"/>
        <v>Julio</v>
      </c>
      <c r="D30" s="50" t="s">
        <v>275</v>
      </c>
      <c r="E30" s="50" t="s">
        <v>276</v>
      </c>
      <c r="F30" s="50" t="s">
        <v>280</v>
      </c>
      <c r="G30" s="51" t="s">
        <v>281</v>
      </c>
      <c r="H30" s="50" t="s">
        <v>282</v>
      </c>
      <c r="I30" s="52">
        <v>10</v>
      </c>
      <c r="J30" s="50">
        <v>30</v>
      </c>
      <c r="K30" s="53">
        <f t="shared" si="1"/>
        <v>300</v>
      </c>
      <c r="L30" s="54">
        <f t="shared" si="2"/>
        <v>12</v>
      </c>
    </row>
    <row r="31" spans="1:12" s="37" customFormat="1" ht="25.05" customHeight="1">
      <c r="A31" s="48">
        <v>5</v>
      </c>
      <c r="B31" s="49">
        <v>41120</v>
      </c>
      <c r="C31" s="50" t="str">
        <f t="shared" si="0"/>
        <v>Julio</v>
      </c>
      <c r="D31" s="50" t="s">
        <v>275</v>
      </c>
      <c r="E31" s="50" t="s">
        <v>276</v>
      </c>
      <c r="F31" s="50" t="s">
        <v>290</v>
      </c>
      <c r="G31" s="51" t="s">
        <v>291</v>
      </c>
      <c r="H31" s="50" t="s">
        <v>292</v>
      </c>
      <c r="I31" s="52">
        <v>25</v>
      </c>
      <c r="J31" s="50">
        <v>30</v>
      </c>
      <c r="K31" s="53">
        <f t="shared" si="1"/>
        <v>750</v>
      </c>
      <c r="L31" s="54">
        <f t="shared" si="2"/>
        <v>30</v>
      </c>
    </row>
    <row r="32" spans="1:12" s="37" customFormat="1" ht="25.05" customHeight="1">
      <c r="A32" s="48">
        <v>5</v>
      </c>
      <c r="B32" s="49">
        <v>41120</v>
      </c>
      <c r="C32" s="50" t="str">
        <f t="shared" si="0"/>
        <v>Julio</v>
      </c>
      <c r="D32" s="50" t="s">
        <v>275</v>
      </c>
      <c r="E32" s="50" t="s">
        <v>276</v>
      </c>
      <c r="F32" s="50" t="s">
        <v>285</v>
      </c>
      <c r="G32" s="51" t="s">
        <v>286</v>
      </c>
      <c r="H32" s="50" t="s">
        <v>287</v>
      </c>
      <c r="I32" s="52">
        <v>2.5</v>
      </c>
      <c r="J32" s="50">
        <v>20</v>
      </c>
      <c r="K32" s="53">
        <f t="shared" si="1"/>
        <v>50</v>
      </c>
      <c r="L32" s="54">
        <f t="shared" si="2"/>
        <v>1.5</v>
      </c>
    </row>
    <row r="33" spans="1:12" s="37" customFormat="1" ht="25.05" customHeight="1">
      <c r="A33" s="48">
        <v>5</v>
      </c>
      <c r="B33" s="49">
        <v>41120</v>
      </c>
      <c r="C33" s="50" t="str">
        <f t="shared" si="0"/>
        <v>Julio</v>
      </c>
      <c r="D33" s="50" t="s">
        <v>275</v>
      </c>
      <c r="E33" s="50" t="s">
        <v>276</v>
      </c>
      <c r="F33" s="50" t="s">
        <v>288</v>
      </c>
      <c r="G33" s="51" t="s">
        <v>289</v>
      </c>
      <c r="H33" s="50" t="s">
        <v>282</v>
      </c>
      <c r="I33" s="52">
        <v>15</v>
      </c>
      <c r="J33" s="50">
        <v>20</v>
      </c>
      <c r="K33" s="53">
        <f t="shared" si="1"/>
        <v>300</v>
      </c>
      <c r="L33" s="54">
        <f t="shared" si="2"/>
        <v>9</v>
      </c>
    </row>
    <row r="34" spans="1:12" s="37" customFormat="1" ht="25.05" customHeight="1">
      <c r="A34" s="48">
        <v>6</v>
      </c>
      <c r="B34" s="49">
        <v>41130</v>
      </c>
      <c r="C34" s="50" t="str">
        <f t="shared" si="0"/>
        <v>Agosto</v>
      </c>
      <c r="D34" s="50" t="s">
        <v>275</v>
      </c>
      <c r="E34" s="50" t="s">
        <v>293</v>
      </c>
      <c r="F34" s="50" t="s">
        <v>283</v>
      </c>
      <c r="G34" s="51" t="s">
        <v>284</v>
      </c>
      <c r="H34" s="50" t="s">
        <v>282</v>
      </c>
      <c r="I34" s="52">
        <v>12</v>
      </c>
      <c r="J34" s="50">
        <v>30</v>
      </c>
      <c r="K34" s="53">
        <f t="shared" si="1"/>
        <v>360</v>
      </c>
      <c r="L34" s="54">
        <f t="shared" si="2"/>
        <v>14.4</v>
      </c>
    </row>
    <row r="35" spans="1:12" s="37" customFormat="1" ht="25.05" customHeight="1">
      <c r="A35" s="48">
        <v>6</v>
      </c>
      <c r="B35" s="49">
        <v>41130</v>
      </c>
      <c r="C35" s="50" t="str">
        <f t="shared" si="0"/>
        <v>Agosto</v>
      </c>
      <c r="D35" s="50" t="s">
        <v>275</v>
      </c>
      <c r="E35" s="50" t="s">
        <v>293</v>
      </c>
      <c r="F35" s="50" t="s">
        <v>288</v>
      </c>
      <c r="G35" s="51" t="s">
        <v>289</v>
      </c>
      <c r="H35" s="50" t="s">
        <v>282</v>
      </c>
      <c r="I35" s="52">
        <v>15</v>
      </c>
      <c r="J35" s="50">
        <v>30</v>
      </c>
      <c r="K35" s="53">
        <f t="shared" si="1"/>
        <v>450</v>
      </c>
      <c r="L35" s="54">
        <f t="shared" si="2"/>
        <v>18</v>
      </c>
    </row>
    <row r="36" spans="1:12" s="37" customFormat="1" ht="25.05" customHeight="1">
      <c r="A36" s="48">
        <v>6</v>
      </c>
      <c r="B36" s="49">
        <v>41130</v>
      </c>
      <c r="C36" s="50" t="str">
        <f t="shared" si="0"/>
        <v>Agosto</v>
      </c>
      <c r="D36" s="50" t="s">
        <v>275</v>
      </c>
      <c r="E36" s="50" t="s">
        <v>293</v>
      </c>
      <c r="F36" s="50" t="s">
        <v>285</v>
      </c>
      <c r="G36" s="51" t="s">
        <v>286</v>
      </c>
      <c r="H36" s="50" t="s">
        <v>287</v>
      </c>
      <c r="I36" s="52">
        <v>2.5</v>
      </c>
      <c r="J36" s="50">
        <v>20</v>
      </c>
      <c r="K36" s="53">
        <f t="shared" si="1"/>
        <v>50</v>
      </c>
      <c r="L36" s="54">
        <f t="shared" si="2"/>
        <v>1.5</v>
      </c>
    </row>
    <row r="37" spans="1:12" s="37" customFormat="1" ht="25.05" customHeight="1">
      <c r="A37" s="48">
        <v>6</v>
      </c>
      <c r="B37" s="49">
        <v>41130</v>
      </c>
      <c r="C37" s="50" t="str">
        <f t="shared" si="0"/>
        <v>Agosto</v>
      </c>
      <c r="D37" s="50" t="s">
        <v>275</v>
      </c>
      <c r="E37" s="50" t="s">
        <v>293</v>
      </c>
      <c r="F37" s="50" t="s">
        <v>277</v>
      </c>
      <c r="G37" s="51" t="s">
        <v>278</v>
      </c>
      <c r="H37" s="50" t="s">
        <v>279</v>
      </c>
      <c r="I37" s="52">
        <v>3</v>
      </c>
      <c r="J37" s="50">
        <v>20</v>
      </c>
      <c r="K37" s="53">
        <f t="shared" si="1"/>
        <v>60</v>
      </c>
      <c r="L37" s="54">
        <f t="shared" si="2"/>
        <v>1.7999999999999998</v>
      </c>
    </row>
    <row r="38" spans="1:12" s="37" customFormat="1" ht="25.05" customHeight="1">
      <c r="A38" s="48">
        <v>6</v>
      </c>
      <c r="B38" s="49">
        <v>41130</v>
      </c>
      <c r="C38" s="50" t="str">
        <f t="shared" si="0"/>
        <v>Agosto</v>
      </c>
      <c r="D38" s="50" t="s">
        <v>275</v>
      </c>
      <c r="E38" s="50" t="s">
        <v>293</v>
      </c>
      <c r="F38" s="50" t="s">
        <v>280</v>
      </c>
      <c r="G38" s="51" t="s">
        <v>281</v>
      </c>
      <c r="H38" s="50" t="s">
        <v>282</v>
      </c>
      <c r="I38" s="52">
        <v>10</v>
      </c>
      <c r="J38" s="50">
        <v>20</v>
      </c>
      <c r="K38" s="53">
        <f t="shared" si="1"/>
        <v>200</v>
      </c>
      <c r="L38" s="54">
        <f t="shared" si="2"/>
        <v>6</v>
      </c>
    </row>
    <row r="39" spans="1:12" s="37" customFormat="1" ht="25.05" customHeight="1">
      <c r="A39" s="48">
        <v>6</v>
      </c>
      <c r="B39" s="49">
        <v>41130</v>
      </c>
      <c r="C39" s="50" t="str">
        <f t="shared" si="0"/>
        <v>Agosto</v>
      </c>
      <c r="D39" s="50" t="s">
        <v>275</v>
      </c>
      <c r="E39" s="50" t="s">
        <v>293</v>
      </c>
      <c r="F39" s="50" t="s">
        <v>290</v>
      </c>
      <c r="G39" s="51" t="s">
        <v>291</v>
      </c>
      <c r="H39" s="50" t="s">
        <v>292</v>
      </c>
      <c r="I39" s="52">
        <v>25</v>
      </c>
      <c r="J39" s="50">
        <v>20</v>
      </c>
      <c r="K39" s="53">
        <f t="shared" si="1"/>
        <v>500</v>
      </c>
      <c r="L39" s="54">
        <f t="shared" si="2"/>
        <v>15</v>
      </c>
    </row>
    <row r="40" spans="1:12" s="37" customFormat="1" ht="25.05" customHeight="1">
      <c r="A40" s="48">
        <v>7</v>
      </c>
      <c r="B40" s="49">
        <v>41140</v>
      </c>
      <c r="C40" s="50" t="str">
        <f t="shared" si="0"/>
        <v>Agosto</v>
      </c>
      <c r="D40" s="50" t="s">
        <v>275</v>
      </c>
      <c r="E40" s="50" t="s">
        <v>276</v>
      </c>
      <c r="F40" s="50" t="s">
        <v>285</v>
      </c>
      <c r="G40" s="51" t="s">
        <v>286</v>
      </c>
      <c r="H40" s="50" t="s">
        <v>287</v>
      </c>
      <c r="I40" s="52">
        <v>2.5</v>
      </c>
      <c r="J40" s="50">
        <v>40</v>
      </c>
      <c r="K40" s="53">
        <f t="shared" si="1"/>
        <v>100</v>
      </c>
      <c r="L40" s="54">
        <f t="shared" si="2"/>
        <v>4</v>
      </c>
    </row>
    <row r="41" spans="1:12" s="37" customFormat="1" ht="25.05" customHeight="1">
      <c r="A41" s="48">
        <v>7</v>
      </c>
      <c r="B41" s="49">
        <v>41140</v>
      </c>
      <c r="C41" s="50" t="str">
        <f t="shared" si="0"/>
        <v>Agosto</v>
      </c>
      <c r="D41" s="50" t="s">
        <v>275</v>
      </c>
      <c r="E41" s="50" t="s">
        <v>276</v>
      </c>
      <c r="F41" s="50" t="s">
        <v>277</v>
      </c>
      <c r="G41" s="51" t="s">
        <v>278</v>
      </c>
      <c r="H41" s="50" t="s">
        <v>279</v>
      </c>
      <c r="I41" s="52">
        <v>3</v>
      </c>
      <c r="J41" s="50">
        <v>30</v>
      </c>
      <c r="K41" s="53">
        <f t="shared" si="1"/>
        <v>90</v>
      </c>
      <c r="L41" s="54">
        <f t="shared" si="2"/>
        <v>3.6</v>
      </c>
    </row>
    <row r="42" spans="1:12" s="37" customFormat="1" ht="25.05" customHeight="1">
      <c r="A42" s="48">
        <v>7</v>
      </c>
      <c r="B42" s="49">
        <v>41140</v>
      </c>
      <c r="C42" s="50" t="str">
        <f t="shared" si="0"/>
        <v>Agosto</v>
      </c>
      <c r="D42" s="50" t="s">
        <v>275</v>
      </c>
      <c r="E42" s="50" t="s">
        <v>276</v>
      </c>
      <c r="F42" s="50" t="s">
        <v>283</v>
      </c>
      <c r="G42" s="51" t="s">
        <v>284</v>
      </c>
      <c r="H42" s="50" t="s">
        <v>282</v>
      </c>
      <c r="I42" s="52">
        <v>12</v>
      </c>
      <c r="J42" s="50">
        <v>30</v>
      </c>
      <c r="K42" s="53">
        <f t="shared" si="1"/>
        <v>360</v>
      </c>
      <c r="L42" s="54">
        <f t="shared" si="2"/>
        <v>14.4</v>
      </c>
    </row>
    <row r="43" spans="1:12" s="37" customFormat="1" ht="25.05" customHeight="1">
      <c r="A43" s="48">
        <v>7</v>
      </c>
      <c r="B43" s="49">
        <v>41140</v>
      </c>
      <c r="C43" s="50" t="str">
        <f t="shared" si="0"/>
        <v>Agosto</v>
      </c>
      <c r="D43" s="50" t="s">
        <v>275</v>
      </c>
      <c r="E43" s="50" t="s">
        <v>276</v>
      </c>
      <c r="F43" s="50" t="s">
        <v>290</v>
      </c>
      <c r="G43" s="51" t="s">
        <v>291</v>
      </c>
      <c r="H43" s="50" t="s">
        <v>292</v>
      </c>
      <c r="I43" s="52">
        <v>25</v>
      </c>
      <c r="J43" s="50">
        <v>30</v>
      </c>
      <c r="K43" s="53">
        <f t="shared" si="1"/>
        <v>750</v>
      </c>
      <c r="L43" s="54">
        <f t="shared" si="2"/>
        <v>30</v>
      </c>
    </row>
    <row r="44" spans="1:12" s="37" customFormat="1" ht="25.05" customHeight="1">
      <c r="A44" s="48">
        <v>7</v>
      </c>
      <c r="B44" s="49">
        <v>41140</v>
      </c>
      <c r="C44" s="50" t="str">
        <f t="shared" si="0"/>
        <v>Agosto</v>
      </c>
      <c r="D44" s="50" t="s">
        <v>275</v>
      </c>
      <c r="E44" s="50" t="s">
        <v>276</v>
      </c>
      <c r="F44" s="50" t="s">
        <v>280</v>
      </c>
      <c r="G44" s="51" t="s">
        <v>281</v>
      </c>
      <c r="H44" s="50" t="s">
        <v>282</v>
      </c>
      <c r="I44" s="52">
        <v>10</v>
      </c>
      <c r="J44" s="50">
        <v>20</v>
      </c>
      <c r="K44" s="53">
        <f t="shared" si="1"/>
        <v>200</v>
      </c>
      <c r="L44" s="54">
        <f t="shared" si="2"/>
        <v>6</v>
      </c>
    </row>
    <row r="45" spans="1:12" s="37" customFormat="1" ht="25.05" customHeight="1">
      <c r="A45" s="48">
        <v>7</v>
      </c>
      <c r="B45" s="49">
        <v>41140</v>
      </c>
      <c r="C45" s="50" t="str">
        <f t="shared" si="0"/>
        <v>Agosto</v>
      </c>
      <c r="D45" s="50" t="s">
        <v>275</v>
      </c>
      <c r="E45" s="50" t="s">
        <v>276</v>
      </c>
      <c r="F45" s="50" t="s">
        <v>288</v>
      </c>
      <c r="G45" s="51" t="s">
        <v>289</v>
      </c>
      <c r="H45" s="50" t="s">
        <v>282</v>
      </c>
      <c r="I45" s="52">
        <v>15</v>
      </c>
      <c r="J45" s="50">
        <v>20</v>
      </c>
      <c r="K45" s="53">
        <f t="shared" si="1"/>
        <v>300</v>
      </c>
      <c r="L45" s="54">
        <f t="shared" si="2"/>
        <v>9</v>
      </c>
    </row>
    <row r="46" spans="1:12" s="37" customFormat="1" ht="25.05" customHeight="1">
      <c r="A46" s="48">
        <v>8</v>
      </c>
      <c r="B46" s="49">
        <v>41150</v>
      </c>
      <c r="C46" s="50" t="str">
        <f t="shared" si="0"/>
        <v>Agosto</v>
      </c>
      <c r="D46" s="50" t="s">
        <v>275</v>
      </c>
      <c r="E46" s="50" t="s">
        <v>293</v>
      </c>
      <c r="F46" s="50" t="s">
        <v>283</v>
      </c>
      <c r="G46" s="51" t="s">
        <v>284</v>
      </c>
      <c r="H46" s="50" t="s">
        <v>282</v>
      </c>
      <c r="I46" s="52">
        <v>12</v>
      </c>
      <c r="J46" s="50">
        <v>50</v>
      </c>
      <c r="K46" s="53">
        <f t="shared" si="1"/>
        <v>600</v>
      </c>
      <c r="L46" s="54">
        <f t="shared" si="2"/>
        <v>24</v>
      </c>
    </row>
    <row r="47" spans="1:12" s="37" customFormat="1" ht="25.05" customHeight="1">
      <c r="A47" s="48">
        <v>8</v>
      </c>
      <c r="B47" s="49">
        <v>41150</v>
      </c>
      <c r="C47" s="50" t="str">
        <f t="shared" si="0"/>
        <v>Agosto</v>
      </c>
      <c r="D47" s="50" t="s">
        <v>275</v>
      </c>
      <c r="E47" s="50" t="s">
        <v>293</v>
      </c>
      <c r="F47" s="50" t="s">
        <v>280</v>
      </c>
      <c r="G47" s="51" t="s">
        <v>281</v>
      </c>
      <c r="H47" s="50" t="s">
        <v>282</v>
      </c>
      <c r="I47" s="52">
        <v>10</v>
      </c>
      <c r="J47" s="50">
        <v>40</v>
      </c>
      <c r="K47" s="53">
        <f t="shared" si="1"/>
        <v>400</v>
      </c>
      <c r="L47" s="54">
        <f t="shared" si="2"/>
        <v>16</v>
      </c>
    </row>
    <row r="48" spans="1:12" s="37" customFormat="1" ht="25.05" customHeight="1">
      <c r="A48" s="48">
        <v>8</v>
      </c>
      <c r="B48" s="49">
        <v>41150</v>
      </c>
      <c r="C48" s="50" t="str">
        <f t="shared" si="0"/>
        <v>Agosto</v>
      </c>
      <c r="D48" s="50" t="s">
        <v>275</v>
      </c>
      <c r="E48" s="50" t="s">
        <v>293</v>
      </c>
      <c r="F48" s="50" t="s">
        <v>290</v>
      </c>
      <c r="G48" s="51" t="s">
        <v>291</v>
      </c>
      <c r="H48" s="50" t="s">
        <v>292</v>
      </c>
      <c r="I48" s="52">
        <v>25</v>
      </c>
      <c r="J48" s="50">
        <v>40</v>
      </c>
      <c r="K48" s="53">
        <f t="shared" si="1"/>
        <v>1000</v>
      </c>
      <c r="L48" s="54">
        <f t="shared" si="2"/>
        <v>40</v>
      </c>
    </row>
    <row r="49" spans="1:12" s="37" customFormat="1" ht="25.05" customHeight="1">
      <c r="A49" s="48">
        <v>8</v>
      </c>
      <c r="B49" s="49">
        <v>41150</v>
      </c>
      <c r="C49" s="50" t="str">
        <f t="shared" si="0"/>
        <v>Agosto</v>
      </c>
      <c r="D49" s="50" t="s">
        <v>275</v>
      </c>
      <c r="E49" s="50" t="s">
        <v>293</v>
      </c>
      <c r="F49" s="50" t="s">
        <v>277</v>
      </c>
      <c r="G49" s="51" t="s">
        <v>278</v>
      </c>
      <c r="H49" s="50" t="s">
        <v>279</v>
      </c>
      <c r="I49" s="52">
        <v>3</v>
      </c>
      <c r="J49" s="50">
        <v>30</v>
      </c>
      <c r="K49" s="53">
        <f t="shared" si="1"/>
        <v>90</v>
      </c>
      <c r="L49" s="54">
        <f t="shared" si="2"/>
        <v>3.6</v>
      </c>
    </row>
    <row r="50" spans="1:12" s="37" customFormat="1" ht="25.05" customHeight="1">
      <c r="A50" s="48">
        <v>8</v>
      </c>
      <c r="B50" s="49">
        <v>41150</v>
      </c>
      <c r="C50" s="50" t="str">
        <f t="shared" si="0"/>
        <v>Agosto</v>
      </c>
      <c r="D50" s="50" t="s">
        <v>275</v>
      </c>
      <c r="E50" s="50" t="s">
        <v>293</v>
      </c>
      <c r="F50" s="50" t="s">
        <v>285</v>
      </c>
      <c r="G50" s="51" t="s">
        <v>286</v>
      </c>
      <c r="H50" s="50" t="s">
        <v>287</v>
      </c>
      <c r="I50" s="52">
        <v>2.5</v>
      </c>
      <c r="J50" s="50">
        <v>20</v>
      </c>
      <c r="K50" s="53">
        <f t="shared" si="1"/>
        <v>50</v>
      </c>
      <c r="L50" s="54">
        <f t="shared" si="2"/>
        <v>1.5</v>
      </c>
    </row>
    <row r="51" spans="1:12" s="37" customFormat="1" ht="25.05" customHeight="1">
      <c r="A51" s="48">
        <v>8</v>
      </c>
      <c r="B51" s="49">
        <v>41150</v>
      </c>
      <c r="C51" s="50" t="str">
        <f t="shared" si="0"/>
        <v>Agosto</v>
      </c>
      <c r="D51" s="50" t="s">
        <v>275</v>
      </c>
      <c r="E51" s="50" t="s">
        <v>293</v>
      </c>
      <c r="F51" s="50" t="s">
        <v>288</v>
      </c>
      <c r="G51" s="51" t="s">
        <v>289</v>
      </c>
      <c r="H51" s="50" t="s">
        <v>282</v>
      </c>
      <c r="I51" s="52">
        <v>15</v>
      </c>
      <c r="J51" s="50">
        <v>20</v>
      </c>
      <c r="K51" s="53">
        <f t="shared" si="1"/>
        <v>300</v>
      </c>
      <c r="L51" s="54">
        <f t="shared" si="2"/>
        <v>9</v>
      </c>
    </row>
    <row r="52" spans="1:12" s="37" customFormat="1" ht="25.05" customHeight="1">
      <c r="A52" s="48">
        <v>9</v>
      </c>
      <c r="B52" s="49">
        <v>41160</v>
      </c>
      <c r="C52" s="50" t="str">
        <f t="shared" si="0"/>
        <v>Setiembre</v>
      </c>
      <c r="D52" s="50" t="s">
        <v>294</v>
      </c>
      <c r="E52" s="50" t="s">
        <v>295</v>
      </c>
      <c r="F52" s="50" t="s">
        <v>280</v>
      </c>
      <c r="G52" s="51" t="s">
        <v>281</v>
      </c>
      <c r="H52" s="50" t="s">
        <v>282</v>
      </c>
      <c r="I52" s="52">
        <v>10</v>
      </c>
      <c r="J52" s="50">
        <v>40</v>
      </c>
      <c r="K52" s="53">
        <f t="shared" si="1"/>
        <v>400</v>
      </c>
      <c r="L52" s="54">
        <f t="shared" si="2"/>
        <v>16</v>
      </c>
    </row>
    <row r="53" spans="1:12" s="37" customFormat="1" ht="25.05" customHeight="1">
      <c r="A53" s="48">
        <v>9</v>
      </c>
      <c r="B53" s="49">
        <v>41160</v>
      </c>
      <c r="C53" s="50" t="str">
        <f t="shared" si="0"/>
        <v>Setiembre</v>
      </c>
      <c r="D53" s="50" t="s">
        <v>294</v>
      </c>
      <c r="E53" s="50" t="s">
        <v>295</v>
      </c>
      <c r="F53" s="50" t="s">
        <v>277</v>
      </c>
      <c r="G53" s="51" t="s">
        <v>278</v>
      </c>
      <c r="H53" s="50" t="s">
        <v>279</v>
      </c>
      <c r="I53" s="52">
        <v>3</v>
      </c>
      <c r="J53" s="50">
        <v>30</v>
      </c>
      <c r="K53" s="53">
        <f t="shared" si="1"/>
        <v>90</v>
      </c>
      <c r="L53" s="54">
        <f t="shared" si="2"/>
        <v>3.6</v>
      </c>
    </row>
    <row r="54" spans="1:12" s="37" customFormat="1" ht="25.05" customHeight="1">
      <c r="A54" s="48">
        <v>9</v>
      </c>
      <c r="B54" s="49">
        <v>41160</v>
      </c>
      <c r="C54" s="50" t="str">
        <f t="shared" si="0"/>
        <v>Setiembre</v>
      </c>
      <c r="D54" s="50" t="s">
        <v>294</v>
      </c>
      <c r="E54" s="50" t="s">
        <v>295</v>
      </c>
      <c r="F54" s="50" t="s">
        <v>283</v>
      </c>
      <c r="G54" s="51" t="s">
        <v>284</v>
      </c>
      <c r="H54" s="50" t="s">
        <v>282</v>
      </c>
      <c r="I54" s="52">
        <v>12</v>
      </c>
      <c r="J54" s="50">
        <v>30</v>
      </c>
      <c r="K54" s="53">
        <f t="shared" si="1"/>
        <v>360</v>
      </c>
      <c r="L54" s="54">
        <f t="shared" si="2"/>
        <v>14.4</v>
      </c>
    </row>
    <row r="55" spans="1:12" s="37" customFormat="1" ht="25.05" customHeight="1">
      <c r="A55" s="48">
        <v>9</v>
      </c>
      <c r="B55" s="49">
        <v>41160</v>
      </c>
      <c r="C55" s="50" t="str">
        <f t="shared" si="0"/>
        <v>Setiembre</v>
      </c>
      <c r="D55" s="50" t="s">
        <v>294</v>
      </c>
      <c r="E55" s="50" t="s">
        <v>295</v>
      </c>
      <c r="F55" s="50" t="s">
        <v>290</v>
      </c>
      <c r="G55" s="51" t="s">
        <v>291</v>
      </c>
      <c r="H55" s="50" t="s">
        <v>292</v>
      </c>
      <c r="I55" s="52">
        <v>25</v>
      </c>
      <c r="J55" s="50">
        <v>30</v>
      </c>
      <c r="K55" s="53">
        <f t="shared" si="1"/>
        <v>750</v>
      </c>
      <c r="L55" s="54">
        <f t="shared" si="2"/>
        <v>30</v>
      </c>
    </row>
    <row r="56" spans="1:12" s="37" customFormat="1" ht="25.05" customHeight="1">
      <c r="A56" s="48">
        <v>9</v>
      </c>
      <c r="B56" s="49">
        <v>41160</v>
      </c>
      <c r="C56" s="50" t="str">
        <f t="shared" si="0"/>
        <v>Setiembre</v>
      </c>
      <c r="D56" s="50" t="s">
        <v>294</v>
      </c>
      <c r="E56" s="50" t="s">
        <v>295</v>
      </c>
      <c r="F56" s="50" t="s">
        <v>285</v>
      </c>
      <c r="G56" s="51" t="s">
        <v>286</v>
      </c>
      <c r="H56" s="50" t="s">
        <v>287</v>
      </c>
      <c r="I56" s="52">
        <v>2.5</v>
      </c>
      <c r="J56" s="50">
        <v>20</v>
      </c>
      <c r="K56" s="53">
        <f t="shared" si="1"/>
        <v>50</v>
      </c>
      <c r="L56" s="54">
        <f t="shared" si="2"/>
        <v>1.5</v>
      </c>
    </row>
    <row r="57" spans="1:12" s="37" customFormat="1" ht="25.05" customHeight="1">
      <c r="A57" s="48">
        <v>9</v>
      </c>
      <c r="B57" s="49">
        <v>41160</v>
      </c>
      <c r="C57" s="50" t="str">
        <f t="shared" si="0"/>
        <v>Setiembre</v>
      </c>
      <c r="D57" s="50" t="s">
        <v>294</v>
      </c>
      <c r="E57" s="50" t="s">
        <v>295</v>
      </c>
      <c r="F57" s="50" t="s">
        <v>288</v>
      </c>
      <c r="G57" s="51" t="s">
        <v>289</v>
      </c>
      <c r="H57" s="50" t="s">
        <v>282</v>
      </c>
      <c r="I57" s="52">
        <v>15</v>
      </c>
      <c r="J57" s="50">
        <v>20</v>
      </c>
      <c r="K57" s="53">
        <f t="shared" si="1"/>
        <v>300</v>
      </c>
      <c r="L57" s="54">
        <f t="shared" si="2"/>
        <v>9</v>
      </c>
    </row>
    <row r="58" spans="1:12" s="37" customFormat="1" ht="25.05" customHeight="1">
      <c r="A58" s="48">
        <v>10</v>
      </c>
      <c r="B58" s="49">
        <v>41170</v>
      </c>
      <c r="C58" s="50" t="str">
        <f t="shared" si="0"/>
        <v>Setiembre</v>
      </c>
      <c r="D58" s="50" t="s">
        <v>294</v>
      </c>
      <c r="E58" s="50" t="s">
        <v>296</v>
      </c>
      <c r="F58" s="50" t="s">
        <v>277</v>
      </c>
      <c r="G58" s="51" t="s">
        <v>278</v>
      </c>
      <c r="H58" s="50" t="s">
        <v>279</v>
      </c>
      <c r="I58" s="52">
        <v>3</v>
      </c>
      <c r="J58" s="50">
        <v>40</v>
      </c>
      <c r="K58" s="53">
        <f t="shared" si="1"/>
        <v>120</v>
      </c>
      <c r="L58" s="54">
        <f t="shared" si="2"/>
        <v>4.8</v>
      </c>
    </row>
    <row r="59" spans="1:12" s="37" customFormat="1" ht="25.05" customHeight="1">
      <c r="A59" s="48">
        <v>10</v>
      </c>
      <c r="B59" s="49">
        <v>41170</v>
      </c>
      <c r="C59" s="50" t="str">
        <f t="shared" si="0"/>
        <v>Setiembre</v>
      </c>
      <c r="D59" s="50" t="s">
        <v>294</v>
      </c>
      <c r="E59" s="50" t="s">
        <v>296</v>
      </c>
      <c r="F59" s="50" t="s">
        <v>288</v>
      </c>
      <c r="G59" s="51" t="s">
        <v>289</v>
      </c>
      <c r="H59" s="50" t="s">
        <v>282</v>
      </c>
      <c r="I59" s="52">
        <v>15</v>
      </c>
      <c r="J59" s="50">
        <v>40</v>
      </c>
      <c r="K59" s="53">
        <f t="shared" si="1"/>
        <v>600</v>
      </c>
      <c r="L59" s="54">
        <f t="shared" si="2"/>
        <v>24</v>
      </c>
    </row>
    <row r="60" spans="1:12" s="37" customFormat="1" ht="25.05" customHeight="1">
      <c r="A60" s="48">
        <v>10</v>
      </c>
      <c r="B60" s="49">
        <v>41170</v>
      </c>
      <c r="C60" s="50" t="str">
        <f t="shared" si="0"/>
        <v>Setiembre</v>
      </c>
      <c r="D60" s="50" t="s">
        <v>294</v>
      </c>
      <c r="E60" s="50" t="s">
        <v>296</v>
      </c>
      <c r="F60" s="50" t="s">
        <v>290</v>
      </c>
      <c r="G60" s="51" t="s">
        <v>291</v>
      </c>
      <c r="H60" s="50" t="s">
        <v>292</v>
      </c>
      <c r="I60" s="52">
        <v>25</v>
      </c>
      <c r="J60" s="50">
        <v>40</v>
      </c>
      <c r="K60" s="53">
        <f t="shared" si="1"/>
        <v>1000</v>
      </c>
      <c r="L60" s="54">
        <f t="shared" si="2"/>
        <v>40</v>
      </c>
    </row>
    <row r="61" spans="1:12" s="37" customFormat="1" ht="25.05" customHeight="1">
      <c r="A61" s="48">
        <v>10</v>
      </c>
      <c r="B61" s="49">
        <v>41170</v>
      </c>
      <c r="C61" s="50" t="str">
        <f t="shared" si="0"/>
        <v>Setiembre</v>
      </c>
      <c r="D61" s="50" t="s">
        <v>294</v>
      </c>
      <c r="E61" s="50" t="s">
        <v>296</v>
      </c>
      <c r="F61" s="50" t="s">
        <v>285</v>
      </c>
      <c r="G61" s="51" t="s">
        <v>286</v>
      </c>
      <c r="H61" s="50" t="s">
        <v>287</v>
      </c>
      <c r="I61" s="52">
        <v>2.5</v>
      </c>
      <c r="J61" s="50">
        <v>30</v>
      </c>
      <c r="K61" s="53">
        <f t="shared" si="1"/>
        <v>75</v>
      </c>
      <c r="L61" s="54">
        <f t="shared" si="2"/>
        <v>3</v>
      </c>
    </row>
    <row r="62" spans="1:12" s="37" customFormat="1" ht="25.05" customHeight="1">
      <c r="A62" s="48">
        <v>10</v>
      </c>
      <c r="B62" s="49">
        <v>41170</v>
      </c>
      <c r="C62" s="50" t="str">
        <f t="shared" si="0"/>
        <v>Setiembre</v>
      </c>
      <c r="D62" s="50" t="s">
        <v>294</v>
      </c>
      <c r="E62" s="50" t="s">
        <v>296</v>
      </c>
      <c r="F62" s="50" t="s">
        <v>283</v>
      </c>
      <c r="G62" s="51" t="s">
        <v>284</v>
      </c>
      <c r="H62" s="50" t="s">
        <v>282</v>
      </c>
      <c r="I62" s="52">
        <v>12</v>
      </c>
      <c r="J62" s="50">
        <v>30</v>
      </c>
      <c r="K62" s="53">
        <f t="shared" si="1"/>
        <v>360</v>
      </c>
      <c r="L62" s="54">
        <f t="shared" si="2"/>
        <v>14.4</v>
      </c>
    </row>
    <row r="63" spans="1:12" s="37" customFormat="1" ht="25.05" customHeight="1">
      <c r="A63" s="48">
        <v>10</v>
      </c>
      <c r="B63" s="49">
        <v>41170</v>
      </c>
      <c r="C63" s="50" t="str">
        <f t="shared" si="0"/>
        <v>Setiembre</v>
      </c>
      <c r="D63" s="50" t="s">
        <v>294</v>
      </c>
      <c r="E63" s="50" t="s">
        <v>296</v>
      </c>
      <c r="F63" s="50" t="s">
        <v>280</v>
      </c>
      <c r="G63" s="51" t="s">
        <v>281</v>
      </c>
      <c r="H63" s="50" t="s">
        <v>282</v>
      </c>
      <c r="I63" s="52">
        <v>10</v>
      </c>
      <c r="J63" s="50">
        <v>20</v>
      </c>
      <c r="K63" s="53">
        <f t="shared" si="1"/>
        <v>200</v>
      </c>
      <c r="L63" s="54">
        <f t="shared" si="2"/>
        <v>6</v>
      </c>
    </row>
    <row r="64" spans="1:12" s="37" customFormat="1" ht="25.05" customHeight="1">
      <c r="A64" s="48">
        <v>11</v>
      </c>
      <c r="B64" s="49">
        <v>41180</v>
      </c>
      <c r="C64" s="50" t="str">
        <f t="shared" si="0"/>
        <v>Setiembre</v>
      </c>
      <c r="D64" s="50" t="s">
        <v>294</v>
      </c>
      <c r="E64" s="50" t="s">
        <v>295</v>
      </c>
      <c r="F64" s="50" t="s">
        <v>277</v>
      </c>
      <c r="G64" s="51" t="s">
        <v>278</v>
      </c>
      <c r="H64" s="50" t="s">
        <v>279</v>
      </c>
      <c r="I64" s="52">
        <v>3</v>
      </c>
      <c r="J64" s="50">
        <v>40</v>
      </c>
      <c r="K64" s="53">
        <f t="shared" si="1"/>
        <v>120</v>
      </c>
      <c r="L64" s="54">
        <f t="shared" si="2"/>
        <v>4.8</v>
      </c>
    </row>
    <row r="65" spans="1:12" s="37" customFormat="1" ht="25.05" customHeight="1">
      <c r="A65" s="48">
        <v>11</v>
      </c>
      <c r="B65" s="49">
        <v>41180</v>
      </c>
      <c r="C65" s="50" t="str">
        <f t="shared" si="0"/>
        <v>Setiembre</v>
      </c>
      <c r="D65" s="50" t="s">
        <v>294</v>
      </c>
      <c r="E65" s="50" t="s">
        <v>295</v>
      </c>
      <c r="F65" s="50" t="s">
        <v>288</v>
      </c>
      <c r="G65" s="51" t="s">
        <v>289</v>
      </c>
      <c r="H65" s="50" t="s">
        <v>282</v>
      </c>
      <c r="I65" s="52">
        <v>15</v>
      </c>
      <c r="J65" s="50">
        <v>40</v>
      </c>
      <c r="K65" s="53">
        <f t="shared" si="1"/>
        <v>600</v>
      </c>
      <c r="L65" s="54">
        <f t="shared" si="2"/>
        <v>24</v>
      </c>
    </row>
    <row r="66" spans="1:12" s="37" customFormat="1" ht="25.05" customHeight="1">
      <c r="A66" s="48">
        <v>11</v>
      </c>
      <c r="B66" s="49">
        <v>41180</v>
      </c>
      <c r="C66" s="50" t="str">
        <f t="shared" si="0"/>
        <v>Setiembre</v>
      </c>
      <c r="D66" s="50" t="s">
        <v>294</v>
      </c>
      <c r="E66" s="50" t="s">
        <v>295</v>
      </c>
      <c r="F66" s="50" t="s">
        <v>285</v>
      </c>
      <c r="G66" s="51" t="s">
        <v>286</v>
      </c>
      <c r="H66" s="50" t="s">
        <v>287</v>
      </c>
      <c r="I66" s="52">
        <v>2.5</v>
      </c>
      <c r="J66" s="50">
        <v>30</v>
      </c>
      <c r="K66" s="53">
        <f t="shared" si="1"/>
        <v>75</v>
      </c>
      <c r="L66" s="54">
        <f t="shared" si="2"/>
        <v>3</v>
      </c>
    </row>
    <row r="67" spans="1:12" s="37" customFormat="1" ht="25.05" customHeight="1">
      <c r="A67" s="48">
        <v>11</v>
      </c>
      <c r="B67" s="49">
        <v>41180</v>
      </c>
      <c r="C67" s="50" t="str">
        <f t="shared" si="0"/>
        <v>Setiembre</v>
      </c>
      <c r="D67" s="50" t="s">
        <v>294</v>
      </c>
      <c r="E67" s="50" t="s">
        <v>295</v>
      </c>
      <c r="F67" s="50" t="s">
        <v>283</v>
      </c>
      <c r="G67" s="51" t="s">
        <v>284</v>
      </c>
      <c r="H67" s="50" t="s">
        <v>282</v>
      </c>
      <c r="I67" s="52">
        <v>12</v>
      </c>
      <c r="J67" s="50">
        <v>30</v>
      </c>
      <c r="K67" s="53">
        <f t="shared" si="1"/>
        <v>360</v>
      </c>
      <c r="L67" s="54">
        <f t="shared" si="2"/>
        <v>14.4</v>
      </c>
    </row>
    <row r="68" spans="1:12" s="37" customFormat="1" ht="25.05" customHeight="1">
      <c r="A68" s="48">
        <v>11</v>
      </c>
      <c r="B68" s="49">
        <v>41180</v>
      </c>
      <c r="C68" s="50" t="str">
        <f t="shared" ref="C68:C131" si="3">TEXT(B68,"Mmmm")</f>
        <v>Setiembre</v>
      </c>
      <c r="D68" s="50" t="s">
        <v>294</v>
      </c>
      <c r="E68" s="50" t="s">
        <v>295</v>
      </c>
      <c r="F68" s="50" t="s">
        <v>290</v>
      </c>
      <c r="G68" s="51" t="s">
        <v>291</v>
      </c>
      <c r="H68" s="50" t="s">
        <v>292</v>
      </c>
      <c r="I68" s="52">
        <v>25</v>
      </c>
      <c r="J68" s="50">
        <v>30</v>
      </c>
      <c r="K68" s="53">
        <f t="shared" ref="K68:K131" si="4">I68*J68</f>
        <v>750</v>
      </c>
      <c r="L68" s="54">
        <f t="shared" ref="L68:L131" si="5">IF(J68&gt;=30,K68*4%,K68*3%)</f>
        <v>30</v>
      </c>
    </row>
    <row r="69" spans="1:12" s="37" customFormat="1" ht="25.05" customHeight="1">
      <c r="A69" s="48">
        <v>11</v>
      </c>
      <c r="B69" s="49">
        <v>41180</v>
      </c>
      <c r="C69" s="50" t="str">
        <f t="shared" si="3"/>
        <v>Setiembre</v>
      </c>
      <c r="D69" s="50" t="s">
        <v>294</v>
      </c>
      <c r="E69" s="50" t="s">
        <v>295</v>
      </c>
      <c r="F69" s="50" t="s">
        <v>280</v>
      </c>
      <c r="G69" s="51" t="s">
        <v>281</v>
      </c>
      <c r="H69" s="50" t="s">
        <v>282</v>
      </c>
      <c r="I69" s="52">
        <v>10</v>
      </c>
      <c r="J69" s="50">
        <v>20</v>
      </c>
      <c r="K69" s="53">
        <f t="shared" si="4"/>
        <v>200</v>
      </c>
      <c r="L69" s="54">
        <f t="shared" si="5"/>
        <v>6</v>
      </c>
    </row>
    <row r="70" spans="1:12" s="37" customFormat="1" ht="25.05" customHeight="1">
      <c r="A70" s="48">
        <v>12</v>
      </c>
      <c r="B70" s="49">
        <v>41190</v>
      </c>
      <c r="C70" s="50" t="str">
        <f t="shared" si="3"/>
        <v>Octubre</v>
      </c>
      <c r="D70" s="50" t="s">
        <v>294</v>
      </c>
      <c r="E70" s="50" t="s">
        <v>296</v>
      </c>
      <c r="F70" s="50" t="s">
        <v>288</v>
      </c>
      <c r="G70" s="51" t="s">
        <v>289</v>
      </c>
      <c r="H70" s="50" t="s">
        <v>282</v>
      </c>
      <c r="I70" s="52">
        <v>15</v>
      </c>
      <c r="J70" s="50">
        <v>60</v>
      </c>
      <c r="K70" s="53">
        <f t="shared" si="4"/>
        <v>900</v>
      </c>
      <c r="L70" s="54">
        <f t="shared" si="5"/>
        <v>36</v>
      </c>
    </row>
    <row r="71" spans="1:12" s="37" customFormat="1" ht="25.05" customHeight="1">
      <c r="A71" s="48">
        <v>12</v>
      </c>
      <c r="B71" s="49">
        <v>41190</v>
      </c>
      <c r="C71" s="50" t="str">
        <f t="shared" si="3"/>
        <v>Octubre</v>
      </c>
      <c r="D71" s="50" t="s">
        <v>294</v>
      </c>
      <c r="E71" s="50" t="s">
        <v>296</v>
      </c>
      <c r="F71" s="50" t="s">
        <v>283</v>
      </c>
      <c r="G71" s="51" t="s">
        <v>284</v>
      </c>
      <c r="H71" s="50" t="s">
        <v>282</v>
      </c>
      <c r="I71" s="52">
        <v>12</v>
      </c>
      <c r="J71" s="50">
        <v>50</v>
      </c>
      <c r="K71" s="53">
        <f t="shared" si="4"/>
        <v>600</v>
      </c>
      <c r="L71" s="54">
        <f t="shared" si="5"/>
        <v>24</v>
      </c>
    </row>
    <row r="72" spans="1:12" s="37" customFormat="1" ht="25.05" customHeight="1">
      <c r="A72" s="48">
        <v>12</v>
      </c>
      <c r="B72" s="49">
        <v>41190</v>
      </c>
      <c r="C72" s="50" t="str">
        <f t="shared" si="3"/>
        <v>Octubre</v>
      </c>
      <c r="D72" s="50" t="s">
        <v>294</v>
      </c>
      <c r="E72" s="50" t="s">
        <v>296</v>
      </c>
      <c r="F72" s="50" t="s">
        <v>290</v>
      </c>
      <c r="G72" s="51" t="s">
        <v>291</v>
      </c>
      <c r="H72" s="50" t="s">
        <v>292</v>
      </c>
      <c r="I72" s="52">
        <v>25</v>
      </c>
      <c r="J72" s="50">
        <v>40</v>
      </c>
      <c r="K72" s="53">
        <f t="shared" si="4"/>
        <v>1000</v>
      </c>
      <c r="L72" s="54">
        <f t="shared" si="5"/>
        <v>40</v>
      </c>
    </row>
    <row r="73" spans="1:12" s="37" customFormat="1" ht="25.05" customHeight="1">
      <c r="A73" s="48">
        <v>12</v>
      </c>
      <c r="B73" s="49">
        <v>41190</v>
      </c>
      <c r="C73" s="50" t="str">
        <f t="shared" si="3"/>
        <v>Octubre</v>
      </c>
      <c r="D73" s="50" t="s">
        <v>294</v>
      </c>
      <c r="E73" s="50" t="s">
        <v>296</v>
      </c>
      <c r="F73" s="50" t="s">
        <v>277</v>
      </c>
      <c r="G73" s="51" t="s">
        <v>278</v>
      </c>
      <c r="H73" s="50" t="s">
        <v>279</v>
      </c>
      <c r="I73" s="52">
        <v>3</v>
      </c>
      <c r="J73" s="50">
        <v>30</v>
      </c>
      <c r="K73" s="53">
        <f t="shared" si="4"/>
        <v>90</v>
      </c>
      <c r="L73" s="54">
        <f t="shared" si="5"/>
        <v>3.6</v>
      </c>
    </row>
    <row r="74" spans="1:12" s="37" customFormat="1" ht="25.05" customHeight="1">
      <c r="A74" s="48">
        <v>12</v>
      </c>
      <c r="B74" s="49">
        <v>41190</v>
      </c>
      <c r="C74" s="50" t="str">
        <f t="shared" si="3"/>
        <v>Octubre</v>
      </c>
      <c r="D74" s="50" t="s">
        <v>294</v>
      </c>
      <c r="E74" s="50" t="s">
        <v>296</v>
      </c>
      <c r="F74" s="50" t="s">
        <v>285</v>
      </c>
      <c r="G74" s="51" t="s">
        <v>286</v>
      </c>
      <c r="H74" s="50" t="s">
        <v>287</v>
      </c>
      <c r="I74" s="52">
        <v>2.5</v>
      </c>
      <c r="J74" s="50">
        <v>20</v>
      </c>
      <c r="K74" s="53">
        <f t="shared" si="4"/>
        <v>50</v>
      </c>
      <c r="L74" s="54">
        <f t="shared" si="5"/>
        <v>1.5</v>
      </c>
    </row>
    <row r="75" spans="1:12" s="37" customFormat="1" ht="25.05" customHeight="1">
      <c r="A75" s="48">
        <v>13</v>
      </c>
      <c r="B75" s="49">
        <v>41200</v>
      </c>
      <c r="C75" s="50" t="str">
        <f t="shared" si="3"/>
        <v>Octubre</v>
      </c>
      <c r="D75" s="50" t="s">
        <v>294</v>
      </c>
      <c r="E75" s="50" t="s">
        <v>295</v>
      </c>
      <c r="F75" s="50" t="s">
        <v>280</v>
      </c>
      <c r="G75" s="51" t="s">
        <v>281</v>
      </c>
      <c r="H75" s="50" t="s">
        <v>282</v>
      </c>
      <c r="I75" s="52">
        <v>10</v>
      </c>
      <c r="J75" s="50">
        <v>30</v>
      </c>
      <c r="K75" s="53">
        <f t="shared" si="4"/>
        <v>300</v>
      </c>
      <c r="L75" s="54">
        <f t="shared" si="5"/>
        <v>12</v>
      </c>
    </row>
    <row r="76" spans="1:12" s="37" customFormat="1" ht="25.05" customHeight="1">
      <c r="A76" s="48">
        <v>13</v>
      </c>
      <c r="B76" s="49">
        <v>41200</v>
      </c>
      <c r="C76" s="50" t="str">
        <f t="shared" si="3"/>
        <v>Octubre</v>
      </c>
      <c r="D76" s="50" t="s">
        <v>294</v>
      </c>
      <c r="E76" s="50" t="s">
        <v>295</v>
      </c>
      <c r="F76" s="50" t="s">
        <v>277</v>
      </c>
      <c r="G76" s="51" t="s">
        <v>278</v>
      </c>
      <c r="H76" s="50" t="s">
        <v>279</v>
      </c>
      <c r="I76" s="52">
        <v>3</v>
      </c>
      <c r="J76" s="50">
        <v>20</v>
      </c>
      <c r="K76" s="53">
        <f t="shared" si="4"/>
        <v>60</v>
      </c>
      <c r="L76" s="54">
        <f t="shared" si="5"/>
        <v>1.7999999999999998</v>
      </c>
    </row>
    <row r="77" spans="1:12" s="37" customFormat="1" ht="25.05" customHeight="1">
      <c r="A77" s="48">
        <v>13</v>
      </c>
      <c r="B77" s="49">
        <v>41200</v>
      </c>
      <c r="C77" s="50" t="str">
        <f t="shared" si="3"/>
        <v>Octubre</v>
      </c>
      <c r="D77" s="50" t="s">
        <v>294</v>
      </c>
      <c r="E77" s="50" t="s">
        <v>295</v>
      </c>
      <c r="F77" s="50" t="s">
        <v>288</v>
      </c>
      <c r="G77" s="51" t="s">
        <v>289</v>
      </c>
      <c r="H77" s="50" t="s">
        <v>282</v>
      </c>
      <c r="I77" s="52">
        <v>15</v>
      </c>
      <c r="J77" s="50">
        <v>20</v>
      </c>
      <c r="K77" s="53">
        <f t="shared" si="4"/>
        <v>300</v>
      </c>
      <c r="L77" s="54">
        <f t="shared" si="5"/>
        <v>9</v>
      </c>
    </row>
    <row r="78" spans="1:12" s="37" customFormat="1" ht="25.05" customHeight="1">
      <c r="A78" s="48">
        <v>13</v>
      </c>
      <c r="B78" s="49">
        <v>41200</v>
      </c>
      <c r="C78" s="50" t="str">
        <f t="shared" si="3"/>
        <v>Octubre</v>
      </c>
      <c r="D78" s="50" t="s">
        <v>294</v>
      </c>
      <c r="E78" s="50" t="s">
        <v>295</v>
      </c>
      <c r="F78" s="50" t="s">
        <v>285</v>
      </c>
      <c r="G78" s="51" t="s">
        <v>286</v>
      </c>
      <c r="H78" s="50" t="s">
        <v>287</v>
      </c>
      <c r="I78" s="52">
        <v>2.5</v>
      </c>
      <c r="J78" s="50">
        <v>10</v>
      </c>
      <c r="K78" s="53">
        <f t="shared" si="4"/>
        <v>25</v>
      </c>
      <c r="L78" s="54">
        <f t="shared" si="5"/>
        <v>0.75</v>
      </c>
    </row>
    <row r="79" spans="1:12" s="37" customFormat="1" ht="25.05" customHeight="1">
      <c r="A79" s="48">
        <v>13</v>
      </c>
      <c r="B79" s="49">
        <v>41200</v>
      </c>
      <c r="C79" s="50" t="str">
        <f t="shared" si="3"/>
        <v>Octubre</v>
      </c>
      <c r="D79" s="50" t="s">
        <v>294</v>
      </c>
      <c r="E79" s="50" t="s">
        <v>295</v>
      </c>
      <c r="F79" s="50" t="s">
        <v>283</v>
      </c>
      <c r="G79" s="51" t="s">
        <v>284</v>
      </c>
      <c r="H79" s="50" t="s">
        <v>282</v>
      </c>
      <c r="I79" s="52">
        <v>12</v>
      </c>
      <c r="J79" s="50">
        <v>10</v>
      </c>
      <c r="K79" s="53">
        <f t="shared" si="4"/>
        <v>120</v>
      </c>
      <c r="L79" s="54">
        <f t="shared" si="5"/>
        <v>3.5999999999999996</v>
      </c>
    </row>
    <row r="80" spans="1:12" s="37" customFormat="1" ht="25.05" customHeight="1">
      <c r="A80" s="48">
        <v>13</v>
      </c>
      <c r="B80" s="49">
        <v>41200</v>
      </c>
      <c r="C80" s="50" t="str">
        <f t="shared" si="3"/>
        <v>Octubre</v>
      </c>
      <c r="D80" s="50" t="s">
        <v>294</v>
      </c>
      <c r="E80" s="50" t="s">
        <v>295</v>
      </c>
      <c r="F80" s="50" t="s">
        <v>290</v>
      </c>
      <c r="G80" s="51" t="s">
        <v>291</v>
      </c>
      <c r="H80" s="50" t="s">
        <v>292</v>
      </c>
      <c r="I80" s="52">
        <v>25</v>
      </c>
      <c r="J80" s="50">
        <v>10</v>
      </c>
      <c r="K80" s="53">
        <f t="shared" si="4"/>
        <v>250</v>
      </c>
      <c r="L80" s="54">
        <f t="shared" si="5"/>
        <v>7.5</v>
      </c>
    </row>
    <row r="81" spans="1:12" s="37" customFormat="1" ht="25.05" customHeight="1">
      <c r="A81" s="48">
        <v>14</v>
      </c>
      <c r="B81" s="49">
        <v>41210</v>
      </c>
      <c r="C81" s="50" t="str">
        <f t="shared" si="3"/>
        <v>Octubre</v>
      </c>
      <c r="D81" s="50" t="s">
        <v>294</v>
      </c>
      <c r="E81" s="50" t="s">
        <v>296</v>
      </c>
      <c r="F81" s="50" t="s">
        <v>283</v>
      </c>
      <c r="G81" s="51" t="s">
        <v>284</v>
      </c>
      <c r="H81" s="50" t="s">
        <v>282</v>
      </c>
      <c r="I81" s="52">
        <v>12</v>
      </c>
      <c r="J81" s="50">
        <v>40</v>
      </c>
      <c r="K81" s="53">
        <f t="shared" si="4"/>
        <v>480</v>
      </c>
      <c r="L81" s="54">
        <f t="shared" si="5"/>
        <v>19.2</v>
      </c>
    </row>
    <row r="82" spans="1:12" s="37" customFormat="1" ht="25.05" customHeight="1">
      <c r="A82" s="48">
        <v>14</v>
      </c>
      <c r="B82" s="49">
        <v>41210</v>
      </c>
      <c r="C82" s="50" t="str">
        <f t="shared" si="3"/>
        <v>Octubre</v>
      </c>
      <c r="D82" s="50" t="s">
        <v>294</v>
      </c>
      <c r="E82" s="50" t="s">
        <v>296</v>
      </c>
      <c r="F82" s="50" t="s">
        <v>277</v>
      </c>
      <c r="G82" s="51" t="s">
        <v>278</v>
      </c>
      <c r="H82" s="50" t="s">
        <v>279</v>
      </c>
      <c r="I82" s="52">
        <v>3</v>
      </c>
      <c r="J82" s="50">
        <v>30</v>
      </c>
      <c r="K82" s="53">
        <f t="shared" si="4"/>
        <v>90</v>
      </c>
      <c r="L82" s="54">
        <f t="shared" si="5"/>
        <v>3.6</v>
      </c>
    </row>
    <row r="83" spans="1:12" s="37" customFormat="1" ht="25.05" customHeight="1">
      <c r="A83" s="48">
        <v>14</v>
      </c>
      <c r="B83" s="49">
        <v>41210</v>
      </c>
      <c r="C83" s="50" t="str">
        <f t="shared" si="3"/>
        <v>Octubre</v>
      </c>
      <c r="D83" s="50" t="s">
        <v>294</v>
      </c>
      <c r="E83" s="50" t="s">
        <v>296</v>
      </c>
      <c r="F83" s="50" t="s">
        <v>285</v>
      </c>
      <c r="G83" s="51" t="s">
        <v>286</v>
      </c>
      <c r="H83" s="50" t="s">
        <v>287</v>
      </c>
      <c r="I83" s="52">
        <v>2.5</v>
      </c>
      <c r="J83" s="50">
        <v>20</v>
      </c>
      <c r="K83" s="53">
        <f t="shared" si="4"/>
        <v>50</v>
      </c>
      <c r="L83" s="54">
        <f t="shared" si="5"/>
        <v>1.5</v>
      </c>
    </row>
    <row r="84" spans="1:12" s="37" customFormat="1" ht="25.05" customHeight="1">
      <c r="A84" s="48">
        <v>14</v>
      </c>
      <c r="B84" s="49">
        <v>41210</v>
      </c>
      <c r="C84" s="50" t="str">
        <f t="shared" si="3"/>
        <v>Octubre</v>
      </c>
      <c r="D84" s="50" t="s">
        <v>294</v>
      </c>
      <c r="E84" s="50" t="s">
        <v>296</v>
      </c>
      <c r="F84" s="50" t="s">
        <v>280</v>
      </c>
      <c r="G84" s="51" t="s">
        <v>281</v>
      </c>
      <c r="H84" s="50" t="s">
        <v>282</v>
      </c>
      <c r="I84" s="52">
        <v>10</v>
      </c>
      <c r="J84" s="50">
        <v>20</v>
      </c>
      <c r="K84" s="53">
        <f t="shared" si="4"/>
        <v>200</v>
      </c>
      <c r="L84" s="54">
        <f t="shared" si="5"/>
        <v>6</v>
      </c>
    </row>
    <row r="85" spans="1:12" s="37" customFormat="1" ht="25.05" customHeight="1">
      <c r="A85" s="48">
        <v>14</v>
      </c>
      <c r="B85" s="49">
        <v>41210</v>
      </c>
      <c r="C85" s="50" t="str">
        <f t="shared" si="3"/>
        <v>Octubre</v>
      </c>
      <c r="D85" s="50" t="s">
        <v>294</v>
      </c>
      <c r="E85" s="50" t="s">
        <v>296</v>
      </c>
      <c r="F85" s="50" t="s">
        <v>288</v>
      </c>
      <c r="G85" s="51" t="s">
        <v>289</v>
      </c>
      <c r="H85" s="50" t="s">
        <v>282</v>
      </c>
      <c r="I85" s="52">
        <v>15</v>
      </c>
      <c r="J85" s="50">
        <v>10</v>
      </c>
      <c r="K85" s="53">
        <f t="shared" si="4"/>
        <v>150</v>
      </c>
      <c r="L85" s="54">
        <f t="shared" si="5"/>
        <v>4.5</v>
      </c>
    </row>
    <row r="86" spans="1:12" s="37" customFormat="1" ht="25.05" customHeight="1">
      <c r="A86" s="48">
        <v>15</v>
      </c>
      <c r="B86" s="49">
        <v>41220</v>
      </c>
      <c r="C86" s="50" t="str">
        <f t="shared" si="3"/>
        <v>Noviembre</v>
      </c>
      <c r="D86" s="50" t="s">
        <v>294</v>
      </c>
      <c r="E86" s="50" t="s">
        <v>295</v>
      </c>
      <c r="F86" s="50" t="s">
        <v>288</v>
      </c>
      <c r="G86" s="51" t="s">
        <v>289</v>
      </c>
      <c r="H86" s="50" t="s">
        <v>282</v>
      </c>
      <c r="I86" s="52">
        <v>15</v>
      </c>
      <c r="J86" s="50">
        <v>70</v>
      </c>
      <c r="K86" s="53">
        <f t="shared" si="4"/>
        <v>1050</v>
      </c>
      <c r="L86" s="54">
        <f t="shared" si="5"/>
        <v>42</v>
      </c>
    </row>
    <row r="87" spans="1:12" s="37" customFormat="1" ht="25.05" customHeight="1">
      <c r="A87" s="48">
        <v>15</v>
      </c>
      <c r="B87" s="49">
        <v>41220</v>
      </c>
      <c r="C87" s="50" t="str">
        <f t="shared" si="3"/>
        <v>Noviembre</v>
      </c>
      <c r="D87" s="50" t="s">
        <v>294</v>
      </c>
      <c r="E87" s="50" t="s">
        <v>295</v>
      </c>
      <c r="F87" s="50" t="s">
        <v>283</v>
      </c>
      <c r="G87" s="51" t="s">
        <v>284</v>
      </c>
      <c r="H87" s="50" t="s">
        <v>282</v>
      </c>
      <c r="I87" s="52">
        <v>12</v>
      </c>
      <c r="J87" s="50">
        <v>50</v>
      </c>
      <c r="K87" s="53">
        <f t="shared" si="4"/>
        <v>600</v>
      </c>
      <c r="L87" s="54">
        <f t="shared" si="5"/>
        <v>24</v>
      </c>
    </row>
    <row r="88" spans="1:12" s="37" customFormat="1" ht="25.05" customHeight="1">
      <c r="A88" s="48">
        <v>15</v>
      </c>
      <c r="B88" s="49">
        <v>41220</v>
      </c>
      <c r="C88" s="50" t="str">
        <f t="shared" si="3"/>
        <v>Noviembre</v>
      </c>
      <c r="D88" s="50" t="s">
        <v>294</v>
      </c>
      <c r="E88" s="50" t="s">
        <v>295</v>
      </c>
      <c r="F88" s="50" t="s">
        <v>277</v>
      </c>
      <c r="G88" s="51" t="s">
        <v>278</v>
      </c>
      <c r="H88" s="50" t="s">
        <v>279</v>
      </c>
      <c r="I88" s="52">
        <v>3</v>
      </c>
      <c r="J88" s="50">
        <v>40</v>
      </c>
      <c r="K88" s="53">
        <f t="shared" si="4"/>
        <v>120</v>
      </c>
      <c r="L88" s="54">
        <f t="shared" si="5"/>
        <v>4.8</v>
      </c>
    </row>
    <row r="89" spans="1:12" s="37" customFormat="1" ht="25.05" customHeight="1">
      <c r="A89" s="48">
        <v>15</v>
      </c>
      <c r="B89" s="49">
        <v>41220</v>
      </c>
      <c r="C89" s="50" t="str">
        <f t="shared" si="3"/>
        <v>Noviembre</v>
      </c>
      <c r="D89" s="50" t="s">
        <v>294</v>
      </c>
      <c r="E89" s="50" t="s">
        <v>295</v>
      </c>
      <c r="F89" s="50" t="s">
        <v>285</v>
      </c>
      <c r="G89" s="51" t="s">
        <v>286</v>
      </c>
      <c r="H89" s="50" t="s">
        <v>287</v>
      </c>
      <c r="I89" s="52">
        <v>2.5</v>
      </c>
      <c r="J89" s="50">
        <v>30</v>
      </c>
      <c r="K89" s="53">
        <f t="shared" si="4"/>
        <v>75</v>
      </c>
      <c r="L89" s="54">
        <f t="shared" si="5"/>
        <v>3</v>
      </c>
    </row>
    <row r="90" spans="1:12" s="37" customFormat="1" ht="25.05" customHeight="1">
      <c r="A90" s="48">
        <v>15</v>
      </c>
      <c r="B90" s="49">
        <v>41220</v>
      </c>
      <c r="C90" s="50" t="str">
        <f t="shared" si="3"/>
        <v>Noviembre</v>
      </c>
      <c r="D90" s="50" t="s">
        <v>294</v>
      </c>
      <c r="E90" s="50" t="s">
        <v>295</v>
      </c>
      <c r="F90" s="50" t="s">
        <v>280</v>
      </c>
      <c r="G90" s="51" t="s">
        <v>281</v>
      </c>
      <c r="H90" s="50" t="s">
        <v>282</v>
      </c>
      <c r="I90" s="52">
        <v>10</v>
      </c>
      <c r="J90" s="50">
        <v>20</v>
      </c>
      <c r="K90" s="53">
        <f t="shared" si="4"/>
        <v>200</v>
      </c>
      <c r="L90" s="54">
        <f t="shared" si="5"/>
        <v>6</v>
      </c>
    </row>
    <row r="91" spans="1:12" s="37" customFormat="1" ht="25.05" customHeight="1">
      <c r="A91" s="48">
        <v>16</v>
      </c>
      <c r="B91" s="49">
        <v>41230</v>
      </c>
      <c r="C91" s="50" t="str">
        <f t="shared" si="3"/>
        <v>Noviembre</v>
      </c>
      <c r="D91" s="50" t="s">
        <v>294</v>
      </c>
      <c r="E91" s="50" t="s">
        <v>296</v>
      </c>
      <c r="F91" s="50" t="s">
        <v>283</v>
      </c>
      <c r="G91" s="51" t="s">
        <v>284</v>
      </c>
      <c r="H91" s="50" t="s">
        <v>282</v>
      </c>
      <c r="I91" s="52">
        <v>12</v>
      </c>
      <c r="J91" s="50">
        <v>50</v>
      </c>
      <c r="K91" s="53">
        <f t="shared" si="4"/>
        <v>600</v>
      </c>
      <c r="L91" s="54">
        <f t="shared" si="5"/>
        <v>24</v>
      </c>
    </row>
    <row r="92" spans="1:12" s="37" customFormat="1" ht="25.05" customHeight="1">
      <c r="A92" s="48">
        <v>16</v>
      </c>
      <c r="B92" s="49">
        <v>41230</v>
      </c>
      <c r="C92" s="50" t="str">
        <f t="shared" si="3"/>
        <v>Noviembre</v>
      </c>
      <c r="D92" s="50" t="s">
        <v>294</v>
      </c>
      <c r="E92" s="50" t="s">
        <v>296</v>
      </c>
      <c r="F92" s="50" t="s">
        <v>290</v>
      </c>
      <c r="G92" s="51" t="s">
        <v>291</v>
      </c>
      <c r="H92" s="50" t="s">
        <v>292</v>
      </c>
      <c r="I92" s="52">
        <v>25</v>
      </c>
      <c r="J92" s="50">
        <v>50</v>
      </c>
      <c r="K92" s="53">
        <f t="shared" si="4"/>
        <v>1250</v>
      </c>
      <c r="L92" s="54">
        <f t="shared" si="5"/>
        <v>50</v>
      </c>
    </row>
    <row r="93" spans="1:12" s="37" customFormat="1" ht="25.05" customHeight="1">
      <c r="A93" s="48">
        <v>16</v>
      </c>
      <c r="B93" s="49">
        <v>41230</v>
      </c>
      <c r="C93" s="50" t="str">
        <f t="shared" si="3"/>
        <v>Noviembre</v>
      </c>
      <c r="D93" s="50" t="s">
        <v>294</v>
      </c>
      <c r="E93" s="50" t="s">
        <v>296</v>
      </c>
      <c r="F93" s="50" t="s">
        <v>280</v>
      </c>
      <c r="G93" s="51" t="s">
        <v>281</v>
      </c>
      <c r="H93" s="50" t="s">
        <v>282</v>
      </c>
      <c r="I93" s="52">
        <v>10</v>
      </c>
      <c r="J93" s="50">
        <v>40</v>
      </c>
      <c r="K93" s="53">
        <f t="shared" si="4"/>
        <v>400</v>
      </c>
      <c r="L93" s="54">
        <f t="shared" si="5"/>
        <v>16</v>
      </c>
    </row>
    <row r="94" spans="1:12" s="37" customFormat="1" ht="25.05" customHeight="1">
      <c r="A94" s="48">
        <v>16</v>
      </c>
      <c r="B94" s="49">
        <v>41230</v>
      </c>
      <c r="C94" s="50" t="str">
        <f t="shared" si="3"/>
        <v>Noviembre</v>
      </c>
      <c r="D94" s="50" t="s">
        <v>294</v>
      </c>
      <c r="E94" s="50" t="s">
        <v>296</v>
      </c>
      <c r="F94" s="50" t="s">
        <v>285</v>
      </c>
      <c r="G94" s="51" t="s">
        <v>286</v>
      </c>
      <c r="H94" s="50" t="s">
        <v>287</v>
      </c>
      <c r="I94" s="52">
        <v>2.5</v>
      </c>
      <c r="J94" s="50">
        <v>30</v>
      </c>
      <c r="K94" s="53">
        <f t="shared" si="4"/>
        <v>75</v>
      </c>
      <c r="L94" s="54">
        <f t="shared" si="5"/>
        <v>3</v>
      </c>
    </row>
    <row r="95" spans="1:12" s="37" customFormat="1" ht="25.05" customHeight="1">
      <c r="A95" s="48">
        <v>16</v>
      </c>
      <c r="B95" s="49">
        <v>41230</v>
      </c>
      <c r="C95" s="50" t="str">
        <f t="shared" si="3"/>
        <v>Noviembre</v>
      </c>
      <c r="D95" s="50" t="s">
        <v>294</v>
      </c>
      <c r="E95" s="50" t="s">
        <v>296</v>
      </c>
      <c r="F95" s="50" t="s">
        <v>277</v>
      </c>
      <c r="G95" s="51" t="s">
        <v>278</v>
      </c>
      <c r="H95" s="50" t="s">
        <v>279</v>
      </c>
      <c r="I95" s="52">
        <v>3</v>
      </c>
      <c r="J95" s="50">
        <v>20</v>
      </c>
      <c r="K95" s="53">
        <f t="shared" si="4"/>
        <v>60</v>
      </c>
      <c r="L95" s="54">
        <f t="shared" si="5"/>
        <v>1.7999999999999998</v>
      </c>
    </row>
    <row r="96" spans="1:12" s="37" customFormat="1" ht="25.05" customHeight="1">
      <c r="A96" s="48">
        <v>16</v>
      </c>
      <c r="B96" s="49">
        <v>41230</v>
      </c>
      <c r="C96" s="50" t="str">
        <f t="shared" si="3"/>
        <v>Noviembre</v>
      </c>
      <c r="D96" s="50" t="s">
        <v>294</v>
      </c>
      <c r="E96" s="50" t="s">
        <v>296</v>
      </c>
      <c r="F96" s="50" t="s">
        <v>288</v>
      </c>
      <c r="G96" s="51" t="s">
        <v>289</v>
      </c>
      <c r="H96" s="50" t="s">
        <v>282</v>
      </c>
      <c r="I96" s="52">
        <v>15</v>
      </c>
      <c r="J96" s="50">
        <v>20</v>
      </c>
      <c r="K96" s="53">
        <f t="shared" si="4"/>
        <v>300</v>
      </c>
      <c r="L96" s="54">
        <f t="shared" si="5"/>
        <v>9</v>
      </c>
    </row>
    <row r="97" spans="1:12" s="37" customFormat="1" ht="25.05" customHeight="1">
      <c r="A97" s="48">
        <v>17</v>
      </c>
      <c r="B97" s="49">
        <v>41240</v>
      </c>
      <c r="C97" s="50" t="str">
        <f t="shared" si="3"/>
        <v>Noviembre</v>
      </c>
      <c r="D97" s="50" t="s">
        <v>294</v>
      </c>
      <c r="E97" s="50" t="s">
        <v>295</v>
      </c>
      <c r="F97" s="50" t="s">
        <v>290</v>
      </c>
      <c r="G97" s="51" t="s">
        <v>291</v>
      </c>
      <c r="H97" s="50" t="s">
        <v>292</v>
      </c>
      <c r="I97" s="52">
        <v>25</v>
      </c>
      <c r="J97" s="50">
        <v>50</v>
      </c>
      <c r="K97" s="53">
        <f t="shared" si="4"/>
        <v>1250</v>
      </c>
      <c r="L97" s="54">
        <f t="shared" si="5"/>
        <v>50</v>
      </c>
    </row>
    <row r="98" spans="1:12" s="37" customFormat="1" ht="25.05" customHeight="1">
      <c r="A98" s="48">
        <v>17</v>
      </c>
      <c r="B98" s="49">
        <v>41240</v>
      </c>
      <c r="C98" s="50" t="str">
        <f t="shared" si="3"/>
        <v>Noviembre</v>
      </c>
      <c r="D98" s="50" t="s">
        <v>294</v>
      </c>
      <c r="E98" s="50" t="s">
        <v>295</v>
      </c>
      <c r="F98" s="50" t="s">
        <v>280</v>
      </c>
      <c r="G98" s="51" t="s">
        <v>281</v>
      </c>
      <c r="H98" s="50" t="s">
        <v>282</v>
      </c>
      <c r="I98" s="52">
        <v>10</v>
      </c>
      <c r="J98" s="50">
        <v>40</v>
      </c>
      <c r="K98" s="53">
        <f t="shared" si="4"/>
        <v>400</v>
      </c>
      <c r="L98" s="54">
        <f t="shared" si="5"/>
        <v>16</v>
      </c>
    </row>
    <row r="99" spans="1:12" s="37" customFormat="1" ht="25.05" customHeight="1">
      <c r="A99" s="48">
        <v>17</v>
      </c>
      <c r="B99" s="49">
        <v>41240</v>
      </c>
      <c r="C99" s="50" t="str">
        <f t="shared" si="3"/>
        <v>Noviembre</v>
      </c>
      <c r="D99" s="50" t="s">
        <v>294</v>
      </c>
      <c r="E99" s="50" t="s">
        <v>295</v>
      </c>
      <c r="F99" s="50" t="s">
        <v>277</v>
      </c>
      <c r="G99" s="51" t="s">
        <v>278</v>
      </c>
      <c r="H99" s="50" t="s">
        <v>279</v>
      </c>
      <c r="I99" s="52">
        <v>3</v>
      </c>
      <c r="J99" s="50">
        <v>30</v>
      </c>
      <c r="K99" s="53">
        <f t="shared" si="4"/>
        <v>90</v>
      </c>
      <c r="L99" s="54">
        <f t="shared" si="5"/>
        <v>3.6</v>
      </c>
    </row>
    <row r="100" spans="1:12" s="37" customFormat="1" ht="25.05" customHeight="1">
      <c r="A100" s="48">
        <v>17</v>
      </c>
      <c r="B100" s="49">
        <v>41240</v>
      </c>
      <c r="C100" s="50" t="str">
        <f t="shared" si="3"/>
        <v>Noviembre</v>
      </c>
      <c r="D100" s="50" t="s">
        <v>294</v>
      </c>
      <c r="E100" s="50" t="s">
        <v>295</v>
      </c>
      <c r="F100" s="50" t="s">
        <v>288</v>
      </c>
      <c r="G100" s="51" t="s">
        <v>289</v>
      </c>
      <c r="H100" s="50" t="s">
        <v>282</v>
      </c>
      <c r="I100" s="52">
        <v>15</v>
      </c>
      <c r="J100" s="50">
        <v>30</v>
      </c>
      <c r="K100" s="53">
        <f t="shared" si="4"/>
        <v>450</v>
      </c>
      <c r="L100" s="54">
        <f t="shared" si="5"/>
        <v>18</v>
      </c>
    </row>
    <row r="101" spans="1:12" s="37" customFormat="1" ht="25.05" customHeight="1">
      <c r="A101" s="48">
        <v>17</v>
      </c>
      <c r="B101" s="49">
        <v>41240</v>
      </c>
      <c r="C101" s="50" t="str">
        <f t="shared" si="3"/>
        <v>Noviembre</v>
      </c>
      <c r="D101" s="50" t="s">
        <v>294</v>
      </c>
      <c r="E101" s="50" t="s">
        <v>295</v>
      </c>
      <c r="F101" s="50" t="s">
        <v>285</v>
      </c>
      <c r="G101" s="51" t="s">
        <v>286</v>
      </c>
      <c r="H101" s="50" t="s">
        <v>287</v>
      </c>
      <c r="I101" s="52">
        <v>2.5</v>
      </c>
      <c r="J101" s="50">
        <v>20</v>
      </c>
      <c r="K101" s="53">
        <f t="shared" si="4"/>
        <v>50</v>
      </c>
      <c r="L101" s="54">
        <f t="shared" si="5"/>
        <v>1.5</v>
      </c>
    </row>
    <row r="102" spans="1:12" s="37" customFormat="1" ht="25.05" customHeight="1">
      <c r="A102" s="48">
        <v>17</v>
      </c>
      <c r="B102" s="49">
        <v>41240</v>
      </c>
      <c r="C102" s="50" t="str">
        <f t="shared" si="3"/>
        <v>Noviembre</v>
      </c>
      <c r="D102" s="50" t="s">
        <v>294</v>
      </c>
      <c r="E102" s="50" t="s">
        <v>295</v>
      </c>
      <c r="F102" s="50" t="s">
        <v>283</v>
      </c>
      <c r="G102" s="51" t="s">
        <v>284</v>
      </c>
      <c r="H102" s="50" t="s">
        <v>282</v>
      </c>
      <c r="I102" s="52">
        <v>12</v>
      </c>
      <c r="J102" s="50">
        <v>20</v>
      </c>
      <c r="K102" s="53">
        <f t="shared" si="4"/>
        <v>240</v>
      </c>
      <c r="L102" s="54">
        <f t="shared" si="5"/>
        <v>7.1999999999999993</v>
      </c>
    </row>
    <row r="103" spans="1:12" s="37" customFormat="1" ht="25.05" customHeight="1">
      <c r="A103" s="48">
        <v>18</v>
      </c>
      <c r="B103" s="49">
        <v>41250</v>
      </c>
      <c r="C103" s="50" t="str">
        <f t="shared" si="3"/>
        <v>Diciembre</v>
      </c>
      <c r="D103" s="50" t="s">
        <v>294</v>
      </c>
      <c r="E103" s="50" t="s">
        <v>296</v>
      </c>
      <c r="F103" s="50" t="s">
        <v>288</v>
      </c>
      <c r="G103" s="51" t="s">
        <v>289</v>
      </c>
      <c r="H103" s="50" t="s">
        <v>282</v>
      </c>
      <c r="I103" s="52">
        <v>15</v>
      </c>
      <c r="J103" s="50">
        <v>60</v>
      </c>
      <c r="K103" s="53">
        <f t="shared" si="4"/>
        <v>900</v>
      </c>
      <c r="L103" s="54">
        <f t="shared" si="5"/>
        <v>36</v>
      </c>
    </row>
    <row r="104" spans="1:12" s="37" customFormat="1" ht="25.05" customHeight="1">
      <c r="A104" s="48">
        <v>18</v>
      </c>
      <c r="B104" s="49">
        <v>41250</v>
      </c>
      <c r="C104" s="50" t="str">
        <f t="shared" si="3"/>
        <v>Diciembre</v>
      </c>
      <c r="D104" s="50" t="s">
        <v>294</v>
      </c>
      <c r="E104" s="50" t="s">
        <v>296</v>
      </c>
      <c r="F104" s="50" t="s">
        <v>283</v>
      </c>
      <c r="G104" s="51" t="s">
        <v>284</v>
      </c>
      <c r="H104" s="50" t="s">
        <v>282</v>
      </c>
      <c r="I104" s="52">
        <v>12</v>
      </c>
      <c r="J104" s="50">
        <v>50</v>
      </c>
      <c r="K104" s="53">
        <f t="shared" si="4"/>
        <v>600</v>
      </c>
      <c r="L104" s="54">
        <f t="shared" si="5"/>
        <v>24</v>
      </c>
    </row>
    <row r="105" spans="1:12" s="37" customFormat="1" ht="25.05" customHeight="1">
      <c r="A105" s="48">
        <v>18</v>
      </c>
      <c r="B105" s="49">
        <v>41250</v>
      </c>
      <c r="C105" s="50" t="str">
        <f t="shared" si="3"/>
        <v>Diciembre</v>
      </c>
      <c r="D105" s="50" t="s">
        <v>294</v>
      </c>
      <c r="E105" s="50" t="s">
        <v>296</v>
      </c>
      <c r="F105" s="50" t="s">
        <v>277</v>
      </c>
      <c r="G105" s="51" t="s">
        <v>278</v>
      </c>
      <c r="H105" s="50" t="s">
        <v>279</v>
      </c>
      <c r="I105" s="52">
        <v>3</v>
      </c>
      <c r="J105" s="50">
        <v>40</v>
      </c>
      <c r="K105" s="53">
        <f t="shared" si="4"/>
        <v>120</v>
      </c>
      <c r="L105" s="54">
        <f t="shared" si="5"/>
        <v>4.8</v>
      </c>
    </row>
    <row r="106" spans="1:12" s="37" customFormat="1" ht="25.05" customHeight="1">
      <c r="A106" s="48">
        <v>18</v>
      </c>
      <c r="B106" s="49">
        <v>41250</v>
      </c>
      <c r="C106" s="50" t="str">
        <f t="shared" si="3"/>
        <v>Diciembre</v>
      </c>
      <c r="D106" s="50" t="s">
        <v>294</v>
      </c>
      <c r="E106" s="50" t="s">
        <v>296</v>
      </c>
      <c r="F106" s="50" t="s">
        <v>290</v>
      </c>
      <c r="G106" s="51" t="s">
        <v>291</v>
      </c>
      <c r="H106" s="50" t="s">
        <v>292</v>
      </c>
      <c r="I106" s="52">
        <v>25</v>
      </c>
      <c r="J106" s="50">
        <v>40</v>
      </c>
      <c r="K106" s="53">
        <f t="shared" si="4"/>
        <v>1000</v>
      </c>
      <c r="L106" s="54">
        <f t="shared" si="5"/>
        <v>40</v>
      </c>
    </row>
    <row r="107" spans="1:12" s="37" customFormat="1" ht="25.05" customHeight="1">
      <c r="A107" s="48">
        <v>18</v>
      </c>
      <c r="B107" s="49">
        <v>41250</v>
      </c>
      <c r="C107" s="50" t="str">
        <f t="shared" si="3"/>
        <v>Diciembre</v>
      </c>
      <c r="D107" s="50" t="s">
        <v>294</v>
      </c>
      <c r="E107" s="50" t="s">
        <v>296</v>
      </c>
      <c r="F107" s="50" t="s">
        <v>280</v>
      </c>
      <c r="G107" s="51" t="s">
        <v>281</v>
      </c>
      <c r="H107" s="50" t="s">
        <v>282</v>
      </c>
      <c r="I107" s="52">
        <v>10</v>
      </c>
      <c r="J107" s="50">
        <v>30</v>
      </c>
      <c r="K107" s="53">
        <f t="shared" si="4"/>
        <v>300</v>
      </c>
      <c r="L107" s="54">
        <f t="shared" si="5"/>
        <v>12</v>
      </c>
    </row>
    <row r="108" spans="1:12" s="37" customFormat="1" ht="25.05" customHeight="1">
      <c r="A108" s="48">
        <v>18</v>
      </c>
      <c r="B108" s="49">
        <v>41250</v>
      </c>
      <c r="C108" s="50" t="str">
        <f t="shared" si="3"/>
        <v>Diciembre</v>
      </c>
      <c r="D108" s="50" t="s">
        <v>294</v>
      </c>
      <c r="E108" s="50" t="s">
        <v>296</v>
      </c>
      <c r="F108" s="50" t="s">
        <v>285</v>
      </c>
      <c r="G108" s="51" t="s">
        <v>286</v>
      </c>
      <c r="H108" s="50" t="s">
        <v>287</v>
      </c>
      <c r="I108" s="52">
        <v>2.5</v>
      </c>
      <c r="J108" s="50">
        <v>20</v>
      </c>
      <c r="K108" s="53">
        <f t="shared" si="4"/>
        <v>50</v>
      </c>
      <c r="L108" s="54">
        <f t="shared" si="5"/>
        <v>1.5</v>
      </c>
    </row>
    <row r="109" spans="1:12" s="37" customFormat="1" ht="25.05" customHeight="1">
      <c r="A109" s="48">
        <v>19</v>
      </c>
      <c r="B109" s="49">
        <v>41260</v>
      </c>
      <c r="C109" s="50" t="str">
        <f t="shared" si="3"/>
        <v>Diciembre</v>
      </c>
      <c r="D109" s="50" t="s">
        <v>297</v>
      </c>
      <c r="E109" s="50" t="s">
        <v>298</v>
      </c>
      <c r="F109" s="50" t="s">
        <v>288</v>
      </c>
      <c r="G109" s="51" t="s">
        <v>289</v>
      </c>
      <c r="H109" s="50" t="s">
        <v>282</v>
      </c>
      <c r="I109" s="52">
        <v>15</v>
      </c>
      <c r="J109" s="50">
        <v>20</v>
      </c>
      <c r="K109" s="53">
        <f t="shared" si="4"/>
        <v>300</v>
      </c>
      <c r="L109" s="54">
        <f t="shared" si="5"/>
        <v>9</v>
      </c>
    </row>
    <row r="110" spans="1:12" s="37" customFormat="1" ht="25.05" customHeight="1">
      <c r="A110" s="48">
        <v>19</v>
      </c>
      <c r="B110" s="49">
        <v>41260</v>
      </c>
      <c r="C110" s="50" t="str">
        <f t="shared" si="3"/>
        <v>Diciembre</v>
      </c>
      <c r="D110" s="50" t="s">
        <v>297</v>
      </c>
      <c r="E110" s="50" t="s">
        <v>298</v>
      </c>
      <c r="F110" s="50" t="s">
        <v>290</v>
      </c>
      <c r="G110" s="51" t="s">
        <v>291</v>
      </c>
      <c r="H110" s="50" t="s">
        <v>292</v>
      </c>
      <c r="I110" s="52">
        <v>25</v>
      </c>
      <c r="J110" s="50">
        <v>20</v>
      </c>
      <c r="K110" s="53">
        <f t="shared" si="4"/>
        <v>500</v>
      </c>
      <c r="L110" s="54">
        <f t="shared" si="5"/>
        <v>15</v>
      </c>
    </row>
    <row r="111" spans="1:12" s="37" customFormat="1" ht="25.05" customHeight="1">
      <c r="A111" s="48">
        <v>19</v>
      </c>
      <c r="B111" s="49">
        <v>41260</v>
      </c>
      <c r="C111" s="50" t="str">
        <f t="shared" si="3"/>
        <v>Diciembre</v>
      </c>
      <c r="D111" s="50" t="s">
        <v>297</v>
      </c>
      <c r="E111" s="50" t="s">
        <v>298</v>
      </c>
      <c r="F111" s="50" t="s">
        <v>285</v>
      </c>
      <c r="G111" s="51" t="s">
        <v>286</v>
      </c>
      <c r="H111" s="50" t="s">
        <v>287</v>
      </c>
      <c r="I111" s="52">
        <v>2.5</v>
      </c>
      <c r="J111" s="50">
        <v>10</v>
      </c>
      <c r="K111" s="53">
        <f t="shared" si="4"/>
        <v>25</v>
      </c>
      <c r="L111" s="54">
        <f t="shared" si="5"/>
        <v>0.75</v>
      </c>
    </row>
    <row r="112" spans="1:12" s="37" customFormat="1" ht="25.05" customHeight="1">
      <c r="A112" s="48">
        <v>19</v>
      </c>
      <c r="B112" s="49">
        <v>41260</v>
      </c>
      <c r="C112" s="50" t="str">
        <f t="shared" si="3"/>
        <v>Diciembre</v>
      </c>
      <c r="D112" s="50" t="s">
        <v>297</v>
      </c>
      <c r="E112" s="50" t="s">
        <v>298</v>
      </c>
      <c r="F112" s="50" t="s">
        <v>277</v>
      </c>
      <c r="G112" s="51" t="s">
        <v>278</v>
      </c>
      <c r="H112" s="50" t="s">
        <v>279</v>
      </c>
      <c r="I112" s="52">
        <v>3</v>
      </c>
      <c r="J112" s="50">
        <v>10</v>
      </c>
      <c r="K112" s="53">
        <f t="shared" si="4"/>
        <v>30</v>
      </c>
      <c r="L112" s="54">
        <f t="shared" si="5"/>
        <v>0.89999999999999991</v>
      </c>
    </row>
    <row r="113" spans="1:12" s="37" customFormat="1" ht="25.05" customHeight="1">
      <c r="A113" s="48">
        <v>19</v>
      </c>
      <c r="B113" s="49">
        <v>41260</v>
      </c>
      <c r="C113" s="50" t="str">
        <f t="shared" si="3"/>
        <v>Diciembre</v>
      </c>
      <c r="D113" s="50" t="s">
        <v>297</v>
      </c>
      <c r="E113" s="50" t="s">
        <v>298</v>
      </c>
      <c r="F113" s="50" t="s">
        <v>280</v>
      </c>
      <c r="G113" s="51" t="s">
        <v>281</v>
      </c>
      <c r="H113" s="50" t="s">
        <v>282</v>
      </c>
      <c r="I113" s="52">
        <v>10</v>
      </c>
      <c r="J113" s="50">
        <v>10</v>
      </c>
      <c r="K113" s="53">
        <f t="shared" si="4"/>
        <v>100</v>
      </c>
      <c r="L113" s="54">
        <f t="shared" si="5"/>
        <v>3</v>
      </c>
    </row>
    <row r="114" spans="1:12" s="37" customFormat="1" ht="25.05" customHeight="1">
      <c r="A114" s="48">
        <v>19</v>
      </c>
      <c r="B114" s="49">
        <v>41260</v>
      </c>
      <c r="C114" s="50" t="str">
        <f t="shared" si="3"/>
        <v>Diciembre</v>
      </c>
      <c r="D114" s="50" t="s">
        <v>297</v>
      </c>
      <c r="E114" s="50" t="s">
        <v>298</v>
      </c>
      <c r="F114" s="50" t="s">
        <v>283</v>
      </c>
      <c r="G114" s="51" t="s">
        <v>284</v>
      </c>
      <c r="H114" s="50" t="s">
        <v>282</v>
      </c>
      <c r="I114" s="52">
        <v>12</v>
      </c>
      <c r="J114" s="50">
        <v>10</v>
      </c>
      <c r="K114" s="53">
        <f t="shared" si="4"/>
        <v>120</v>
      </c>
      <c r="L114" s="54">
        <f t="shared" si="5"/>
        <v>3.5999999999999996</v>
      </c>
    </row>
    <row r="115" spans="1:12" s="37" customFormat="1" ht="25.05" customHeight="1">
      <c r="A115" s="48">
        <v>20</v>
      </c>
      <c r="B115" s="49">
        <v>41270</v>
      </c>
      <c r="C115" s="50" t="str">
        <f t="shared" si="3"/>
        <v>Diciembre</v>
      </c>
      <c r="D115" s="50" t="s">
        <v>297</v>
      </c>
      <c r="E115" s="50" t="s">
        <v>299</v>
      </c>
      <c r="F115" s="50" t="s">
        <v>285</v>
      </c>
      <c r="G115" s="51" t="s">
        <v>286</v>
      </c>
      <c r="H115" s="50" t="s">
        <v>287</v>
      </c>
      <c r="I115" s="52">
        <v>2.5</v>
      </c>
      <c r="J115" s="50">
        <v>10</v>
      </c>
      <c r="K115" s="53">
        <f t="shared" si="4"/>
        <v>25</v>
      </c>
      <c r="L115" s="54">
        <f t="shared" si="5"/>
        <v>0.75</v>
      </c>
    </row>
    <row r="116" spans="1:12" s="37" customFormat="1" ht="25.05" customHeight="1">
      <c r="A116" s="48">
        <v>20</v>
      </c>
      <c r="B116" s="49">
        <v>41270</v>
      </c>
      <c r="C116" s="50" t="str">
        <f t="shared" si="3"/>
        <v>Diciembre</v>
      </c>
      <c r="D116" s="50" t="s">
        <v>297</v>
      </c>
      <c r="E116" s="50" t="s">
        <v>299</v>
      </c>
      <c r="F116" s="50" t="s">
        <v>277</v>
      </c>
      <c r="G116" s="51" t="s">
        <v>278</v>
      </c>
      <c r="H116" s="50" t="s">
        <v>279</v>
      </c>
      <c r="I116" s="52">
        <v>3</v>
      </c>
      <c r="J116" s="50">
        <v>10</v>
      </c>
      <c r="K116" s="53">
        <f t="shared" si="4"/>
        <v>30</v>
      </c>
      <c r="L116" s="54">
        <f t="shared" si="5"/>
        <v>0.89999999999999991</v>
      </c>
    </row>
    <row r="117" spans="1:12" s="37" customFormat="1" ht="25.05" customHeight="1">
      <c r="A117" s="48">
        <v>20</v>
      </c>
      <c r="B117" s="49">
        <v>41270</v>
      </c>
      <c r="C117" s="50" t="str">
        <f t="shared" si="3"/>
        <v>Diciembre</v>
      </c>
      <c r="D117" s="50" t="s">
        <v>297</v>
      </c>
      <c r="E117" s="50" t="s">
        <v>299</v>
      </c>
      <c r="F117" s="50" t="s">
        <v>280</v>
      </c>
      <c r="G117" s="51" t="s">
        <v>281</v>
      </c>
      <c r="H117" s="50" t="s">
        <v>282</v>
      </c>
      <c r="I117" s="52">
        <v>10</v>
      </c>
      <c r="J117" s="50">
        <v>10</v>
      </c>
      <c r="K117" s="53">
        <f t="shared" si="4"/>
        <v>100</v>
      </c>
      <c r="L117" s="54">
        <f t="shared" si="5"/>
        <v>3</v>
      </c>
    </row>
    <row r="118" spans="1:12" s="37" customFormat="1" ht="25.05" customHeight="1">
      <c r="A118" s="48">
        <v>20</v>
      </c>
      <c r="B118" s="49">
        <v>41270</v>
      </c>
      <c r="C118" s="50" t="str">
        <f t="shared" si="3"/>
        <v>Diciembre</v>
      </c>
      <c r="D118" s="50" t="s">
        <v>297</v>
      </c>
      <c r="E118" s="50" t="s">
        <v>299</v>
      </c>
      <c r="F118" s="50" t="s">
        <v>283</v>
      </c>
      <c r="G118" s="51" t="s">
        <v>284</v>
      </c>
      <c r="H118" s="50" t="s">
        <v>282</v>
      </c>
      <c r="I118" s="52">
        <v>12</v>
      </c>
      <c r="J118" s="50">
        <v>10</v>
      </c>
      <c r="K118" s="53">
        <f t="shared" si="4"/>
        <v>120</v>
      </c>
      <c r="L118" s="54">
        <f t="shared" si="5"/>
        <v>3.5999999999999996</v>
      </c>
    </row>
    <row r="119" spans="1:12" s="37" customFormat="1" ht="25.05" customHeight="1">
      <c r="A119" s="48">
        <v>20</v>
      </c>
      <c r="B119" s="49">
        <v>41270</v>
      </c>
      <c r="C119" s="50" t="str">
        <f t="shared" si="3"/>
        <v>Diciembre</v>
      </c>
      <c r="D119" s="50" t="s">
        <v>297</v>
      </c>
      <c r="E119" s="50" t="s">
        <v>299</v>
      </c>
      <c r="F119" s="50" t="s">
        <v>288</v>
      </c>
      <c r="G119" s="51" t="s">
        <v>289</v>
      </c>
      <c r="H119" s="50" t="s">
        <v>282</v>
      </c>
      <c r="I119" s="52">
        <v>15</v>
      </c>
      <c r="J119" s="50">
        <v>10</v>
      </c>
      <c r="K119" s="53">
        <f t="shared" si="4"/>
        <v>150</v>
      </c>
      <c r="L119" s="54">
        <f t="shared" si="5"/>
        <v>4.5</v>
      </c>
    </row>
    <row r="120" spans="1:12" s="37" customFormat="1" ht="25.05" customHeight="1">
      <c r="A120" s="48">
        <v>21</v>
      </c>
      <c r="B120" s="49">
        <v>40914</v>
      </c>
      <c r="C120" s="50" t="str">
        <f t="shared" si="3"/>
        <v>Enero</v>
      </c>
      <c r="D120" s="50" t="s">
        <v>297</v>
      </c>
      <c r="E120" s="50" t="s">
        <v>298</v>
      </c>
      <c r="F120" s="50" t="s">
        <v>288</v>
      </c>
      <c r="G120" s="51" t="s">
        <v>289</v>
      </c>
      <c r="H120" s="50" t="s">
        <v>282</v>
      </c>
      <c r="I120" s="52">
        <v>15</v>
      </c>
      <c r="J120" s="50">
        <v>50</v>
      </c>
      <c r="K120" s="53">
        <f t="shared" si="4"/>
        <v>750</v>
      </c>
      <c r="L120" s="54">
        <f t="shared" si="5"/>
        <v>30</v>
      </c>
    </row>
    <row r="121" spans="1:12" s="37" customFormat="1" ht="25.05" customHeight="1">
      <c r="A121" s="48">
        <v>21</v>
      </c>
      <c r="B121" s="49">
        <v>40914</v>
      </c>
      <c r="C121" s="50" t="str">
        <f t="shared" si="3"/>
        <v>Enero</v>
      </c>
      <c r="D121" s="50" t="s">
        <v>297</v>
      </c>
      <c r="E121" s="50" t="s">
        <v>298</v>
      </c>
      <c r="F121" s="50" t="s">
        <v>283</v>
      </c>
      <c r="G121" s="51" t="s">
        <v>284</v>
      </c>
      <c r="H121" s="50" t="s">
        <v>282</v>
      </c>
      <c r="I121" s="52">
        <v>12</v>
      </c>
      <c r="J121" s="50">
        <v>40</v>
      </c>
      <c r="K121" s="53">
        <f t="shared" si="4"/>
        <v>480</v>
      </c>
      <c r="L121" s="54">
        <f t="shared" si="5"/>
        <v>19.2</v>
      </c>
    </row>
    <row r="122" spans="1:12" s="37" customFormat="1" ht="25.05" customHeight="1">
      <c r="A122" s="48">
        <v>21</v>
      </c>
      <c r="B122" s="49">
        <v>40914</v>
      </c>
      <c r="C122" s="50" t="str">
        <f t="shared" si="3"/>
        <v>Enero</v>
      </c>
      <c r="D122" s="50" t="s">
        <v>297</v>
      </c>
      <c r="E122" s="50" t="s">
        <v>298</v>
      </c>
      <c r="F122" s="50" t="s">
        <v>285</v>
      </c>
      <c r="G122" s="51" t="s">
        <v>286</v>
      </c>
      <c r="H122" s="50" t="s">
        <v>287</v>
      </c>
      <c r="I122" s="52">
        <v>2.5</v>
      </c>
      <c r="J122" s="50">
        <v>30</v>
      </c>
      <c r="K122" s="53">
        <f t="shared" si="4"/>
        <v>75</v>
      </c>
      <c r="L122" s="54">
        <f t="shared" si="5"/>
        <v>3</v>
      </c>
    </row>
    <row r="123" spans="1:12" s="37" customFormat="1" ht="25.05" customHeight="1">
      <c r="A123" s="48">
        <v>21</v>
      </c>
      <c r="B123" s="49">
        <v>40914</v>
      </c>
      <c r="C123" s="50" t="str">
        <f t="shared" si="3"/>
        <v>Enero</v>
      </c>
      <c r="D123" s="50" t="s">
        <v>297</v>
      </c>
      <c r="E123" s="50" t="s">
        <v>298</v>
      </c>
      <c r="F123" s="50" t="s">
        <v>277</v>
      </c>
      <c r="G123" s="51" t="s">
        <v>278</v>
      </c>
      <c r="H123" s="50" t="s">
        <v>279</v>
      </c>
      <c r="I123" s="52">
        <v>3</v>
      </c>
      <c r="J123" s="50">
        <v>30</v>
      </c>
      <c r="K123" s="53">
        <f t="shared" si="4"/>
        <v>90</v>
      </c>
      <c r="L123" s="54">
        <f t="shared" si="5"/>
        <v>3.6</v>
      </c>
    </row>
    <row r="124" spans="1:12" s="37" customFormat="1" ht="25.05" customHeight="1">
      <c r="A124" s="48">
        <v>21</v>
      </c>
      <c r="B124" s="49">
        <v>40914</v>
      </c>
      <c r="C124" s="50" t="str">
        <f t="shared" si="3"/>
        <v>Enero</v>
      </c>
      <c r="D124" s="50" t="s">
        <v>297</v>
      </c>
      <c r="E124" s="50" t="s">
        <v>298</v>
      </c>
      <c r="F124" s="50" t="s">
        <v>280</v>
      </c>
      <c r="G124" s="51" t="s">
        <v>281</v>
      </c>
      <c r="H124" s="50" t="s">
        <v>282</v>
      </c>
      <c r="I124" s="52">
        <v>10</v>
      </c>
      <c r="J124" s="50">
        <v>30</v>
      </c>
      <c r="K124" s="53">
        <f t="shared" si="4"/>
        <v>300</v>
      </c>
      <c r="L124" s="54">
        <f t="shared" si="5"/>
        <v>12</v>
      </c>
    </row>
    <row r="125" spans="1:12" s="37" customFormat="1" ht="25.05" customHeight="1">
      <c r="A125" s="48">
        <v>21</v>
      </c>
      <c r="B125" s="49">
        <v>40914</v>
      </c>
      <c r="C125" s="50" t="str">
        <f t="shared" si="3"/>
        <v>Enero</v>
      </c>
      <c r="D125" s="50" t="s">
        <v>297</v>
      </c>
      <c r="E125" s="50" t="s">
        <v>298</v>
      </c>
      <c r="F125" s="50" t="s">
        <v>290</v>
      </c>
      <c r="G125" s="51" t="s">
        <v>291</v>
      </c>
      <c r="H125" s="50" t="s">
        <v>292</v>
      </c>
      <c r="I125" s="52">
        <v>25</v>
      </c>
      <c r="J125" s="50">
        <v>30</v>
      </c>
      <c r="K125" s="53">
        <f t="shared" si="4"/>
        <v>750</v>
      </c>
      <c r="L125" s="54">
        <f t="shared" si="5"/>
        <v>30</v>
      </c>
    </row>
    <row r="126" spans="1:12" s="37" customFormat="1" ht="25.05" customHeight="1">
      <c r="A126" s="48">
        <v>22</v>
      </c>
      <c r="B126" s="49">
        <v>40924</v>
      </c>
      <c r="C126" s="50" t="str">
        <f t="shared" si="3"/>
        <v>Enero</v>
      </c>
      <c r="D126" s="50" t="s">
        <v>297</v>
      </c>
      <c r="E126" s="50" t="s">
        <v>299</v>
      </c>
      <c r="F126" s="50" t="s">
        <v>277</v>
      </c>
      <c r="G126" s="51" t="s">
        <v>278</v>
      </c>
      <c r="H126" s="50" t="s">
        <v>279</v>
      </c>
      <c r="I126" s="52">
        <v>3</v>
      </c>
      <c r="J126" s="50">
        <v>30</v>
      </c>
      <c r="K126" s="53">
        <f t="shared" si="4"/>
        <v>90</v>
      </c>
      <c r="L126" s="54">
        <f t="shared" si="5"/>
        <v>3.6</v>
      </c>
    </row>
    <row r="127" spans="1:12" s="37" customFormat="1" ht="25.05" customHeight="1">
      <c r="A127" s="48">
        <v>22</v>
      </c>
      <c r="B127" s="49">
        <v>40924</v>
      </c>
      <c r="C127" s="50" t="str">
        <f t="shared" si="3"/>
        <v>Enero</v>
      </c>
      <c r="D127" s="50" t="s">
        <v>297</v>
      </c>
      <c r="E127" s="50" t="s">
        <v>299</v>
      </c>
      <c r="F127" s="50" t="s">
        <v>285</v>
      </c>
      <c r="G127" s="51" t="s">
        <v>286</v>
      </c>
      <c r="H127" s="50" t="s">
        <v>287</v>
      </c>
      <c r="I127" s="52">
        <v>2.5</v>
      </c>
      <c r="J127" s="50">
        <v>20</v>
      </c>
      <c r="K127" s="53">
        <f t="shared" si="4"/>
        <v>50</v>
      </c>
      <c r="L127" s="54">
        <f t="shared" si="5"/>
        <v>1.5</v>
      </c>
    </row>
    <row r="128" spans="1:12" s="37" customFormat="1" ht="25.05" customHeight="1">
      <c r="A128" s="48">
        <v>22</v>
      </c>
      <c r="B128" s="49">
        <v>40924</v>
      </c>
      <c r="C128" s="50" t="str">
        <f t="shared" si="3"/>
        <v>Enero</v>
      </c>
      <c r="D128" s="50" t="s">
        <v>297</v>
      </c>
      <c r="E128" s="50" t="s">
        <v>299</v>
      </c>
      <c r="F128" s="50" t="s">
        <v>280</v>
      </c>
      <c r="G128" s="51" t="s">
        <v>281</v>
      </c>
      <c r="H128" s="50" t="s">
        <v>282</v>
      </c>
      <c r="I128" s="52">
        <v>10</v>
      </c>
      <c r="J128" s="50">
        <v>20</v>
      </c>
      <c r="K128" s="53">
        <f t="shared" si="4"/>
        <v>200</v>
      </c>
      <c r="L128" s="54">
        <f t="shared" si="5"/>
        <v>6</v>
      </c>
    </row>
    <row r="129" spans="1:12" s="37" customFormat="1" ht="25.05" customHeight="1">
      <c r="A129" s="48">
        <v>22</v>
      </c>
      <c r="B129" s="49">
        <v>40924</v>
      </c>
      <c r="C129" s="50" t="str">
        <f t="shared" si="3"/>
        <v>Enero</v>
      </c>
      <c r="D129" s="50" t="s">
        <v>297</v>
      </c>
      <c r="E129" s="50" t="s">
        <v>299</v>
      </c>
      <c r="F129" s="50" t="s">
        <v>290</v>
      </c>
      <c r="G129" s="51" t="s">
        <v>291</v>
      </c>
      <c r="H129" s="50" t="s">
        <v>292</v>
      </c>
      <c r="I129" s="52">
        <v>25</v>
      </c>
      <c r="J129" s="50">
        <v>20</v>
      </c>
      <c r="K129" s="53">
        <f t="shared" si="4"/>
        <v>500</v>
      </c>
      <c r="L129" s="54">
        <f t="shared" si="5"/>
        <v>15</v>
      </c>
    </row>
    <row r="130" spans="1:12" s="37" customFormat="1" ht="25.05" customHeight="1">
      <c r="A130" s="48">
        <v>22</v>
      </c>
      <c r="B130" s="49">
        <v>40924</v>
      </c>
      <c r="C130" s="50" t="str">
        <f t="shared" si="3"/>
        <v>Enero</v>
      </c>
      <c r="D130" s="50" t="s">
        <v>297</v>
      </c>
      <c r="E130" s="50" t="s">
        <v>299</v>
      </c>
      <c r="F130" s="50" t="s">
        <v>283</v>
      </c>
      <c r="G130" s="51" t="s">
        <v>284</v>
      </c>
      <c r="H130" s="50" t="s">
        <v>282</v>
      </c>
      <c r="I130" s="52">
        <v>12</v>
      </c>
      <c r="J130" s="50">
        <v>10</v>
      </c>
      <c r="K130" s="53">
        <f t="shared" si="4"/>
        <v>120</v>
      </c>
      <c r="L130" s="54">
        <f t="shared" si="5"/>
        <v>3.5999999999999996</v>
      </c>
    </row>
    <row r="131" spans="1:12" s="37" customFormat="1" ht="25.05" customHeight="1">
      <c r="A131" s="48">
        <v>22</v>
      </c>
      <c r="B131" s="49">
        <v>40924</v>
      </c>
      <c r="C131" s="50" t="str">
        <f t="shared" si="3"/>
        <v>Enero</v>
      </c>
      <c r="D131" s="50" t="s">
        <v>297</v>
      </c>
      <c r="E131" s="50" t="s">
        <v>299</v>
      </c>
      <c r="F131" s="50" t="s">
        <v>288</v>
      </c>
      <c r="G131" s="51" t="s">
        <v>289</v>
      </c>
      <c r="H131" s="50" t="s">
        <v>282</v>
      </c>
      <c r="I131" s="52">
        <v>15</v>
      </c>
      <c r="J131" s="50">
        <v>10</v>
      </c>
      <c r="K131" s="53">
        <f t="shared" si="4"/>
        <v>150</v>
      </c>
      <c r="L131" s="54">
        <f t="shared" si="5"/>
        <v>4.5</v>
      </c>
    </row>
    <row r="132" spans="1:12" s="37" customFormat="1" ht="25.05" customHeight="1">
      <c r="A132" s="48">
        <v>23</v>
      </c>
      <c r="B132" s="49">
        <v>40934</v>
      </c>
      <c r="C132" s="50" t="str">
        <f t="shared" ref="C132:C179" si="6">TEXT(B132,"Mmmm")</f>
        <v>Enero</v>
      </c>
      <c r="D132" s="50" t="s">
        <v>297</v>
      </c>
      <c r="E132" s="50" t="s">
        <v>298</v>
      </c>
      <c r="F132" s="50" t="s">
        <v>285</v>
      </c>
      <c r="G132" s="51" t="s">
        <v>286</v>
      </c>
      <c r="H132" s="50" t="s">
        <v>287</v>
      </c>
      <c r="I132" s="52">
        <v>2.5</v>
      </c>
      <c r="J132" s="50">
        <v>40</v>
      </c>
      <c r="K132" s="53">
        <f t="shared" ref="K132:K179" si="7">I132*J132</f>
        <v>100</v>
      </c>
      <c r="L132" s="54">
        <f t="shared" ref="L132:L179" si="8">IF(J132&gt;=30,K132*4%,K132*3%)</f>
        <v>4</v>
      </c>
    </row>
    <row r="133" spans="1:12" s="37" customFormat="1" ht="25.05" customHeight="1">
      <c r="A133" s="48">
        <v>23</v>
      </c>
      <c r="B133" s="49">
        <v>40934</v>
      </c>
      <c r="C133" s="50" t="str">
        <f t="shared" si="6"/>
        <v>Enero</v>
      </c>
      <c r="D133" s="50" t="s">
        <v>297</v>
      </c>
      <c r="E133" s="50" t="s">
        <v>298</v>
      </c>
      <c r="F133" s="50" t="s">
        <v>288</v>
      </c>
      <c r="G133" s="51" t="s">
        <v>289</v>
      </c>
      <c r="H133" s="50" t="s">
        <v>282</v>
      </c>
      <c r="I133" s="52">
        <v>15</v>
      </c>
      <c r="J133" s="50">
        <v>40</v>
      </c>
      <c r="K133" s="53">
        <f t="shared" si="7"/>
        <v>600</v>
      </c>
      <c r="L133" s="54">
        <f t="shared" si="8"/>
        <v>24</v>
      </c>
    </row>
    <row r="134" spans="1:12" s="37" customFormat="1" ht="25.05" customHeight="1">
      <c r="A134" s="48">
        <v>23</v>
      </c>
      <c r="B134" s="49">
        <v>40934</v>
      </c>
      <c r="C134" s="50" t="str">
        <f t="shared" si="6"/>
        <v>Enero</v>
      </c>
      <c r="D134" s="50" t="s">
        <v>297</v>
      </c>
      <c r="E134" s="50" t="s">
        <v>298</v>
      </c>
      <c r="F134" s="50" t="s">
        <v>277</v>
      </c>
      <c r="G134" s="51" t="s">
        <v>278</v>
      </c>
      <c r="H134" s="50" t="s">
        <v>279</v>
      </c>
      <c r="I134" s="52">
        <v>3</v>
      </c>
      <c r="J134" s="50">
        <v>30</v>
      </c>
      <c r="K134" s="53">
        <f t="shared" si="7"/>
        <v>90</v>
      </c>
      <c r="L134" s="54">
        <f t="shared" si="8"/>
        <v>3.6</v>
      </c>
    </row>
    <row r="135" spans="1:12" s="37" customFormat="1" ht="25.05" customHeight="1">
      <c r="A135" s="48">
        <v>23</v>
      </c>
      <c r="B135" s="49">
        <v>40934</v>
      </c>
      <c r="C135" s="50" t="str">
        <f t="shared" si="6"/>
        <v>Enero</v>
      </c>
      <c r="D135" s="50" t="s">
        <v>297</v>
      </c>
      <c r="E135" s="50" t="s">
        <v>298</v>
      </c>
      <c r="F135" s="50" t="s">
        <v>283</v>
      </c>
      <c r="G135" s="51" t="s">
        <v>284</v>
      </c>
      <c r="H135" s="50" t="s">
        <v>282</v>
      </c>
      <c r="I135" s="52">
        <v>12</v>
      </c>
      <c r="J135" s="50">
        <v>30</v>
      </c>
      <c r="K135" s="53">
        <f t="shared" si="7"/>
        <v>360</v>
      </c>
      <c r="L135" s="54">
        <f t="shared" si="8"/>
        <v>14.4</v>
      </c>
    </row>
    <row r="136" spans="1:12" s="37" customFormat="1" ht="25.05" customHeight="1">
      <c r="A136" s="48">
        <v>23</v>
      </c>
      <c r="B136" s="49">
        <v>40934</v>
      </c>
      <c r="C136" s="50" t="str">
        <f t="shared" si="6"/>
        <v>Enero</v>
      </c>
      <c r="D136" s="50" t="s">
        <v>297</v>
      </c>
      <c r="E136" s="50" t="s">
        <v>298</v>
      </c>
      <c r="F136" s="50" t="s">
        <v>280</v>
      </c>
      <c r="G136" s="51" t="s">
        <v>281</v>
      </c>
      <c r="H136" s="50" t="s">
        <v>282</v>
      </c>
      <c r="I136" s="52">
        <v>10</v>
      </c>
      <c r="J136" s="50">
        <v>20</v>
      </c>
      <c r="K136" s="53">
        <f t="shared" si="7"/>
        <v>200</v>
      </c>
      <c r="L136" s="54">
        <f t="shared" si="8"/>
        <v>6</v>
      </c>
    </row>
    <row r="137" spans="1:12" s="37" customFormat="1" ht="25.05" customHeight="1">
      <c r="A137" s="48">
        <v>23</v>
      </c>
      <c r="B137" s="49">
        <v>40934</v>
      </c>
      <c r="C137" s="50" t="str">
        <f t="shared" si="6"/>
        <v>Enero</v>
      </c>
      <c r="D137" s="50" t="s">
        <v>297</v>
      </c>
      <c r="E137" s="50" t="s">
        <v>298</v>
      </c>
      <c r="F137" s="50" t="s">
        <v>290</v>
      </c>
      <c r="G137" s="51" t="s">
        <v>291</v>
      </c>
      <c r="H137" s="50" t="s">
        <v>292</v>
      </c>
      <c r="I137" s="52">
        <v>25</v>
      </c>
      <c r="J137" s="50">
        <v>20</v>
      </c>
      <c r="K137" s="53">
        <f t="shared" si="7"/>
        <v>500</v>
      </c>
      <c r="L137" s="54">
        <f t="shared" si="8"/>
        <v>15</v>
      </c>
    </row>
    <row r="138" spans="1:12" s="37" customFormat="1" ht="25.05" customHeight="1">
      <c r="A138" s="48">
        <v>24</v>
      </c>
      <c r="B138" s="49">
        <v>40944</v>
      </c>
      <c r="C138" s="50" t="str">
        <f t="shared" si="6"/>
        <v>Febrero</v>
      </c>
      <c r="D138" s="50" t="s">
        <v>297</v>
      </c>
      <c r="E138" s="50" t="s">
        <v>299</v>
      </c>
      <c r="F138" s="50" t="s">
        <v>277</v>
      </c>
      <c r="G138" s="51" t="s">
        <v>278</v>
      </c>
      <c r="H138" s="50" t="s">
        <v>279</v>
      </c>
      <c r="I138" s="52">
        <v>3</v>
      </c>
      <c r="J138" s="50">
        <v>40</v>
      </c>
      <c r="K138" s="53">
        <f t="shared" si="7"/>
        <v>120</v>
      </c>
      <c r="L138" s="54">
        <f t="shared" si="8"/>
        <v>4.8</v>
      </c>
    </row>
    <row r="139" spans="1:12" s="37" customFormat="1" ht="25.05" customHeight="1">
      <c r="A139" s="48">
        <v>24</v>
      </c>
      <c r="B139" s="49">
        <v>40944</v>
      </c>
      <c r="C139" s="50" t="str">
        <f t="shared" si="6"/>
        <v>Febrero</v>
      </c>
      <c r="D139" s="50" t="s">
        <v>297</v>
      </c>
      <c r="E139" s="50" t="s">
        <v>299</v>
      </c>
      <c r="F139" s="50" t="s">
        <v>290</v>
      </c>
      <c r="G139" s="51" t="s">
        <v>291</v>
      </c>
      <c r="H139" s="50" t="s">
        <v>292</v>
      </c>
      <c r="I139" s="52">
        <v>25</v>
      </c>
      <c r="J139" s="50">
        <v>40</v>
      </c>
      <c r="K139" s="53">
        <f t="shared" si="7"/>
        <v>1000</v>
      </c>
      <c r="L139" s="54">
        <f t="shared" si="8"/>
        <v>40</v>
      </c>
    </row>
    <row r="140" spans="1:12" s="37" customFormat="1" ht="25.05" customHeight="1">
      <c r="A140" s="48">
        <v>24</v>
      </c>
      <c r="B140" s="49">
        <v>40944</v>
      </c>
      <c r="C140" s="50" t="str">
        <f t="shared" si="6"/>
        <v>Febrero</v>
      </c>
      <c r="D140" s="50" t="s">
        <v>297</v>
      </c>
      <c r="E140" s="50" t="s">
        <v>299</v>
      </c>
      <c r="F140" s="50" t="s">
        <v>285</v>
      </c>
      <c r="G140" s="51" t="s">
        <v>286</v>
      </c>
      <c r="H140" s="50" t="s">
        <v>287</v>
      </c>
      <c r="I140" s="52">
        <v>2.5</v>
      </c>
      <c r="J140" s="50">
        <v>30</v>
      </c>
      <c r="K140" s="53">
        <f t="shared" si="7"/>
        <v>75</v>
      </c>
      <c r="L140" s="54">
        <f t="shared" si="8"/>
        <v>3</v>
      </c>
    </row>
    <row r="141" spans="1:12" s="37" customFormat="1" ht="25.05" customHeight="1">
      <c r="A141" s="48">
        <v>24</v>
      </c>
      <c r="B141" s="49">
        <v>40944</v>
      </c>
      <c r="C141" s="50" t="str">
        <f t="shared" si="6"/>
        <v>Febrero</v>
      </c>
      <c r="D141" s="50" t="s">
        <v>297</v>
      </c>
      <c r="E141" s="50" t="s">
        <v>299</v>
      </c>
      <c r="F141" s="50" t="s">
        <v>280</v>
      </c>
      <c r="G141" s="51" t="s">
        <v>281</v>
      </c>
      <c r="H141" s="50" t="s">
        <v>282</v>
      </c>
      <c r="I141" s="52">
        <v>10</v>
      </c>
      <c r="J141" s="50">
        <v>30</v>
      </c>
      <c r="K141" s="53">
        <f t="shared" si="7"/>
        <v>300</v>
      </c>
      <c r="L141" s="54">
        <f t="shared" si="8"/>
        <v>12</v>
      </c>
    </row>
    <row r="142" spans="1:12" s="37" customFormat="1" ht="25.05" customHeight="1">
      <c r="A142" s="48">
        <v>24</v>
      </c>
      <c r="B142" s="49">
        <v>40944</v>
      </c>
      <c r="C142" s="50" t="str">
        <f t="shared" si="6"/>
        <v>Febrero</v>
      </c>
      <c r="D142" s="50" t="s">
        <v>297</v>
      </c>
      <c r="E142" s="50" t="s">
        <v>299</v>
      </c>
      <c r="F142" s="50" t="s">
        <v>288</v>
      </c>
      <c r="G142" s="51" t="s">
        <v>289</v>
      </c>
      <c r="H142" s="50" t="s">
        <v>282</v>
      </c>
      <c r="I142" s="52">
        <v>15</v>
      </c>
      <c r="J142" s="50">
        <v>30</v>
      </c>
      <c r="K142" s="53">
        <f t="shared" si="7"/>
        <v>450</v>
      </c>
      <c r="L142" s="54">
        <f t="shared" si="8"/>
        <v>18</v>
      </c>
    </row>
    <row r="143" spans="1:12" s="37" customFormat="1" ht="25.05" customHeight="1">
      <c r="A143" s="48">
        <v>24</v>
      </c>
      <c r="B143" s="49">
        <v>40944</v>
      </c>
      <c r="C143" s="50" t="str">
        <f t="shared" si="6"/>
        <v>Febrero</v>
      </c>
      <c r="D143" s="50" t="s">
        <v>297</v>
      </c>
      <c r="E143" s="50" t="s">
        <v>299</v>
      </c>
      <c r="F143" s="50" t="s">
        <v>283</v>
      </c>
      <c r="G143" s="51" t="s">
        <v>284</v>
      </c>
      <c r="H143" s="50" t="s">
        <v>282</v>
      </c>
      <c r="I143" s="52">
        <v>12</v>
      </c>
      <c r="J143" s="50">
        <v>20</v>
      </c>
      <c r="K143" s="53">
        <f t="shared" si="7"/>
        <v>240</v>
      </c>
      <c r="L143" s="54">
        <f t="shared" si="8"/>
        <v>7.1999999999999993</v>
      </c>
    </row>
    <row r="144" spans="1:12" s="37" customFormat="1" ht="25.05" customHeight="1">
      <c r="A144" s="48">
        <v>25</v>
      </c>
      <c r="B144" s="49">
        <v>40954</v>
      </c>
      <c r="C144" s="50" t="str">
        <f t="shared" si="6"/>
        <v>Febrero</v>
      </c>
      <c r="D144" s="50" t="s">
        <v>297</v>
      </c>
      <c r="E144" s="50" t="s">
        <v>298</v>
      </c>
      <c r="F144" s="50" t="s">
        <v>283</v>
      </c>
      <c r="G144" s="51" t="s">
        <v>284</v>
      </c>
      <c r="H144" s="50" t="s">
        <v>282</v>
      </c>
      <c r="I144" s="52">
        <v>12</v>
      </c>
      <c r="J144" s="50">
        <v>50</v>
      </c>
      <c r="K144" s="53">
        <f t="shared" si="7"/>
        <v>600</v>
      </c>
      <c r="L144" s="54">
        <f t="shared" si="8"/>
        <v>24</v>
      </c>
    </row>
    <row r="145" spans="1:12" s="37" customFormat="1" ht="25.05" customHeight="1">
      <c r="A145" s="48">
        <v>25</v>
      </c>
      <c r="B145" s="49">
        <v>40954</v>
      </c>
      <c r="C145" s="50" t="str">
        <f t="shared" si="6"/>
        <v>Febrero</v>
      </c>
      <c r="D145" s="50" t="s">
        <v>297</v>
      </c>
      <c r="E145" s="50" t="s">
        <v>298</v>
      </c>
      <c r="F145" s="50" t="s">
        <v>280</v>
      </c>
      <c r="G145" s="51" t="s">
        <v>281</v>
      </c>
      <c r="H145" s="50" t="s">
        <v>282</v>
      </c>
      <c r="I145" s="52">
        <v>10</v>
      </c>
      <c r="J145" s="50">
        <v>40</v>
      </c>
      <c r="K145" s="53">
        <f t="shared" si="7"/>
        <v>400</v>
      </c>
      <c r="L145" s="54">
        <f t="shared" si="8"/>
        <v>16</v>
      </c>
    </row>
    <row r="146" spans="1:12" s="37" customFormat="1" ht="25.05" customHeight="1">
      <c r="A146" s="48">
        <v>25</v>
      </c>
      <c r="B146" s="49">
        <v>40954</v>
      </c>
      <c r="C146" s="50" t="str">
        <f t="shared" si="6"/>
        <v>Febrero</v>
      </c>
      <c r="D146" s="50" t="s">
        <v>297</v>
      </c>
      <c r="E146" s="50" t="s">
        <v>298</v>
      </c>
      <c r="F146" s="50" t="s">
        <v>290</v>
      </c>
      <c r="G146" s="51" t="s">
        <v>291</v>
      </c>
      <c r="H146" s="50" t="s">
        <v>292</v>
      </c>
      <c r="I146" s="52">
        <v>25</v>
      </c>
      <c r="J146" s="50">
        <v>40</v>
      </c>
      <c r="K146" s="53">
        <f t="shared" si="7"/>
        <v>1000</v>
      </c>
      <c r="L146" s="54">
        <f t="shared" si="8"/>
        <v>40</v>
      </c>
    </row>
    <row r="147" spans="1:12" s="37" customFormat="1" ht="25.05" customHeight="1">
      <c r="A147" s="48">
        <v>25</v>
      </c>
      <c r="B147" s="49">
        <v>40954</v>
      </c>
      <c r="C147" s="50" t="str">
        <f t="shared" si="6"/>
        <v>Febrero</v>
      </c>
      <c r="D147" s="50" t="s">
        <v>297</v>
      </c>
      <c r="E147" s="50" t="s">
        <v>298</v>
      </c>
      <c r="F147" s="50" t="s">
        <v>277</v>
      </c>
      <c r="G147" s="51" t="s">
        <v>278</v>
      </c>
      <c r="H147" s="50" t="s">
        <v>279</v>
      </c>
      <c r="I147" s="52">
        <v>3</v>
      </c>
      <c r="J147" s="50">
        <v>30</v>
      </c>
      <c r="K147" s="53">
        <f t="shared" si="7"/>
        <v>90</v>
      </c>
      <c r="L147" s="54">
        <f t="shared" si="8"/>
        <v>3.6</v>
      </c>
    </row>
    <row r="148" spans="1:12" s="37" customFormat="1" ht="25.05" customHeight="1">
      <c r="A148" s="48">
        <v>25</v>
      </c>
      <c r="B148" s="49">
        <v>40954</v>
      </c>
      <c r="C148" s="50" t="str">
        <f t="shared" si="6"/>
        <v>Febrero</v>
      </c>
      <c r="D148" s="50" t="s">
        <v>297</v>
      </c>
      <c r="E148" s="50" t="s">
        <v>298</v>
      </c>
      <c r="F148" s="50" t="s">
        <v>285</v>
      </c>
      <c r="G148" s="51" t="s">
        <v>286</v>
      </c>
      <c r="H148" s="50" t="s">
        <v>287</v>
      </c>
      <c r="I148" s="52">
        <v>2.5</v>
      </c>
      <c r="J148" s="50">
        <v>20</v>
      </c>
      <c r="K148" s="53">
        <f t="shared" si="7"/>
        <v>50</v>
      </c>
      <c r="L148" s="54">
        <f t="shared" si="8"/>
        <v>1.5</v>
      </c>
    </row>
    <row r="149" spans="1:12" s="37" customFormat="1" ht="25.05" customHeight="1">
      <c r="A149" s="48">
        <v>25</v>
      </c>
      <c r="B149" s="49">
        <v>40954</v>
      </c>
      <c r="C149" s="50" t="str">
        <f t="shared" si="6"/>
        <v>Febrero</v>
      </c>
      <c r="D149" s="50" t="s">
        <v>297</v>
      </c>
      <c r="E149" s="50" t="s">
        <v>298</v>
      </c>
      <c r="F149" s="50" t="s">
        <v>288</v>
      </c>
      <c r="G149" s="51" t="s">
        <v>289</v>
      </c>
      <c r="H149" s="50" t="s">
        <v>282</v>
      </c>
      <c r="I149" s="52">
        <v>15</v>
      </c>
      <c r="J149" s="50">
        <v>10</v>
      </c>
      <c r="K149" s="53">
        <f t="shared" si="7"/>
        <v>150</v>
      </c>
      <c r="L149" s="54">
        <f t="shared" si="8"/>
        <v>4.5</v>
      </c>
    </row>
    <row r="150" spans="1:12" s="37" customFormat="1" ht="25.05" customHeight="1">
      <c r="A150" s="48">
        <v>26</v>
      </c>
      <c r="B150" s="49">
        <v>40933</v>
      </c>
      <c r="C150" s="50" t="str">
        <f t="shared" si="6"/>
        <v>Enero</v>
      </c>
      <c r="D150" s="50" t="s">
        <v>297</v>
      </c>
      <c r="E150" s="50" t="s">
        <v>299</v>
      </c>
      <c r="F150" s="50" t="s">
        <v>283</v>
      </c>
      <c r="G150" s="51" t="s">
        <v>284</v>
      </c>
      <c r="H150" s="50" t="s">
        <v>282</v>
      </c>
      <c r="I150" s="52">
        <v>12</v>
      </c>
      <c r="J150" s="50">
        <v>50</v>
      </c>
      <c r="K150" s="53">
        <f t="shared" si="7"/>
        <v>600</v>
      </c>
      <c r="L150" s="54">
        <f t="shared" si="8"/>
        <v>24</v>
      </c>
    </row>
    <row r="151" spans="1:12" s="37" customFormat="1" ht="25.05" customHeight="1">
      <c r="A151" s="48">
        <v>26</v>
      </c>
      <c r="B151" s="49">
        <v>40964</v>
      </c>
      <c r="C151" s="50" t="str">
        <f t="shared" si="6"/>
        <v>Febrero</v>
      </c>
      <c r="D151" s="50" t="s">
        <v>297</v>
      </c>
      <c r="E151" s="50" t="s">
        <v>299</v>
      </c>
      <c r="F151" s="50" t="s">
        <v>280</v>
      </c>
      <c r="G151" s="51" t="s">
        <v>281</v>
      </c>
      <c r="H151" s="50" t="s">
        <v>282</v>
      </c>
      <c r="I151" s="52">
        <v>10</v>
      </c>
      <c r="J151" s="50">
        <v>40</v>
      </c>
      <c r="K151" s="53">
        <f t="shared" si="7"/>
        <v>400</v>
      </c>
      <c r="L151" s="54">
        <f t="shared" si="8"/>
        <v>16</v>
      </c>
    </row>
    <row r="152" spans="1:12" s="37" customFormat="1" ht="25.05" customHeight="1">
      <c r="A152" s="48">
        <v>26</v>
      </c>
      <c r="B152" s="49">
        <v>40964</v>
      </c>
      <c r="C152" s="50" t="str">
        <f t="shared" si="6"/>
        <v>Febrero</v>
      </c>
      <c r="D152" s="50" t="s">
        <v>297</v>
      </c>
      <c r="E152" s="50" t="s">
        <v>299</v>
      </c>
      <c r="F152" s="50" t="s">
        <v>290</v>
      </c>
      <c r="G152" s="51" t="s">
        <v>291</v>
      </c>
      <c r="H152" s="50" t="s">
        <v>292</v>
      </c>
      <c r="I152" s="52">
        <v>25</v>
      </c>
      <c r="J152" s="50">
        <v>40</v>
      </c>
      <c r="K152" s="53">
        <f t="shared" si="7"/>
        <v>1000</v>
      </c>
      <c r="L152" s="54">
        <f t="shared" si="8"/>
        <v>40</v>
      </c>
    </row>
    <row r="153" spans="1:12" s="37" customFormat="1" ht="25.05" customHeight="1">
      <c r="A153" s="48">
        <v>26</v>
      </c>
      <c r="B153" s="49">
        <v>40964</v>
      </c>
      <c r="C153" s="50" t="str">
        <f t="shared" si="6"/>
        <v>Febrero</v>
      </c>
      <c r="D153" s="50" t="s">
        <v>297</v>
      </c>
      <c r="E153" s="50" t="s">
        <v>299</v>
      </c>
      <c r="F153" s="50" t="s">
        <v>277</v>
      </c>
      <c r="G153" s="51" t="s">
        <v>278</v>
      </c>
      <c r="H153" s="50" t="s">
        <v>279</v>
      </c>
      <c r="I153" s="52">
        <v>3</v>
      </c>
      <c r="J153" s="50">
        <v>30</v>
      </c>
      <c r="K153" s="53">
        <f t="shared" si="7"/>
        <v>90</v>
      </c>
      <c r="L153" s="54">
        <f t="shared" si="8"/>
        <v>3.6</v>
      </c>
    </row>
    <row r="154" spans="1:12" s="37" customFormat="1" ht="25.05" customHeight="1">
      <c r="A154" s="48">
        <v>26</v>
      </c>
      <c r="B154" s="49">
        <v>40964</v>
      </c>
      <c r="C154" s="50" t="str">
        <f t="shared" si="6"/>
        <v>Febrero</v>
      </c>
      <c r="D154" s="50" t="s">
        <v>297</v>
      </c>
      <c r="E154" s="50" t="s">
        <v>299</v>
      </c>
      <c r="F154" s="50" t="s">
        <v>285</v>
      </c>
      <c r="G154" s="51" t="s">
        <v>286</v>
      </c>
      <c r="H154" s="50" t="s">
        <v>287</v>
      </c>
      <c r="I154" s="52">
        <v>2.5</v>
      </c>
      <c r="J154" s="50">
        <v>20</v>
      </c>
      <c r="K154" s="53">
        <f t="shared" si="7"/>
        <v>50</v>
      </c>
      <c r="L154" s="54">
        <f t="shared" si="8"/>
        <v>1.5</v>
      </c>
    </row>
    <row r="155" spans="1:12" s="37" customFormat="1" ht="25.05" customHeight="1">
      <c r="A155" s="48">
        <v>26</v>
      </c>
      <c r="B155" s="49">
        <v>40964</v>
      </c>
      <c r="C155" s="50" t="str">
        <f t="shared" si="6"/>
        <v>Febrero</v>
      </c>
      <c r="D155" s="50" t="s">
        <v>297</v>
      </c>
      <c r="E155" s="50" t="s">
        <v>299</v>
      </c>
      <c r="F155" s="50" t="s">
        <v>288</v>
      </c>
      <c r="G155" s="51" t="s">
        <v>289</v>
      </c>
      <c r="H155" s="50" t="s">
        <v>282</v>
      </c>
      <c r="I155" s="52">
        <v>15</v>
      </c>
      <c r="J155" s="50">
        <v>10</v>
      </c>
      <c r="K155" s="53">
        <f t="shared" si="7"/>
        <v>150</v>
      </c>
      <c r="L155" s="54">
        <f t="shared" si="8"/>
        <v>4.5</v>
      </c>
    </row>
    <row r="156" spans="1:12" s="37" customFormat="1" ht="25.05" customHeight="1">
      <c r="A156" s="48">
        <v>27</v>
      </c>
      <c r="B156" s="49">
        <v>40974</v>
      </c>
      <c r="C156" s="50" t="str">
        <f t="shared" si="6"/>
        <v>Marzo</v>
      </c>
      <c r="D156" s="50" t="s">
        <v>297</v>
      </c>
      <c r="E156" s="50" t="s">
        <v>298</v>
      </c>
      <c r="F156" s="50" t="s">
        <v>285</v>
      </c>
      <c r="G156" s="51" t="s">
        <v>286</v>
      </c>
      <c r="H156" s="50" t="s">
        <v>287</v>
      </c>
      <c r="I156" s="52">
        <v>2.5</v>
      </c>
      <c r="J156" s="50">
        <v>30</v>
      </c>
      <c r="K156" s="53">
        <f t="shared" si="7"/>
        <v>75</v>
      </c>
      <c r="L156" s="54">
        <f t="shared" si="8"/>
        <v>3</v>
      </c>
    </row>
    <row r="157" spans="1:12" s="37" customFormat="1" ht="25.05" customHeight="1">
      <c r="A157" s="48">
        <v>27</v>
      </c>
      <c r="B157" s="49">
        <v>40974</v>
      </c>
      <c r="C157" s="50" t="str">
        <f t="shared" si="6"/>
        <v>Marzo</v>
      </c>
      <c r="D157" s="50" t="s">
        <v>297</v>
      </c>
      <c r="E157" s="50" t="s">
        <v>298</v>
      </c>
      <c r="F157" s="50" t="s">
        <v>280</v>
      </c>
      <c r="G157" s="51" t="s">
        <v>281</v>
      </c>
      <c r="H157" s="50" t="s">
        <v>282</v>
      </c>
      <c r="I157" s="52">
        <v>10</v>
      </c>
      <c r="J157" s="50">
        <v>30</v>
      </c>
      <c r="K157" s="53">
        <f t="shared" si="7"/>
        <v>300</v>
      </c>
      <c r="L157" s="54">
        <f t="shared" si="8"/>
        <v>12</v>
      </c>
    </row>
    <row r="158" spans="1:12" s="37" customFormat="1" ht="25.05" customHeight="1">
      <c r="A158" s="48">
        <v>27</v>
      </c>
      <c r="B158" s="49">
        <v>40974</v>
      </c>
      <c r="C158" s="50" t="str">
        <f t="shared" si="6"/>
        <v>Marzo</v>
      </c>
      <c r="D158" s="50" t="s">
        <v>297</v>
      </c>
      <c r="E158" s="50" t="s">
        <v>298</v>
      </c>
      <c r="F158" s="50" t="s">
        <v>288</v>
      </c>
      <c r="G158" s="51" t="s">
        <v>289</v>
      </c>
      <c r="H158" s="50" t="s">
        <v>282</v>
      </c>
      <c r="I158" s="52">
        <v>15</v>
      </c>
      <c r="J158" s="50">
        <v>30</v>
      </c>
      <c r="K158" s="53">
        <f t="shared" si="7"/>
        <v>450</v>
      </c>
      <c r="L158" s="54">
        <f t="shared" si="8"/>
        <v>18</v>
      </c>
    </row>
    <row r="159" spans="1:12" s="37" customFormat="1" ht="25.05" customHeight="1">
      <c r="A159" s="48">
        <v>27</v>
      </c>
      <c r="B159" s="49">
        <v>40974</v>
      </c>
      <c r="C159" s="50" t="str">
        <f t="shared" si="6"/>
        <v>Marzo</v>
      </c>
      <c r="D159" s="50" t="s">
        <v>297</v>
      </c>
      <c r="E159" s="50" t="s">
        <v>298</v>
      </c>
      <c r="F159" s="50" t="s">
        <v>277</v>
      </c>
      <c r="G159" s="51" t="s">
        <v>278</v>
      </c>
      <c r="H159" s="50" t="s">
        <v>279</v>
      </c>
      <c r="I159" s="52">
        <v>3</v>
      </c>
      <c r="J159" s="50">
        <v>20</v>
      </c>
      <c r="K159" s="53">
        <f t="shared" si="7"/>
        <v>60</v>
      </c>
      <c r="L159" s="54">
        <f t="shared" si="8"/>
        <v>1.7999999999999998</v>
      </c>
    </row>
    <row r="160" spans="1:12" s="37" customFormat="1" ht="25.05" customHeight="1">
      <c r="A160" s="48">
        <v>27</v>
      </c>
      <c r="B160" s="49">
        <v>40974</v>
      </c>
      <c r="C160" s="50" t="str">
        <f t="shared" si="6"/>
        <v>Marzo</v>
      </c>
      <c r="D160" s="50" t="s">
        <v>297</v>
      </c>
      <c r="E160" s="50" t="s">
        <v>298</v>
      </c>
      <c r="F160" s="50" t="s">
        <v>283</v>
      </c>
      <c r="G160" s="51" t="s">
        <v>284</v>
      </c>
      <c r="H160" s="50" t="s">
        <v>282</v>
      </c>
      <c r="I160" s="52">
        <v>12</v>
      </c>
      <c r="J160" s="50">
        <v>20</v>
      </c>
      <c r="K160" s="53">
        <f t="shared" si="7"/>
        <v>240</v>
      </c>
      <c r="L160" s="54">
        <f t="shared" si="8"/>
        <v>7.1999999999999993</v>
      </c>
    </row>
    <row r="161" spans="1:12" s="37" customFormat="1" ht="25.05" customHeight="1">
      <c r="A161" s="48">
        <v>27</v>
      </c>
      <c r="B161" s="49">
        <v>40974</v>
      </c>
      <c r="C161" s="50" t="str">
        <f t="shared" si="6"/>
        <v>Marzo</v>
      </c>
      <c r="D161" s="50" t="s">
        <v>297</v>
      </c>
      <c r="E161" s="50" t="s">
        <v>298</v>
      </c>
      <c r="F161" s="50" t="s">
        <v>290</v>
      </c>
      <c r="G161" s="51" t="s">
        <v>291</v>
      </c>
      <c r="H161" s="50" t="s">
        <v>292</v>
      </c>
      <c r="I161" s="52">
        <v>25</v>
      </c>
      <c r="J161" s="50">
        <v>20</v>
      </c>
      <c r="K161" s="53">
        <f t="shared" si="7"/>
        <v>500</v>
      </c>
      <c r="L161" s="54">
        <f t="shared" si="8"/>
        <v>15</v>
      </c>
    </row>
    <row r="162" spans="1:12" s="37" customFormat="1" ht="25.05" customHeight="1">
      <c r="A162" s="48">
        <v>28</v>
      </c>
      <c r="B162" s="49">
        <v>40984</v>
      </c>
      <c r="C162" s="50" t="str">
        <f t="shared" si="6"/>
        <v>Marzo</v>
      </c>
      <c r="D162" s="50" t="s">
        <v>297</v>
      </c>
      <c r="E162" s="50" t="s">
        <v>299</v>
      </c>
      <c r="F162" s="50" t="s">
        <v>285</v>
      </c>
      <c r="G162" s="51" t="s">
        <v>286</v>
      </c>
      <c r="H162" s="50" t="s">
        <v>287</v>
      </c>
      <c r="I162" s="52">
        <v>2.5</v>
      </c>
      <c r="J162" s="50">
        <v>40</v>
      </c>
      <c r="K162" s="53">
        <f t="shared" si="7"/>
        <v>100</v>
      </c>
      <c r="L162" s="54">
        <f t="shared" si="8"/>
        <v>4</v>
      </c>
    </row>
    <row r="163" spans="1:12" s="37" customFormat="1" ht="25.05" customHeight="1">
      <c r="A163" s="48">
        <v>28</v>
      </c>
      <c r="B163" s="49">
        <v>40984</v>
      </c>
      <c r="C163" s="50" t="str">
        <f t="shared" si="6"/>
        <v>Marzo</v>
      </c>
      <c r="D163" s="50" t="s">
        <v>297</v>
      </c>
      <c r="E163" s="50" t="s">
        <v>299</v>
      </c>
      <c r="F163" s="50" t="s">
        <v>277</v>
      </c>
      <c r="G163" s="51" t="s">
        <v>278</v>
      </c>
      <c r="H163" s="50" t="s">
        <v>279</v>
      </c>
      <c r="I163" s="52">
        <v>3</v>
      </c>
      <c r="J163" s="50">
        <v>30</v>
      </c>
      <c r="K163" s="53">
        <f t="shared" si="7"/>
        <v>90</v>
      </c>
      <c r="L163" s="54">
        <f t="shared" si="8"/>
        <v>3.6</v>
      </c>
    </row>
    <row r="164" spans="1:12" s="37" customFormat="1" ht="25.05" customHeight="1">
      <c r="A164" s="48">
        <v>28</v>
      </c>
      <c r="B164" s="49">
        <v>40984</v>
      </c>
      <c r="C164" s="50" t="str">
        <f t="shared" si="6"/>
        <v>Marzo</v>
      </c>
      <c r="D164" s="50" t="s">
        <v>297</v>
      </c>
      <c r="E164" s="50" t="s">
        <v>299</v>
      </c>
      <c r="F164" s="50" t="s">
        <v>283</v>
      </c>
      <c r="G164" s="51" t="s">
        <v>284</v>
      </c>
      <c r="H164" s="50" t="s">
        <v>282</v>
      </c>
      <c r="I164" s="52">
        <v>12</v>
      </c>
      <c r="J164" s="50">
        <v>30</v>
      </c>
      <c r="K164" s="53">
        <f t="shared" si="7"/>
        <v>360</v>
      </c>
      <c r="L164" s="54">
        <f t="shared" si="8"/>
        <v>14.4</v>
      </c>
    </row>
    <row r="165" spans="1:12" s="37" customFormat="1" ht="25.05" customHeight="1">
      <c r="A165" s="48">
        <v>28</v>
      </c>
      <c r="B165" s="49">
        <v>40984</v>
      </c>
      <c r="C165" s="50" t="str">
        <f t="shared" si="6"/>
        <v>Marzo</v>
      </c>
      <c r="D165" s="50" t="s">
        <v>297</v>
      </c>
      <c r="E165" s="50" t="s">
        <v>299</v>
      </c>
      <c r="F165" s="50" t="s">
        <v>280</v>
      </c>
      <c r="G165" s="51" t="s">
        <v>281</v>
      </c>
      <c r="H165" s="50" t="s">
        <v>282</v>
      </c>
      <c r="I165" s="52">
        <v>10</v>
      </c>
      <c r="J165" s="50">
        <v>20</v>
      </c>
      <c r="K165" s="53">
        <f t="shared" si="7"/>
        <v>200</v>
      </c>
      <c r="L165" s="54">
        <f t="shared" si="8"/>
        <v>6</v>
      </c>
    </row>
    <row r="166" spans="1:12" s="37" customFormat="1" ht="25.05" customHeight="1">
      <c r="A166" s="48">
        <v>28</v>
      </c>
      <c r="B166" s="49">
        <v>40984</v>
      </c>
      <c r="C166" s="50" t="str">
        <f t="shared" si="6"/>
        <v>Marzo</v>
      </c>
      <c r="D166" s="50" t="s">
        <v>297</v>
      </c>
      <c r="E166" s="50" t="s">
        <v>299</v>
      </c>
      <c r="F166" s="50" t="s">
        <v>288</v>
      </c>
      <c r="G166" s="51" t="s">
        <v>289</v>
      </c>
      <c r="H166" s="50" t="s">
        <v>282</v>
      </c>
      <c r="I166" s="52">
        <v>15</v>
      </c>
      <c r="J166" s="50">
        <v>10</v>
      </c>
      <c r="K166" s="53">
        <f t="shared" si="7"/>
        <v>150</v>
      </c>
      <c r="L166" s="54">
        <f t="shared" si="8"/>
        <v>4.5</v>
      </c>
    </row>
    <row r="167" spans="1:12" s="37" customFormat="1" ht="25.05" customHeight="1">
      <c r="A167" s="48">
        <v>28</v>
      </c>
      <c r="B167" s="49">
        <v>40984</v>
      </c>
      <c r="C167" s="50" t="str">
        <f t="shared" si="6"/>
        <v>Marzo</v>
      </c>
      <c r="D167" s="50" t="s">
        <v>297</v>
      </c>
      <c r="E167" s="50" t="s">
        <v>299</v>
      </c>
      <c r="F167" s="50" t="s">
        <v>290</v>
      </c>
      <c r="G167" s="51" t="s">
        <v>291</v>
      </c>
      <c r="H167" s="50" t="s">
        <v>292</v>
      </c>
      <c r="I167" s="52">
        <v>25</v>
      </c>
      <c r="J167" s="50">
        <v>10</v>
      </c>
      <c r="K167" s="53">
        <f t="shared" si="7"/>
        <v>250</v>
      </c>
      <c r="L167" s="54">
        <f t="shared" si="8"/>
        <v>7.5</v>
      </c>
    </row>
    <row r="168" spans="1:12" s="37" customFormat="1" ht="25.05" customHeight="1">
      <c r="A168" s="48">
        <v>29</v>
      </c>
      <c r="B168" s="49">
        <v>40994</v>
      </c>
      <c r="C168" s="50" t="str">
        <f t="shared" si="6"/>
        <v>Marzo</v>
      </c>
      <c r="D168" s="50" t="s">
        <v>297</v>
      </c>
      <c r="E168" s="50" t="s">
        <v>298</v>
      </c>
      <c r="F168" s="50" t="s">
        <v>288</v>
      </c>
      <c r="G168" s="51" t="s">
        <v>289</v>
      </c>
      <c r="H168" s="50" t="s">
        <v>282</v>
      </c>
      <c r="I168" s="52">
        <v>15</v>
      </c>
      <c r="J168" s="50">
        <v>20</v>
      </c>
      <c r="K168" s="53">
        <f t="shared" si="7"/>
        <v>300</v>
      </c>
      <c r="L168" s="54">
        <f t="shared" si="8"/>
        <v>9</v>
      </c>
    </row>
    <row r="169" spans="1:12" s="37" customFormat="1" ht="25.05" customHeight="1">
      <c r="A169" s="48">
        <v>29</v>
      </c>
      <c r="B169" s="49">
        <v>40994</v>
      </c>
      <c r="C169" s="50" t="str">
        <f t="shared" si="6"/>
        <v>Marzo</v>
      </c>
      <c r="D169" s="50" t="s">
        <v>297</v>
      </c>
      <c r="E169" s="50" t="s">
        <v>298</v>
      </c>
      <c r="F169" s="50" t="s">
        <v>290</v>
      </c>
      <c r="G169" s="51" t="s">
        <v>291</v>
      </c>
      <c r="H169" s="50" t="s">
        <v>292</v>
      </c>
      <c r="I169" s="52">
        <v>25</v>
      </c>
      <c r="J169" s="50">
        <v>20</v>
      </c>
      <c r="K169" s="53">
        <f t="shared" si="7"/>
        <v>500</v>
      </c>
      <c r="L169" s="54">
        <f t="shared" si="8"/>
        <v>15</v>
      </c>
    </row>
    <row r="170" spans="1:12" s="37" customFormat="1" ht="25.05" customHeight="1">
      <c r="A170" s="48">
        <v>29</v>
      </c>
      <c r="B170" s="49">
        <v>40994</v>
      </c>
      <c r="C170" s="50" t="str">
        <f t="shared" si="6"/>
        <v>Marzo</v>
      </c>
      <c r="D170" s="50" t="s">
        <v>297</v>
      </c>
      <c r="E170" s="50" t="s">
        <v>298</v>
      </c>
      <c r="F170" s="50" t="s">
        <v>285</v>
      </c>
      <c r="G170" s="51" t="s">
        <v>286</v>
      </c>
      <c r="H170" s="50" t="s">
        <v>287</v>
      </c>
      <c r="I170" s="52">
        <v>2.5</v>
      </c>
      <c r="J170" s="50">
        <v>10</v>
      </c>
      <c r="K170" s="53">
        <f t="shared" si="7"/>
        <v>25</v>
      </c>
      <c r="L170" s="54">
        <f t="shared" si="8"/>
        <v>0.75</v>
      </c>
    </row>
    <row r="171" spans="1:12" s="37" customFormat="1" ht="25.05" customHeight="1">
      <c r="A171" s="48">
        <v>29</v>
      </c>
      <c r="B171" s="49">
        <v>40994</v>
      </c>
      <c r="C171" s="50" t="str">
        <f t="shared" si="6"/>
        <v>Marzo</v>
      </c>
      <c r="D171" s="50" t="s">
        <v>297</v>
      </c>
      <c r="E171" s="50" t="s">
        <v>298</v>
      </c>
      <c r="F171" s="50" t="s">
        <v>277</v>
      </c>
      <c r="G171" s="51" t="s">
        <v>278</v>
      </c>
      <c r="H171" s="50" t="s">
        <v>279</v>
      </c>
      <c r="I171" s="52">
        <v>3</v>
      </c>
      <c r="J171" s="50">
        <v>10</v>
      </c>
      <c r="K171" s="53">
        <f t="shared" si="7"/>
        <v>30</v>
      </c>
      <c r="L171" s="54">
        <f t="shared" si="8"/>
        <v>0.89999999999999991</v>
      </c>
    </row>
    <row r="172" spans="1:12" s="37" customFormat="1" ht="25.05" customHeight="1">
      <c r="A172" s="48">
        <v>29</v>
      </c>
      <c r="B172" s="49">
        <v>40994</v>
      </c>
      <c r="C172" s="50" t="str">
        <f t="shared" si="6"/>
        <v>Marzo</v>
      </c>
      <c r="D172" s="50" t="s">
        <v>297</v>
      </c>
      <c r="E172" s="50" t="s">
        <v>298</v>
      </c>
      <c r="F172" s="50" t="s">
        <v>280</v>
      </c>
      <c r="G172" s="51" t="s">
        <v>281</v>
      </c>
      <c r="H172" s="50" t="s">
        <v>282</v>
      </c>
      <c r="I172" s="52">
        <v>10</v>
      </c>
      <c r="J172" s="50">
        <v>10</v>
      </c>
      <c r="K172" s="53">
        <f t="shared" si="7"/>
        <v>100</v>
      </c>
      <c r="L172" s="54">
        <f t="shared" si="8"/>
        <v>3</v>
      </c>
    </row>
    <row r="173" spans="1:12" s="37" customFormat="1" ht="25.05" customHeight="1">
      <c r="A173" s="48">
        <v>29</v>
      </c>
      <c r="B173" s="49">
        <v>40994</v>
      </c>
      <c r="C173" s="50" t="str">
        <f t="shared" si="6"/>
        <v>Marzo</v>
      </c>
      <c r="D173" s="50" t="s">
        <v>297</v>
      </c>
      <c r="E173" s="50" t="s">
        <v>298</v>
      </c>
      <c r="F173" s="50" t="s">
        <v>283</v>
      </c>
      <c r="G173" s="51" t="s">
        <v>284</v>
      </c>
      <c r="H173" s="50" t="s">
        <v>282</v>
      </c>
      <c r="I173" s="52">
        <v>12</v>
      </c>
      <c r="J173" s="50">
        <v>10</v>
      </c>
      <c r="K173" s="53">
        <f t="shared" si="7"/>
        <v>120</v>
      </c>
      <c r="L173" s="54">
        <f t="shared" si="8"/>
        <v>3.5999999999999996</v>
      </c>
    </row>
    <row r="174" spans="1:12" s="37" customFormat="1" ht="25.05" customHeight="1">
      <c r="A174" s="48">
        <v>30</v>
      </c>
      <c r="B174" s="49">
        <v>41004</v>
      </c>
      <c r="C174" s="50" t="str">
        <f t="shared" si="6"/>
        <v>Abril</v>
      </c>
      <c r="D174" s="50" t="s">
        <v>297</v>
      </c>
      <c r="E174" s="50" t="s">
        <v>299</v>
      </c>
      <c r="F174" s="50" t="s">
        <v>283</v>
      </c>
      <c r="G174" s="51" t="s">
        <v>284</v>
      </c>
      <c r="H174" s="50" t="s">
        <v>282</v>
      </c>
      <c r="I174" s="52">
        <v>12</v>
      </c>
      <c r="J174" s="50">
        <v>40</v>
      </c>
      <c r="K174" s="53">
        <f t="shared" si="7"/>
        <v>480</v>
      </c>
      <c r="L174" s="54">
        <f t="shared" si="8"/>
        <v>19.2</v>
      </c>
    </row>
    <row r="175" spans="1:12" s="37" customFormat="1" ht="25.05" customHeight="1">
      <c r="A175" s="48">
        <v>30</v>
      </c>
      <c r="B175" s="49">
        <v>41004</v>
      </c>
      <c r="C175" s="50" t="str">
        <f t="shared" si="6"/>
        <v>Abril</v>
      </c>
      <c r="D175" s="50" t="s">
        <v>297</v>
      </c>
      <c r="E175" s="50" t="s">
        <v>299</v>
      </c>
      <c r="F175" s="50" t="s">
        <v>285</v>
      </c>
      <c r="G175" s="51" t="s">
        <v>286</v>
      </c>
      <c r="H175" s="50" t="s">
        <v>287</v>
      </c>
      <c r="I175" s="52">
        <v>2.5</v>
      </c>
      <c r="J175" s="50">
        <v>30</v>
      </c>
      <c r="K175" s="53">
        <f t="shared" si="7"/>
        <v>75</v>
      </c>
      <c r="L175" s="54">
        <f t="shared" si="8"/>
        <v>3</v>
      </c>
    </row>
    <row r="176" spans="1:12" s="37" customFormat="1" ht="25.05" customHeight="1">
      <c r="A176" s="48">
        <v>30</v>
      </c>
      <c r="B176" s="49">
        <v>41004</v>
      </c>
      <c r="C176" s="50" t="str">
        <f t="shared" si="6"/>
        <v>Abril</v>
      </c>
      <c r="D176" s="50" t="s">
        <v>297</v>
      </c>
      <c r="E176" s="50" t="s">
        <v>299</v>
      </c>
      <c r="F176" s="50" t="s">
        <v>280</v>
      </c>
      <c r="G176" s="51" t="s">
        <v>281</v>
      </c>
      <c r="H176" s="50" t="s">
        <v>282</v>
      </c>
      <c r="I176" s="52">
        <v>10</v>
      </c>
      <c r="J176" s="50">
        <v>30</v>
      </c>
      <c r="K176" s="53">
        <f t="shared" si="7"/>
        <v>300</v>
      </c>
      <c r="L176" s="54">
        <f t="shared" si="8"/>
        <v>12</v>
      </c>
    </row>
    <row r="177" spans="1:12" s="37" customFormat="1" ht="25.05" customHeight="1">
      <c r="A177" s="48">
        <v>30</v>
      </c>
      <c r="B177" s="49">
        <v>41004</v>
      </c>
      <c r="C177" s="50" t="str">
        <f t="shared" si="6"/>
        <v>Abril</v>
      </c>
      <c r="D177" s="50" t="s">
        <v>297</v>
      </c>
      <c r="E177" s="50" t="s">
        <v>299</v>
      </c>
      <c r="F177" s="50" t="s">
        <v>277</v>
      </c>
      <c r="G177" s="51" t="s">
        <v>278</v>
      </c>
      <c r="H177" s="50" t="s">
        <v>279</v>
      </c>
      <c r="I177" s="52">
        <v>3</v>
      </c>
      <c r="J177" s="50">
        <v>20</v>
      </c>
      <c r="K177" s="53">
        <f t="shared" si="7"/>
        <v>60</v>
      </c>
      <c r="L177" s="54">
        <f t="shared" si="8"/>
        <v>1.7999999999999998</v>
      </c>
    </row>
    <row r="178" spans="1:12" s="37" customFormat="1" ht="25.05" customHeight="1">
      <c r="A178" s="48">
        <v>30</v>
      </c>
      <c r="B178" s="49">
        <v>41004</v>
      </c>
      <c r="C178" s="50" t="str">
        <f t="shared" si="6"/>
        <v>Abril</v>
      </c>
      <c r="D178" s="50" t="s">
        <v>297</v>
      </c>
      <c r="E178" s="50" t="s">
        <v>299</v>
      </c>
      <c r="F178" s="50" t="s">
        <v>288</v>
      </c>
      <c r="G178" s="51" t="s">
        <v>289</v>
      </c>
      <c r="H178" s="50" t="s">
        <v>282</v>
      </c>
      <c r="I178" s="52">
        <v>15</v>
      </c>
      <c r="J178" s="50">
        <v>20</v>
      </c>
      <c r="K178" s="53">
        <f t="shared" si="7"/>
        <v>300</v>
      </c>
      <c r="L178" s="54">
        <f t="shared" si="8"/>
        <v>9</v>
      </c>
    </row>
    <row r="179" spans="1:12" s="37" customFormat="1" ht="25.05" customHeight="1" thickBot="1">
      <c r="A179" s="55">
        <v>30</v>
      </c>
      <c r="B179" s="56">
        <v>41004</v>
      </c>
      <c r="C179" s="57" t="str">
        <f t="shared" si="6"/>
        <v>Abril</v>
      </c>
      <c r="D179" s="57" t="s">
        <v>297</v>
      </c>
      <c r="E179" s="57" t="s">
        <v>299</v>
      </c>
      <c r="F179" s="57" t="s">
        <v>290</v>
      </c>
      <c r="G179" s="58" t="s">
        <v>291</v>
      </c>
      <c r="H179" s="57" t="s">
        <v>292</v>
      </c>
      <c r="I179" s="59">
        <v>25</v>
      </c>
      <c r="J179" s="57">
        <v>20</v>
      </c>
      <c r="K179" s="60">
        <f t="shared" si="7"/>
        <v>500</v>
      </c>
      <c r="L179" s="61">
        <f t="shared" si="8"/>
        <v>15</v>
      </c>
    </row>
  </sheetData>
  <mergeCells count="1"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Indice</vt:lpstr>
      <vt:lpstr>Lista de Empleados Lima Norte</vt:lpstr>
      <vt:lpstr>Lista de Empleados Lima Centro</vt:lpstr>
      <vt:lpstr>Lista de Empleados Lima Este</vt:lpstr>
      <vt:lpstr>Lista de Empleados Lima Sur</vt:lpstr>
      <vt:lpstr>Reporte de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 Denilson Ramirez Bautista</cp:lastModifiedBy>
  <cp:lastPrinted>2018-08-11T17:08:26Z</cp:lastPrinted>
  <dcterms:created xsi:type="dcterms:W3CDTF">2014-06-18T16:14:10Z</dcterms:created>
  <dcterms:modified xsi:type="dcterms:W3CDTF">2025-12-23T01:34:19Z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9d9a054b-5c0d-467f-b628-e8aff897c499</vt:lpwstr>
  </property>
</Properties>
</file>