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ancarlos\Desktop\DISCO D\CÁMARA DE COMERCIO EXTERIOR\"/>
    </mc:Choice>
  </mc:AlternateContent>
  <xr:revisionPtr revIDLastSave="0" documentId="8_{9E04937F-1633-4C95-92AB-8A8DB9D12295}" xr6:coauthVersionLast="47" xr6:coauthVersionMax="47" xr10:uidLastSave="{00000000-0000-0000-0000-000000000000}"/>
  <bookViews>
    <workbookView xWindow="-108" yWindow="-108" windowWidth="23256" windowHeight="12576" tabRatio="757" activeTab="2" xr2:uid="{00000000-000D-0000-FFFF-FFFF00000000}"/>
  </bookViews>
  <sheets>
    <sheet name="Principal" sheetId="74" r:id="rId1"/>
    <sheet name="Resaltar celdas " sheetId="122" r:id="rId2"/>
    <sheet name="Superiores e Inferiores" sheetId="126" r:id="rId3"/>
    <sheet name="Barras de datos" sheetId="131" r:id="rId4"/>
    <sheet name="Escalas de color" sheetId="130" r:id="rId5"/>
    <sheet name="Conjuntos de iconos" sheetId="123" r:id="rId6"/>
  </sheets>
  <definedNames>
    <definedName name="_Order1" hidden="1">255</definedName>
    <definedName name="_Order2" hidden="1">0</definedName>
    <definedName name="anscount" hidden="1">2</definedName>
    <definedName name="limcount" hidden="1">2</definedName>
    <definedName name="sencount" hidden="1">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26" l="1"/>
  <c r="I14" i="126"/>
  <c r="I15" i="126"/>
  <c r="I18" i="126"/>
  <c r="I19" i="126"/>
  <c r="H19" i="126"/>
  <c r="H18" i="126"/>
  <c r="H17" i="126"/>
  <c r="I17" i="126" s="1"/>
  <c r="H16" i="126"/>
  <c r="I16" i="126" s="1"/>
  <c r="H15" i="126"/>
  <c r="H14" i="126"/>
  <c r="H13" i="126"/>
  <c r="I13" i="126" s="1"/>
  <c r="H12" i="126"/>
  <c r="I12" i="126" s="1"/>
  <c r="H11" i="126"/>
  <c r="H10" i="126"/>
  <c r="I10" i="126" s="1"/>
  <c r="E8" i="123"/>
  <c r="E9" i="123"/>
  <c r="E10" i="123"/>
  <c r="E11" i="123"/>
  <c r="E12" i="123"/>
  <c r="E13" i="123"/>
  <c r="E14" i="123"/>
  <c r="E15" i="123"/>
  <c r="E16" i="123"/>
  <c r="E7" i="123"/>
  <c r="F9" i="130"/>
  <c r="F10" i="130"/>
  <c r="F11" i="130"/>
  <c r="F12" i="130"/>
  <c r="F13" i="130"/>
  <c r="F14" i="130"/>
  <c r="F15" i="130"/>
  <c r="F16" i="130"/>
  <c r="F17" i="130"/>
  <c r="F8" i="130"/>
  <c r="F52" i="126"/>
  <c r="F53" i="126"/>
  <c r="F54" i="126"/>
  <c r="F55" i="126"/>
  <c r="F56" i="126"/>
  <c r="F57" i="126"/>
  <c r="F58" i="126"/>
  <c r="F59" i="126"/>
  <c r="F60" i="126"/>
  <c r="F51" i="126"/>
  <c r="G29" i="126"/>
  <c r="G30" i="126"/>
  <c r="G31" i="126"/>
  <c r="G32" i="126"/>
  <c r="G33" i="126"/>
  <c r="G34" i="126"/>
  <c r="G35" i="126"/>
  <c r="G36" i="126"/>
  <c r="G37" i="126"/>
  <c r="G38" i="126"/>
  <c r="G39" i="126"/>
  <c r="G40" i="126"/>
  <c r="G41" i="126"/>
  <c r="G42" i="126"/>
  <c r="G43" i="126"/>
  <c r="G44" i="126"/>
  <c r="G45" i="126"/>
  <c r="G28" i="126"/>
  <c r="F17" i="131" l="1"/>
  <c r="F9" i="131"/>
  <c r="F10" i="131"/>
  <c r="F11" i="131"/>
  <c r="F12" i="131"/>
  <c r="F13" i="131"/>
  <c r="F14" i="131"/>
  <c r="F15" i="131"/>
  <c r="F16" i="131"/>
  <c r="F8" i="131"/>
  <c r="F32" i="130"/>
  <c r="G32" i="130" s="1"/>
  <c r="I32" i="130" s="1"/>
  <c r="F31" i="130"/>
  <c r="G31" i="130" s="1"/>
  <c r="I31" i="130" s="1"/>
  <c r="F30" i="130"/>
  <c r="G30" i="130" s="1"/>
  <c r="I30" i="130" s="1"/>
  <c r="F29" i="130"/>
  <c r="G29" i="130" s="1"/>
  <c r="I29" i="130" s="1"/>
  <c r="F28" i="130"/>
  <c r="G28" i="130" s="1"/>
  <c r="I28" i="130" s="1"/>
  <c r="F27" i="130"/>
  <c r="G27" i="130" s="1"/>
  <c r="I27" i="130" s="1"/>
  <c r="F26" i="130"/>
  <c r="G26" i="130" s="1"/>
  <c r="I26" i="130" s="1"/>
  <c r="F25" i="130"/>
  <c r="G25" i="130" s="1"/>
  <c r="I25" i="130" s="1"/>
  <c r="F24" i="130"/>
  <c r="G24" i="130" s="1"/>
  <c r="I24" i="130" s="1"/>
  <c r="F23" i="130"/>
  <c r="G23" i="130" s="1"/>
  <c r="I23" i="130" s="1"/>
  <c r="H8" i="122"/>
  <c r="I8" i="122" s="1"/>
  <c r="H9" i="122"/>
  <c r="H10" i="122"/>
  <c r="H11" i="122"/>
  <c r="H12" i="122"/>
  <c r="I12" i="122" s="1"/>
  <c r="H13" i="122"/>
  <c r="H14" i="122"/>
  <c r="H15" i="122"/>
  <c r="I15" i="122" s="1"/>
  <c r="H16" i="122"/>
  <c r="I16" i="122" s="1"/>
  <c r="I9" i="122"/>
  <c r="I10" i="122"/>
  <c r="I11" i="122"/>
  <c r="I13" i="122"/>
  <c r="I14" i="122"/>
  <c r="H7" i="122"/>
  <c r="I7" i="122" s="1"/>
  <c r="F32" i="123" l="1"/>
  <c r="G32" i="123" s="1"/>
  <c r="I32" i="123" s="1"/>
  <c r="F31" i="123"/>
  <c r="G31" i="123" s="1"/>
  <c r="I31" i="123" s="1"/>
  <c r="F30" i="123"/>
  <c r="G30" i="123" s="1"/>
  <c r="I30" i="123" s="1"/>
  <c r="F29" i="123"/>
  <c r="G29" i="123" s="1"/>
  <c r="I29" i="123" s="1"/>
  <c r="F28" i="123"/>
  <c r="G28" i="123" s="1"/>
  <c r="I28" i="123" s="1"/>
  <c r="F27" i="123"/>
  <c r="G27" i="123" s="1"/>
  <c r="I27" i="123" s="1"/>
  <c r="F26" i="123"/>
  <c r="G26" i="123" s="1"/>
  <c r="I26" i="123" s="1"/>
  <c r="F25" i="123"/>
  <c r="G25" i="123" s="1"/>
  <c r="I25" i="123" s="1"/>
  <c r="F24" i="123"/>
  <c r="G24" i="123" s="1"/>
  <c r="I24" i="123" s="1"/>
  <c r="F23" i="123"/>
  <c r="G23" i="123" s="1"/>
  <c r="I23" i="123" s="1"/>
  <c r="F45" i="122"/>
  <c r="F44" i="122"/>
  <c r="F43" i="122"/>
  <c r="F42" i="122"/>
  <c r="F41" i="122"/>
  <c r="F40" i="122"/>
  <c r="F39" i="122"/>
  <c r="F38" i="122"/>
  <c r="F37" i="122"/>
  <c r="F36" i="1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pc </author>
    <author>ALUMNO</author>
  </authors>
  <commentList>
    <comment ref="G27" authorId="0" shapeId="0" xr:uid="{00000000-0006-0000-0500-000003000000}">
      <text>
        <r>
          <rPr>
            <b/>
            <sz val="11"/>
            <color indexed="81"/>
            <rFont val="Comic Sans MS"/>
            <family val="4"/>
          </rPr>
          <t xml:space="preserve">Prof. Giancarlos Barboza N.
</t>
        </r>
        <r>
          <rPr>
            <sz val="11"/>
            <color indexed="81"/>
            <rFont val="Comic Sans MS"/>
            <family val="4"/>
          </rPr>
          <t xml:space="preserve">Mostrar el Flete, si el </t>
        </r>
        <r>
          <rPr>
            <b/>
            <sz val="11"/>
            <color indexed="81"/>
            <rFont val="Comic Sans MS"/>
            <family val="4"/>
          </rPr>
          <t>origen</t>
        </r>
        <r>
          <rPr>
            <sz val="11"/>
            <color indexed="81"/>
            <rFont val="Comic Sans MS"/>
            <family val="4"/>
          </rPr>
          <t xml:space="preserve"> es </t>
        </r>
        <r>
          <rPr>
            <b/>
            <sz val="11"/>
            <color indexed="81"/>
            <rFont val="Comic Sans MS"/>
            <family val="4"/>
          </rPr>
          <t xml:space="preserve">Nacional </t>
        </r>
        <r>
          <rPr>
            <sz val="11"/>
            <color indexed="81"/>
            <rFont val="Comic Sans MS"/>
            <family val="4"/>
          </rPr>
          <t xml:space="preserve">le corresponde el </t>
        </r>
        <r>
          <rPr>
            <b/>
            <sz val="11"/>
            <color indexed="81"/>
            <rFont val="Comic Sans MS"/>
            <family val="4"/>
          </rPr>
          <t>8.88%</t>
        </r>
        <r>
          <rPr>
            <sz val="11"/>
            <color indexed="81"/>
            <rFont val="Comic Sans MS"/>
            <family val="4"/>
          </rPr>
          <t xml:space="preserve"> del Precio, Si el </t>
        </r>
        <r>
          <rPr>
            <b/>
            <sz val="11"/>
            <color indexed="81"/>
            <rFont val="Comic Sans MS"/>
            <family val="4"/>
          </rPr>
          <t xml:space="preserve">origen </t>
        </r>
        <r>
          <rPr>
            <sz val="11"/>
            <color indexed="81"/>
            <rFont val="Comic Sans MS"/>
            <family val="4"/>
          </rPr>
          <t xml:space="preserve">es </t>
        </r>
        <r>
          <rPr>
            <b/>
            <sz val="11"/>
            <color indexed="81"/>
            <rFont val="Comic Sans MS"/>
            <family val="4"/>
          </rPr>
          <t>Importado</t>
        </r>
        <r>
          <rPr>
            <sz val="11"/>
            <color indexed="81"/>
            <rFont val="Comic Sans MS"/>
            <family val="4"/>
          </rPr>
          <t xml:space="preserve"> le corresponde el </t>
        </r>
        <r>
          <rPr>
            <b/>
            <sz val="11"/>
            <color indexed="81"/>
            <rFont val="Comic Sans MS"/>
            <family val="4"/>
          </rPr>
          <t>11.12%</t>
        </r>
        <r>
          <rPr>
            <sz val="11"/>
            <color indexed="81"/>
            <rFont val="Comic Sans MS"/>
            <family val="4"/>
          </rPr>
          <t xml:space="preserve"> del Precio, para los demás </t>
        </r>
        <r>
          <rPr>
            <b/>
            <sz val="11"/>
            <color indexed="81"/>
            <rFont val="Comic Sans MS"/>
            <family val="4"/>
          </rPr>
          <t>120</t>
        </r>
      </text>
    </comment>
    <comment ref="F50" authorId="1" shapeId="0" xr:uid="{00000000-0006-0000-0500-000004000000}">
      <text>
        <r>
          <rPr>
            <b/>
            <sz val="11"/>
            <color indexed="81"/>
            <rFont val="Comic Sans MS"/>
            <family val="4"/>
          </rPr>
          <t xml:space="preserve">Prof. Giancarlos Barboza N.
</t>
        </r>
        <r>
          <rPr>
            <sz val="11"/>
            <color indexed="81"/>
            <rFont val="Comic Sans MS"/>
            <family val="4"/>
          </rPr>
          <t xml:space="preserve">Calcular la Bonificación de Cada Empleado: </t>
        </r>
        <r>
          <rPr>
            <b/>
            <sz val="11"/>
            <color indexed="81"/>
            <rFont val="Comic Sans MS"/>
            <family val="4"/>
          </rPr>
          <t xml:space="preserve">SI pertenece al área de Logística </t>
        </r>
        <r>
          <rPr>
            <sz val="11"/>
            <color indexed="81"/>
            <rFont val="Comic Sans MS"/>
            <family val="4"/>
          </rPr>
          <t xml:space="preserve">la bonificación será </t>
        </r>
        <r>
          <rPr>
            <b/>
            <sz val="11"/>
            <color indexed="81"/>
            <rFont val="Comic Sans MS"/>
            <family val="4"/>
          </rPr>
          <t xml:space="preserve">5.99% </t>
        </r>
        <r>
          <rPr>
            <sz val="11"/>
            <color indexed="81"/>
            <rFont val="Comic Sans MS"/>
            <family val="4"/>
          </rPr>
          <t xml:space="preserve">del </t>
        </r>
        <r>
          <rPr>
            <b/>
            <sz val="11"/>
            <color indexed="81"/>
            <rFont val="Comic Sans MS"/>
            <family val="4"/>
          </rPr>
          <t xml:space="preserve">Sueldo, </t>
        </r>
        <r>
          <rPr>
            <sz val="11"/>
            <color indexed="81"/>
            <rFont val="Comic Sans MS"/>
            <family val="4"/>
          </rPr>
          <t xml:space="preserve">Si pertenece al área de </t>
        </r>
        <r>
          <rPr>
            <b/>
            <sz val="11"/>
            <color indexed="81"/>
            <rFont val="Comic Sans MS"/>
            <family val="4"/>
          </rPr>
          <t xml:space="preserve">Contabilidad </t>
        </r>
        <r>
          <rPr>
            <sz val="11"/>
            <color indexed="81"/>
            <rFont val="Comic Sans MS"/>
            <family val="4"/>
          </rPr>
          <t xml:space="preserve">la bonificación será </t>
        </r>
        <r>
          <rPr>
            <b/>
            <sz val="11"/>
            <color indexed="81"/>
            <rFont val="Comic Sans MS"/>
            <family val="4"/>
          </rPr>
          <t xml:space="preserve">4.99% </t>
        </r>
        <r>
          <rPr>
            <sz val="11"/>
            <color indexed="81"/>
            <rFont val="Comic Sans MS"/>
            <family val="4"/>
          </rPr>
          <t xml:space="preserve">del </t>
        </r>
        <r>
          <rPr>
            <b/>
            <sz val="11"/>
            <color indexed="81"/>
            <rFont val="Comic Sans MS"/>
            <family val="4"/>
          </rPr>
          <t xml:space="preserve">Sueldo </t>
        </r>
        <r>
          <rPr>
            <sz val="11"/>
            <color indexed="81"/>
            <rFont val="Comic Sans MS"/>
            <family val="4"/>
          </rPr>
          <t xml:space="preserve">caso contrario la bonificación será </t>
        </r>
        <r>
          <rPr>
            <b/>
            <sz val="11"/>
            <color indexed="81"/>
            <rFont val="Comic Sans MS"/>
            <family val="4"/>
          </rPr>
          <t>3.99% del Sueldo.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PROFESOR</author>
  </authors>
  <commentList>
    <comment ref="E7" authorId="0" shapeId="0" xr:uid="{7B6A7704-547C-4D93-BFF2-8881C164EC9D}">
      <text>
        <r>
          <rPr>
            <b/>
            <sz val="10"/>
            <color indexed="81"/>
            <rFont val="Comic Sans MS"/>
            <family val="4"/>
          </rPr>
          <t>Prof. Giancarlos Barboza N.</t>
        </r>
        <r>
          <rPr>
            <sz val="10"/>
            <color indexed="81"/>
            <rFont val="Comic Sans MS"/>
            <family val="4"/>
          </rPr>
          <t xml:space="preserve">
Para hallar el </t>
        </r>
        <r>
          <rPr>
            <b/>
            <sz val="10"/>
            <color indexed="81"/>
            <rFont val="Comic Sans MS"/>
            <family val="4"/>
          </rPr>
          <t xml:space="preserve">Precio, </t>
        </r>
        <r>
          <rPr>
            <sz val="10"/>
            <color indexed="81"/>
            <rFont val="Comic Sans MS"/>
            <family val="4"/>
          </rPr>
          <t xml:space="preserve">utilice el </t>
        </r>
        <r>
          <rPr>
            <b/>
            <sz val="10"/>
            <color indexed="81"/>
            <rFont val="Comic Sans MS"/>
            <family val="4"/>
          </rPr>
          <t>cuadro I.</t>
        </r>
        <r>
          <rPr>
            <sz val="10"/>
            <color indexed="81"/>
            <rFont val="Comic Sans MS"/>
            <family val="4"/>
          </rPr>
          <t xml:space="preserve">
Aplique la</t>
        </r>
        <r>
          <rPr>
            <b/>
            <sz val="10"/>
            <color indexed="81"/>
            <rFont val="Comic Sans MS"/>
            <family val="4"/>
          </rPr>
          <t xml:space="preserve"> Función SI</t>
        </r>
      </text>
    </comment>
    <comment ref="F7" authorId="0" shapeId="0" xr:uid="{135EA6EB-9D42-465E-8DAC-F5FA3F5028FD}">
      <text>
        <r>
          <rPr>
            <b/>
            <sz val="10"/>
            <color indexed="81"/>
            <rFont val="Comic Sans MS"/>
            <family val="4"/>
          </rPr>
          <t>Prof. Giancarlos Barboza N.</t>
        </r>
        <r>
          <rPr>
            <sz val="10"/>
            <color indexed="81"/>
            <rFont val="Comic Sans MS"/>
            <family val="4"/>
          </rPr>
          <t xml:space="preserve">
Total a Pagar = </t>
        </r>
        <r>
          <rPr>
            <b/>
            <sz val="10"/>
            <color indexed="81"/>
            <rFont val="Comic Sans MS"/>
            <family val="4"/>
          </rPr>
          <t xml:space="preserve">Cantidad </t>
        </r>
        <r>
          <rPr>
            <sz val="10"/>
            <color indexed="81"/>
            <rFont val="Comic Sans MS"/>
            <family val="4"/>
          </rPr>
          <t xml:space="preserve">Por </t>
        </r>
        <r>
          <rPr>
            <b/>
            <sz val="10"/>
            <color indexed="81"/>
            <rFont val="Comic Sans MS"/>
            <family val="4"/>
          </rPr>
          <t>Precio.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F7" authorId="0" shapeId="0" xr:uid="{091993B1-375E-4284-8BE7-8822B5C9E052}">
      <text>
        <r>
          <rPr>
            <b/>
            <sz val="11"/>
            <color indexed="81"/>
            <rFont val="Comic Sans MS"/>
            <family val="4"/>
          </rPr>
          <t xml:space="preserve">Prof. Giancarlos Barboza N.
</t>
        </r>
        <r>
          <rPr>
            <sz val="11"/>
            <color indexed="81"/>
            <rFont val="Comic Sans MS"/>
            <family val="4"/>
          </rPr>
          <t xml:space="preserve">Calcular la Bonificación de Cada Empleado: </t>
        </r>
        <r>
          <rPr>
            <b/>
            <sz val="11"/>
            <color indexed="81"/>
            <rFont val="Comic Sans MS"/>
            <family val="4"/>
          </rPr>
          <t xml:space="preserve">SI pertenece al área de Logística </t>
        </r>
        <r>
          <rPr>
            <sz val="11"/>
            <color indexed="81"/>
            <rFont val="Comic Sans MS"/>
            <family val="4"/>
          </rPr>
          <t xml:space="preserve">la bonificación será </t>
        </r>
        <r>
          <rPr>
            <b/>
            <sz val="11"/>
            <color indexed="81"/>
            <rFont val="Comic Sans MS"/>
            <family val="4"/>
          </rPr>
          <t xml:space="preserve">6.77% </t>
        </r>
        <r>
          <rPr>
            <sz val="11"/>
            <color indexed="81"/>
            <rFont val="Comic Sans MS"/>
            <family val="4"/>
          </rPr>
          <t xml:space="preserve">del </t>
        </r>
        <r>
          <rPr>
            <b/>
            <sz val="11"/>
            <color indexed="81"/>
            <rFont val="Comic Sans MS"/>
            <family val="4"/>
          </rPr>
          <t xml:space="preserve">Sueldo, </t>
        </r>
        <r>
          <rPr>
            <sz val="11"/>
            <color indexed="81"/>
            <rFont val="Comic Sans MS"/>
            <family val="4"/>
          </rPr>
          <t xml:space="preserve">caso contrario la bonificación será </t>
        </r>
        <r>
          <rPr>
            <b/>
            <sz val="11"/>
            <color indexed="81"/>
            <rFont val="Comic Sans MS"/>
            <family val="4"/>
          </rPr>
          <t>3.89% del Sueldo.</t>
        </r>
      </text>
    </comment>
    <comment ref="I22" authorId="0" shapeId="0" xr:uid="{4FA0AAF6-2D81-4D75-ADCE-82D63C2C257C}">
      <text>
        <r>
          <rPr>
            <b/>
            <sz val="11"/>
            <color indexed="81"/>
            <rFont val="Comic Sans MS"/>
            <family val="4"/>
          </rPr>
          <t xml:space="preserve">Prof. Giancarlos Barboza N.
</t>
        </r>
        <r>
          <rPr>
            <sz val="11"/>
            <color indexed="81"/>
            <rFont val="Comic Sans MS"/>
            <family val="4"/>
          </rPr>
          <t xml:space="preserve">Calcular el tiempo de servicio de Cada Empleado: </t>
        </r>
        <r>
          <rPr>
            <b/>
            <sz val="11"/>
            <color indexed="81"/>
            <rFont val="Comic Sans MS"/>
            <family val="4"/>
          </rPr>
          <t>SI tiene más de 10 años de tiempo de servicio l</t>
        </r>
        <r>
          <rPr>
            <sz val="11"/>
            <color indexed="81"/>
            <rFont val="Comic Sans MS"/>
            <family val="4"/>
          </rPr>
          <t xml:space="preserve">a bonificación será </t>
        </r>
        <r>
          <rPr>
            <b/>
            <sz val="11"/>
            <color indexed="81"/>
            <rFont val="Comic Sans MS"/>
            <family val="4"/>
          </rPr>
          <t xml:space="preserve">8.88% </t>
        </r>
        <r>
          <rPr>
            <sz val="11"/>
            <color indexed="81"/>
            <rFont val="Comic Sans MS"/>
            <family val="4"/>
          </rPr>
          <t xml:space="preserve">del </t>
        </r>
        <r>
          <rPr>
            <b/>
            <sz val="11"/>
            <color indexed="81"/>
            <rFont val="Comic Sans MS"/>
            <family val="4"/>
          </rPr>
          <t xml:space="preserve">Sueldo, </t>
        </r>
        <r>
          <rPr>
            <sz val="11"/>
            <color indexed="81"/>
            <rFont val="Comic Sans MS"/>
            <family val="4"/>
          </rPr>
          <t xml:space="preserve">caso contrario la bonificación será </t>
        </r>
        <r>
          <rPr>
            <b/>
            <sz val="11"/>
            <color indexed="81"/>
            <rFont val="Comic Sans MS"/>
            <family val="4"/>
          </rPr>
          <t>4.44% del Sueldo.</t>
        </r>
      </text>
    </comment>
  </commentList>
</comments>
</file>

<file path=xl/sharedStrings.xml><?xml version="1.0" encoding="utf-8"?>
<sst xmlns="http://schemas.openxmlformats.org/spreadsheetml/2006/main" count="332" uniqueCount="126">
  <si>
    <t>BECERRA CRUZADO, Tania</t>
  </si>
  <si>
    <t>MENDOZA PEREYRA, Rosa</t>
  </si>
  <si>
    <t>ODAR BARRIENTE, Karina</t>
  </si>
  <si>
    <t>ALVARADO TIRADO, Patricia</t>
  </si>
  <si>
    <t>SHEFFER MENDOZA, Milagros</t>
  </si>
  <si>
    <t>CRUZ BRICEÑO, Yolanda</t>
  </si>
  <si>
    <t>HILARIO CANOVA, Corina</t>
  </si>
  <si>
    <t>BEJAR PILLACA, Marlene</t>
  </si>
  <si>
    <t>ALLCCARIMA CRISOSTOMO, Eliana</t>
  </si>
  <si>
    <t>FLORES PEREZ, Lourdes</t>
  </si>
  <si>
    <t>Ejercicio1:</t>
  </si>
  <si>
    <t>Alumno</t>
  </si>
  <si>
    <t>Curso</t>
  </si>
  <si>
    <t>Nota1</t>
  </si>
  <si>
    <t>Nota2</t>
  </si>
  <si>
    <t>Promedio</t>
  </si>
  <si>
    <t>Observación</t>
  </si>
  <si>
    <t>Excel</t>
  </si>
  <si>
    <t>Ejercicio2:</t>
  </si>
  <si>
    <t>Vendedor</t>
  </si>
  <si>
    <t>Ventas</t>
  </si>
  <si>
    <t>Comisiones</t>
  </si>
  <si>
    <t>FPF - MARCADOR MUNDIAL DE FUTBOL</t>
  </si>
  <si>
    <t>Equipo Local</t>
  </si>
  <si>
    <t>Marcador</t>
  </si>
  <si>
    <t>Equipo Visitante</t>
  </si>
  <si>
    <t>Resultado</t>
  </si>
  <si>
    <t>España</t>
  </si>
  <si>
    <t>Chile</t>
  </si>
  <si>
    <t>Suiza</t>
  </si>
  <si>
    <t>Honduras</t>
  </si>
  <si>
    <t>Brasil</t>
  </si>
  <si>
    <t>Portugal</t>
  </si>
  <si>
    <t>Costa de Marfil</t>
  </si>
  <si>
    <t>Corea del Norte</t>
  </si>
  <si>
    <t>Perú</t>
  </si>
  <si>
    <t>Uruguay</t>
  </si>
  <si>
    <t>Francia</t>
  </si>
  <si>
    <t>México</t>
  </si>
  <si>
    <t>Sudafrica</t>
  </si>
  <si>
    <t>Inglaterra</t>
  </si>
  <si>
    <t>Argentina</t>
  </si>
  <si>
    <t>Corea del Sur</t>
  </si>
  <si>
    <t>Grecia</t>
  </si>
  <si>
    <t>Nigeria</t>
  </si>
  <si>
    <t>Dinamarca</t>
  </si>
  <si>
    <t>Polonia</t>
  </si>
  <si>
    <t>Productos</t>
  </si>
  <si>
    <t>Fecha de Vencimiento</t>
  </si>
  <si>
    <t>Fecha Actual</t>
  </si>
  <si>
    <t>Jamon del Pais</t>
  </si>
  <si>
    <t>Mermelada</t>
  </si>
  <si>
    <t>Yogurt</t>
  </si>
  <si>
    <t>Carne Molida</t>
  </si>
  <si>
    <t>Leche Condensada</t>
  </si>
  <si>
    <t>Mayonesa</t>
  </si>
  <si>
    <t>Atun</t>
  </si>
  <si>
    <t>Duraznos en Mitades</t>
  </si>
  <si>
    <t>Leche en Polvo</t>
  </si>
  <si>
    <t>Mantequilla</t>
  </si>
  <si>
    <t>Empleados</t>
  </si>
  <si>
    <t>Bonificación</t>
  </si>
  <si>
    <t>Área</t>
  </si>
  <si>
    <t>Logística</t>
  </si>
  <si>
    <t>Contabilidad</t>
  </si>
  <si>
    <t>Sueldo</t>
  </si>
  <si>
    <t>Fecha de Ingreso</t>
  </si>
  <si>
    <t>Fecha de Renuncia</t>
  </si>
  <si>
    <t>Tiempo de servicio</t>
  </si>
  <si>
    <t>Producto</t>
  </si>
  <si>
    <t>Ejercicio4:</t>
  </si>
  <si>
    <t xml:space="preserve">Origen </t>
  </si>
  <si>
    <t>Cantidad</t>
  </si>
  <si>
    <t>Precio</t>
  </si>
  <si>
    <t>X100-1</t>
  </si>
  <si>
    <t>Nacional</t>
  </si>
  <si>
    <t>X100-2</t>
  </si>
  <si>
    <t>Importado</t>
  </si>
  <si>
    <t>X100-3</t>
  </si>
  <si>
    <t>X100-4</t>
  </si>
  <si>
    <t>X100-5</t>
  </si>
  <si>
    <t>X100-6</t>
  </si>
  <si>
    <t>X100-7</t>
  </si>
  <si>
    <t>X100-8</t>
  </si>
  <si>
    <t>X100-9</t>
  </si>
  <si>
    <t>X100-10</t>
  </si>
  <si>
    <t>X100-11</t>
  </si>
  <si>
    <t>X100-12</t>
  </si>
  <si>
    <t>X100-13</t>
  </si>
  <si>
    <t>X100-14</t>
  </si>
  <si>
    <t>X100-15</t>
  </si>
  <si>
    <t>X100-16</t>
  </si>
  <si>
    <t>X100-17</t>
  </si>
  <si>
    <t>X100-18</t>
  </si>
  <si>
    <t>Flete</t>
  </si>
  <si>
    <t>Aplicar Formato Condicional. Aplicar un Relleno y color de fuente a los estudiantes cuya observación sea Desaprobado. Ver muestra.</t>
  </si>
  <si>
    <t>Aplicar Formato Condicional. Aplicar un Relleno y color de fuente al resultado Victoria. Ver muestra.</t>
  </si>
  <si>
    <t>Aplicar Formato Condicional. Aplicar un Relleno y color de fuente al resultado que sea No Apto. Ver muestra.</t>
  </si>
  <si>
    <t>Resaltar celdas</t>
  </si>
  <si>
    <t>Apto</t>
  </si>
  <si>
    <t>No Apto</t>
  </si>
  <si>
    <t>Derrota</t>
  </si>
  <si>
    <t>Victoria</t>
  </si>
  <si>
    <t>Formato Condicional</t>
  </si>
  <si>
    <t>Aplicar formato condicional.</t>
  </si>
  <si>
    <t>Aplicar Formato condicional.</t>
  </si>
  <si>
    <t>Total a Pagar</t>
  </si>
  <si>
    <t>Superiores e Inferiores</t>
  </si>
  <si>
    <t>Barras de datos</t>
  </si>
  <si>
    <t>Escalas de color</t>
  </si>
  <si>
    <t>Conjuntos de iconos</t>
  </si>
  <si>
    <t>IPT - NOTAS DE ESTUDIANTES</t>
  </si>
  <si>
    <t>EMPRESA AMÉRICA SAC - PORCENTAJE DE  BONIFICACIONES</t>
  </si>
  <si>
    <t>EMPRESA AMÉRICA PRODUCCIONES - PORCENTAJE DE  BONIFICACIONES</t>
  </si>
  <si>
    <t>EMPRESA AMÉRICA PRODUCCIONES - PORCENTAJE DE  BONIFICACIONES POR TIEMPO DE SERVICIO</t>
  </si>
  <si>
    <t>EMPRESA AMÉRICA PRODUCCIONES - PORCENTAJE DE COMISIONES</t>
  </si>
  <si>
    <r>
      <t xml:space="preserve">Aplicar Formato condicional a los </t>
    </r>
    <r>
      <rPr>
        <b/>
        <sz val="10"/>
        <color rgb="FF002060"/>
        <rFont val="Arial Unicode MS"/>
        <family val="2"/>
      </rPr>
      <t>10 Mejores.</t>
    </r>
  </si>
  <si>
    <r>
      <t xml:space="preserve">Aplicar </t>
    </r>
    <r>
      <rPr>
        <b/>
        <sz val="10"/>
        <color rgb="FF002060"/>
        <rFont val="Arial Unicode MS"/>
        <family val="2"/>
      </rPr>
      <t>Formato Condicional a los 5 Inferiores.</t>
    </r>
  </si>
  <si>
    <r>
      <t xml:space="preserve">Aplicar </t>
    </r>
    <r>
      <rPr>
        <b/>
        <sz val="11"/>
        <color rgb="FF002060"/>
        <rFont val="Arial Unicode MS"/>
        <family val="2"/>
      </rPr>
      <t>formato condicional.</t>
    </r>
  </si>
  <si>
    <r>
      <t>Aplicar</t>
    </r>
    <r>
      <rPr>
        <b/>
        <sz val="11"/>
        <color rgb="FF002060"/>
        <rFont val="Arial Unicode MS"/>
        <family val="2"/>
      </rPr>
      <t xml:space="preserve"> formato condicional.</t>
    </r>
  </si>
  <si>
    <t>Condición</t>
  </si>
  <si>
    <t>INSTITUTO PRIVADO DEL SUR</t>
  </si>
  <si>
    <t>Ejercicio 3:</t>
  </si>
  <si>
    <t>Ejercicio 2:</t>
  </si>
  <si>
    <t>Ejercicio 1:</t>
  </si>
  <si>
    <r>
      <t xml:space="preserve">Aplicar Formato Condicional </t>
    </r>
    <r>
      <rPr>
        <sz val="10"/>
        <color rgb="FF002060"/>
        <rFont val="Arial Unicode MS"/>
      </rPr>
      <t>solamente a los 3 mejores estudiantes.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</si>
</sst>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&quot;S/.&quot;\ * #,##0.00_ ;_ &quot;S/.&quot;\ * \-#,##0.00_ ;_ &quot;S/.&quot;\ * &quot;-&quot;??_ ;_ @_ "/>
    <numFmt numFmtId="165" formatCode="_-[$€]* #,##0.00_-;\-[$€]* #,##0.00_-;_-[$€]* &quot;-&quot;??_-;_-@_-"/>
    <numFmt numFmtId="166" formatCode="0.0000"/>
    <numFmt numFmtId="167" formatCode="&quot;S/.&quot;\ #,##0.00;[Red]&quot;S/.&quot;\ #,##0.00"/>
    <numFmt numFmtId="168" formatCode="00"/>
    <numFmt numFmtId="169" formatCode="00.00"/>
    <numFmt numFmtId="170" formatCode="&quot;S/.&quot;\ #,##0.00"/>
    <numFmt numFmtId="171" formatCode="_(&quot;S/.&quot;\ * #,##0.00_);_(&quot;S/.&quot;\ * \(#,##0.00\);_(&quot;S/.&quot;\ * &quot;-&quot;??_);_(@_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indexed="12"/>
      <name val="Bookman Old Style"/>
      <family val="1"/>
    </font>
    <font>
      <sz val="14"/>
      <name val="Bookman Old Style"/>
      <family val="1"/>
    </font>
    <font>
      <b/>
      <sz val="10"/>
      <color rgb="FF002060"/>
      <name val="Arial Unicode MS"/>
      <family val="2"/>
    </font>
    <font>
      <sz val="10"/>
      <color rgb="FF002060"/>
      <name val="Arial Unicode MS"/>
      <family val="2"/>
    </font>
    <font>
      <b/>
      <sz val="14"/>
      <color theme="0"/>
      <name val="Arial Unicode MS"/>
      <family val="2"/>
    </font>
    <font>
      <b/>
      <sz val="20"/>
      <color theme="0"/>
      <name val="Arial Unicode MS"/>
      <family val="2"/>
    </font>
    <font>
      <u/>
      <sz val="10"/>
      <color theme="10"/>
      <name val="Arial"/>
      <family val="2"/>
    </font>
    <font>
      <b/>
      <sz val="10"/>
      <color theme="0"/>
      <name val="Arial Unicode MS"/>
      <family val="2"/>
    </font>
    <font>
      <b/>
      <sz val="11"/>
      <color theme="0"/>
      <name val="Arial Unicode MS"/>
      <family val="2"/>
    </font>
    <font>
      <sz val="10"/>
      <name val="Bookman Old Style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b/>
      <sz val="10"/>
      <name val="Bookman Old Style"/>
      <family val="1"/>
    </font>
    <font>
      <sz val="11"/>
      <color rgb="FF002060"/>
      <name val="Comic Sans MS"/>
      <family val="4"/>
    </font>
    <font>
      <u/>
      <sz val="11"/>
      <color theme="10"/>
      <name val="Comic Sans MS"/>
      <family val="4"/>
    </font>
    <font>
      <b/>
      <sz val="11"/>
      <color indexed="81"/>
      <name val="Comic Sans MS"/>
      <family val="4"/>
    </font>
    <font>
      <sz val="11"/>
      <color indexed="81"/>
      <name val="Comic Sans MS"/>
      <family val="4"/>
    </font>
    <font>
      <b/>
      <sz val="10"/>
      <color indexed="81"/>
      <name val="Comic Sans MS"/>
      <family val="4"/>
    </font>
    <font>
      <sz val="10"/>
      <color indexed="81"/>
      <name val="Comic Sans MS"/>
      <family val="4"/>
    </font>
    <font>
      <sz val="12"/>
      <color rgb="FF002060"/>
      <name val="Comic Sans MS"/>
      <family val="4"/>
    </font>
    <font>
      <sz val="14"/>
      <color theme="0"/>
      <name val="Bookman Old Style"/>
      <family val="1"/>
    </font>
    <font>
      <b/>
      <sz val="14"/>
      <color theme="0"/>
      <name val="Bookman Old Style"/>
      <family val="1"/>
    </font>
    <font>
      <b/>
      <sz val="10"/>
      <color rgb="FF002060"/>
      <name val="Arial Unicode MS"/>
    </font>
    <font>
      <b/>
      <sz val="11"/>
      <color rgb="FF002060"/>
      <name val="Arial Unicode MS"/>
    </font>
    <font>
      <b/>
      <sz val="12"/>
      <color rgb="FF002060"/>
      <name val="Arial Unicode MS"/>
    </font>
    <font>
      <b/>
      <sz val="11"/>
      <color rgb="FF002060"/>
      <name val="Arial Unicode MS"/>
      <family val="2"/>
    </font>
    <font>
      <sz val="11"/>
      <color rgb="FF002060"/>
      <name val="Arial Unicode MS"/>
      <family val="2"/>
    </font>
    <font>
      <b/>
      <sz val="26"/>
      <color theme="0"/>
      <name val="Gilroy ExtraBold"/>
      <family val="3"/>
    </font>
    <font>
      <b/>
      <sz val="16"/>
      <color rgb="FF0070C0"/>
      <name val="Calibri"/>
      <family val="2"/>
      <scheme val="minor"/>
    </font>
    <font>
      <sz val="10"/>
      <color rgb="FF0070C0"/>
      <name val="Arial Unicode MS"/>
      <family val="2"/>
    </font>
    <font>
      <sz val="10"/>
      <color rgb="FF00206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17346"/>
        <bgColor indexed="64"/>
      </patternFill>
    </fill>
  </fills>
  <borders count="16">
    <border>
      <left/>
      <right/>
      <top/>
      <bottom/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/>
      <bottom style="hair">
        <color rgb="FF0070C0"/>
      </bottom>
      <diagonal/>
    </border>
    <border>
      <left/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medium">
        <color rgb="FF217346"/>
      </left>
      <right style="hair">
        <color rgb="FF217346"/>
      </right>
      <top style="medium">
        <color rgb="FF217346"/>
      </top>
      <bottom style="hair">
        <color rgb="FF217346"/>
      </bottom>
      <diagonal/>
    </border>
    <border>
      <left style="hair">
        <color rgb="FF217346"/>
      </left>
      <right style="hair">
        <color rgb="FF217346"/>
      </right>
      <top style="medium">
        <color rgb="FF217346"/>
      </top>
      <bottom style="hair">
        <color rgb="FF217346"/>
      </bottom>
      <diagonal/>
    </border>
    <border>
      <left style="hair">
        <color rgb="FF217346"/>
      </left>
      <right style="medium">
        <color rgb="FF217346"/>
      </right>
      <top style="medium">
        <color rgb="FF217346"/>
      </top>
      <bottom style="hair">
        <color rgb="FF217346"/>
      </bottom>
      <diagonal/>
    </border>
    <border>
      <left style="medium">
        <color rgb="FF217346"/>
      </left>
      <right style="hair">
        <color rgb="FF217346"/>
      </right>
      <top style="hair">
        <color rgb="FF217346"/>
      </top>
      <bottom style="hair">
        <color rgb="FF217346"/>
      </bottom>
      <diagonal/>
    </border>
    <border>
      <left style="hair">
        <color rgb="FF217346"/>
      </left>
      <right style="hair">
        <color rgb="FF217346"/>
      </right>
      <top style="hair">
        <color rgb="FF217346"/>
      </top>
      <bottom style="hair">
        <color rgb="FF217346"/>
      </bottom>
      <diagonal/>
    </border>
    <border>
      <left style="hair">
        <color rgb="FF217346"/>
      </left>
      <right style="medium">
        <color rgb="FF217346"/>
      </right>
      <top style="hair">
        <color rgb="FF217346"/>
      </top>
      <bottom style="hair">
        <color rgb="FF217346"/>
      </bottom>
      <diagonal/>
    </border>
    <border>
      <left style="medium">
        <color rgb="FF217346"/>
      </left>
      <right style="hair">
        <color rgb="FF217346"/>
      </right>
      <top style="hair">
        <color rgb="FF217346"/>
      </top>
      <bottom style="medium">
        <color rgb="FF217346"/>
      </bottom>
      <diagonal/>
    </border>
    <border>
      <left style="hair">
        <color rgb="FF217346"/>
      </left>
      <right style="hair">
        <color rgb="FF217346"/>
      </right>
      <top style="hair">
        <color rgb="FF217346"/>
      </top>
      <bottom style="medium">
        <color rgb="FF217346"/>
      </bottom>
      <diagonal/>
    </border>
    <border>
      <left style="hair">
        <color rgb="FF217346"/>
      </left>
      <right style="medium">
        <color rgb="FF217346"/>
      </right>
      <top style="hair">
        <color rgb="FF217346"/>
      </top>
      <bottom style="medium">
        <color rgb="FF217346"/>
      </bottom>
      <diagonal/>
    </border>
  </borders>
  <cellStyleXfs count="29">
    <xf numFmtId="0" fontId="0" fillId="0" borderId="0"/>
    <xf numFmtId="16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5" fillId="0" borderId="0"/>
    <xf numFmtId="16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7" fillId="0" borderId="0"/>
    <xf numFmtId="0" fontId="4" fillId="0" borderId="0"/>
    <xf numFmtId="0" fontId="3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7" fillId="0" borderId="0"/>
    <xf numFmtId="164" fontId="7" fillId="0" borderId="0" applyFont="0" applyFill="0" applyBorder="0" applyAlignment="0" applyProtection="0"/>
    <xf numFmtId="0" fontId="2" fillId="0" borderId="0"/>
    <xf numFmtId="0" fontId="1" fillId="0" borderId="0"/>
    <xf numFmtId="0" fontId="7" fillId="0" borderId="0"/>
    <xf numFmtId="0" fontId="7" fillId="0" borderId="0"/>
    <xf numFmtId="0" fontId="1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13" fillId="3" borderId="0" xfId="17" applyFont="1" applyFill="1" applyProtection="1">
      <protection locked="0"/>
    </xf>
    <xf numFmtId="0" fontId="11" fillId="3" borderId="0" xfId="24" applyFont="1" applyFill="1" applyProtection="1">
      <protection locked="0"/>
    </xf>
    <xf numFmtId="0" fontId="10" fillId="3" borderId="0" xfId="24" applyFont="1" applyFill="1" applyAlignment="1" applyProtection="1">
      <alignment horizontal="left"/>
      <protection locked="0"/>
    </xf>
    <xf numFmtId="0" fontId="15" fillId="3" borderId="0" xfId="24" applyFont="1" applyFill="1" applyAlignment="1" applyProtection="1">
      <alignment horizontal="center" vertical="center"/>
      <protection locked="0"/>
    </xf>
    <xf numFmtId="0" fontId="13" fillId="3" borderId="0" xfId="24" applyFont="1" applyFill="1" applyProtection="1">
      <protection locked="0"/>
    </xf>
    <xf numFmtId="0" fontId="12" fillId="3" borderId="0" xfId="24" applyFont="1" applyFill="1" applyProtection="1">
      <protection locked="0"/>
    </xf>
    <xf numFmtId="0" fontId="13" fillId="3" borderId="0" xfId="27" applyFont="1" applyFill="1" applyAlignment="1" applyProtection="1">
      <alignment horizontal="center"/>
      <protection locked="0"/>
    </xf>
    <xf numFmtId="0" fontId="13" fillId="3" borderId="6" xfId="24" applyFont="1" applyFill="1" applyBorder="1" applyProtection="1">
      <protection locked="0"/>
    </xf>
    <xf numFmtId="0" fontId="13" fillId="3" borderId="0" xfId="24" applyFont="1" applyFill="1" applyAlignment="1" applyProtection="1">
      <alignment horizontal="center"/>
      <protection locked="0"/>
    </xf>
    <xf numFmtId="0" fontId="13" fillId="3" borderId="0" xfId="24" applyFont="1" applyFill="1" applyAlignment="1" applyProtection="1">
      <alignment horizontal="center" vertical="center"/>
      <protection locked="0"/>
    </xf>
    <xf numFmtId="0" fontId="19" fillId="3" borderId="0" xfId="27" applyFont="1" applyFill="1" applyAlignment="1" applyProtection="1">
      <alignment horizontal="center"/>
      <protection locked="0"/>
    </xf>
    <xf numFmtId="0" fontId="19" fillId="3" borderId="0" xfId="24" applyFont="1" applyFill="1" applyAlignment="1" applyProtection="1">
      <alignment horizontal="center"/>
      <protection locked="0"/>
    </xf>
    <xf numFmtId="0" fontId="19" fillId="3" borderId="0" xfId="24" applyFont="1" applyFill="1" applyProtection="1">
      <protection locked="0"/>
    </xf>
    <xf numFmtId="0" fontId="22" fillId="3" borderId="0" xfId="24" applyFont="1" applyFill="1" applyAlignment="1" applyProtection="1">
      <alignment horizontal="center"/>
      <protection locked="0"/>
    </xf>
    <xf numFmtId="0" fontId="23" fillId="3" borderId="0" xfId="17" applyFont="1" applyFill="1" applyProtection="1">
      <protection locked="0"/>
    </xf>
    <xf numFmtId="0" fontId="24" fillId="3" borderId="0" xfId="25" applyFont="1" applyFill="1" applyAlignment="1" applyProtection="1">
      <alignment horizontal="center" vertical="center"/>
      <protection locked="0"/>
    </xf>
    <xf numFmtId="0" fontId="12" fillId="3" borderId="0" xfId="24" applyFont="1" applyFill="1" applyAlignment="1" applyProtection="1">
      <alignment vertical="center"/>
      <protection locked="0"/>
    </xf>
    <xf numFmtId="0" fontId="13" fillId="3" borderId="0" xfId="24" applyFont="1" applyFill="1" applyAlignment="1" applyProtection="1">
      <alignment horizontal="centerContinuous"/>
      <protection locked="0"/>
    </xf>
    <xf numFmtId="0" fontId="13" fillId="3" borderId="3" xfId="26" applyNumberFormat="1" applyFont="1" applyFill="1" applyBorder="1" applyAlignment="1" applyProtection="1">
      <alignment vertical="center"/>
      <protection locked="0"/>
    </xf>
    <xf numFmtId="0" fontId="13" fillId="3" borderId="3" xfId="24" applyFont="1" applyFill="1" applyBorder="1" applyProtection="1">
      <protection locked="0"/>
    </xf>
    <xf numFmtId="0" fontId="13" fillId="3" borderId="1" xfId="24" applyFont="1" applyFill="1" applyBorder="1" applyProtection="1">
      <protection locked="0"/>
    </xf>
    <xf numFmtId="0" fontId="29" fillId="3" borderId="0" xfId="17" applyFont="1" applyFill="1" applyProtection="1">
      <protection locked="0"/>
    </xf>
    <xf numFmtId="0" fontId="12" fillId="3" borderId="2" xfId="26" applyNumberFormat="1" applyFont="1" applyFill="1" applyBorder="1" applyAlignment="1" applyProtection="1">
      <alignment vertical="center"/>
      <protection locked="0"/>
    </xf>
    <xf numFmtId="0" fontId="30" fillId="0" borderId="0" xfId="0" applyFont="1" applyProtection="1">
      <protection locked="0"/>
    </xf>
    <xf numFmtId="0" fontId="31" fillId="0" borderId="0" xfId="0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33" fillId="3" borderId="2" xfId="26" applyNumberFormat="1" applyFont="1" applyFill="1" applyBorder="1" applyAlignment="1" applyProtection="1">
      <alignment vertical="center"/>
      <protection locked="0"/>
    </xf>
    <xf numFmtId="0" fontId="34" fillId="3" borderId="2" xfId="26" applyNumberFormat="1" applyFont="1" applyFill="1" applyBorder="1" applyAlignment="1" applyProtection="1">
      <alignment vertical="center"/>
      <protection locked="0"/>
    </xf>
    <xf numFmtId="0" fontId="13" fillId="3" borderId="0" xfId="24" applyFont="1" applyFill="1" applyAlignment="1" applyProtection="1">
      <alignment horizontal="left" vertical="center"/>
      <protection locked="0"/>
    </xf>
    <xf numFmtId="0" fontId="13" fillId="3" borderId="4" xfId="26" applyNumberFormat="1" applyFont="1" applyFill="1" applyBorder="1" applyAlignment="1" applyProtection="1">
      <alignment vertical="center"/>
      <protection locked="0"/>
    </xf>
    <xf numFmtId="0" fontId="13" fillId="3" borderId="5" xfId="26" applyNumberFormat="1" applyFont="1" applyFill="1" applyBorder="1" applyAlignment="1" applyProtection="1">
      <alignment vertical="center"/>
      <protection locked="0"/>
    </xf>
    <xf numFmtId="0" fontId="13" fillId="3" borderId="5" xfId="24" applyFont="1" applyFill="1" applyBorder="1" applyProtection="1">
      <protection locked="0"/>
    </xf>
    <xf numFmtId="0" fontId="36" fillId="3" borderId="2" xfId="26" applyNumberFormat="1" applyFont="1" applyFill="1" applyBorder="1" applyAlignment="1" applyProtection="1">
      <alignment vertical="center"/>
      <protection locked="0"/>
    </xf>
    <xf numFmtId="0" fontId="12" fillId="3" borderId="0" xfId="24" applyFont="1" applyFill="1" applyAlignment="1" applyProtection="1">
      <alignment horizontal="centerContinuous" vertical="center"/>
      <protection locked="0"/>
    </xf>
    <xf numFmtId="0" fontId="13" fillId="4" borderId="0" xfId="17" applyFont="1" applyFill="1" applyProtection="1">
      <protection locked="0"/>
    </xf>
    <xf numFmtId="0" fontId="30" fillId="4" borderId="0" xfId="0" applyFont="1" applyFill="1" applyProtection="1">
      <protection locked="0"/>
    </xf>
    <xf numFmtId="0" fontId="31" fillId="4" borderId="0" xfId="0" applyFont="1" applyFill="1" applyAlignment="1" applyProtection="1">
      <alignment horizontal="left"/>
      <protection locked="0"/>
    </xf>
    <xf numFmtId="0" fontId="14" fillId="4" borderId="0" xfId="0" applyFont="1" applyFill="1" applyAlignment="1" applyProtection="1">
      <alignment vertical="center"/>
      <protection locked="0"/>
    </xf>
    <xf numFmtId="0" fontId="15" fillId="4" borderId="0" xfId="0" applyFont="1" applyFill="1" applyAlignment="1" applyProtection="1">
      <alignment vertical="center"/>
      <protection locked="0"/>
    </xf>
    <xf numFmtId="0" fontId="18" fillId="4" borderId="0" xfId="7" applyFont="1" applyFill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left" vertical="center"/>
      <protection locked="0"/>
    </xf>
    <xf numFmtId="0" fontId="13" fillId="2" borderId="11" xfId="0" applyFont="1" applyFill="1" applyBorder="1" applyAlignment="1" applyProtection="1">
      <alignment horizontal="center" vertical="center"/>
      <protection locked="0"/>
    </xf>
    <xf numFmtId="168" fontId="13" fillId="2" borderId="11" xfId="0" applyNumberFormat="1" applyFont="1" applyFill="1" applyBorder="1" applyAlignment="1" applyProtection="1">
      <alignment horizontal="center" vertical="center"/>
      <protection locked="0"/>
    </xf>
    <xf numFmtId="169" fontId="13" fillId="3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3" borderId="14" xfId="0" applyNumberFormat="1" applyFont="1" applyFill="1" applyBorder="1" applyAlignment="1" applyProtection="1">
      <alignment horizontal="center" vertical="center"/>
      <protection locked="0"/>
    </xf>
    <xf numFmtId="0" fontId="13" fillId="3" borderId="15" xfId="0" applyFont="1" applyFill="1" applyBorder="1" applyAlignment="1" applyProtection="1">
      <alignment horizontal="center" vertical="center"/>
      <protection locked="0"/>
    </xf>
    <xf numFmtId="0" fontId="17" fillId="4" borderId="7" xfId="0" applyFont="1" applyFill="1" applyBorder="1" applyAlignment="1" applyProtection="1">
      <alignment horizontal="center" vertical="center"/>
      <protection locked="0"/>
    </xf>
    <xf numFmtId="0" fontId="17" fillId="4" borderId="8" xfId="0" applyFont="1" applyFill="1" applyBorder="1" applyAlignment="1" applyProtection="1">
      <alignment horizontal="center" vertical="center"/>
      <protection locked="0"/>
    </xf>
    <xf numFmtId="0" fontId="17" fillId="4" borderId="9" xfId="0" applyFont="1" applyFill="1" applyBorder="1" applyAlignment="1" applyProtection="1">
      <alignment horizontal="center" vertical="center"/>
      <protection locked="0"/>
    </xf>
    <xf numFmtId="168" fontId="13" fillId="3" borderId="12" xfId="0" applyNumberFormat="1" applyFont="1" applyFill="1" applyBorder="1" applyAlignment="1" applyProtection="1">
      <alignment horizontal="center" vertical="center"/>
      <protection locked="0"/>
    </xf>
    <xf numFmtId="168" fontId="13" fillId="3" borderId="15" xfId="0" applyNumberFormat="1" applyFont="1" applyFill="1" applyBorder="1" applyAlignment="1" applyProtection="1">
      <alignment horizontal="center" vertical="center"/>
      <protection locked="0"/>
    </xf>
    <xf numFmtId="14" fontId="13" fillId="2" borderId="11" xfId="0" applyNumberFormat="1" applyFont="1" applyFill="1" applyBorder="1" applyAlignment="1" applyProtection="1">
      <alignment horizontal="center" vertical="center"/>
      <protection locked="0"/>
    </xf>
    <xf numFmtId="14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4" borderId="8" xfId="0" applyFont="1" applyFill="1" applyBorder="1" applyAlignment="1" applyProtection="1">
      <alignment horizontal="center" vertical="center" wrapText="1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164" fontId="13" fillId="2" borderId="11" xfId="0" applyNumberFormat="1" applyFont="1" applyFill="1" applyBorder="1" applyAlignment="1" applyProtection="1">
      <alignment horizontal="center" vertical="center"/>
      <protection locked="0"/>
    </xf>
    <xf numFmtId="164" fontId="13" fillId="3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164" fontId="13" fillId="2" borderId="14" xfId="0" applyNumberFormat="1" applyFont="1" applyFill="1" applyBorder="1" applyAlignment="1" applyProtection="1">
      <alignment horizontal="center" vertical="center"/>
      <protection locked="0"/>
    </xf>
    <xf numFmtId="164" fontId="13" fillId="3" borderId="15" xfId="0" applyNumberFormat="1" applyFont="1" applyFill="1" applyBorder="1" applyAlignment="1" applyProtection="1">
      <alignment horizontal="center" vertical="center"/>
      <protection locked="0"/>
    </xf>
    <xf numFmtId="0" fontId="17" fillId="4" borderId="7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 wrapText="1"/>
    </xf>
    <xf numFmtId="164" fontId="13" fillId="3" borderId="11" xfId="0" applyNumberFormat="1" applyFont="1" applyFill="1" applyBorder="1" applyAlignment="1" applyProtection="1">
      <alignment horizontal="center" vertical="center"/>
      <protection locked="0"/>
    </xf>
    <xf numFmtId="171" fontId="13" fillId="3" borderId="12" xfId="0" applyNumberFormat="1" applyFont="1" applyFill="1" applyBorder="1" applyAlignment="1" applyProtection="1">
      <alignment horizontal="center" vertical="center"/>
      <protection locked="0"/>
    </xf>
    <xf numFmtId="164" fontId="13" fillId="3" borderId="14" xfId="0" applyNumberFormat="1" applyFont="1" applyFill="1" applyBorder="1" applyAlignment="1" applyProtection="1">
      <alignment horizontal="center" vertical="center"/>
      <protection locked="0"/>
    </xf>
    <xf numFmtId="171" fontId="13" fillId="3" borderId="15" xfId="0" applyNumberFormat="1" applyFont="1" applyFill="1" applyBorder="1" applyAlignment="1" applyProtection="1">
      <alignment horizontal="center" vertical="center"/>
      <protection locked="0"/>
    </xf>
    <xf numFmtId="170" fontId="13" fillId="2" borderId="11" xfId="0" applyNumberFormat="1" applyFont="1" applyFill="1" applyBorder="1" applyAlignment="1" applyProtection="1">
      <alignment horizontal="center" vertical="center"/>
      <protection locked="0"/>
    </xf>
    <xf numFmtId="170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3" borderId="11" xfId="0" applyFont="1" applyFill="1" applyBorder="1" applyAlignment="1" applyProtection="1">
      <alignment horizontal="center" vertical="center"/>
      <protection locked="0"/>
    </xf>
    <xf numFmtId="0" fontId="13" fillId="3" borderId="14" xfId="0" applyFont="1" applyFill="1" applyBorder="1" applyAlignment="1" applyProtection="1">
      <alignment horizontal="center" vertical="center"/>
      <protection locked="0"/>
    </xf>
    <xf numFmtId="0" fontId="38" fillId="3" borderId="0" xfId="17" applyFont="1" applyFill="1" applyProtection="1">
      <protection locked="0"/>
    </xf>
    <xf numFmtId="0" fontId="39" fillId="4" borderId="0" xfId="17" applyFont="1" applyFill="1" applyProtection="1">
      <protection locked="0"/>
    </xf>
    <xf numFmtId="0" fontId="38" fillId="2" borderId="0" xfId="25" applyFont="1" applyFill="1" applyAlignment="1" applyProtection="1">
      <alignment horizontal="center" vertical="center"/>
      <protection locked="0"/>
    </xf>
    <xf numFmtId="0" fontId="38" fillId="2" borderId="0" xfId="25" applyFont="1" applyFill="1" applyAlignment="1" applyProtection="1">
      <alignment horizontal="center" vertical="center" wrapText="1"/>
      <protection locked="0"/>
    </xf>
    <xf numFmtId="0" fontId="38" fillId="3" borderId="0" xfId="25" applyFont="1" applyFill="1" applyAlignment="1" applyProtection="1">
      <alignment horizontal="center" vertical="center" wrapText="1"/>
      <protection locked="0"/>
    </xf>
    <xf numFmtId="0" fontId="37" fillId="4" borderId="0" xfId="0" applyFont="1" applyFill="1" applyAlignment="1" applyProtection="1">
      <alignment horizontal="center" vertical="center"/>
      <protection locked="0"/>
    </xf>
    <xf numFmtId="0" fontId="32" fillId="3" borderId="2" xfId="26" applyNumberFormat="1" applyFont="1" applyFill="1" applyBorder="1" applyAlignment="1" applyProtection="1">
      <alignment horizontal="left" vertical="center" wrapText="1"/>
      <protection locked="0"/>
    </xf>
    <xf numFmtId="0" fontId="32" fillId="3" borderId="3" xfId="26" applyNumberFormat="1" applyFont="1" applyFill="1" applyBorder="1" applyAlignment="1" applyProtection="1">
      <alignment horizontal="left" vertical="center" wrapText="1"/>
      <protection locked="0"/>
    </xf>
    <xf numFmtId="0" fontId="32" fillId="3" borderId="1" xfId="26" applyNumberFormat="1" applyFont="1" applyFill="1" applyBorder="1" applyAlignment="1" applyProtection="1">
      <alignment horizontal="left" vertical="center" wrapText="1"/>
      <protection locked="0"/>
    </xf>
    <xf numFmtId="0" fontId="12" fillId="3" borderId="0" xfId="24" applyFont="1" applyFill="1" applyAlignment="1" applyProtection="1">
      <alignment horizontal="center" vertical="center"/>
      <protection locked="0"/>
    </xf>
    <xf numFmtId="0" fontId="13" fillId="3" borderId="2" xfId="26" applyNumberFormat="1" applyFont="1" applyFill="1" applyBorder="1" applyAlignment="1" applyProtection="1">
      <alignment horizontal="left" vertical="center" wrapText="1"/>
      <protection locked="0"/>
    </xf>
    <xf numFmtId="0" fontId="13" fillId="3" borderId="3" xfId="26" applyNumberFormat="1" applyFont="1" applyFill="1" applyBorder="1" applyAlignment="1" applyProtection="1">
      <alignment horizontal="left" vertical="center" wrapText="1"/>
      <protection locked="0"/>
    </xf>
    <xf numFmtId="0" fontId="13" fillId="3" borderId="1" xfId="26" applyNumberFormat="1" applyFont="1" applyFill="1" applyBorder="1" applyAlignment="1" applyProtection="1">
      <alignment horizontal="left" vertical="center" wrapText="1"/>
      <protection locked="0"/>
    </xf>
  </cellXfs>
  <cellStyles count="29">
    <cellStyle name="Euro" xfId="1" xr:uid="{00000000-0005-0000-0000-000000000000}"/>
    <cellStyle name="Hipervínculo" xfId="25" builtinId="8"/>
    <cellStyle name="Hipervínculo 2" xfId="9" xr:uid="{00000000-0005-0000-0000-000002000000}"/>
    <cellStyle name="Hipervínculo 3" xfId="18" xr:uid="{00000000-0005-0000-0000-000003000000}"/>
    <cellStyle name="Hipervínculo 4" xfId="28" xr:uid="{00000000-0005-0000-0000-000004000000}"/>
    <cellStyle name="Millares [0] 2" xfId="2" xr:uid="{00000000-0005-0000-0000-000005000000}"/>
    <cellStyle name="Millares 2" xfId="3" xr:uid="{00000000-0005-0000-0000-000006000000}"/>
    <cellStyle name="Millares 2 2" xfId="12" xr:uid="{00000000-0005-0000-0000-000007000000}"/>
    <cellStyle name="Millares 3" xfId="26" xr:uid="{00000000-0005-0000-0000-000008000000}"/>
    <cellStyle name="Moneda 2" xfId="4" xr:uid="{00000000-0005-0000-0000-000009000000}"/>
    <cellStyle name="Moneda 2 2" xfId="13" xr:uid="{00000000-0005-0000-0000-00000A000000}"/>
    <cellStyle name="Moneda 3" xfId="5" xr:uid="{00000000-0005-0000-0000-00000B000000}"/>
    <cellStyle name="Moneda 4" xfId="20" xr:uid="{00000000-0005-0000-0000-00000C000000}"/>
    <cellStyle name="Normal" xfId="0" builtinId="0"/>
    <cellStyle name="Normal 16" xfId="24" xr:uid="{00000000-0005-0000-0000-00000E000000}"/>
    <cellStyle name="Normal 2" xfId="6" xr:uid="{00000000-0005-0000-0000-00000F000000}"/>
    <cellStyle name="Normal 2 2" xfId="10" xr:uid="{00000000-0005-0000-0000-000010000000}"/>
    <cellStyle name="Normal 2 2 2" xfId="22" xr:uid="{00000000-0005-0000-0000-000011000000}"/>
    <cellStyle name="Normal 2_Muestra Funciones Estadísticas" xfId="15" xr:uid="{00000000-0005-0000-0000-000012000000}"/>
    <cellStyle name="Normal 3" xfId="7" xr:uid="{00000000-0005-0000-0000-000013000000}"/>
    <cellStyle name="Normal 3 2" xfId="19" xr:uid="{00000000-0005-0000-0000-000014000000}"/>
    <cellStyle name="Normal 4" xfId="8" xr:uid="{00000000-0005-0000-0000-000015000000}"/>
    <cellStyle name="Normal 4 2" xfId="14" xr:uid="{00000000-0005-0000-0000-000016000000}"/>
    <cellStyle name="Normal 4 3" xfId="17" xr:uid="{00000000-0005-0000-0000-000017000000}"/>
    <cellStyle name="Normal 4 4" xfId="23" xr:uid="{00000000-0005-0000-0000-000018000000}"/>
    <cellStyle name="Normal 4_Muestra Funciones Estadísticas" xfId="11" xr:uid="{00000000-0005-0000-0000-000019000000}"/>
    <cellStyle name="Normal 5" xfId="16" xr:uid="{00000000-0005-0000-0000-00001A000000}"/>
    <cellStyle name="Normal 6" xfId="21" xr:uid="{00000000-0005-0000-0000-00001B000000}"/>
    <cellStyle name="Normal_SALES93" xfId="27" xr:uid="{00000000-0005-0000-0000-00001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217346"/>
      <color rgb="FFFFA3AA"/>
      <color rgb="FFA4DAFF"/>
      <color rgb="FF99CCFF"/>
      <color rgb="FF6699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260882</xdr:colOff>
      <xdr:row>1</xdr:row>
      <xdr:rowOff>125307</xdr:rowOff>
    </xdr:from>
    <xdr:ext cx="6975116" cy="940642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39162" y="292947"/>
          <a:ext cx="6975116" cy="94064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i="0" cap="none" spc="0" baseline="0">
              <a:ln w="9525">
                <a:noFill/>
                <a:prstDash val="solid"/>
              </a:ln>
              <a:solidFill>
                <a:srgbClr val="217346"/>
              </a:solidFill>
              <a:effectLst/>
              <a:latin typeface="Gilroy ExtraBold" panose="00000900000000000000" pitchFamily="50" charset="0"/>
            </a:rPr>
            <a:t>Formato Condicional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973455</xdr:colOff>
      <xdr:row>5</xdr:row>
      <xdr:rowOff>258128</xdr:rowOff>
    </xdr:from>
    <xdr:to>
      <xdr:col>11</xdr:col>
      <xdr:colOff>95449</xdr:colOff>
      <xdr:row>15</xdr:row>
      <xdr:rowOff>86205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7875" y="1324928"/>
          <a:ext cx="2269054" cy="3775237"/>
        </a:xfrm>
        <a:prstGeom prst="rect">
          <a:avLst/>
        </a:prstGeom>
      </xdr:spPr>
    </xdr:pic>
    <xdr:clientData/>
  </xdr:twoCellAnchor>
  <xdr:twoCellAnchor editAs="oneCell">
    <xdr:from>
      <xdr:col>9</xdr:col>
      <xdr:colOff>345281</xdr:colOff>
      <xdr:row>20</xdr:row>
      <xdr:rowOff>273843</xdr:rowOff>
    </xdr:from>
    <xdr:to>
      <xdr:col>10</xdr:col>
      <xdr:colOff>321302</xdr:colOff>
      <xdr:row>30</xdr:row>
      <xdr:rowOff>292414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25375" y="14227968"/>
          <a:ext cx="1333333" cy="3828571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1333500</xdr:colOff>
      <xdr:row>35</xdr:row>
      <xdr:rowOff>142875</xdr:rowOff>
    </xdr:from>
    <xdr:to>
      <xdr:col>8</xdr:col>
      <xdr:colOff>1095232</xdr:colOff>
      <xdr:row>45</xdr:row>
      <xdr:rowOff>37637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18031" y="19895344"/>
          <a:ext cx="1142857" cy="37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885265</xdr:colOff>
      <xdr:row>27</xdr:row>
      <xdr:rowOff>89647</xdr:rowOff>
    </xdr:from>
    <xdr:to>
      <xdr:col>8</xdr:col>
      <xdr:colOff>1160743</xdr:colOff>
      <xdr:row>43</xdr:row>
      <xdr:rowOff>117456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47294" y="8897471"/>
          <a:ext cx="1485714" cy="6123809"/>
        </a:xfrm>
        <a:prstGeom prst="rect">
          <a:avLst/>
        </a:prstGeom>
      </xdr:spPr>
    </xdr:pic>
    <xdr:clientData/>
  </xdr:twoCellAnchor>
  <xdr:twoCellAnchor editAs="oneCell">
    <xdr:from>
      <xdr:col>6</xdr:col>
      <xdr:colOff>717177</xdr:colOff>
      <xdr:row>49</xdr:row>
      <xdr:rowOff>156882</xdr:rowOff>
    </xdr:from>
    <xdr:to>
      <xdr:col>7</xdr:col>
      <xdr:colOff>560128</xdr:colOff>
      <xdr:row>59</xdr:row>
      <xdr:rowOff>89739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88824" y="17447558"/>
          <a:ext cx="1333333" cy="37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533400</xdr:colOff>
      <xdr:row>3</xdr:row>
      <xdr:rowOff>156222</xdr:rowOff>
    </xdr:from>
    <xdr:to>
      <xdr:col>12</xdr:col>
      <xdr:colOff>202569</xdr:colOff>
      <xdr:row>14</xdr:row>
      <xdr:rowOff>272961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6A97CD-D348-47A1-A51C-799C9665F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3960" y="979182"/>
          <a:ext cx="5643249" cy="31418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857250</xdr:colOff>
      <xdr:row>6</xdr:row>
      <xdr:rowOff>119062</xdr:rowOff>
    </xdr:from>
    <xdr:to>
      <xdr:col>11</xdr:col>
      <xdr:colOff>682648</xdr:colOff>
      <xdr:row>16</xdr:row>
      <xdr:rowOff>318586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408D88A-E7D6-4FFB-BA83-1261DD89A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690" y="8699182"/>
          <a:ext cx="6340498" cy="40095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5</xdr:row>
      <xdr:rowOff>214313</xdr:rowOff>
    </xdr:from>
    <xdr:to>
      <xdr:col>10</xdr:col>
      <xdr:colOff>920774</xdr:colOff>
      <xdr:row>15</xdr:row>
      <xdr:rowOff>4313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5844" y="3083719"/>
          <a:ext cx="6171429" cy="36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785812</xdr:colOff>
      <xdr:row>21</xdr:row>
      <xdr:rowOff>226218</xdr:rowOff>
    </xdr:from>
    <xdr:to>
      <xdr:col>16</xdr:col>
      <xdr:colOff>82432</xdr:colOff>
      <xdr:row>32</xdr:row>
      <xdr:rowOff>206647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89718" y="14525624"/>
          <a:ext cx="7285714" cy="41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217346"/>
  </sheetPr>
  <dimension ref="B8:Q325"/>
  <sheetViews>
    <sheetView zoomScaleNormal="100" workbookViewId="0">
      <selection activeCell="G10" sqref="G10:I10"/>
    </sheetView>
  </sheetViews>
  <sheetFormatPr baseColWidth="10" defaultColWidth="11.44140625" defaultRowHeight="13.2"/>
  <cols>
    <col min="1" max="1" width="2" style="1" customWidth="1"/>
    <col min="2" max="2" width="11.44140625" style="1"/>
    <col min="3" max="3" width="8.109375" style="1" customWidth="1"/>
    <col min="4" max="4" width="15.33203125" style="1" customWidth="1"/>
    <col min="5" max="5" width="15.5546875" style="1" customWidth="1"/>
    <col min="6" max="6" width="0.33203125" style="1" customWidth="1"/>
    <col min="7" max="7" width="11.44140625" style="1"/>
    <col min="8" max="8" width="13" style="1" customWidth="1"/>
    <col min="9" max="9" width="14.33203125" style="1" customWidth="1"/>
    <col min="10" max="10" width="0.33203125" style="1" customWidth="1"/>
    <col min="11" max="11" width="11.44140625" style="1"/>
    <col min="12" max="12" width="14.109375" style="1" customWidth="1"/>
    <col min="13" max="13" width="17.33203125" style="1" customWidth="1"/>
    <col min="14" max="16384" width="11.44140625" style="1"/>
  </cols>
  <sheetData>
    <row r="8" spans="2:17" ht="2.1" customHeight="1"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</row>
    <row r="9" spans="2:17" ht="2.1" customHeight="1"/>
    <row r="10" spans="2:17" ht="50.1" customHeight="1">
      <c r="C10" s="81" t="s">
        <v>98</v>
      </c>
      <c r="D10" s="81"/>
      <c r="E10" s="81"/>
      <c r="F10" s="79"/>
      <c r="G10" s="81" t="s">
        <v>107</v>
      </c>
      <c r="H10" s="81"/>
      <c r="I10" s="81"/>
      <c r="J10" s="79"/>
      <c r="K10" s="81" t="s">
        <v>108</v>
      </c>
      <c r="L10" s="81"/>
      <c r="M10" s="81"/>
      <c r="Q10"/>
    </row>
    <row r="11" spans="2:17" ht="2.1" customHeight="1"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</row>
    <row r="12" spans="2:17" ht="50.1" customHeight="1">
      <c r="C12" s="82" t="s">
        <v>109</v>
      </c>
      <c r="D12" s="82"/>
      <c r="E12" s="82"/>
      <c r="F12" s="79"/>
      <c r="G12" s="82" t="s">
        <v>110</v>
      </c>
      <c r="H12" s="82"/>
      <c r="I12" s="82"/>
      <c r="J12" s="79"/>
      <c r="K12" s="83"/>
      <c r="L12" s="83"/>
      <c r="M12" s="83"/>
      <c r="Q12"/>
    </row>
    <row r="13" spans="2:17" ht="2.1" customHeight="1"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2:17" ht="2.1" customHeight="1">
      <c r="C14" s="16"/>
      <c r="D14" s="16"/>
      <c r="E14" s="16"/>
      <c r="F14" s="15"/>
      <c r="G14" s="16"/>
      <c r="H14" s="16"/>
      <c r="I14" s="16"/>
      <c r="J14" s="15"/>
      <c r="K14" s="16"/>
      <c r="L14" s="16"/>
      <c r="M14" s="16"/>
    </row>
    <row r="15" spans="2:17" ht="2.1" customHeight="1"/>
    <row r="16" spans="2:17" ht="2.1" customHeight="1"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</row>
    <row r="17" ht="2.1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2.1" customHeight="1"/>
    <row r="27" ht="2.1" customHeight="1"/>
    <row r="28" ht="2.1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</sheetData>
  <sheetProtection formatCells="0" formatColumns="0" formatRows="0" selectLockedCells="1"/>
  <mergeCells count="6">
    <mergeCell ref="C10:E10"/>
    <mergeCell ref="G10:I10"/>
    <mergeCell ref="K10:M10"/>
    <mergeCell ref="C12:E12"/>
    <mergeCell ref="G12:I12"/>
    <mergeCell ref="K12:M12"/>
  </mergeCells>
  <hyperlinks>
    <hyperlink ref="C10:E10" location="'Resaltar celdas '!A1" display="Resaltar celdas" xr:uid="{00000000-0004-0000-0000-000000000000}"/>
    <hyperlink ref="G10:I10" location="'Superiores e Inferiores'!A1" display="Superiores e Inferiores" xr:uid="{00000000-0004-0000-0000-000001000000}"/>
    <hyperlink ref="K10:M10" location="'Barras de datos'!A1" display="Barras de datos" xr:uid="{00000000-0004-0000-0000-000002000000}"/>
    <hyperlink ref="C12:E12" location="'Escalas de color'!A1" display="Escalas de color" xr:uid="{00000000-0004-0000-0000-000003000000}"/>
    <hyperlink ref="G12:I12" location="'Conjuntos de iconos'!A1" display="Conjuntos de iconos" xr:uid="{00000000-0004-0000-0000-000004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17346"/>
  </sheetPr>
  <dimension ref="B1:V84"/>
  <sheetViews>
    <sheetView showGridLines="0" topLeftCell="A10" zoomScale="85" zoomScaleNormal="85" workbookViewId="0">
      <selection activeCell="A3" sqref="A3:XFD16"/>
    </sheetView>
  </sheetViews>
  <sheetFormatPr baseColWidth="10" defaultColWidth="15.6640625" defaultRowHeight="24.9" customHeight="1"/>
  <cols>
    <col min="1" max="1" width="4.5546875" style="13" customWidth="1"/>
    <col min="2" max="2" width="26" style="13" customWidth="1"/>
    <col min="3" max="3" width="16.5546875" style="13" customWidth="1"/>
    <col min="4" max="4" width="34.44140625" style="13" customWidth="1"/>
    <col min="5" max="5" width="24.33203125" style="13" customWidth="1"/>
    <col min="6" max="6" width="20.6640625" style="13" customWidth="1"/>
    <col min="7" max="7" width="17" style="13" customWidth="1"/>
    <col min="8" max="8" width="20.6640625" style="13" customWidth="1"/>
    <col min="9" max="9" width="18.109375" style="13" customWidth="1"/>
    <col min="10" max="10" width="20.33203125" style="13" customWidth="1"/>
    <col min="11" max="11" width="25.5546875" style="13" customWidth="1"/>
    <col min="12" max="16384" width="15.6640625" style="13"/>
  </cols>
  <sheetData>
    <row r="1" spans="3:21" s="38" customFormat="1" ht="37.799999999999997" customHeight="1">
      <c r="D1" s="39"/>
      <c r="E1" s="84" t="s">
        <v>103</v>
      </c>
      <c r="F1" s="84"/>
      <c r="G1" s="84"/>
      <c r="H1" s="84"/>
      <c r="I1" s="40"/>
      <c r="J1" s="40"/>
      <c r="K1" s="40"/>
      <c r="L1" s="40"/>
      <c r="M1" s="41"/>
      <c r="N1" s="41"/>
      <c r="O1" s="41"/>
      <c r="P1" s="41"/>
      <c r="Q1" s="41"/>
      <c r="R1" s="41"/>
      <c r="S1" s="41"/>
      <c r="T1" s="41"/>
      <c r="U1" s="41"/>
    </row>
    <row r="2" spans="3:21" s="24" customFormat="1" ht="24.6" customHeight="1">
      <c r="D2" s="25"/>
      <c r="E2" s="26"/>
      <c r="F2" s="26"/>
      <c r="G2" s="26"/>
      <c r="H2" s="26"/>
      <c r="I2" s="27"/>
      <c r="J2" s="27"/>
      <c r="K2" s="27"/>
      <c r="L2" s="27"/>
      <c r="M2" s="28"/>
      <c r="N2" s="28"/>
      <c r="O2" s="28"/>
      <c r="P2" s="28"/>
      <c r="Q2" s="28"/>
      <c r="R2" s="28"/>
      <c r="S2" s="28"/>
      <c r="T2" s="28"/>
      <c r="U2" s="28"/>
    </row>
    <row r="3" spans="3:21" s="5" customFormat="1" ht="30" customHeight="1">
      <c r="C3" s="42" t="s">
        <v>10</v>
      </c>
      <c r="D3" s="23" t="s">
        <v>95</v>
      </c>
      <c r="E3" s="19"/>
      <c r="F3" s="20"/>
      <c r="G3" s="21"/>
    </row>
    <row r="4" spans="3:21" s="5" customFormat="1" ht="27" customHeight="1"/>
    <row r="5" spans="3:21" s="5" customFormat="1" ht="27" customHeight="1" thickBot="1">
      <c r="D5" s="88" t="s">
        <v>111</v>
      </c>
      <c r="E5" s="88"/>
      <c r="F5" s="88"/>
      <c r="G5" s="88"/>
      <c r="H5" s="88"/>
      <c r="I5" s="88"/>
    </row>
    <row r="6" spans="3:21" s="5" customFormat="1" ht="41.25" customHeight="1">
      <c r="D6" s="53" t="s">
        <v>11</v>
      </c>
      <c r="E6" s="54" t="s">
        <v>12</v>
      </c>
      <c r="F6" s="54" t="s">
        <v>13</v>
      </c>
      <c r="G6" s="54" t="s">
        <v>14</v>
      </c>
      <c r="H6" s="54" t="s">
        <v>15</v>
      </c>
      <c r="I6" s="55" t="s">
        <v>16</v>
      </c>
    </row>
    <row r="7" spans="3:21" s="5" customFormat="1" ht="30" customHeight="1">
      <c r="D7" s="43" t="s">
        <v>0</v>
      </c>
      <c r="E7" s="44" t="s">
        <v>17</v>
      </c>
      <c r="F7" s="45">
        <v>6</v>
      </c>
      <c r="G7" s="45">
        <v>11</v>
      </c>
      <c r="H7" s="46">
        <f>AVERAGE(F7:G7)</f>
        <v>8.5</v>
      </c>
      <c r="I7" s="47" t="str">
        <f>IF(H7&gt;=13,"Aprobado","Desaprobado")</f>
        <v>Desaprobado</v>
      </c>
    </row>
    <row r="8" spans="3:21" s="5" customFormat="1" ht="30" customHeight="1">
      <c r="D8" s="43" t="s">
        <v>1</v>
      </c>
      <c r="E8" s="44" t="s">
        <v>17</v>
      </c>
      <c r="F8" s="45">
        <v>13</v>
      </c>
      <c r="G8" s="45">
        <v>15</v>
      </c>
      <c r="H8" s="46">
        <f t="shared" ref="H8:H16" si="0">AVERAGE(F8:G8)</f>
        <v>14</v>
      </c>
      <c r="I8" s="47" t="str">
        <f t="shared" ref="I8:I16" si="1">IF(H8&gt;=13,"Aprobado","Desaprobado")</f>
        <v>Aprobado</v>
      </c>
    </row>
    <row r="9" spans="3:21" s="5" customFormat="1" ht="30" customHeight="1">
      <c r="D9" s="43" t="s">
        <v>2</v>
      </c>
      <c r="E9" s="44" t="s">
        <v>17</v>
      </c>
      <c r="F9" s="45">
        <v>18</v>
      </c>
      <c r="G9" s="45">
        <v>18</v>
      </c>
      <c r="H9" s="46">
        <f t="shared" si="0"/>
        <v>18</v>
      </c>
      <c r="I9" s="47" t="str">
        <f t="shared" si="1"/>
        <v>Aprobado</v>
      </c>
    </row>
    <row r="10" spans="3:21" s="5" customFormat="1" ht="30" customHeight="1">
      <c r="D10" s="43" t="s">
        <v>3</v>
      </c>
      <c r="E10" s="44" t="s">
        <v>17</v>
      </c>
      <c r="F10" s="45">
        <v>9</v>
      </c>
      <c r="G10" s="45">
        <v>10</v>
      </c>
      <c r="H10" s="46">
        <f t="shared" si="0"/>
        <v>9.5</v>
      </c>
      <c r="I10" s="47" t="str">
        <f t="shared" si="1"/>
        <v>Desaprobado</v>
      </c>
    </row>
    <row r="11" spans="3:21" s="5" customFormat="1" ht="30" customHeight="1">
      <c r="D11" s="43" t="s">
        <v>4</v>
      </c>
      <c r="E11" s="44" t="s">
        <v>17</v>
      </c>
      <c r="F11" s="45">
        <v>15</v>
      </c>
      <c r="G11" s="45">
        <v>15</v>
      </c>
      <c r="H11" s="46">
        <f t="shared" si="0"/>
        <v>15</v>
      </c>
      <c r="I11" s="47" t="str">
        <f t="shared" si="1"/>
        <v>Aprobado</v>
      </c>
    </row>
    <row r="12" spans="3:21" s="5" customFormat="1" ht="30" customHeight="1">
      <c r="D12" s="43" t="s">
        <v>5</v>
      </c>
      <c r="E12" s="44" t="s">
        <v>17</v>
      </c>
      <c r="F12" s="45">
        <v>13</v>
      </c>
      <c r="G12" s="45">
        <v>15</v>
      </c>
      <c r="H12" s="46">
        <f t="shared" si="0"/>
        <v>14</v>
      </c>
      <c r="I12" s="47" t="str">
        <f t="shared" si="1"/>
        <v>Aprobado</v>
      </c>
    </row>
    <row r="13" spans="3:21" s="5" customFormat="1" ht="30" customHeight="1">
      <c r="D13" s="43" t="s">
        <v>6</v>
      </c>
      <c r="E13" s="44" t="s">
        <v>17</v>
      </c>
      <c r="F13" s="45">
        <v>12</v>
      </c>
      <c r="G13" s="45">
        <v>10</v>
      </c>
      <c r="H13" s="46">
        <f t="shared" si="0"/>
        <v>11</v>
      </c>
      <c r="I13" s="47" t="str">
        <f t="shared" si="1"/>
        <v>Desaprobado</v>
      </c>
    </row>
    <row r="14" spans="3:21" s="5" customFormat="1" ht="30" customHeight="1">
      <c r="D14" s="43" t="s">
        <v>7</v>
      </c>
      <c r="E14" s="44" t="s">
        <v>17</v>
      </c>
      <c r="F14" s="45">
        <v>12</v>
      </c>
      <c r="G14" s="45">
        <v>16</v>
      </c>
      <c r="H14" s="46">
        <f t="shared" si="0"/>
        <v>14</v>
      </c>
      <c r="I14" s="47" t="str">
        <f t="shared" si="1"/>
        <v>Aprobado</v>
      </c>
    </row>
    <row r="15" spans="3:21" s="5" customFormat="1" ht="30" customHeight="1">
      <c r="D15" s="43" t="s">
        <v>8</v>
      </c>
      <c r="E15" s="44" t="s">
        <v>17</v>
      </c>
      <c r="F15" s="45">
        <v>15</v>
      </c>
      <c r="G15" s="45">
        <v>13</v>
      </c>
      <c r="H15" s="46">
        <f t="shared" si="0"/>
        <v>14</v>
      </c>
      <c r="I15" s="47" t="str">
        <f t="shared" si="1"/>
        <v>Aprobado</v>
      </c>
    </row>
    <row r="16" spans="3:21" s="5" customFormat="1" ht="30" customHeight="1" thickBot="1">
      <c r="D16" s="48" t="s">
        <v>9</v>
      </c>
      <c r="E16" s="49" t="s">
        <v>17</v>
      </c>
      <c r="F16" s="50">
        <v>13</v>
      </c>
      <c r="G16" s="50">
        <v>12</v>
      </c>
      <c r="H16" s="51">
        <f t="shared" si="0"/>
        <v>12.5</v>
      </c>
      <c r="I16" s="52" t="str">
        <f t="shared" si="1"/>
        <v>Desaprobado</v>
      </c>
    </row>
    <row r="17" spans="3:9" s="5" customFormat="1" ht="30" customHeight="1">
      <c r="F17" s="10"/>
    </row>
    <row r="18" spans="3:9" s="5" customFormat="1" ht="39.75" customHeight="1">
      <c r="C18" s="42" t="s">
        <v>18</v>
      </c>
      <c r="D18" s="85" t="s">
        <v>96</v>
      </c>
      <c r="E18" s="86"/>
      <c r="F18" s="86"/>
      <c r="G18" s="86"/>
      <c r="H18" s="87"/>
    </row>
    <row r="19" spans="3:9" s="5" customFormat="1" ht="12" customHeight="1"/>
    <row r="20" spans="3:9" s="5" customFormat="1" ht="30" customHeight="1" thickBot="1">
      <c r="D20" s="88" t="s">
        <v>22</v>
      </c>
      <c r="E20" s="88"/>
      <c r="F20" s="88"/>
      <c r="G20" s="88"/>
      <c r="H20" s="88"/>
      <c r="I20" s="17"/>
    </row>
    <row r="21" spans="3:9" s="5" customFormat="1" ht="30" customHeight="1">
      <c r="D21" s="53" t="s">
        <v>23</v>
      </c>
      <c r="E21" s="54" t="s">
        <v>24</v>
      </c>
      <c r="F21" s="54" t="s">
        <v>25</v>
      </c>
      <c r="G21" s="54" t="s">
        <v>24</v>
      </c>
      <c r="H21" s="55" t="s">
        <v>26</v>
      </c>
    </row>
    <row r="22" spans="3:9" s="5" customFormat="1" ht="30" customHeight="1">
      <c r="D22" s="43" t="s">
        <v>27</v>
      </c>
      <c r="E22" s="44">
        <v>1</v>
      </c>
      <c r="F22" s="45" t="s">
        <v>37</v>
      </c>
      <c r="G22" s="44">
        <v>2</v>
      </c>
      <c r="H22" s="56" t="s">
        <v>101</v>
      </c>
    </row>
    <row r="23" spans="3:9" s="5" customFormat="1" ht="30" customHeight="1">
      <c r="D23" s="43" t="s">
        <v>28</v>
      </c>
      <c r="E23" s="44">
        <v>5</v>
      </c>
      <c r="F23" s="45" t="s">
        <v>38</v>
      </c>
      <c r="G23" s="44">
        <v>2</v>
      </c>
      <c r="H23" s="56" t="s">
        <v>102</v>
      </c>
    </row>
    <row r="24" spans="3:9" s="5" customFormat="1" ht="30" customHeight="1">
      <c r="D24" s="43" t="s">
        <v>29</v>
      </c>
      <c r="E24" s="44">
        <v>3</v>
      </c>
      <c r="F24" s="45" t="s">
        <v>39</v>
      </c>
      <c r="G24" s="44">
        <v>0</v>
      </c>
      <c r="H24" s="56" t="s">
        <v>102</v>
      </c>
    </row>
    <row r="25" spans="3:9" s="5" customFormat="1" ht="30" customHeight="1">
      <c r="D25" s="43" t="s">
        <v>30</v>
      </c>
      <c r="E25" s="44">
        <v>0</v>
      </c>
      <c r="F25" s="45" t="s">
        <v>40</v>
      </c>
      <c r="G25" s="44">
        <v>0</v>
      </c>
      <c r="H25" s="56" t="s">
        <v>101</v>
      </c>
    </row>
    <row r="26" spans="3:9" s="5" customFormat="1" ht="30" customHeight="1">
      <c r="D26" s="43" t="s">
        <v>31</v>
      </c>
      <c r="E26" s="44">
        <v>2</v>
      </c>
      <c r="F26" s="45" t="s">
        <v>41</v>
      </c>
      <c r="G26" s="44">
        <v>3</v>
      </c>
      <c r="H26" s="56" t="s">
        <v>101</v>
      </c>
    </row>
    <row r="27" spans="3:9" s="5" customFormat="1" ht="30" customHeight="1">
      <c r="D27" s="43" t="s">
        <v>32</v>
      </c>
      <c r="E27" s="44">
        <v>0</v>
      </c>
      <c r="F27" s="45" t="s">
        <v>42</v>
      </c>
      <c r="G27" s="44">
        <v>0</v>
      </c>
      <c r="H27" s="56" t="s">
        <v>101</v>
      </c>
    </row>
    <row r="28" spans="3:9" s="5" customFormat="1" ht="30" customHeight="1">
      <c r="D28" s="43" t="s">
        <v>33</v>
      </c>
      <c r="E28" s="44">
        <v>3</v>
      </c>
      <c r="F28" s="45" t="s">
        <v>43</v>
      </c>
      <c r="G28" s="44">
        <v>1</v>
      </c>
      <c r="H28" s="56" t="s">
        <v>102</v>
      </c>
    </row>
    <row r="29" spans="3:9" s="5" customFormat="1" ht="30" customHeight="1">
      <c r="D29" s="43" t="s">
        <v>34</v>
      </c>
      <c r="E29" s="44">
        <v>0</v>
      </c>
      <c r="F29" s="45" t="s">
        <v>44</v>
      </c>
      <c r="G29" s="44">
        <v>2</v>
      </c>
      <c r="H29" s="56" t="s">
        <v>101</v>
      </c>
    </row>
    <row r="30" spans="3:9" s="5" customFormat="1" ht="30" customHeight="1">
      <c r="D30" s="43" t="s">
        <v>35</v>
      </c>
      <c r="E30" s="44">
        <v>4</v>
      </c>
      <c r="F30" s="45" t="s">
        <v>45</v>
      </c>
      <c r="G30" s="44">
        <v>1</v>
      </c>
      <c r="H30" s="56" t="s">
        <v>102</v>
      </c>
    </row>
    <row r="31" spans="3:9" s="5" customFormat="1" ht="30" customHeight="1" thickBot="1">
      <c r="D31" s="48" t="s">
        <v>36</v>
      </c>
      <c r="E31" s="49">
        <v>1</v>
      </c>
      <c r="F31" s="50" t="s">
        <v>46</v>
      </c>
      <c r="G31" s="49">
        <v>3</v>
      </c>
      <c r="H31" s="57" t="s">
        <v>101</v>
      </c>
    </row>
    <row r="32" spans="3:9" s="5" customFormat="1" ht="30" customHeight="1"/>
    <row r="33" spans="3:8" s="5" customFormat="1" ht="36.75" customHeight="1">
      <c r="C33" s="42" t="s">
        <v>70</v>
      </c>
      <c r="D33" s="85" t="s">
        <v>97</v>
      </c>
      <c r="E33" s="86"/>
      <c r="F33" s="86"/>
      <c r="G33" s="86"/>
      <c r="H33" s="87"/>
    </row>
    <row r="34" spans="3:8" s="5" customFormat="1" ht="30" customHeight="1" thickBot="1"/>
    <row r="35" spans="3:8" s="5" customFormat="1" ht="30" customHeight="1">
      <c r="D35" s="53" t="s">
        <v>47</v>
      </c>
      <c r="E35" s="60" t="s">
        <v>48</v>
      </c>
      <c r="F35" s="54" t="s">
        <v>49</v>
      </c>
      <c r="G35" s="55" t="s">
        <v>26</v>
      </c>
    </row>
    <row r="36" spans="3:8" s="5" customFormat="1" ht="30" customHeight="1">
      <c r="D36" s="43" t="s">
        <v>50</v>
      </c>
      <c r="E36" s="58">
        <v>43580</v>
      </c>
      <c r="F36" s="58">
        <f ca="1">TODAY()</f>
        <v>44812</v>
      </c>
      <c r="G36" s="47" t="s">
        <v>99</v>
      </c>
    </row>
    <row r="37" spans="3:8" s="5" customFormat="1" ht="30" customHeight="1">
      <c r="D37" s="43" t="s">
        <v>51</v>
      </c>
      <c r="E37" s="58">
        <v>43241</v>
      </c>
      <c r="F37" s="58">
        <f t="shared" ref="F37:F45" ca="1" si="2">TODAY()</f>
        <v>44812</v>
      </c>
      <c r="G37" s="47" t="s">
        <v>100</v>
      </c>
    </row>
    <row r="38" spans="3:8" s="5" customFormat="1" ht="30" customHeight="1">
      <c r="D38" s="43" t="s">
        <v>52</v>
      </c>
      <c r="E38" s="58">
        <v>43591</v>
      </c>
      <c r="F38" s="58">
        <f t="shared" ca="1" si="2"/>
        <v>44812</v>
      </c>
      <c r="G38" s="47" t="s">
        <v>99</v>
      </c>
    </row>
    <row r="39" spans="3:8" s="5" customFormat="1" ht="30" customHeight="1">
      <c r="D39" s="43" t="s">
        <v>53</v>
      </c>
      <c r="E39" s="58">
        <v>43245</v>
      </c>
      <c r="F39" s="58">
        <f t="shared" ca="1" si="2"/>
        <v>44812</v>
      </c>
      <c r="G39" s="47" t="s">
        <v>100</v>
      </c>
    </row>
    <row r="40" spans="3:8" s="5" customFormat="1" ht="30" customHeight="1">
      <c r="D40" s="43" t="s">
        <v>54</v>
      </c>
      <c r="E40" s="58">
        <v>43600</v>
      </c>
      <c r="F40" s="58">
        <f t="shared" ca="1" si="2"/>
        <v>44812</v>
      </c>
      <c r="G40" s="47" t="s">
        <v>99</v>
      </c>
    </row>
    <row r="41" spans="3:8" s="5" customFormat="1" ht="30" customHeight="1">
      <c r="D41" s="43" t="s">
        <v>55</v>
      </c>
      <c r="E41" s="58">
        <v>43240</v>
      </c>
      <c r="F41" s="58">
        <f t="shared" ca="1" si="2"/>
        <v>44812</v>
      </c>
      <c r="G41" s="47" t="s">
        <v>100</v>
      </c>
    </row>
    <row r="42" spans="3:8" s="5" customFormat="1" ht="30" customHeight="1">
      <c r="D42" s="43" t="s">
        <v>56</v>
      </c>
      <c r="E42" s="58">
        <v>43582</v>
      </c>
      <c r="F42" s="58">
        <f t="shared" ca="1" si="2"/>
        <v>44812</v>
      </c>
      <c r="G42" s="47" t="s">
        <v>99</v>
      </c>
    </row>
    <row r="43" spans="3:8" s="5" customFormat="1" ht="30" customHeight="1">
      <c r="D43" s="43" t="s">
        <v>57</v>
      </c>
      <c r="E43" s="58">
        <v>43230</v>
      </c>
      <c r="F43" s="58">
        <f t="shared" ca="1" si="2"/>
        <v>44812</v>
      </c>
      <c r="G43" s="47" t="s">
        <v>100</v>
      </c>
    </row>
    <row r="44" spans="3:8" s="5" customFormat="1" ht="30" customHeight="1">
      <c r="D44" s="43" t="s">
        <v>58</v>
      </c>
      <c r="E44" s="58">
        <v>43584</v>
      </c>
      <c r="F44" s="58">
        <f t="shared" ca="1" si="2"/>
        <v>44812</v>
      </c>
      <c r="G44" s="47" t="s">
        <v>99</v>
      </c>
    </row>
    <row r="45" spans="3:8" s="5" customFormat="1" ht="30" customHeight="1" thickBot="1">
      <c r="D45" s="48" t="s">
        <v>59</v>
      </c>
      <c r="E45" s="59">
        <v>43231</v>
      </c>
      <c r="F45" s="59">
        <f t="shared" ca="1" si="2"/>
        <v>44812</v>
      </c>
      <c r="G45" s="52" t="s">
        <v>100</v>
      </c>
    </row>
    <row r="46" spans="3:8" s="5" customFormat="1" ht="30" customHeight="1"/>
    <row r="47" spans="3:8" s="5" customFormat="1" ht="30" customHeight="1"/>
    <row r="48" spans="3:8" s="5" customFormat="1" ht="30" customHeight="1"/>
    <row r="49" spans="2:22" s="5" customFormat="1" ht="30" customHeight="1"/>
    <row r="50" spans="2:22" s="5" customFormat="1" ht="30" customHeight="1">
      <c r="E50" s="6"/>
    </row>
    <row r="51" spans="2:22" s="5" customFormat="1" ht="30" customHeight="1">
      <c r="C51" s="6"/>
      <c r="D51" s="6"/>
    </row>
    <row r="52" spans="2:22" s="5" customFormat="1" ht="30" customHeight="1">
      <c r="C52" s="6"/>
      <c r="D52" s="6"/>
      <c r="E52" s="7"/>
      <c r="F52" s="7"/>
      <c r="G52" s="7"/>
      <c r="H52" s="7"/>
      <c r="I52" s="9"/>
      <c r="J52" s="7"/>
      <c r="K52" s="7"/>
      <c r="L52" s="7"/>
      <c r="M52" s="9"/>
      <c r="N52" s="7"/>
      <c r="O52" s="7"/>
      <c r="P52" s="7"/>
      <c r="Q52" s="9"/>
      <c r="R52" s="7"/>
      <c r="S52" s="7"/>
      <c r="T52" s="7"/>
      <c r="U52" s="7"/>
      <c r="V52" s="7"/>
    </row>
    <row r="53" spans="2:22" s="5" customFormat="1" ht="30" customHeight="1">
      <c r="C53" s="6"/>
      <c r="D53" s="6"/>
      <c r="E53" s="7"/>
      <c r="F53" s="7"/>
      <c r="G53" s="7"/>
      <c r="H53" s="7"/>
      <c r="I53" s="9"/>
      <c r="J53" s="7"/>
      <c r="K53" s="7"/>
      <c r="L53" s="7"/>
      <c r="M53" s="9"/>
      <c r="N53" s="7"/>
      <c r="O53" s="7"/>
      <c r="P53" s="7"/>
      <c r="Q53" s="9"/>
      <c r="R53" s="7"/>
      <c r="S53" s="7"/>
      <c r="T53" s="7"/>
      <c r="U53" s="7"/>
      <c r="V53" s="7"/>
    </row>
    <row r="54" spans="2:22" s="5" customFormat="1" ht="30" customHeight="1">
      <c r="B54" s="7"/>
      <c r="C54" s="6"/>
      <c r="D54" s="6"/>
      <c r="E54" s="7"/>
      <c r="F54" s="7"/>
      <c r="G54" s="7"/>
      <c r="H54" s="7"/>
      <c r="I54" s="9"/>
      <c r="J54" s="7"/>
      <c r="K54" s="7"/>
      <c r="L54" s="7"/>
      <c r="M54" s="9"/>
      <c r="N54" s="7"/>
      <c r="O54" s="7"/>
      <c r="P54" s="7"/>
      <c r="Q54" s="9"/>
      <c r="R54" s="7"/>
      <c r="S54" s="7"/>
      <c r="T54" s="7"/>
      <c r="U54" s="7"/>
      <c r="V54" s="7"/>
    </row>
    <row r="55" spans="2:22" s="5" customFormat="1" ht="30" customHeight="1">
      <c r="B55" s="7"/>
      <c r="C55" s="7"/>
      <c r="D55" s="7"/>
      <c r="E55" s="7"/>
      <c r="F55" s="7"/>
      <c r="G55" s="7"/>
      <c r="H55" s="7"/>
      <c r="I55" s="9"/>
      <c r="J55" s="7"/>
      <c r="K55" s="7"/>
      <c r="L55" s="7"/>
      <c r="M55" s="9"/>
      <c r="N55" s="7"/>
      <c r="O55" s="7"/>
      <c r="P55" s="7"/>
      <c r="Q55" s="9"/>
      <c r="R55" s="7"/>
      <c r="S55" s="7"/>
      <c r="T55" s="7"/>
      <c r="U55" s="7"/>
      <c r="V55" s="7"/>
    </row>
    <row r="56" spans="2:22" s="5" customFormat="1" ht="30" customHeight="1">
      <c r="B56" s="7"/>
      <c r="C56" s="7"/>
      <c r="D56" s="7"/>
      <c r="E56" s="7"/>
      <c r="F56" s="7"/>
      <c r="G56" s="7"/>
      <c r="H56" s="7"/>
      <c r="I56" s="9"/>
      <c r="J56" s="7"/>
      <c r="K56" s="7"/>
      <c r="L56" s="7"/>
      <c r="M56" s="9"/>
      <c r="N56" s="7"/>
      <c r="O56" s="7"/>
      <c r="P56" s="7"/>
      <c r="Q56" s="9"/>
      <c r="R56" s="7"/>
      <c r="S56" s="7"/>
      <c r="T56" s="7"/>
      <c r="U56" s="7"/>
      <c r="V56" s="7"/>
    </row>
    <row r="57" spans="2:22" s="5" customFormat="1" ht="30" customHeight="1">
      <c r="B57" s="7"/>
      <c r="C57" s="7"/>
      <c r="D57" s="7"/>
      <c r="E57" s="7"/>
      <c r="F57" s="7"/>
      <c r="G57" s="7"/>
    </row>
    <row r="58" spans="2:22" s="5" customFormat="1" ht="30" customHeight="1">
      <c r="B58" s="7"/>
      <c r="C58" s="7"/>
      <c r="D58" s="7"/>
      <c r="E58" s="7"/>
      <c r="F58" s="7"/>
      <c r="G58" s="7"/>
    </row>
    <row r="59" spans="2:22" s="5" customFormat="1" ht="30" customHeight="1">
      <c r="B59" s="7"/>
      <c r="C59" s="7"/>
      <c r="D59" s="7"/>
      <c r="E59" s="7"/>
      <c r="F59" s="7"/>
      <c r="G59" s="7"/>
    </row>
    <row r="60" spans="2:22" s="5" customFormat="1" ht="30" customHeight="1">
      <c r="B60" s="7"/>
      <c r="C60" s="7"/>
      <c r="D60" s="7"/>
      <c r="E60" s="7"/>
      <c r="F60" s="7"/>
      <c r="G60" s="7"/>
    </row>
    <row r="61" spans="2:22" s="5" customFormat="1" ht="30" customHeight="1">
      <c r="B61" s="7"/>
      <c r="C61" s="7"/>
      <c r="D61" s="7"/>
      <c r="E61" s="7"/>
      <c r="F61" s="7"/>
      <c r="G61" s="7"/>
    </row>
    <row r="62" spans="2:22" s="5" customFormat="1" ht="30" customHeight="1">
      <c r="B62" s="7"/>
      <c r="C62" s="7"/>
      <c r="D62" s="7"/>
      <c r="E62" s="7"/>
      <c r="F62" s="7"/>
      <c r="G62" s="7"/>
    </row>
    <row r="63" spans="2:22" s="5" customFormat="1" ht="30" customHeight="1">
      <c r="B63" s="7"/>
      <c r="C63" s="7"/>
      <c r="D63" s="7"/>
      <c r="E63" s="7"/>
      <c r="F63" s="7"/>
      <c r="G63" s="7"/>
    </row>
    <row r="64" spans="2:22" s="5" customFormat="1" ht="30" customHeight="1">
      <c r="B64" s="7"/>
      <c r="C64" s="7"/>
      <c r="D64" s="7"/>
      <c r="E64" s="7"/>
      <c r="F64" s="7"/>
      <c r="G64" s="7"/>
    </row>
    <row r="65" spans="2:22" s="5" customFormat="1" ht="30" customHeight="1">
      <c r="B65" s="7"/>
      <c r="C65" s="7"/>
      <c r="D65" s="7"/>
      <c r="E65" s="7"/>
      <c r="F65" s="7"/>
      <c r="G65" s="7"/>
    </row>
    <row r="66" spans="2:22" s="5" customFormat="1" ht="30" customHeight="1">
      <c r="B66" s="7"/>
      <c r="C66" s="7"/>
      <c r="D66" s="7"/>
      <c r="E66" s="7"/>
      <c r="F66" s="7"/>
      <c r="G66" s="7"/>
      <c r="H66" s="7"/>
      <c r="I66" s="9"/>
      <c r="J66" s="7"/>
      <c r="K66" s="7"/>
      <c r="L66" s="7"/>
      <c r="M66" s="9"/>
      <c r="N66" s="7"/>
      <c r="O66" s="7"/>
      <c r="P66" s="7"/>
      <c r="Q66" s="9"/>
      <c r="R66" s="7"/>
      <c r="S66" s="7"/>
      <c r="T66" s="7"/>
      <c r="U66" s="7"/>
      <c r="V66" s="7"/>
    </row>
    <row r="67" spans="2:22" s="5" customFormat="1" ht="30" customHeight="1">
      <c r="B67" s="7"/>
      <c r="C67" s="7"/>
      <c r="D67" s="7"/>
      <c r="E67" s="7"/>
      <c r="F67" s="7"/>
      <c r="G67" s="7"/>
      <c r="H67" s="7"/>
      <c r="I67" s="9"/>
      <c r="J67" s="7"/>
      <c r="K67" s="7"/>
      <c r="L67" s="7"/>
      <c r="M67" s="9"/>
      <c r="N67" s="7"/>
      <c r="O67" s="7"/>
      <c r="P67" s="7"/>
      <c r="Q67" s="9"/>
      <c r="R67" s="7"/>
      <c r="S67" s="7"/>
      <c r="T67" s="7"/>
      <c r="U67" s="7"/>
      <c r="V67" s="7"/>
    </row>
    <row r="68" spans="2:22" s="5" customFormat="1" ht="30" customHeight="1">
      <c r="B68" s="7"/>
      <c r="C68" s="7"/>
      <c r="D68" s="7"/>
      <c r="E68" s="7"/>
      <c r="F68" s="7"/>
      <c r="G68" s="7"/>
      <c r="H68" s="7"/>
      <c r="I68" s="9"/>
      <c r="J68" s="7"/>
      <c r="K68" s="7"/>
      <c r="L68" s="7"/>
      <c r="M68" s="9"/>
      <c r="N68" s="7"/>
      <c r="O68" s="7"/>
      <c r="P68" s="7"/>
      <c r="Q68" s="9"/>
      <c r="R68" s="7"/>
      <c r="S68" s="7"/>
      <c r="T68" s="7"/>
      <c r="U68" s="7"/>
      <c r="V68" s="7"/>
    </row>
    <row r="69" spans="2:22" s="5" customFormat="1" ht="30" customHeight="1">
      <c r="B69" s="7"/>
      <c r="C69" s="7"/>
      <c r="D69" s="7"/>
      <c r="E69" s="7"/>
      <c r="F69" s="7"/>
      <c r="G69" s="7"/>
      <c r="H69" s="7"/>
      <c r="I69" s="9"/>
      <c r="J69" s="7"/>
      <c r="K69" s="7"/>
      <c r="L69" s="7"/>
      <c r="M69" s="9"/>
      <c r="N69" s="7"/>
      <c r="O69" s="7"/>
      <c r="P69" s="7"/>
      <c r="Q69" s="9"/>
      <c r="R69" s="7"/>
      <c r="S69" s="7"/>
      <c r="T69" s="7"/>
      <c r="U69" s="7"/>
      <c r="V69" s="7"/>
    </row>
    <row r="70" spans="2:22" s="5" customFormat="1" ht="30" customHeight="1">
      <c r="B70" s="7"/>
      <c r="C70" s="7"/>
      <c r="D70" s="7"/>
      <c r="E70" s="7"/>
      <c r="F70" s="7"/>
      <c r="G70" s="7"/>
      <c r="H70" s="7"/>
      <c r="I70" s="9"/>
      <c r="J70" s="7"/>
      <c r="K70" s="7"/>
      <c r="L70" s="7"/>
      <c r="M70" s="9"/>
      <c r="N70" s="7"/>
      <c r="O70" s="7"/>
      <c r="P70" s="7"/>
      <c r="Q70" s="9"/>
      <c r="R70" s="7"/>
      <c r="S70" s="7"/>
      <c r="T70" s="7"/>
      <c r="U70" s="7"/>
      <c r="V70" s="7"/>
    </row>
    <row r="71" spans="2:22" s="5" customFormat="1" ht="30" customHeight="1">
      <c r="B71" s="7"/>
      <c r="C71" s="7"/>
      <c r="D71" s="7"/>
      <c r="E71" s="7"/>
      <c r="F71" s="7"/>
      <c r="G71" s="7"/>
      <c r="H71" s="7"/>
      <c r="I71" s="9"/>
      <c r="J71" s="7"/>
      <c r="K71" s="7"/>
      <c r="L71" s="7"/>
      <c r="M71" s="9"/>
      <c r="N71" s="7"/>
      <c r="O71" s="7"/>
      <c r="P71" s="7"/>
      <c r="Q71" s="9"/>
      <c r="R71" s="7"/>
      <c r="S71" s="7"/>
      <c r="T71" s="7"/>
      <c r="U71" s="7"/>
      <c r="V71" s="7"/>
    </row>
    <row r="72" spans="2:22" ht="18" customHeight="1">
      <c r="B72" s="11"/>
      <c r="C72" s="11"/>
      <c r="D72" s="11"/>
      <c r="E72" s="11"/>
      <c r="F72" s="11"/>
      <c r="G72" s="11"/>
      <c r="H72" s="11"/>
      <c r="I72" s="12"/>
      <c r="J72" s="11"/>
      <c r="K72" s="11"/>
      <c r="L72" s="11"/>
      <c r="M72" s="12"/>
      <c r="N72" s="11"/>
      <c r="O72" s="11"/>
      <c r="P72" s="11"/>
      <c r="Q72" s="12"/>
      <c r="R72" s="11"/>
      <c r="S72" s="11"/>
      <c r="T72" s="11"/>
      <c r="U72" s="11"/>
      <c r="V72" s="11"/>
    </row>
    <row r="73" spans="2:22" ht="18" customHeight="1">
      <c r="B73" s="11"/>
      <c r="C73" s="11"/>
      <c r="D73" s="11"/>
      <c r="E73" s="11"/>
      <c r="F73" s="11"/>
      <c r="G73" s="11"/>
      <c r="H73" s="11"/>
      <c r="I73" s="12"/>
      <c r="J73" s="11"/>
      <c r="K73" s="11"/>
      <c r="L73" s="11"/>
      <c r="M73" s="12"/>
      <c r="N73" s="11"/>
      <c r="O73" s="11"/>
      <c r="P73" s="11"/>
      <c r="Q73" s="12"/>
      <c r="R73" s="11"/>
      <c r="S73" s="11"/>
      <c r="T73" s="11"/>
      <c r="U73" s="11"/>
      <c r="V73" s="11"/>
    </row>
    <row r="74" spans="2:22" ht="18" customHeight="1">
      <c r="B74" s="11"/>
      <c r="C74" s="11"/>
      <c r="D74" s="11"/>
      <c r="E74" s="11"/>
      <c r="F74" s="11"/>
      <c r="G74" s="11"/>
      <c r="H74" s="11"/>
      <c r="I74" s="12"/>
      <c r="J74" s="11"/>
      <c r="K74" s="11"/>
      <c r="L74" s="11"/>
      <c r="M74" s="12"/>
      <c r="N74" s="11"/>
      <c r="O74" s="11"/>
      <c r="P74" s="11"/>
      <c r="Q74" s="12"/>
      <c r="R74" s="11"/>
      <c r="S74" s="11"/>
      <c r="T74" s="11"/>
      <c r="U74" s="11"/>
      <c r="V74" s="11"/>
    </row>
    <row r="75" spans="2:22" ht="18" customHeight="1">
      <c r="B75" s="11"/>
      <c r="C75" s="11"/>
      <c r="D75" s="11"/>
      <c r="E75" s="11"/>
      <c r="F75" s="11"/>
      <c r="G75" s="11"/>
      <c r="H75" s="11"/>
      <c r="I75" s="12"/>
      <c r="J75" s="11"/>
      <c r="K75" s="11"/>
      <c r="L75" s="11"/>
      <c r="M75" s="12"/>
      <c r="N75" s="11"/>
      <c r="O75" s="11"/>
      <c r="P75" s="11"/>
      <c r="Q75" s="12"/>
      <c r="R75" s="11"/>
      <c r="S75" s="11"/>
      <c r="T75" s="11"/>
      <c r="U75" s="11"/>
      <c r="V75" s="11"/>
    </row>
    <row r="76" spans="2:22" ht="18" customHeight="1">
      <c r="B76" s="11"/>
      <c r="C76" s="11"/>
      <c r="D76" s="11"/>
      <c r="E76" s="11"/>
      <c r="F76" s="11"/>
      <c r="G76" s="11"/>
      <c r="H76" s="11"/>
      <c r="I76" s="12"/>
      <c r="J76" s="11"/>
      <c r="K76" s="11"/>
      <c r="L76" s="11"/>
      <c r="M76" s="12"/>
      <c r="N76" s="11"/>
      <c r="O76" s="11"/>
      <c r="P76" s="11"/>
      <c r="Q76" s="12"/>
      <c r="R76" s="11"/>
      <c r="S76" s="11"/>
      <c r="T76" s="11"/>
      <c r="U76" s="11"/>
      <c r="V76" s="11"/>
    </row>
    <row r="77" spans="2:22" ht="18" customHeight="1">
      <c r="B77" s="11"/>
      <c r="C77" s="11"/>
      <c r="D77" s="11"/>
      <c r="E77" s="11"/>
      <c r="F77" s="11"/>
      <c r="G77" s="11"/>
      <c r="H77" s="11"/>
      <c r="I77" s="12"/>
      <c r="J77" s="11"/>
      <c r="K77" s="11"/>
      <c r="L77" s="11"/>
      <c r="M77" s="12"/>
      <c r="N77" s="11"/>
      <c r="O77" s="11"/>
      <c r="P77" s="11"/>
      <c r="Q77" s="12"/>
      <c r="R77" s="11"/>
      <c r="S77" s="11"/>
      <c r="T77" s="11"/>
      <c r="U77" s="11"/>
      <c r="V77" s="11"/>
    </row>
    <row r="78" spans="2:22" ht="18" customHeight="1">
      <c r="B78" s="11"/>
      <c r="C78" s="11"/>
      <c r="D78" s="11"/>
      <c r="E78" s="11"/>
      <c r="F78" s="11"/>
      <c r="G78" s="11"/>
      <c r="H78" s="11"/>
      <c r="I78" s="12"/>
      <c r="J78" s="11"/>
      <c r="K78" s="11"/>
      <c r="L78" s="11"/>
      <c r="M78" s="12"/>
      <c r="N78" s="11"/>
      <c r="O78" s="11"/>
      <c r="P78" s="11"/>
      <c r="Q78" s="12"/>
      <c r="R78" s="11"/>
      <c r="S78" s="11"/>
      <c r="T78" s="11"/>
      <c r="U78" s="11"/>
      <c r="V78" s="11"/>
    </row>
    <row r="79" spans="2:22" ht="18" customHeight="1">
      <c r="B79" s="11"/>
      <c r="C79" s="11"/>
      <c r="D79" s="11"/>
      <c r="E79" s="11"/>
      <c r="F79" s="11"/>
      <c r="G79" s="11"/>
      <c r="H79" s="11"/>
      <c r="I79" s="12"/>
      <c r="J79" s="11"/>
      <c r="K79" s="11"/>
      <c r="L79" s="11"/>
      <c r="M79" s="12"/>
      <c r="N79" s="11"/>
      <c r="O79" s="11"/>
      <c r="P79" s="11"/>
      <c r="Q79" s="12"/>
      <c r="R79" s="11"/>
      <c r="S79" s="11"/>
      <c r="T79" s="11"/>
      <c r="U79" s="11"/>
      <c r="V79" s="11"/>
    </row>
    <row r="80" spans="2:22" ht="18" customHeight="1">
      <c r="B80" s="11"/>
      <c r="C80" s="11"/>
      <c r="D80" s="11"/>
      <c r="E80" s="11"/>
      <c r="F80" s="11"/>
      <c r="G80" s="11"/>
      <c r="H80" s="11"/>
      <c r="I80" s="12"/>
      <c r="J80" s="11"/>
      <c r="K80" s="11"/>
      <c r="L80" s="11"/>
      <c r="M80" s="12"/>
      <c r="N80" s="11"/>
      <c r="O80" s="11"/>
      <c r="P80" s="11"/>
      <c r="Q80" s="12"/>
      <c r="R80" s="11"/>
      <c r="S80" s="11"/>
      <c r="T80" s="11"/>
      <c r="U80" s="11"/>
      <c r="V80" s="11"/>
    </row>
    <row r="81" spans="2:22" ht="18" customHeight="1">
      <c r="B81" s="11"/>
      <c r="C81" s="11"/>
      <c r="D81" s="11"/>
      <c r="E81" s="11"/>
      <c r="F81" s="11"/>
      <c r="G81" s="11"/>
      <c r="H81" s="11"/>
      <c r="I81" s="12"/>
      <c r="J81" s="11"/>
      <c r="K81" s="11"/>
      <c r="L81" s="11"/>
      <c r="M81" s="12"/>
      <c r="N81" s="11"/>
      <c r="O81" s="11"/>
      <c r="P81" s="11"/>
      <c r="Q81" s="12"/>
      <c r="R81" s="11"/>
      <c r="S81" s="11"/>
      <c r="T81" s="11"/>
      <c r="U81" s="11"/>
      <c r="V81" s="11"/>
    </row>
    <row r="82" spans="2:22" ht="18" customHeight="1">
      <c r="B82" s="14"/>
      <c r="C82" s="14"/>
      <c r="F82" s="11"/>
      <c r="G82" s="11"/>
      <c r="H82" s="11"/>
      <c r="I82" s="12"/>
      <c r="J82" s="11"/>
      <c r="K82" s="11"/>
      <c r="L82" s="11"/>
      <c r="M82" s="12"/>
      <c r="N82" s="11"/>
      <c r="O82" s="11"/>
      <c r="P82" s="11"/>
      <c r="Q82" s="12"/>
      <c r="R82" s="11"/>
      <c r="S82" s="11"/>
      <c r="T82" s="11"/>
      <c r="U82" s="11"/>
      <c r="V82" s="11"/>
    </row>
    <row r="84" spans="2:22" ht="15" customHeight="1"/>
  </sheetData>
  <sheetProtection formatCells="0" formatColumns="0" formatRows="0" selectLockedCells="1"/>
  <mergeCells count="5">
    <mergeCell ref="E1:H1"/>
    <mergeCell ref="D33:H33"/>
    <mergeCell ref="D18:H18"/>
    <mergeCell ref="D5:I5"/>
    <mergeCell ref="D20:H20"/>
  </mergeCells>
  <pageMargins left="0.75" right="0.75" top="1" bottom="1" header="0" footer="0"/>
  <pageSetup paperSize="9" orientation="portrait" horizontalDpi="300" verticalDpi="300" r:id="rId1"/>
  <headerFooter alignWithMargins="0"/>
  <ignoredErrors>
    <ignoredError sqref="H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17346"/>
  </sheetPr>
  <dimension ref="B1:U86"/>
  <sheetViews>
    <sheetView showGridLines="0" tabSelected="1" zoomScale="85" zoomScaleNormal="85" workbookViewId="0">
      <selection activeCell="D7" sqref="D7"/>
    </sheetView>
  </sheetViews>
  <sheetFormatPr baseColWidth="10" defaultColWidth="15.6640625" defaultRowHeight="24.9" customHeight="1"/>
  <cols>
    <col min="1" max="1" width="4.5546875" style="13" customWidth="1"/>
    <col min="2" max="2" width="16.5546875" style="13" customWidth="1"/>
    <col min="3" max="3" width="30.44140625" style="13" customWidth="1"/>
    <col min="4" max="4" width="27.88671875" style="13" customWidth="1"/>
    <col min="5" max="5" width="20.88671875" style="13" customWidth="1"/>
    <col min="6" max="6" width="19.109375" style="13" customWidth="1"/>
    <col min="7" max="7" width="22.33203125" style="13" customWidth="1"/>
    <col min="8" max="8" width="18.109375" style="13" customWidth="1"/>
    <col min="9" max="9" width="20.33203125" style="13" customWidth="1"/>
    <col min="10" max="10" width="25.5546875" style="13" customWidth="1"/>
    <col min="11" max="16384" width="15.6640625" style="13"/>
  </cols>
  <sheetData>
    <row r="1" spans="2:21" s="38" customFormat="1" ht="42.6" customHeight="1">
      <c r="D1" s="39"/>
      <c r="E1" s="84" t="s">
        <v>103</v>
      </c>
      <c r="F1" s="84"/>
      <c r="G1" s="84"/>
      <c r="H1" s="84"/>
      <c r="I1" s="40"/>
      <c r="J1" s="40"/>
      <c r="K1" s="40"/>
      <c r="L1" s="40"/>
      <c r="M1" s="41"/>
      <c r="N1" s="41"/>
      <c r="O1" s="41"/>
      <c r="P1" s="41"/>
      <c r="Q1" s="41"/>
      <c r="R1" s="41"/>
      <c r="S1" s="41"/>
      <c r="T1" s="41"/>
      <c r="U1" s="41"/>
    </row>
    <row r="2" spans="2:21" s="2" customFormat="1" ht="12" customHeight="1"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1" s="2" customFormat="1" ht="12" customHeight="1"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1" s="2" customFormat="1" ht="12" customHeight="1"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21" s="2" customFormat="1" ht="12" customHeight="1"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21" s="5" customFormat="1" ht="30" customHeight="1">
      <c r="C6" s="42" t="s">
        <v>124</v>
      </c>
      <c r="D6" s="23" t="s">
        <v>125</v>
      </c>
      <c r="E6" s="19"/>
      <c r="F6" s="20"/>
      <c r="G6" s="21"/>
    </row>
    <row r="7" spans="2:21" s="5" customFormat="1" ht="27" customHeight="1"/>
    <row r="8" spans="2:21" s="5" customFormat="1" ht="27" customHeight="1" thickBot="1">
      <c r="D8" s="88" t="s">
        <v>121</v>
      </c>
      <c r="E8" s="88"/>
      <c r="F8" s="88"/>
      <c r="G8" s="88"/>
      <c r="H8" s="88"/>
      <c r="I8" s="88"/>
    </row>
    <row r="9" spans="2:21" s="5" customFormat="1" ht="41.25" customHeight="1">
      <c r="D9" s="53" t="s">
        <v>11</v>
      </c>
      <c r="E9" s="54" t="s">
        <v>12</v>
      </c>
      <c r="F9" s="54" t="s">
        <v>13</v>
      </c>
      <c r="G9" s="54" t="s">
        <v>14</v>
      </c>
      <c r="H9" s="54" t="s">
        <v>15</v>
      </c>
      <c r="I9" s="55" t="s">
        <v>120</v>
      </c>
    </row>
    <row r="10" spans="2:21" s="5" customFormat="1" ht="30" customHeight="1">
      <c r="D10" s="43" t="s">
        <v>0</v>
      </c>
      <c r="E10" s="44" t="s">
        <v>17</v>
      </c>
      <c r="F10" s="45">
        <v>18</v>
      </c>
      <c r="G10" s="45">
        <v>15</v>
      </c>
      <c r="H10" s="46">
        <f>AVERAGE(F10:G10)</f>
        <v>16.5</v>
      </c>
      <c r="I10" s="47" t="str">
        <f>IF(H10&gt;=17,"Excelente",IF(H10&gt;=15,"Bueno","Regular"))</f>
        <v>Bueno</v>
      </c>
    </row>
    <row r="11" spans="2:21" s="5" customFormat="1" ht="30" customHeight="1">
      <c r="D11" s="43" t="s">
        <v>1</v>
      </c>
      <c r="E11" s="44" t="s">
        <v>17</v>
      </c>
      <c r="F11" s="45">
        <v>8</v>
      </c>
      <c r="G11" s="45">
        <v>15</v>
      </c>
      <c r="H11" s="46">
        <f t="shared" ref="H11:H19" si="0">AVERAGE(F11:G11)</f>
        <v>11.5</v>
      </c>
      <c r="I11" s="47" t="str">
        <f t="shared" ref="I11:I19" si="1">IF(H11&gt;=17,"Excelente",IF(H11&gt;=15,"Bueno","Regular"))</f>
        <v>Regular</v>
      </c>
    </row>
    <row r="12" spans="2:21" s="5" customFormat="1" ht="30" customHeight="1">
      <c r="D12" s="43" t="s">
        <v>2</v>
      </c>
      <c r="E12" s="44" t="s">
        <v>17</v>
      </c>
      <c r="F12" s="45">
        <v>14</v>
      </c>
      <c r="G12" s="45">
        <v>18</v>
      </c>
      <c r="H12" s="46">
        <f t="shared" si="0"/>
        <v>16</v>
      </c>
      <c r="I12" s="47" t="str">
        <f t="shared" si="1"/>
        <v>Bueno</v>
      </c>
    </row>
    <row r="13" spans="2:21" s="5" customFormat="1" ht="30" customHeight="1">
      <c r="D13" s="43" t="s">
        <v>3</v>
      </c>
      <c r="E13" s="44" t="s">
        <v>17</v>
      </c>
      <c r="F13" s="45">
        <v>11</v>
      </c>
      <c r="G13" s="45">
        <v>10</v>
      </c>
      <c r="H13" s="46">
        <f t="shared" si="0"/>
        <v>10.5</v>
      </c>
      <c r="I13" s="47" t="str">
        <f t="shared" si="1"/>
        <v>Regular</v>
      </c>
    </row>
    <row r="14" spans="2:21" s="5" customFormat="1" ht="30" customHeight="1">
      <c r="D14" s="43" t="s">
        <v>4</v>
      </c>
      <c r="E14" s="44" t="s">
        <v>17</v>
      </c>
      <c r="F14" s="45">
        <v>19</v>
      </c>
      <c r="G14" s="45">
        <v>18</v>
      </c>
      <c r="H14" s="46">
        <f t="shared" si="0"/>
        <v>18.5</v>
      </c>
      <c r="I14" s="47" t="str">
        <f t="shared" si="1"/>
        <v>Excelente</v>
      </c>
    </row>
    <row r="15" spans="2:21" s="5" customFormat="1" ht="30" customHeight="1">
      <c r="D15" s="43" t="s">
        <v>5</v>
      </c>
      <c r="E15" s="44" t="s">
        <v>17</v>
      </c>
      <c r="F15" s="45">
        <v>13</v>
      </c>
      <c r="G15" s="45">
        <v>15</v>
      </c>
      <c r="H15" s="46">
        <f t="shared" si="0"/>
        <v>14</v>
      </c>
      <c r="I15" s="47" t="str">
        <f t="shared" si="1"/>
        <v>Regular</v>
      </c>
    </row>
    <row r="16" spans="2:21" s="5" customFormat="1" ht="30" customHeight="1">
      <c r="D16" s="43" t="s">
        <v>6</v>
      </c>
      <c r="E16" s="44" t="s">
        <v>17</v>
      </c>
      <c r="F16" s="45">
        <v>19</v>
      </c>
      <c r="G16" s="45">
        <v>19</v>
      </c>
      <c r="H16" s="46">
        <f t="shared" si="0"/>
        <v>19</v>
      </c>
      <c r="I16" s="47" t="str">
        <f t="shared" si="1"/>
        <v>Excelente</v>
      </c>
    </row>
    <row r="17" spans="2:19" s="5" customFormat="1" ht="30" customHeight="1">
      <c r="D17" s="43" t="s">
        <v>7</v>
      </c>
      <c r="E17" s="44" t="s">
        <v>17</v>
      </c>
      <c r="F17" s="45">
        <v>6</v>
      </c>
      <c r="G17" s="45">
        <v>4</v>
      </c>
      <c r="H17" s="46">
        <f t="shared" si="0"/>
        <v>5</v>
      </c>
      <c r="I17" s="47" t="str">
        <f t="shared" si="1"/>
        <v>Regular</v>
      </c>
    </row>
    <row r="18" spans="2:19" s="5" customFormat="1" ht="30" customHeight="1">
      <c r="D18" s="43" t="s">
        <v>8</v>
      </c>
      <c r="E18" s="44" t="s">
        <v>17</v>
      </c>
      <c r="F18" s="45">
        <v>11</v>
      </c>
      <c r="G18" s="45">
        <v>12</v>
      </c>
      <c r="H18" s="46">
        <f t="shared" si="0"/>
        <v>11.5</v>
      </c>
      <c r="I18" s="47" t="str">
        <f t="shared" si="1"/>
        <v>Regular</v>
      </c>
    </row>
    <row r="19" spans="2:19" s="5" customFormat="1" ht="30" customHeight="1" thickBot="1">
      <c r="D19" s="48" t="s">
        <v>9</v>
      </c>
      <c r="E19" s="49" t="s">
        <v>17</v>
      </c>
      <c r="F19" s="50">
        <v>13</v>
      </c>
      <c r="G19" s="50">
        <v>12</v>
      </c>
      <c r="H19" s="51">
        <f t="shared" si="0"/>
        <v>12.5</v>
      </c>
      <c r="I19" s="47" t="str">
        <f t="shared" si="1"/>
        <v>Regular</v>
      </c>
    </row>
    <row r="20" spans="2:19" s="2" customFormat="1" ht="12" customHeight="1"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2:19" s="2" customFormat="1" ht="12" customHeight="1"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2:19" s="2" customFormat="1" ht="12" customHeight="1"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2:19" s="2" customFormat="1" ht="12" customHeight="1"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2:19" s="5" customFormat="1" ht="30" customHeight="1"/>
    <row r="25" spans="2:19" s="5" customFormat="1" ht="39.75" customHeight="1">
      <c r="B25" s="42" t="s">
        <v>123</v>
      </c>
      <c r="C25" s="89" t="s">
        <v>116</v>
      </c>
      <c r="D25" s="90"/>
      <c r="E25" s="90"/>
      <c r="F25" s="91"/>
    </row>
    <row r="26" spans="2:19" s="5" customFormat="1" ht="30" customHeight="1" thickBot="1"/>
    <row r="27" spans="2:19" s="5" customFormat="1" ht="39.75" customHeight="1">
      <c r="C27" s="53" t="s">
        <v>69</v>
      </c>
      <c r="D27" s="54" t="s">
        <v>71</v>
      </c>
      <c r="E27" s="54" t="s">
        <v>72</v>
      </c>
      <c r="F27" s="54" t="s">
        <v>73</v>
      </c>
      <c r="G27" s="55" t="s">
        <v>94</v>
      </c>
    </row>
    <row r="28" spans="2:19" s="5" customFormat="1" ht="30" customHeight="1">
      <c r="C28" s="61" t="s">
        <v>74</v>
      </c>
      <c r="D28" s="44" t="s">
        <v>75</v>
      </c>
      <c r="E28" s="44">
        <v>255</v>
      </c>
      <c r="F28" s="62">
        <v>3648</v>
      </c>
      <c r="G28" s="63">
        <f>IF(D28="Nacional",8.88%*F28,IF(D28="Importado",11.12%*F28,120))</f>
        <v>323.94240000000002</v>
      </c>
    </row>
    <row r="29" spans="2:19" s="5" customFormat="1" ht="30" customHeight="1">
      <c r="C29" s="61" t="s">
        <v>76</v>
      </c>
      <c r="D29" s="44" t="s">
        <v>77</v>
      </c>
      <c r="E29" s="44">
        <v>181</v>
      </c>
      <c r="F29" s="62">
        <v>3781</v>
      </c>
      <c r="G29" s="63">
        <f t="shared" ref="G29:G45" si="2">IF(D29="Nacional",8.88%*F29,IF(D29="Importado",11.12%*F29,120))</f>
        <v>420.44719999999995</v>
      </c>
    </row>
    <row r="30" spans="2:19" s="5" customFormat="1" ht="30" customHeight="1">
      <c r="C30" s="61" t="s">
        <v>78</v>
      </c>
      <c r="D30" s="44" t="s">
        <v>75</v>
      </c>
      <c r="E30" s="44">
        <v>238</v>
      </c>
      <c r="F30" s="62">
        <v>2558</v>
      </c>
      <c r="G30" s="63">
        <f t="shared" si="2"/>
        <v>227.15040000000002</v>
      </c>
    </row>
    <row r="31" spans="2:19" s="5" customFormat="1" ht="30" customHeight="1">
      <c r="C31" s="61" t="s">
        <v>79</v>
      </c>
      <c r="D31" s="44" t="s">
        <v>75</v>
      </c>
      <c r="E31" s="44">
        <v>283</v>
      </c>
      <c r="F31" s="62">
        <v>2581</v>
      </c>
      <c r="G31" s="63">
        <f t="shared" si="2"/>
        <v>229.19280000000001</v>
      </c>
    </row>
    <row r="32" spans="2:19" s="5" customFormat="1" ht="30" customHeight="1">
      <c r="C32" s="61" t="s">
        <v>80</v>
      </c>
      <c r="D32" s="44" t="s">
        <v>77</v>
      </c>
      <c r="E32" s="44">
        <v>407</v>
      </c>
      <c r="F32" s="62">
        <v>3886</v>
      </c>
      <c r="G32" s="63">
        <f t="shared" si="2"/>
        <v>432.1232</v>
      </c>
    </row>
    <row r="33" spans="2:7" s="5" customFormat="1" ht="30" customHeight="1">
      <c r="C33" s="61" t="s">
        <v>81</v>
      </c>
      <c r="D33" s="44" t="s">
        <v>75</v>
      </c>
      <c r="E33" s="44">
        <v>172</v>
      </c>
      <c r="F33" s="62">
        <v>2221</v>
      </c>
      <c r="G33" s="63">
        <f t="shared" si="2"/>
        <v>197.22480000000002</v>
      </c>
    </row>
    <row r="34" spans="2:7" s="5" customFormat="1" ht="30" customHeight="1">
      <c r="C34" s="61" t="s">
        <v>82</v>
      </c>
      <c r="D34" s="44" t="s">
        <v>77</v>
      </c>
      <c r="E34" s="44">
        <v>347</v>
      </c>
      <c r="F34" s="62">
        <v>3814</v>
      </c>
      <c r="G34" s="63">
        <f t="shared" si="2"/>
        <v>424.11679999999996</v>
      </c>
    </row>
    <row r="35" spans="2:7" s="5" customFormat="1" ht="30" customHeight="1">
      <c r="C35" s="61" t="s">
        <v>83</v>
      </c>
      <c r="D35" s="44" t="s">
        <v>75</v>
      </c>
      <c r="E35" s="44">
        <v>123</v>
      </c>
      <c r="F35" s="62">
        <v>3505</v>
      </c>
      <c r="G35" s="63">
        <f t="shared" si="2"/>
        <v>311.24400000000003</v>
      </c>
    </row>
    <row r="36" spans="2:7" s="5" customFormat="1" ht="30" customHeight="1">
      <c r="C36" s="61" t="s">
        <v>84</v>
      </c>
      <c r="D36" s="44" t="s">
        <v>75</v>
      </c>
      <c r="E36" s="44">
        <v>265</v>
      </c>
      <c r="F36" s="62">
        <v>3458</v>
      </c>
      <c r="G36" s="63">
        <f t="shared" si="2"/>
        <v>307.07040000000001</v>
      </c>
    </row>
    <row r="37" spans="2:7" s="5" customFormat="1" ht="30" customHeight="1">
      <c r="C37" s="61" t="s">
        <v>85</v>
      </c>
      <c r="D37" s="44" t="s">
        <v>77</v>
      </c>
      <c r="E37" s="44">
        <v>333</v>
      </c>
      <c r="F37" s="62">
        <v>3631</v>
      </c>
      <c r="G37" s="63">
        <f t="shared" si="2"/>
        <v>403.7672</v>
      </c>
    </row>
    <row r="38" spans="2:7" s="5" customFormat="1" ht="30" customHeight="1">
      <c r="C38" s="61" t="s">
        <v>86</v>
      </c>
      <c r="D38" s="44" t="s">
        <v>75</v>
      </c>
      <c r="E38" s="44">
        <v>214</v>
      </c>
      <c r="F38" s="62">
        <v>3442</v>
      </c>
      <c r="G38" s="63">
        <f t="shared" si="2"/>
        <v>305.64960000000002</v>
      </c>
    </row>
    <row r="39" spans="2:7" s="5" customFormat="1" ht="30" customHeight="1">
      <c r="C39" s="61" t="s">
        <v>87</v>
      </c>
      <c r="D39" s="44" t="s">
        <v>77</v>
      </c>
      <c r="E39" s="44">
        <v>416</v>
      </c>
      <c r="F39" s="62">
        <v>3076</v>
      </c>
      <c r="G39" s="63">
        <f t="shared" si="2"/>
        <v>342.05119999999999</v>
      </c>
    </row>
    <row r="40" spans="2:7" s="5" customFormat="1" ht="30" customHeight="1">
      <c r="C40" s="61" t="s">
        <v>88</v>
      </c>
      <c r="D40" s="44" t="s">
        <v>75</v>
      </c>
      <c r="E40" s="44">
        <v>376</v>
      </c>
      <c r="F40" s="62">
        <v>4081</v>
      </c>
      <c r="G40" s="63">
        <f t="shared" si="2"/>
        <v>362.39280000000002</v>
      </c>
    </row>
    <row r="41" spans="2:7" s="5" customFormat="1" ht="30" customHeight="1">
      <c r="C41" s="61" t="s">
        <v>89</v>
      </c>
      <c r="D41" s="44" t="s">
        <v>75</v>
      </c>
      <c r="E41" s="44">
        <v>291</v>
      </c>
      <c r="F41" s="62">
        <v>3953</v>
      </c>
      <c r="G41" s="63">
        <f t="shared" si="2"/>
        <v>351.02640000000002</v>
      </c>
    </row>
    <row r="42" spans="2:7" s="5" customFormat="1" ht="30" customHeight="1">
      <c r="C42" s="61" t="s">
        <v>90</v>
      </c>
      <c r="D42" s="44" t="s">
        <v>77</v>
      </c>
      <c r="E42" s="44">
        <v>394</v>
      </c>
      <c r="F42" s="62">
        <v>2270</v>
      </c>
      <c r="G42" s="63">
        <f t="shared" si="2"/>
        <v>252.42399999999998</v>
      </c>
    </row>
    <row r="43" spans="2:7" s="5" customFormat="1" ht="30" customHeight="1">
      <c r="C43" s="61" t="s">
        <v>91</v>
      </c>
      <c r="D43" s="44" t="s">
        <v>75</v>
      </c>
      <c r="E43" s="44">
        <v>165</v>
      </c>
      <c r="F43" s="62">
        <v>4075</v>
      </c>
      <c r="G43" s="63">
        <f t="shared" si="2"/>
        <v>361.86</v>
      </c>
    </row>
    <row r="44" spans="2:7" s="5" customFormat="1" ht="30" customHeight="1">
      <c r="C44" s="61" t="s">
        <v>92</v>
      </c>
      <c r="D44" s="44" t="s">
        <v>77</v>
      </c>
      <c r="E44" s="44">
        <v>307</v>
      </c>
      <c r="F44" s="62">
        <v>2945</v>
      </c>
      <c r="G44" s="63">
        <f t="shared" si="2"/>
        <v>327.48399999999998</v>
      </c>
    </row>
    <row r="45" spans="2:7" s="5" customFormat="1" ht="30" customHeight="1" thickBot="1">
      <c r="C45" s="64" t="s">
        <v>93</v>
      </c>
      <c r="D45" s="49" t="s">
        <v>75</v>
      </c>
      <c r="E45" s="49">
        <v>295</v>
      </c>
      <c r="F45" s="65">
        <v>3948</v>
      </c>
      <c r="G45" s="66">
        <f t="shared" si="2"/>
        <v>350.58240000000001</v>
      </c>
    </row>
    <row r="46" spans="2:7" s="5" customFormat="1" ht="30" customHeight="1"/>
    <row r="47" spans="2:7" s="5" customFormat="1" ht="38.25" customHeight="1">
      <c r="B47" s="42" t="s">
        <v>122</v>
      </c>
      <c r="C47" s="89" t="s">
        <v>117</v>
      </c>
      <c r="D47" s="90"/>
      <c r="E47" s="90"/>
      <c r="F47" s="91"/>
    </row>
    <row r="48" spans="2:7" s="5" customFormat="1" ht="30" customHeight="1"/>
    <row r="49" spans="2:6" s="5" customFormat="1" ht="30" customHeight="1" thickBot="1">
      <c r="C49" s="88" t="s">
        <v>112</v>
      </c>
      <c r="D49" s="88"/>
      <c r="E49" s="88"/>
    </row>
    <row r="50" spans="2:6" s="5" customFormat="1" ht="30" customHeight="1">
      <c r="C50" s="67" t="s">
        <v>60</v>
      </c>
      <c r="D50" s="68" t="s">
        <v>62</v>
      </c>
      <c r="E50" s="68" t="s">
        <v>65</v>
      </c>
      <c r="F50" s="69" t="s">
        <v>61</v>
      </c>
    </row>
    <row r="51" spans="2:6" s="5" customFormat="1" ht="30" customHeight="1">
      <c r="C51" s="43" t="s">
        <v>0</v>
      </c>
      <c r="D51" s="44" t="s">
        <v>63</v>
      </c>
      <c r="E51" s="62">
        <v>2542</v>
      </c>
      <c r="F51" s="63">
        <f>IF(D51="Logística",5.99%*E51,IF(D51="Contabilidad",4.99%*E51,3.99%*E51))</f>
        <v>152.26580000000001</v>
      </c>
    </row>
    <row r="52" spans="2:6" s="5" customFormat="1" ht="30" customHeight="1">
      <c r="C52" s="43" t="s">
        <v>1</v>
      </c>
      <c r="D52" s="44" t="s">
        <v>20</v>
      </c>
      <c r="E52" s="62">
        <v>2681</v>
      </c>
      <c r="F52" s="63">
        <f t="shared" ref="F52:F60" si="3">IF(D52="Logística",5.99%*E52,IF(D52="Contabilidad",4.99%*E52,3.99%*E52))</f>
        <v>106.97190000000002</v>
      </c>
    </row>
    <row r="53" spans="2:6" s="5" customFormat="1" ht="30" customHeight="1">
      <c r="C53" s="43" t="s">
        <v>2</v>
      </c>
      <c r="D53" s="44" t="s">
        <v>64</v>
      </c>
      <c r="E53" s="62">
        <v>2433</v>
      </c>
      <c r="F53" s="63">
        <f t="shared" si="3"/>
        <v>121.4067</v>
      </c>
    </row>
    <row r="54" spans="2:6" s="5" customFormat="1" ht="30" customHeight="1">
      <c r="C54" s="43" t="s">
        <v>3</v>
      </c>
      <c r="D54" s="44" t="s">
        <v>63</v>
      </c>
      <c r="E54" s="62">
        <v>3156</v>
      </c>
      <c r="F54" s="63">
        <f t="shared" si="3"/>
        <v>189.0444</v>
      </c>
    </row>
    <row r="55" spans="2:6" s="5" customFormat="1" ht="30" customHeight="1">
      <c r="C55" s="43" t="s">
        <v>4</v>
      </c>
      <c r="D55" s="44" t="s">
        <v>20</v>
      </c>
      <c r="E55" s="62">
        <v>2209</v>
      </c>
      <c r="F55" s="63">
        <f t="shared" si="3"/>
        <v>88.139100000000013</v>
      </c>
    </row>
    <row r="56" spans="2:6" s="5" customFormat="1" ht="30" customHeight="1">
      <c r="C56" s="43" t="s">
        <v>5</v>
      </c>
      <c r="D56" s="44" t="s">
        <v>20</v>
      </c>
      <c r="E56" s="62">
        <v>1759</v>
      </c>
      <c r="F56" s="63">
        <f t="shared" si="3"/>
        <v>70.184100000000015</v>
      </c>
    </row>
    <row r="57" spans="2:6" s="5" customFormat="1" ht="30" customHeight="1">
      <c r="C57" s="43" t="s">
        <v>6</v>
      </c>
      <c r="D57" s="44" t="s">
        <v>63</v>
      </c>
      <c r="E57" s="62">
        <v>1863</v>
      </c>
      <c r="F57" s="63">
        <f t="shared" si="3"/>
        <v>111.5937</v>
      </c>
    </row>
    <row r="58" spans="2:6" s="5" customFormat="1" ht="30" customHeight="1">
      <c r="C58" s="43" t="s">
        <v>7</v>
      </c>
      <c r="D58" s="44" t="s">
        <v>63</v>
      </c>
      <c r="E58" s="62">
        <v>2559</v>
      </c>
      <c r="F58" s="63">
        <f t="shared" si="3"/>
        <v>153.2841</v>
      </c>
    </row>
    <row r="59" spans="2:6" s="5" customFormat="1" ht="30" customHeight="1">
      <c r="C59" s="43" t="s">
        <v>8</v>
      </c>
      <c r="D59" s="44" t="s">
        <v>64</v>
      </c>
      <c r="E59" s="62">
        <v>2900</v>
      </c>
      <c r="F59" s="63">
        <f t="shared" si="3"/>
        <v>144.71</v>
      </c>
    </row>
    <row r="60" spans="2:6" s="5" customFormat="1" ht="30" customHeight="1" thickBot="1">
      <c r="C60" s="48" t="s">
        <v>9</v>
      </c>
      <c r="D60" s="49" t="s">
        <v>64</v>
      </c>
      <c r="E60" s="65">
        <v>2928</v>
      </c>
      <c r="F60" s="66">
        <f t="shared" si="3"/>
        <v>146.10720000000001</v>
      </c>
    </row>
    <row r="61" spans="2:6" s="5" customFormat="1" ht="30" customHeight="1"/>
    <row r="62" spans="2:6" s="5" customFormat="1" ht="30" customHeight="1">
      <c r="B62" s="7"/>
      <c r="C62" s="7"/>
      <c r="D62" s="7"/>
      <c r="E62" s="7"/>
      <c r="F62" s="7"/>
    </row>
    <row r="63" spans="2:6" s="5" customFormat="1" ht="30" customHeight="1">
      <c r="B63" s="7"/>
      <c r="C63" s="7"/>
      <c r="D63" s="7"/>
      <c r="E63" s="7"/>
      <c r="F63" s="7"/>
    </row>
    <row r="64" spans="2:6" s="5" customFormat="1" ht="30" customHeight="1">
      <c r="B64" s="7"/>
      <c r="C64" s="7"/>
      <c r="D64" s="7"/>
      <c r="E64" s="7"/>
      <c r="F64" s="7"/>
    </row>
    <row r="65" spans="2:21" s="5" customFormat="1" ht="30" customHeight="1">
      <c r="B65" s="7"/>
      <c r="C65" s="7"/>
      <c r="D65" s="7"/>
      <c r="E65" s="7"/>
      <c r="F65" s="7"/>
    </row>
    <row r="66" spans="2:21" s="5" customFormat="1" ht="30" customHeight="1">
      <c r="B66" s="7"/>
      <c r="C66" s="7"/>
      <c r="D66" s="7"/>
      <c r="E66" s="7"/>
      <c r="F66" s="7"/>
    </row>
    <row r="67" spans="2:21" s="5" customFormat="1" ht="30" customHeight="1">
      <c r="B67" s="7"/>
      <c r="C67" s="7"/>
      <c r="D67" s="7"/>
      <c r="E67" s="7"/>
      <c r="F67" s="7"/>
    </row>
    <row r="68" spans="2:21" s="5" customFormat="1" ht="30" customHeight="1">
      <c r="B68" s="7"/>
      <c r="C68" s="7"/>
      <c r="D68" s="7"/>
      <c r="E68" s="7"/>
      <c r="F68" s="7"/>
      <c r="G68" s="7"/>
      <c r="H68" s="9"/>
      <c r="I68" s="7"/>
      <c r="J68" s="7"/>
      <c r="K68" s="7"/>
      <c r="L68" s="9"/>
      <c r="M68" s="7"/>
      <c r="N68" s="7"/>
      <c r="O68" s="7"/>
      <c r="P68" s="9"/>
      <c r="Q68" s="7"/>
      <c r="R68" s="7"/>
      <c r="S68" s="7"/>
      <c r="T68" s="7"/>
      <c r="U68" s="7"/>
    </row>
    <row r="69" spans="2:21" s="5" customFormat="1" ht="30" customHeight="1">
      <c r="B69" s="7"/>
      <c r="C69" s="7"/>
      <c r="D69" s="7"/>
      <c r="E69" s="7"/>
      <c r="F69" s="7"/>
      <c r="G69" s="7"/>
      <c r="H69" s="9"/>
      <c r="I69" s="7"/>
      <c r="J69" s="7"/>
      <c r="K69" s="7"/>
      <c r="L69" s="9"/>
      <c r="M69" s="7"/>
      <c r="N69" s="7"/>
      <c r="O69" s="7"/>
      <c r="P69" s="9"/>
      <c r="Q69" s="7"/>
      <c r="R69" s="7"/>
      <c r="S69" s="7"/>
      <c r="T69" s="7"/>
      <c r="U69" s="7"/>
    </row>
    <row r="70" spans="2:21" s="5" customFormat="1" ht="30" customHeight="1">
      <c r="B70" s="7"/>
      <c r="C70" s="7"/>
      <c r="D70" s="7"/>
      <c r="E70" s="7"/>
      <c r="F70" s="7"/>
      <c r="G70" s="7"/>
      <c r="H70" s="9"/>
      <c r="I70" s="7"/>
      <c r="J70" s="7"/>
      <c r="K70" s="7"/>
      <c r="L70" s="9"/>
      <c r="M70" s="7"/>
      <c r="N70" s="7"/>
      <c r="O70" s="7"/>
      <c r="P70" s="9"/>
      <c r="Q70" s="7"/>
      <c r="R70" s="7"/>
      <c r="S70" s="7"/>
      <c r="T70" s="7"/>
      <c r="U70" s="7"/>
    </row>
    <row r="71" spans="2:21" s="5" customFormat="1" ht="30" customHeight="1">
      <c r="B71" s="7"/>
      <c r="C71" s="7"/>
      <c r="D71" s="7"/>
      <c r="E71" s="7"/>
      <c r="F71" s="7"/>
      <c r="G71" s="7"/>
      <c r="H71" s="9"/>
      <c r="I71" s="7"/>
      <c r="J71" s="7"/>
      <c r="K71" s="7"/>
      <c r="L71" s="9"/>
      <c r="M71" s="7"/>
      <c r="N71" s="7"/>
      <c r="O71" s="7"/>
      <c r="P71" s="9"/>
      <c r="Q71" s="7"/>
      <c r="R71" s="7"/>
      <c r="S71" s="7"/>
      <c r="T71" s="7"/>
      <c r="U71" s="7"/>
    </row>
    <row r="72" spans="2:21" s="5" customFormat="1" ht="30" customHeight="1">
      <c r="B72" s="7"/>
      <c r="C72" s="7"/>
      <c r="D72" s="7"/>
      <c r="E72" s="7"/>
      <c r="F72" s="7"/>
      <c r="G72" s="7"/>
      <c r="H72" s="9"/>
      <c r="I72" s="7"/>
      <c r="J72" s="7"/>
      <c r="K72" s="7"/>
      <c r="L72" s="9"/>
      <c r="M72" s="7"/>
      <c r="N72" s="7"/>
      <c r="O72" s="7"/>
      <c r="P72" s="9"/>
      <c r="Q72" s="7"/>
      <c r="R72" s="7"/>
      <c r="S72" s="7"/>
      <c r="T72" s="7"/>
      <c r="U72" s="7"/>
    </row>
    <row r="73" spans="2:21" s="5" customFormat="1" ht="30" customHeight="1">
      <c r="B73" s="7"/>
      <c r="C73" s="7"/>
      <c r="D73" s="7"/>
      <c r="E73" s="7"/>
      <c r="F73" s="7"/>
      <c r="G73" s="7"/>
      <c r="H73" s="9"/>
      <c r="I73" s="7"/>
      <c r="J73" s="7"/>
      <c r="K73" s="7"/>
      <c r="L73" s="9"/>
      <c r="M73" s="7"/>
      <c r="N73" s="7"/>
      <c r="O73" s="7"/>
      <c r="P73" s="9"/>
      <c r="Q73" s="7"/>
      <c r="R73" s="7"/>
      <c r="S73" s="7"/>
      <c r="T73" s="7"/>
      <c r="U73" s="7"/>
    </row>
    <row r="74" spans="2:21" ht="18" customHeight="1">
      <c r="B74" s="11"/>
      <c r="C74" s="11"/>
      <c r="D74" s="11"/>
      <c r="E74" s="11"/>
      <c r="F74" s="11"/>
      <c r="G74" s="11"/>
      <c r="H74" s="12"/>
      <c r="I74" s="11"/>
      <c r="J74" s="11"/>
      <c r="K74" s="11"/>
      <c r="L74" s="12"/>
      <c r="M74" s="11"/>
      <c r="N74" s="11"/>
      <c r="O74" s="11"/>
      <c r="P74" s="12"/>
      <c r="Q74" s="11"/>
      <c r="R74" s="11"/>
      <c r="S74" s="11"/>
      <c r="T74" s="11"/>
      <c r="U74" s="11"/>
    </row>
    <row r="75" spans="2:21" ht="18" customHeight="1">
      <c r="B75" s="11"/>
      <c r="C75" s="11"/>
      <c r="D75" s="11"/>
      <c r="E75" s="11"/>
      <c r="F75" s="11"/>
      <c r="G75" s="11"/>
      <c r="H75" s="12"/>
      <c r="I75" s="11"/>
      <c r="J75" s="11"/>
      <c r="K75" s="11"/>
      <c r="L75" s="12"/>
      <c r="M75" s="11"/>
      <c r="N75" s="11"/>
      <c r="O75" s="11"/>
      <c r="P75" s="12"/>
      <c r="Q75" s="11"/>
      <c r="R75" s="11"/>
      <c r="S75" s="11"/>
      <c r="T75" s="11"/>
      <c r="U75" s="11"/>
    </row>
    <row r="76" spans="2:21" ht="18" customHeight="1">
      <c r="B76" s="11"/>
      <c r="C76" s="11"/>
      <c r="D76" s="11"/>
      <c r="E76" s="11"/>
      <c r="F76" s="11"/>
      <c r="G76" s="11"/>
      <c r="H76" s="12"/>
      <c r="I76" s="11"/>
      <c r="J76" s="11"/>
      <c r="K76" s="11"/>
      <c r="L76" s="12"/>
      <c r="M76" s="11"/>
      <c r="N76" s="11"/>
      <c r="O76" s="11"/>
      <c r="P76" s="12"/>
      <c r="Q76" s="11"/>
      <c r="R76" s="11"/>
      <c r="S76" s="11"/>
      <c r="T76" s="11"/>
      <c r="U76" s="11"/>
    </row>
    <row r="77" spans="2:21" ht="18" customHeight="1">
      <c r="B77" s="11"/>
      <c r="C77" s="11"/>
      <c r="D77" s="11"/>
      <c r="E77" s="11"/>
      <c r="F77" s="11"/>
      <c r="G77" s="11"/>
      <c r="H77" s="12"/>
      <c r="I77" s="11"/>
      <c r="J77" s="11"/>
      <c r="K77" s="11"/>
      <c r="L77" s="12"/>
      <c r="M77" s="11"/>
      <c r="N77" s="11"/>
      <c r="O77" s="11"/>
      <c r="P77" s="12"/>
      <c r="Q77" s="11"/>
      <c r="R77" s="11"/>
      <c r="S77" s="11"/>
      <c r="T77" s="11"/>
      <c r="U77" s="11"/>
    </row>
    <row r="78" spans="2:21" ht="18" customHeight="1">
      <c r="B78" s="11"/>
      <c r="C78" s="11"/>
      <c r="D78" s="11"/>
      <c r="E78" s="11"/>
      <c r="F78" s="11"/>
      <c r="G78" s="11"/>
      <c r="H78" s="12"/>
      <c r="I78" s="11"/>
      <c r="J78" s="11"/>
      <c r="K78" s="11"/>
      <c r="L78" s="12"/>
      <c r="M78" s="11"/>
      <c r="N78" s="11"/>
      <c r="O78" s="11"/>
      <c r="P78" s="12"/>
      <c r="Q78" s="11"/>
      <c r="R78" s="11"/>
      <c r="S78" s="11"/>
      <c r="T78" s="11"/>
      <c r="U78" s="11"/>
    </row>
    <row r="79" spans="2:21" ht="18" customHeight="1">
      <c r="B79" s="11"/>
      <c r="C79" s="11"/>
      <c r="D79" s="11"/>
      <c r="E79" s="11"/>
      <c r="F79" s="11"/>
      <c r="G79" s="11"/>
      <c r="H79" s="12"/>
      <c r="I79" s="11"/>
      <c r="J79" s="11"/>
      <c r="K79" s="11"/>
      <c r="L79" s="12"/>
      <c r="M79" s="11"/>
      <c r="N79" s="11"/>
      <c r="O79" s="11"/>
      <c r="P79" s="12"/>
      <c r="Q79" s="11"/>
      <c r="R79" s="11"/>
      <c r="S79" s="11"/>
      <c r="T79" s="11"/>
      <c r="U79" s="11"/>
    </row>
    <row r="80" spans="2:21" ht="18" customHeight="1">
      <c r="B80" s="11"/>
      <c r="C80" s="11"/>
      <c r="D80" s="11"/>
      <c r="E80" s="11"/>
      <c r="F80" s="11"/>
      <c r="G80" s="11"/>
      <c r="H80" s="12"/>
      <c r="I80" s="11"/>
      <c r="J80" s="11"/>
      <c r="K80" s="11"/>
      <c r="L80" s="12"/>
      <c r="M80" s="11"/>
      <c r="N80" s="11"/>
      <c r="O80" s="11"/>
      <c r="P80" s="12"/>
      <c r="Q80" s="11"/>
      <c r="R80" s="11"/>
      <c r="S80" s="11"/>
      <c r="T80" s="11"/>
      <c r="U80" s="11"/>
    </row>
    <row r="81" spans="2:21" ht="18" customHeight="1">
      <c r="B81" s="11"/>
      <c r="C81" s="11"/>
      <c r="D81" s="11"/>
      <c r="E81" s="11"/>
      <c r="F81" s="11"/>
      <c r="G81" s="11"/>
      <c r="H81" s="12"/>
      <c r="I81" s="11"/>
      <c r="J81" s="11"/>
      <c r="K81" s="11"/>
      <c r="L81" s="12"/>
      <c r="M81" s="11"/>
      <c r="N81" s="11"/>
      <c r="O81" s="11"/>
      <c r="P81" s="12"/>
      <c r="Q81" s="11"/>
      <c r="R81" s="11"/>
      <c r="S81" s="11"/>
      <c r="T81" s="11"/>
      <c r="U81" s="11"/>
    </row>
    <row r="82" spans="2:21" ht="18" customHeight="1">
      <c r="B82" s="11"/>
      <c r="C82" s="11"/>
      <c r="D82" s="11"/>
      <c r="E82" s="11"/>
      <c r="F82" s="11"/>
      <c r="G82" s="11"/>
      <c r="H82" s="12"/>
      <c r="I82" s="11"/>
      <c r="J82" s="11"/>
      <c r="K82" s="11"/>
      <c r="L82" s="12"/>
      <c r="M82" s="11"/>
      <c r="N82" s="11"/>
      <c r="O82" s="11"/>
      <c r="P82" s="12"/>
      <c r="Q82" s="11"/>
      <c r="R82" s="11"/>
      <c r="S82" s="11"/>
      <c r="T82" s="11"/>
      <c r="U82" s="11"/>
    </row>
    <row r="83" spans="2:21" ht="18" customHeight="1">
      <c r="B83" s="11"/>
      <c r="C83" s="11"/>
      <c r="D83" s="11"/>
      <c r="E83" s="11"/>
      <c r="F83" s="11"/>
      <c r="G83" s="11"/>
      <c r="H83" s="12"/>
      <c r="I83" s="11"/>
      <c r="J83" s="11"/>
      <c r="K83" s="11"/>
      <c r="L83" s="12"/>
      <c r="M83" s="11"/>
      <c r="N83" s="11"/>
      <c r="O83" s="11"/>
      <c r="P83" s="12"/>
      <c r="Q83" s="11"/>
      <c r="R83" s="11"/>
      <c r="S83" s="11"/>
      <c r="T83" s="11"/>
      <c r="U83" s="11"/>
    </row>
    <row r="84" spans="2:21" ht="18" customHeight="1">
      <c r="B84" s="14"/>
      <c r="E84" s="11"/>
      <c r="F84" s="11"/>
      <c r="G84" s="11"/>
      <c r="H84" s="12"/>
      <c r="I84" s="11"/>
      <c r="J84" s="11"/>
      <c r="K84" s="11"/>
      <c r="L84" s="12"/>
      <c r="M84" s="11"/>
      <c r="N84" s="11"/>
      <c r="O84" s="11"/>
      <c r="P84" s="12"/>
      <c r="Q84" s="11"/>
      <c r="R84" s="11"/>
      <c r="S84" s="11"/>
      <c r="T84" s="11"/>
      <c r="U84" s="11"/>
    </row>
    <row r="86" spans="2:21" ht="15" customHeight="1"/>
  </sheetData>
  <sheetProtection formatCells="0" formatColumns="0" formatRows="0" selectLockedCells="1"/>
  <mergeCells count="5">
    <mergeCell ref="E1:H1"/>
    <mergeCell ref="C25:F25"/>
    <mergeCell ref="C47:F47"/>
    <mergeCell ref="C49:E49"/>
    <mergeCell ref="D8:I8"/>
  </mergeCells>
  <pageMargins left="0.75" right="0.75" top="1" bottom="1" header="0" footer="0"/>
  <pageSetup paperSize="9" orientation="portrait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B644-06C0-45BB-8869-797742D49D22}">
  <sheetPr>
    <tabColor rgb="FF217346"/>
  </sheetPr>
  <dimension ref="A1:U18"/>
  <sheetViews>
    <sheetView showGridLines="0" workbookViewId="0">
      <selection activeCell="E1" sqref="E1:H1"/>
    </sheetView>
  </sheetViews>
  <sheetFormatPr baseColWidth="10" defaultRowHeight="13.2"/>
  <cols>
    <col min="1" max="1" width="16.5546875" customWidth="1"/>
    <col min="2" max="2" width="14.6640625" customWidth="1"/>
    <col min="3" max="3" width="33.109375" customWidth="1"/>
    <col min="4" max="4" width="17.33203125" customWidth="1"/>
    <col min="5" max="5" width="19.6640625" customWidth="1"/>
    <col min="6" max="6" width="19.5546875" customWidth="1"/>
    <col min="7" max="7" width="18.109375" customWidth="1"/>
    <col min="8" max="8" width="15.88671875" customWidth="1"/>
    <col min="9" max="9" width="18.44140625" customWidth="1"/>
  </cols>
  <sheetData>
    <row r="1" spans="1:21" s="38" customFormat="1" ht="37.799999999999997" customHeight="1">
      <c r="D1" s="39"/>
      <c r="E1" s="84" t="s">
        <v>103</v>
      </c>
      <c r="F1" s="84"/>
      <c r="G1" s="84"/>
      <c r="H1" s="84"/>
      <c r="I1" s="40"/>
      <c r="J1" s="40"/>
      <c r="K1" s="40"/>
      <c r="L1" s="40"/>
      <c r="M1" s="41"/>
      <c r="N1" s="41"/>
      <c r="O1" s="41"/>
      <c r="P1" s="41"/>
      <c r="Q1" s="41"/>
      <c r="R1" s="41"/>
      <c r="S1" s="41"/>
      <c r="T1" s="41"/>
      <c r="U1" s="41"/>
    </row>
    <row r="3" spans="1:21" ht="28.8" customHeight="1">
      <c r="A3" s="42" t="s">
        <v>10</v>
      </c>
      <c r="B3" s="32" t="s">
        <v>104</v>
      </c>
      <c r="C3" s="33"/>
      <c r="D3" s="34"/>
      <c r="E3" s="8"/>
      <c r="F3" s="5"/>
      <c r="G3" s="5"/>
      <c r="H3" s="5"/>
      <c r="I3" s="5"/>
      <c r="J3" s="5"/>
      <c r="K3" s="5"/>
    </row>
    <row r="4" spans="1:21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21">
      <c r="A5" s="5"/>
      <c r="B5" s="31"/>
      <c r="C5" s="31"/>
      <c r="D5" s="31"/>
      <c r="E5" s="31"/>
      <c r="F5" s="5"/>
      <c r="G5" s="5"/>
      <c r="H5" s="5"/>
      <c r="I5" s="5"/>
      <c r="J5" s="5"/>
      <c r="K5" s="5"/>
    </row>
    <row r="6" spans="1:21" ht="13.8" thickBot="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21" ht="25.8" customHeight="1">
      <c r="A7" s="5"/>
      <c r="B7" s="53" t="s">
        <v>69</v>
      </c>
      <c r="C7" s="54" t="s">
        <v>71</v>
      </c>
      <c r="D7" s="54" t="s">
        <v>72</v>
      </c>
      <c r="E7" s="54" t="s">
        <v>73</v>
      </c>
      <c r="F7" s="55" t="s">
        <v>106</v>
      </c>
      <c r="G7" s="5"/>
      <c r="H7" s="5"/>
      <c r="I7" s="5"/>
      <c r="J7" s="5"/>
      <c r="K7" s="5"/>
    </row>
    <row r="8" spans="1:21" ht="25.05" customHeight="1">
      <c r="A8" s="5"/>
      <c r="B8" s="61" t="s">
        <v>74</v>
      </c>
      <c r="C8" s="44" t="s">
        <v>75</v>
      </c>
      <c r="D8" s="44">
        <v>340</v>
      </c>
      <c r="E8" s="71">
        <v>302.99</v>
      </c>
      <c r="F8" s="72">
        <f>D8*E8</f>
        <v>103016.6</v>
      </c>
      <c r="G8" s="5"/>
      <c r="H8" s="5"/>
      <c r="I8" s="5"/>
      <c r="J8" s="5"/>
      <c r="K8" s="5"/>
    </row>
    <row r="9" spans="1:21" ht="25.05" customHeight="1">
      <c r="A9" s="5"/>
      <c r="B9" s="61" t="s">
        <v>76</v>
      </c>
      <c r="C9" s="44" t="s">
        <v>77</v>
      </c>
      <c r="D9" s="44">
        <v>480</v>
      </c>
      <c r="E9" s="71">
        <v>302.99</v>
      </c>
      <c r="F9" s="72">
        <f t="shared" ref="F9:F16" si="0">D9*E9</f>
        <v>145435.20000000001</v>
      </c>
      <c r="G9" s="5"/>
      <c r="H9" s="5"/>
      <c r="I9" s="5"/>
      <c r="J9" s="5"/>
      <c r="K9" s="5"/>
    </row>
    <row r="10" spans="1:21" ht="25.05" customHeight="1">
      <c r="A10" s="5"/>
      <c r="B10" s="61" t="s">
        <v>78</v>
      </c>
      <c r="C10" s="44" t="s">
        <v>75</v>
      </c>
      <c r="D10" s="44">
        <v>690</v>
      </c>
      <c r="E10" s="71">
        <v>288.99</v>
      </c>
      <c r="F10" s="72">
        <f t="shared" si="0"/>
        <v>199403.1</v>
      </c>
      <c r="G10" s="5"/>
      <c r="H10" s="5"/>
      <c r="I10" s="5"/>
      <c r="J10" s="5"/>
      <c r="K10" s="5"/>
    </row>
    <row r="11" spans="1:21" ht="25.05" customHeight="1">
      <c r="A11" s="5"/>
      <c r="B11" s="61" t="s">
        <v>79</v>
      </c>
      <c r="C11" s="44" t="s">
        <v>75</v>
      </c>
      <c r="D11" s="44">
        <v>878</v>
      </c>
      <c r="E11" s="71">
        <v>266.99</v>
      </c>
      <c r="F11" s="72">
        <f t="shared" si="0"/>
        <v>234417.22</v>
      </c>
      <c r="G11" s="5"/>
      <c r="H11" s="5"/>
      <c r="I11" s="5"/>
      <c r="J11" s="5"/>
      <c r="K11" s="5"/>
    </row>
    <row r="12" spans="1:21" ht="25.05" customHeight="1">
      <c r="A12" s="5"/>
      <c r="B12" s="61" t="s">
        <v>80</v>
      </c>
      <c r="C12" s="44" t="s">
        <v>77</v>
      </c>
      <c r="D12" s="44">
        <v>656</v>
      </c>
      <c r="E12" s="71">
        <v>288.99</v>
      </c>
      <c r="F12" s="72">
        <f t="shared" si="0"/>
        <v>189577.44</v>
      </c>
      <c r="G12" s="5"/>
      <c r="H12" s="5"/>
      <c r="I12" s="5"/>
      <c r="J12" s="5"/>
      <c r="K12" s="5"/>
    </row>
    <row r="13" spans="1:21" ht="25.05" customHeight="1">
      <c r="A13" s="5"/>
      <c r="B13" s="61" t="s">
        <v>81</v>
      </c>
      <c r="C13" s="44" t="s">
        <v>75</v>
      </c>
      <c r="D13" s="44">
        <v>789</v>
      </c>
      <c r="E13" s="71">
        <v>266.99</v>
      </c>
      <c r="F13" s="72">
        <f t="shared" si="0"/>
        <v>210655.11000000002</v>
      </c>
      <c r="G13" s="5"/>
      <c r="H13" s="5"/>
      <c r="I13" s="5"/>
      <c r="J13" s="5"/>
      <c r="K13" s="5"/>
    </row>
    <row r="14" spans="1:21" ht="25.05" customHeight="1">
      <c r="A14" s="5"/>
      <c r="B14" s="61" t="s">
        <v>82</v>
      </c>
      <c r="C14" s="44" t="s">
        <v>75</v>
      </c>
      <c r="D14" s="44">
        <v>836</v>
      </c>
      <c r="E14" s="71">
        <v>266.99</v>
      </c>
      <c r="F14" s="72">
        <f t="shared" si="0"/>
        <v>223203.64</v>
      </c>
      <c r="G14" s="5"/>
      <c r="H14" s="5"/>
      <c r="I14" s="5"/>
      <c r="J14" s="5"/>
      <c r="K14" s="5"/>
    </row>
    <row r="15" spans="1:21" ht="25.05" customHeight="1">
      <c r="A15" s="5"/>
      <c r="B15" s="61" t="s">
        <v>83</v>
      </c>
      <c r="C15" s="44" t="s">
        <v>77</v>
      </c>
      <c r="D15" s="44">
        <v>451</v>
      </c>
      <c r="E15" s="71">
        <v>302.99</v>
      </c>
      <c r="F15" s="72">
        <f t="shared" si="0"/>
        <v>136648.49</v>
      </c>
      <c r="G15" s="5"/>
      <c r="H15" s="5"/>
      <c r="I15" s="5"/>
      <c r="J15" s="5"/>
      <c r="K15" s="5"/>
    </row>
    <row r="16" spans="1:21" ht="25.05" customHeight="1">
      <c r="A16" s="5"/>
      <c r="B16" s="61" t="s">
        <v>84</v>
      </c>
      <c r="C16" s="44" t="s">
        <v>77</v>
      </c>
      <c r="D16" s="44">
        <v>350</v>
      </c>
      <c r="E16" s="71">
        <v>302.99</v>
      </c>
      <c r="F16" s="72">
        <f t="shared" si="0"/>
        <v>106046.5</v>
      </c>
      <c r="G16" s="5"/>
      <c r="H16" s="5"/>
      <c r="I16" s="5"/>
      <c r="J16" s="5"/>
      <c r="K16" s="5"/>
    </row>
    <row r="17" spans="1:11" ht="25.05" customHeight="1" thickBot="1">
      <c r="A17" s="5"/>
      <c r="B17" s="64" t="s">
        <v>85</v>
      </c>
      <c r="C17" s="49" t="s">
        <v>75</v>
      </c>
      <c r="D17" s="49">
        <v>682</v>
      </c>
      <c r="E17" s="73">
        <v>288.99</v>
      </c>
      <c r="F17" s="74">
        <f>D17*E17</f>
        <v>197091.18</v>
      </c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</sheetData>
  <mergeCells count="1">
    <mergeCell ref="E1:H1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11F7-8755-412A-99C5-BE31B76E5D60}">
  <sheetPr>
    <tabColor rgb="FF217346"/>
  </sheetPr>
  <dimension ref="B1:U54"/>
  <sheetViews>
    <sheetView showGridLines="0" topLeftCell="A25" zoomScale="80" zoomScaleNormal="80" workbookViewId="0">
      <selection activeCell="B20" sqref="B20"/>
    </sheetView>
  </sheetViews>
  <sheetFormatPr baseColWidth="10" defaultColWidth="15.6640625" defaultRowHeight="24.9" customHeight="1"/>
  <cols>
    <col min="1" max="1" width="4.5546875" style="13" customWidth="1"/>
    <col min="2" max="2" width="16.5546875" style="13" customWidth="1"/>
    <col min="3" max="3" width="41.109375" style="13" customWidth="1"/>
    <col min="4" max="4" width="27.88671875" style="13" customWidth="1"/>
    <col min="5" max="5" width="19.88671875" style="13" customWidth="1"/>
    <col min="6" max="6" width="19.109375" style="13" customWidth="1"/>
    <col min="7" max="7" width="15.33203125" style="13" customWidth="1"/>
    <col min="8" max="8" width="18.109375" style="13" customWidth="1"/>
    <col min="9" max="9" width="20.33203125" style="13" customWidth="1"/>
    <col min="10" max="10" width="25.5546875" style="13" customWidth="1"/>
    <col min="11" max="16384" width="15.6640625" style="13"/>
  </cols>
  <sheetData>
    <row r="1" spans="2:21" s="38" customFormat="1" ht="37.799999999999997" customHeight="1">
      <c r="D1" s="39"/>
      <c r="E1" s="84" t="s">
        <v>103</v>
      </c>
      <c r="F1" s="84"/>
      <c r="G1" s="84"/>
      <c r="H1" s="84"/>
      <c r="I1" s="40"/>
      <c r="J1" s="40"/>
      <c r="K1" s="40"/>
      <c r="L1" s="40"/>
      <c r="M1" s="41"/>
      <c r="N1" s="41"/>
      <c r="O1" s="41"/>
      <c r="P1" s="41"/>
      <c r="Q1" s="41"/>
      <c r="R1" s="41"/>
      <c r="S1" s="41"/>
      <c r="T1" s="41"/>
      <c r="U1" s="41"/>
    </row>
    <row r="2" spans="2:21" s="2" customFormat="1" ht="12" customHeight="1"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1" s="5" customFormat="1" ht="30" customHeight="1"/>
    <row r="4" spans="2:21" s="5" customFormat="1" ht="30" customHeight="1">
      <c r="B4" s="42" t="s">
        <v>10</v>
      </c>
      <c r="C4" s="35" t="s">
        <v>118</v>
      </c>
      <c r="D4" s="19"/>
      <c r="E4" s="20"/>
      <c r="F4" s="21"/>
    </row>
    <row r="5" spans="2:21" s="5" customFormat="1" ht="30" customHeight="1"/>
    <row r="6" spans="2:21" s="5" customFormat="1" ht="30" customHeight="1" thickBot="1">
      <c r="C6" s="88" t="s">
        <v>113</v>
      </c>
      <c r="D6" s="88"/>
      <c r="E6" s="88"/>
    </row>
    <row r="7" spans="2:21" s="5" customFormat="1" ht="30" customHeight="1">
      <c r="C7" s="67" t="s">
        <v>60</v>
      </c>
      <c r="D7" s="68" t="s">
        <v>62</v>
      </c>
      <c r="E7" s="68" t="s">
        <v>65</v>
      </c>
      <c r="F7" s="69" t="s">
        <v>61</v>
      </c>
    </row>
    <row r="8" spans="2:21" s="5" customFormat="1" ht="30" customHeight="1">
      <c r="C8" s="43" t="s">
        <v>0</v>
      </c>
      <c r="D8" s="44" t="s">
        <v>63</v>
      </c>
      <c r="E8" s="62">
        <v>2542</v>
      </c>
      <c r="F8" s="63">
        <f>IF(D8="Logística",6.77%*E8,3.89%*E8)</f>
        <v>172.0934</v>
      </c>
    </row>
    <row r="9" spans="2:21" s="5" customFormat="1" ht="30" customHeight="1">
      <c r="C9" s="43" t="s">
        <v>1</v>
      </c>
      <c r="D9" s="44" t="s">
        <v>20</v>
      </c>
      <c r="E9" s="62">
        <v>2681</v>
      </c>
      <c r="F9" s="63">
        <f t="shared" ref="F9:F17" si="0">IF(D9="Logística",6.77%*E9,3.89%*E9)</f>
        <v>104.29090000000001</v>
      </c>
    </row>
    <row r="10" spans="2:21" s="5" customFormat="1" ht="30" customHeight="1">
      <c r="C10" s="43" t="s">
        <v>2</v>
      </c>
      <c r="D10" s="44" t="s">
        <v>64</v>
      </c>
      <c r="E10" s="62">
        <v>2433</v>
      </c>
      <c r="F10" s="63">
        <f t="shared" si="0"/>
        <v>94.64370000000001</v>
      </c>
    </row>
    <row r="11" spans="2:21" s="5" customFormat="1" ht="30" customHeight="1">
      <c r="C11" s="43" t="s">
        <v>3</v>
      </c>
      <c r="D11" s="44" t="s">
        <v>63</v>
      </c>
      <c r="E11" s="62">
        <v>3156</v>
      </c>
      <c r="F11" s="63">
        <f t="shared" si="0"/>
        <v>213.66119999999998</v>
      </c>
    </row>
    <row r="12" spans="2:21" s="5" customFormat="1" ht="30" customHeight="1">
      <c r="C12" s="43" t="s">
        <v>4</v>
      </c>
      <c r="D12" s="44" t="s">
        <v>20</v>
      </c>
      <c r="E12" s="62">
        <v>2209</v>
      </c>
      <c r="F12" s="63">
        <f t="shared" si="0"/>
        <v>85.93010000000001</v>
      </c>
    </row>
    <row r="13" spans="2:21" s="5" customFormat="1" ht="30" customHeight="1">
      <c r="C13" s="43" t="s">
        <v>5</v>
      </c>
      <c r="D13" s="44" t="s">
        <v>20</v>
      </c>
      <c r="E13" s="62">
        <v>1759</v>
      </c>
      <c r="F13" s="63">
        <f t="shared" si="0"/>
        <v>68.4251</v>
      </c>
    </row>
    <row r="14" spans="2:21" s="5" customFormat="1" ht="30" customHeight="1">
      <c r="C14" s="43" t="s">
        <v>6</v>
      </c>
      <c r="D14" s="44" t="s">
        <v>63</v>
      </c>
      <c r="E14" s="62">
        <v>1863</v>
      </c>
      <c r="F14" s="63">
        <f t="shared" si="0"/>
        <v>126.12509999999999</v>
      </c>
    </row>
    <row r="15" spans="2:21" s="5" customFormat="1" ht="30" customHeight="1">
      <c r="C15" s="43" t="s">
        <v>7</v>
      </c>
      <c r="D15" s="44" t="s">
        <v>63</v>
      </c>
      <c r="E15" s="62">
        <v>2559</v>
      </c>
      <c r="F15" s="63">
        <f t="shared" si="0"/>
        <v>173.24429999999998</v>
      </c>
    </row>
    <row r="16" spans="2:21" s="5" customFormat="1" ht="30" customHeight="1">
      <c r="C16" s="43" t="s">
        <v>8</v>
      </c>
      <c r="D16" s="44" t="s">
        <v>64</v>
      </c>
      <c r="E16" s="62">
        <v>2900</v>
      </c>
      <c r="F16" s="63">
        <f t="shared" si="0"/>
        <v>112.81000000000002</v>
      </c>
    </row>
    <row r="17" spans="2:21" s="5" customFormat="1" ht="30" customHeight="1" thickBot="1">
      <c r="C17" s="48" t="s">
        <v>9</v>
      </c>
      <c r="D17" s="49" t="s">
        <v>64</v>
      </c>
      <c r="E17" s="65">
        <v>2928</v>
      </c>
      <c r="F17" s="66">
        <f t="shared" si="0"/>
        <v>113.89920000000001</v>
      </c>
    </row>
    <row r="18" spans="2:21" s="5" customFormat="1" ht="30" customHeight="1"/>
    <row r="19" spans="2:21" s="5" customFormat="1" ht="30" customHeight="1">
      <c r="B19" s="42" t="s">
        <v>18</v>
      </c>
      <c r="C19" s="35" t="s">
        <v>119</v>
      </c>
      <c r="D19" s="19"/>
      <c r="E19" s="20"/>
      <c r="F19" s="20"/>
      <c r="G19" s="21"/>
    </row>
    <row r="20" spans="2:21" s="5" customFormat="1" ht="30" customHeight="1"/>
    <row r="21" spans="2:21" s="5" customFormat="1" ht="30" customHeight="1" thickBot="1">
      <c r="C21" s="36" t="s">
        <v>114</v>
      </c>
      <c r="D21" s="36"/>
      <c r="E21" s="36"/>
      <c r="F21" s="18"/>
      <c r="G21" s="18"/>
      <c r="H21" s="18"/>
      <c r="I21" s="18"/>
    </row>
    <row r="22" spans="2:21" s="5" customFormat="1" ht="30" customHeight="1">
      <c r="C22" s="67" t="s">
        <v>60</v>
      </c>
      <c r="D22" s="68" t="s">
        <v>62</v>
      </c>
      <c r="E22" s="68" t="s">
        <v>66</v>
      </c>
      <c r="F22" s="70" t="s">
        <v>67</v>
      </c>
      <c r="G22" s="70" t="s">
        <v>68</v>
      </c>
      <c r="H22" s="68" t="s">
        <v>65</v>
      </c>
      <c r="I22" s="69" t="s">
        <v>61</v>
      </c>
    </row>
    <row r="23" spans="2:21" s="5" customFormat="1" ht="30" customHeight="1">
      <c r="C23" s="43" t="s">
        <v>0</v>
      </c>
      <c r="D23" s="44" t="s">
        <v>63</v>
      </c>
      <c r="E23" s="58">
        <v>36697</v>
      </c>
      <c r="F23" s="58">
        <f t="shared" ref="F23:F32" ca="1" si="1">TODAY()</f>
        <v>44812</v>
      </c>
      <c r="G23" s="77">
        <f ca="1">DATEDIF(E23,F23,"Y")</f>
        <v>22</v>
      </c>
      <c r="H23" s="62">
        <v>2542</v>
      </c>
      <c r="I23" s="63">
        <f ca="1">IF(G23&gt;10,8.88%*H23,4.44%*H23)</f>
        <v>225.7296</v>
      </c>
    </row>
    <row r="24" spans="2:21" s="5" customFormat="1" ht="30" customHeight="1">
      <c r="C24" s="43" t="s">
        <v>1</v>
      </c>
      <c r="D24" s="44" t="s">
        <v>20</v>
      </c>
      <c r="E24" s="58">
        <v>41516</v>
      </c>
      <c r="F24" s="58">
        <f t="shared" ca="1" si="1"/>
        <v>44812</v>
      </c>
      <c r="G24" s="77">
        <f t="shared" ref="G24:G32" ca="1" si="2">DATEDIF(E24,F24,"Y")</f>
        <v>9</v>
      </c>
      <c r="H24" s="62">
        <v>2681</v>
      </c>
      <c r="I24" s="63">
        <f t="shared" ref="I24:I32" ca="1" si="3">IF(G24&gt;10,8.88%*H24,4.44%*H24)</f>
        <v>119.0364</v>
      </c>
    </row>
    <row r="25" spans="2:21" s="5" customFormat="1" ht="30" customHeight="1">
      <c r="C25" s="43" t="s">
        <v>2</v>
      </c>
      <c r="D25" s="44" t="s">
        <v>64</v>
      </c>
      <c r="E25" s="58">
        <v>37893</v>
      </c>
      <c r="F25" s="58">
        <f t="shared" ca="1" si="1"/>
        <v>44812</v>
      </c>
      <c r="G25" s="77">
        <f t="shared" ca="1" si="2"/>
        <v>18</v>
      </c>
      <c r="H25" s="62">
        <v>2433</v>
      </c>
      <c r="I25" s="63">
        <f t="shared" ca="1" si="3"/>
        <v>216.0504</v>
      </c>
    </row>
    <row r="26" spans="2:21" s="5" customFormat="1" ht="30" customHeight="1">
      <c r="C26" s="43" t="s">
        <v>3</v>
      </c>
      <c r="D26" s="44" t="s">
        <v>63</v>
      </c>
      <c r="E26" s="58">
        <v>39496</v>
      </c>
      <c r="F26" s="58">
        <f t="shared" ca="1" si="1"/>
        <v>44812</v>
      </c>
      <c r="G26" s="77">
        <f t="shared" ca="1" si="2"/>
        <v>14</v>
      </c>
      <c r="H26" s="62">
        <v>3156</v>
      </c>
      <c r="I26" s="63">
        <f t="shared" ca="1" si="3"/>
        <v>280.25280000000004</v>
      </c>
    </row>
    <row r="27" spans="2:21" s="5" customFormat="1" ht="30" customHeight="1">
      <c r="C27" s="43" t="s">
        <v>4</v>
      </c>
      <c r="D27" s="44" t="s">
        <v>20</v>
      </c>
      <c r="E27" s="58">
        <v>41060</v>
      </c>
      <c r="F27" s="58">
        <f t="shared" ca="1" si="1"/>
        <v>44812</v>
      </c>
      <c r="G27" s="77">
        <f t="shared" ca="1" si="2"/>
        <v>10</v>
      </c>
      <c r="H27" s="62">
        <v>2209</v>
      </c>
      <c r="I27" s="63">
        <f t="shared" ca="1" si="3"/>
        <v>98.079599999999999</v>
      </c>
      <c r="J27" s="7"/>
      <c r="K27" s="7"/>
      <c r="L27" s="9"/>
      <c r="M27" s="7"/>
      <c r="N27" s="7"/>
      <c r="O27" s="7"/>
      <c r="P27" s="9"/>
      <c r="Q27" s="7"/>
      <c r="R27" s="7"/>
      <c r="S27" s="7"/>
      <c r="T27" s="7"/>
      <c r="U27" s="7"/>
    </row>
    <row r="28" spans="2:21" s="5" customFormat="1" ht="30" customHeight="1">
      <c r="C28" s="43" t="s">
        <v>5</v>
      </c>
      <c r="D28" s="44" t="s">
        <v>20</v>
      </c>
      <c r="E28" s="58">
        <v>38324</v>
      </c>
      <c r="F28" s="58">
        <f t="shared" ca="1" si="1"/>
        <v>44812</v>
      </c>
      <c r="G28" s="77">
        <f t="shared" ca="1" si="2"/>
        <v>17</v>
      </c>
      <c r="H28" s="62">
        <v>1759</v>
      </c>
      <c r="I28" s="63">
        <f t="shared" ca="1" si="3"/>
        <v>156.19920000000002</v>
      </c>
      <c r="J28" s="7"/>
      <c r="K28" s="7"/>
      <c r="L28" s="9"/>
      <c r="M28" s="7"/>
      <c r="N28" s="7"/>
      <c r="O28" s="7"/>
      <c r="P28" s="9"/>
      <c r="Q28" s="7"/>
      <c r="R28" s="7"/>
      <c r="S28" s="7"/>
      <c r="T28" s="7"/>
      <c r="U28" s="7"/>
    </row>
    <row r="29" spans="2:21" s="5" customFormat="1" ht="30" customHeight="1">
      <c r="C29" s="43" t="s">
        <v>6</v>
      </c>
      <c r="D29" s="44" t="s">
        <v>63</v>
      </c>
      <c r="E29" s="58">
        <v>40067</v>
      </c>
      <c r="F29" s="58">
        <f t="shared" ca="1" si="1"/>
        <v>44812</v>
      </c>
      <c r="G29" s="77">
        <f t="shared" ca="1" si="2"/>
        <v>12</v>
      </c>
      <c r="H29" s="62">
        <v>1863</v>
      </c>
      <c r="I29" s="63">
        <f t="shared" ca="1" si="3"/>
        <v>165.43440000000001</v>
      </c>
      <c r="J29" s="7"/>
      <c r="K29" s="7"/>
      <c r="L29" s="9"/>
      <c r="M29" s="7"/>
      <c r="N29" s="7"/>
      <c r="O29" s="7"/>
      <c r="P29" s="9"/>
      <c r="Q29" s="7"/>
      <c r="R29" s="7"/>
      <c r="S29" s="7"/>
      <c r="T29" s="7"/>
      <c r="U29" s="7"/>
    </row>
    <row r="30" spans="2:21" s="5" customFormat="1" ht="30" customHeight="1">
      <c r="C30" s="43" t="s">
        <v>7</v>
      </c>
      <c r="D30" s="44" t="s">
        <v>63</v>
      </c>
      <c r="E30" s="58">
        <v>39293</v>
      </c>
      <c r="F30" s="58">
        <f t="shared" ca="1" si="1"/>
        <v>44812</v>
      </c>
      <c r="G30" s="77">
        <f t="shared" ca="1" si="2"/>
        <v>15</v>
      </c>
      <c r="H30" s="62">
        <v>2559</v>
      </c>
      <c r="I30" s="63">
        <f t="shared" ca="1" si="3"/>
        <v>227.23920000000001</v>
      </c>
      <c r="J30" s="7"/>
      <c r="K30" s="7"/>
      <c r="L30" s="9"/>
      <c r="M30" s="7"/>
      <c r="N30" s="7"/>
      <c r="O30" s="7"/>
      <c r="P30" s="9"/>
      <c r="Q30" s="7"/>
      <c r="R30" s="7"/>
      <c r="S30" s="7"/>
      <c r="T30" s="7"/>
      <c r="U30" s="7"/>
    </row>
    <row r="31" spans="2:21" s="5" customFormat="1" ht="30" customHeight="1">
      <c r="C31" s="43" t="s">
        <v>8</v>
      </c>
      <c r="D31" s="44" t="s">
        <v>64</v>
      </c>
      <c r="E31" s="58">
        <v>38312</v>
      </c>
      <c r="F31" s="58">
        <f t="shared" ca="1" si="1"/>
        <v>44812</v>
      </c>
      <c r="G31" s="77">
        <f t="shared" ca="1" si="2"/>
        <v>17</v>
      </c>
      <c r="H31" s="62">
        <v>2900</v>
      </c>
      <c r="I31" s="63">
        <f t="shared" ca="1" si="3"/>
        <v>257.52000000000004</v>
      </c>
      <c r="J31" s="7"/>
      <c r="K31" s="7"/>
      <c r="L31" s="9"/>
      <c r="M31" s="7"/>
      <c r="N31" s="7"/>
      <c r="O31" s="7"/>
      <c r="P31" s="9"/>
      <c r="Q31" s="7"/>
      <c r="R31" s="7"/>
      <c r="S31" s="7"/>
      <c r="T31" s="7"/>
      <c r="U31" s="7"/>
    </row>
    <row r="32" spans="2:21" s="5" customFormat="1" ht="30" customHeight="1" thickBot="1">
      <c r="C32" s="48" t="s">
        <v>9</v>
      </c>
      <c r="D32" s="49" t="s">
        <v>64</v>
      </c>
      <c r="E32" s="59">
        <v>39788</v>
      </c>
      <c r="F32" s="59">
        <f t="shared" ca="1" si="1"/>
        <v>44812</v>
      </c>
      <c r="G32" s="78">
        <f t="shared" ca="1" si="2"/>
        <v>13</v>
      </c>
      <c r="H32" s="65">
        <v>2928</v>
      </c>
      <c r="I32" s="66">
        <f t="shared" ca="1" si="3"/>
        <v>260.00639999999999</v>
      </c>
    </row>
    <row r="33" spans="2:21" s="5" customFormat="1" ht="30" customHeight="1">
      <c r="B33" s="7"/>
      <c r="C33" s="7"/>
      <c r="D33" s="7"/>
      <c r="E33" s="7"/>
      <c r="F33" s="7"/>
    </row>
    <row r="34" spans="2:21" s="5" customFormat="1" ht="30" customHeight="1">
      <c r="B34" s="7"/>
      <c r="C34" s="7"/>
      <c r="D34" s="7"/>
      <c r="E34" s="7"/>
      <c r="F34" s="7"/>
    </row>
    <row r="35" spans="2:21" s="5" customFormat="1" ht="30" customHeight="1">
      <c r="B35" s="7"/>
      <c r="C35" s="7"/>
      <c r="D35" s="7"/>
      <c r="E35" s="7"/>
      <c r="F35" s="7"/>
    </row>
    <row r="36" spans="2:21" s="5" customFormat="1" ht="30" customHeight="1">
      <c r="B36" s="7"/>
      <c r="C36" s="7"/>
      <c r="D36" s="7"/>
      <c r="E36" s="7"/>
      <c r="F36" s="7"/>
      <c r="G36" s="7"/>
      <c r="H36" s="9"/>
      <c r="I36" s="7"/>
      <c r="J36" s="7"/>
      <c r="K36" s="7"/>
      <c r="L36" s="9"/>
      <c r="M36" s="7"/>
      <c r="N36" s="7"/>
      <c r="O36" s="7"/>
      <c r="P36" s="9"/>
      <c r="Q36" s="7"/>
      <c r="R36" s="7"/>
      <c r="S36" s="7"/>
      <c r="T36" s="7"/>
      <c r="U36" s="7"/>
    </row>
    <row r="37" spans="2:21" s="5" customFormat="1" ht="30" customHeight="1">
      <c r="B37" s="7"/>
      <c r="C37" s="7"/>
      <c r="D37" s="7"/>
      <c r="E37" s="7"/>
      <c r="F37" s="7"/>
      <c r="G37" s="7"/>
      <c r="H37" s="9"/>
      <c r="I37" s="7"/>
      <c r="J37" s="7"/>
      <c r="K37" s="7"/>
      <c r="L37" s="9"/>
      <c r="M37" s="7"/>
      <c r="N37" s="7"/>
      <c r="O37" s="7"/>
      <c r="P37" s="9"/>
      <c r="Q37" s="7"/>
      <c r="R37" s="7"/>
      <c r="S37" s="7"/>
      <c r="T37" s="7"/>
      <c r="U37" s="7"/>
    </row>
    <row r="38" spans="2:21" s="5" customFormat="1" ht="30" customHeight="1">
      <c r="B38" s="7"/>
      <c r="C38" s="7"/>
      <c r="D38" s="7"/>
      <c r="E38" s="7"/>
      <c r="F38" s="7"/>
      <c r="G38" s="7"/>
      <c r="H38" s="9"/>
      <c r="I38" s="7"/>
      <c r="J38" s="7"/>
      <c r="K38" s="7"/>
      <c r="L38" s="9"/>
      <c r="M38" s="7"/>
      <c r="N38" s="7"/>
      <c r="O38" s="7"/>
      <c r="P38" s="9"/>
      <c r="Q38" s="7"/>
      <c r="R38" s="7"/>
      <c r="S38" s="7"/>
      <c r="T38" s="7"/>
      <c r="U38" s="7"/>
    </row>
    <row r="39" spans="2:21" s="5" customFormat="1" ht="30" customHeight="1">
      <c r="B39" s="7"/>
      <c r="C39" s="7"/>
      <c r="D39" s="7"/>
      <c r="E39" s="7"/>
      <c r="F39" s="7"/>
      <c r="G39" s="7"/>
      <c r="H39" s="9"/>
      <c r="I39" s="7"/>
      <c r="J39" s="7"/>
      <c r="K39" s="7"/>
      <c r="L39" s="9"/>
      <c r="M39" s="7"/>
      <c r="N39" s="7"/>
      <c r="O39" s="7"/>
      <c r="P39" s="9"/>
      <c r="Q39" s="7"/>
      <c r="R39" s="7"/>
      <c r="S39" s="7"/>
      <c r="T39" s="7"/>
      <c r="U39" s="7"/>
    </row>
    <row r="40" spans="2:21" s="5" customFormat="1" ht="30" customHeight="1">
      <c r="B40" s="7"/>
      <c r="C40" s="7"/>
      <c r="D40" s="7"/>
      <c r="E40" s="7"/>
      <c r="F40" s="7"/>
      <c r="G40" s="7"/>
      <c r="H40" s="9"/>
      <c r="I40" s="7"/>
      <c r="J40" s="7"/>
      <c r="K40" s="7"/>
      <c r="L40" s="9"/>
      <c r="M40" s="7"/>
      <c r="N40" s="7"/>
      <c r="O40" s="7"/>
      <c r="P40" s="9"/>
      <c r="Q40" s="7"/>
      <c r="R40" s="7"/>
      <c r="S40" s="7"/>
      <c r="T40" s="7"/>
      <c r="U40" s="7"/>
    </row>
    <row r="41" spans="2:21" s="5" customFormat="1" ht="30" customHeight="1">
      <c r="B41" s="7"/>
      <c r="C41" s="7"/>
      <c r="D41" s="7"/>
      <c r="E41" s="7"/>
      <c r="F41" s="7"/>
      <c r="G41" s="7"/>
      <c r="H41" s="9"/>
      <c r="I41" s="7"/>
      <c r="J41" s="7"/>
      <c r="K41" s="7"/>
      <c r="L41" s="9"/>
      <c r="M41" s="7"/>
      <c r="N41" s="7"/>
      <c r="O41" s="7"/>
      <c r="P41" s="9"/>
      <c r="Q41" s="7"/>
      <c r="R41" s="7"/>
      <c r="S41" s="7"/>
      <c r="T41" s="7"/>
      <c r="U41" s="7"/>
    </row>
    <row r="42" spans="2:21" ht="18" customHeight="1">
      <c r="B42" s="11"/>
      <c r="C42" s="11"/>
      <c r="D42" s="11"/>
      <c r="E42" s="11"/>
      <c r="F42" s="11"/>
      <c r="G42" s="11"/>
      <c r="H42" s="12"/>
      <c r="I42" s="11"/>
      <c r="J42" s="11"/>
      <c r="K42" s="11"/>
      <c r="L42" s="12"/>
      <c r="M42" s="11"/>
      <c r="N42" s="11"/>
      <c r="O42" s="11"/>
      <c r="P42" s="12"/>
      <c r="Q42" s="11"/>
      <c r="R42" s="11"/>
      <c r="S42" s="11"/>
      <c r="T42" s="11"/>
      <c r="U42" s="11"/>
    </row>
    <row r="43" spans="2:21" ht="18" customHeight="1">
      <c r="B43" s="11"/>
      <c r="C43" s="11"/>
      <c r="D43" s="11"/>
      <c r="E43" s="11"/>
      <c r="F43" s="11"/>
      <c r="G43" s="11"/>
      <c r="H43" s="12"/>
      <c r="I43" s="11"/>
      <c r="J43" s="11"/>
      <c r="K43" s="11"/>
      <c r="L43" s="12"/>
      <c r="M43" s="11"/>
      <c r="N43" s="11"/>
      <c r="O43" s="11"/>
      <c r="P43" s="12"/>
      <c r="Q43" s="11"/>
      <c r="R43" s="11"/>
      <c r="S43" s="11"/>
      <c r="T43" s="11"/>
      <c r="U43" s="11"/>
    </row>
    <row r="44" spans="2:21" ht="18" customHeight="1">
      <c r="B44" s="11"/>
      <c r="C44" s="11"/>
      <c r="D44" s="11"/>
      <c r="E44" s="11"/>
      <c r="F44" s="11"/>
      <c r="G44" s="11"/>
      <c r="H44" s="12"/>
      <c r="I44" s="11"/>
      <c r="J44" s="11"/>
      <c r="K44" s="11"/>
      <c r="L44" s="12"/>
      <c r="M44" s="11"/>
      <c r="N44" s="11"/>
      <c r="O44" s="11"/>
      <c r="P44" s="12"/>
      <c r="Q44" s="11"/>
      <c r="R44" s="11"/>
      <c r="S44" s="11"/>
      <c r="T44" s="11"/>
      <c r="U44" s="11"/>
    </row>
    <row r="45" spans="2:21" ht="18" customHeight="1">
      <c r="B45" s="11"/>
      <c r="C45" s="11"/>
      <c r="D45" s="11"/>
      <c r="E45" s="11"/>
      <c r="F45" s="11"/>
      <c r="G45" s="11"/>
      <c r="H45" s="12"/>
      <c r="I45" s="11"/>
      <c r="J45" s="11"/>
      <c r="K45" s="11"/>
      <c r="L45" s="12"/>
      <c r="M45" s="11"/>
      <c r="N45" s="11"/>
      <c r="O45" s="11"/>
      <c r="P45" s="12"/>
      <c r="Q45" s="11"/>
      <c r="R45" s="11"/>
      <c r="S45" s="11"/>
      <c r="T45" s="11"/>
      <c r="U45" s="11"/>
    </row>
    <row r="46" spans="2:21" ht="18" customHeight="1">
      <c r="B46" s="11"/>
      <c r="C46" s="11"/>
      <c r="D46" s="11"/>
      <c r="E46" s="11"/>
      <c r="F46" s="11"/>
      <c r="G46" s="11"/>
      <c r="H46" s="12"/>
      <c r="I46" s="11"/>
      <c r="J46" s="11"/>
      <c r="K46" s="11"/>
      <c r="L46" s="12"/>
      <c r="M46" s="11"/>
      <c r="N46" s="11"/>
      <c r="O46" s="11"/>
      <c r="P46" s="12"/>
      <c r="Q46" s="11"/>
      <c r="R46" s="11"/>
      <c r="S46" s="11"/>
      <c r="T46" s="11"/>
      <c r="U46" s="11"/>
    </row>
    <row r="47" spans="2:21" ht="18" customHeight="1">
      <c r="B47" s="11"/>
      <c r="C47" s="11"/>
      <c r="D47" s="11"/>
      <c r="E47" s="11"/>
      <c r="F47" s="11"/>
      <c r="G47" s="11"/>
      <c r="H47" s="12"/>
      <c r="I47" s="11"/>
      <c r="J47" s="11"/>
      <c r="K47" s="11"/>
      <c r="L47" s="12"/>
      <c r="M47" s="11"/>
      <c r="N47" s="11"/>
      <c r="O47" s="11"/>
      <c r="P47" s="12"/>
      <c r="Q47" s="11"/>
      <c r="R47" s="11"/>
      <c r="S47" s="11"/>
      <c r="T47" s="11"/>
      <c r="U47" s="11"/>
    </row>
    <row r="48" spans="2:21" ht="18" customHeight="1">
      <c r="B48" s="11"/>
      <c r="C48" s="11"/>
      <c r="D48" s="11"/>
      <c r="E48" s="11"/>
      <c r="F48" s="11"/>
      <c r="G48" s="11"/>
      <c r="H48" s="12"/>
      <c r="I48" s="11"/>
      <c r="J48" s="11"/>
      <c r="K48" s="11"/>
      <c r="L48" s="12"/>
      <c r="M48" s="11"/>
      <c r="N48" s="11"/>
      <c r="O48" s="11"/>
      <c r="P48" s="12"/>
      <c r="Q48" s="11"/>
      <c r="R48" s="11"/>
      <c r="S48" s="11"/>
      <c r="T48" s="11"/>
      <c r="U48" s="11"/>
    </row>
    <row r="49" spans="2:21" ht="18" customHeight="1">
      <c r="B49" s="11"/>
      <c r="C49" s="11"/>
      <c r="D49" s="11"/>
      <c r="E49" s="11"/>
      <c r="F49" s="11"/>
      <c r="G49" s="11"/>
      <c r="H49" s="12"/>
      <c r="I49" s="11"/>
      <c r="J49" s="11"/>
      <c r="K49" s="11"/>
      <c r="L49" s="12"/>
      <c r="M49" s="11"/>
      <c r="N49" s="11"/>
      <c r="O49" s="11"/>
      <c r="P49" s="12"/>
      <c r="Q49" s="11"/>
      <c r="R49" s="11"/>
      <c r="S49" s="11"/>
      <c r="T49" s="11"/>
      <c r="U49" s="11"/>
    </row>
    <row r="50" spans="2:21" ht="18" customHeight="1">
      <c r="B50" s="11"/>
      <c r="C50" s="11"/>
      <c r="D50" s="11"/>
      <c r="E50" s="11"/>
      <c r="F50" s="11"/>
      <c r="G50" s="11"/>
      <c r="H50" s="12"/>
      <c r="I50" s="11"/>
      <c r="J50" s="11"/>
      <c r="K50" s="11"/>
      <c r="L50" s="12"/>
      <c r="M50" s="11"/>
      <c r="N50" s="11"/>
      <c r="O50" s="11"/>
      <c r="P50" s="12"/>
      <c r="Q50" s="11"/>
      <c r="R50" s="11"/>
      <c r="S50" s="11"/>
      <c r="T50" s="11"/>
      <c r="U50" s="11"/>
    </row>
    <row r="51" spans="2:21" ht="18" customHeight="1">
      <c r="B51" s="11"/>
      <c r="C51" s="11"/>
      <c r="D51" s="11"/>
      <c r="E51" s="11"/>
      <c r="F51" s="11"/>
      <c r="G51" s="11"/>
      <c r="H51" s="12"/>
      <c r="I51" s="11"/>
      <c r="J51" s="11"/>
      <c r="K51" s="11"/>
      <c r="L51" s="12"/>
      <c r="M51" s="11"/>
      <c r="N51" s="11"/>
      <c r="O51" s="11"/>
      <c r="P51" s="12"/>
      <c r="Q51" s="11"/>
      <c r="R51" s="11"/>
      <c r="S51" s="11"/>
      <c r="T51" s="11"/>
      <c r="U51" s="11"/>
    </row>
    <row r="52" spans="2:21" ht="18" customHeight="1">
      <c r="B52" s="14"/>
      <c r="E52" s="11"/>
      <c r="F52" s="11"/>
      <c r="G52" s="11"/>
      <c r="H52" s="12"/>
      <c r="I52" s="11"/>
      <c r="J52" s="11"/>
      <c r="K52" s="11"/>
      <c r="L52" s="12"/>
      <c r="M52" s="11"/>
      <c r="N52" s="11"/>
      <c r="O52" s="11"/>
      <c r="P52" s="12"/>
      <c r="Q52" s="11"/>
      <c r="R52" s="11"/>
      <c r="S52" s="11"/>
      <c r="T52" s="11"/>
      <c r="U52" s="11"/>
    </row>
    <row r="54" spans="2:21" ht="15" customHeight="1"/>
  </sheetData>
  <sheetProtection formatCells="0" formatColumns="0" formatRows="0" selectLockedCells="1"/>
  <mergeCells count="2">
    <mergeCell ref="C6:E6"/>
    <mergeCell ref="E1:H1"/>
  </mergeCells>
  <pageMargins left="0.75" right="0.75" top="1" bottom="1" header="0" footer="0"/>
  <pageSetup paperSize="9" orientation="portrait" horizontalDpi="300" verticalDpi="300" r:id="rId1"/>
  <headerFooter alignWithMargins="0"/>
  <ignoredErrors>
    <ignoredError sqref="G23" unlockedFormula="1"/>
  </ignoredError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7346"/>
  </sheetPr>
  <dimension ref="B1:U54"/>
  <sheetViews>
    <sheetView showGridLines="0" zoomScale="85" zoomScaleNormal="85" workbookViewId="0">
      <selection activeCell="I4" sqref="I4"/>
    </sheetView>
  </sheetViews>
  <sheetFormatPr baseColWidth="10" defaultColWidth="15.6640625" defaultRowHeight="24.9" customHeight="1"/>
  <cols>
    <col min="1" max="1" width="4.5546875" style="13" customWidth="1"/>
    <col min="2" max="2" width="16.5546875" style="13" customWidth="1"/>
    <col min="3" max="3" width="41.109375" style="13" customWidth="1"/>
    <col min="4" max="4" width="27.88671875" style="13" customWidth="1"/>
    <col min="5" max="5" width="19.88671875" style="13" customWidth="1"/>
    <col min="6" max="6" width="21.44140625" style="13" customWidth="1"/>
    <col min="7" max="7" width="15.33203125" style="13" customWidth="1"/>
    <col min="8" max="8" width="18.109375" style="13" customWidth="1"/>
    <col min="9" max="9" width="20.33203125" style="13" customWidth="1"/>
    <col min="10" max="10" width="25.5546875" style="13" customWidth="1"/>
    <col min="11" max="16384" width="15.6640625" style="13"/>
  </cols>
  <sheetData>
    <row r="1" spans="2:21" s="38" customFormat="1" ht="46.8" customHeight="1">
      <c r="D1" s="39"/>
      <c r="E1" s="84" t="s">
        <v>103</v>
      </c>
      <c r="F1" s="84"/>
      <c r="G1" s="84"/>
      <c r="H1" s="84"/>
      <c r="I1" s="40"/>
      <c r="J1" s="40"/>
      <c r="K1" s="40"/>
      <c r="L1" s="40"/>
      <c r="M1" s="41"/>
      <c r="N1" s="41"/>
      <c r="O1" s="41"/>
      <c r="P1" s="41"/>
      <c r="Q1" s="41"/>
      <c r="R1" s="41"/>
      <c r="S1" s="41"/>
      <c r="T1" s="41"/>
      <c r="U1" s="41"/>
    </row>
    <row r="2" spans="2:21" s="2" customFormat="1" ht="12" customHeight="1"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1" s="5" customFormat="1" ht="30" customHeight="1">
      <c r="B3" s="42" t="s">
        <v>10</v>
      </c>
      <c r="C3" s="29" t="s">
        <v>105</v>
      </c>
      <c r="D3" s="19"/>
      <c r="E3" s="20"/>
      <c r="F3" s="21"/>
    </row>
    <row r="4" spans="2:21" s="5" customFormat="1" ht="11.25" customHeight="1"/>
    <row r="5" spans="2:21" s="5" customFormat="1" ht="30" customHeight="1" thickBot="1">
      <c r="C5" s="88" t="s">
        <v>115</v>
      </c>
      <c r="D5" s="88"/>
      <c r="E5" s="88"/>
      <c r="F5" s="17"/>
      <c r="G5" s="17"/>
      <c r="H5" s="17"/>
    </row>
    <row r="6" spans="2:21" s="5" customFormat="1" ht="30" customHeight="1">
      <c r="C6" s="67" t="s">
        <v>19</v>
      </c>
      <c r="D6" s="68" t="s">
        <v>20</v>
      </c>
      <c r="E6" s="69" t="s">
        <v>21</v>
      </c>
    </row>
    <row r="7" spans="2:21" s="5" customFormat="1" ht="30" customHeight="1">
      <c r="C7" s="43" t="s">
        <v>0</v>
      </c>
      <c r="D7" s="75">
        <v>24398</v>
      </c>
      <c r="E7" s="63">
        <f>D7*9.99%</f>
        <v>2437.3602000000001</v>
      </c>
    </row>
    <row r="8" spans="2:21" s="5" customFormat="1" ht="30" customHeight="1">
      <c r="C8" s="43" t="s">
        <v>1</v>
      </c>
      <c r="D8" s="75">
        <v>20415</v>
      </c>
      <c r="E8" s="63">
        <f t="shared" ref="E8:E16" si="0">D8*9.99%</f>
        <v>2039.4585</v>
      </c>
    </row>
    <row r="9" spans="2:21" s="5" customFormat="1" ht="30" customHeight="1">
      <c r="C9" s="43" t="s">
        <v>2</v>
      </c>
      <c r="D9" s="75">
        <v>18133</v>
      </c>
      <c r="E9" s="63">
        <f t="shared" si="0"/>
        <v>1811.4867000000002</v>
      </c>
    </row>
    <row r="10" spans="2:21" s="5" customFormat="1" ht="30" customHeight="1">
      <c r="C10" s="43" t="s">
        <v>3</v>
      </c>
      <c r="D10" s="75">
        <v>13079</v>
      </c>
      <c r="E10" s="63">
        <f t="shared" si="0"/>
        <v>1306.5921000000001</v>
      </c>
    </row>
    <row r="11" spans="2:21" s="5" customFormat="1" ht="30" customHeight="1">
      <c r="C11" s="43" t="s">
        <v>4</v>
      </c>
      <c r="D11" s="75">
        <v>21677</v>
      </c>
      <c r="E11" s="63">
        <f t="shared" si="0"/>
        <v>2165.5322999999999</v>
      </c>
    </row>
    <row r="12" spans="2:21" s="5" customFormat="1" ht="30" customHeight="1">
      <c r="C12" s="43" t="s">
        <v>5</v>
      </c>
      <c r="D12" s="75">
        <v>17617</v>
      </c>
      <c r="E12" s="63">
        <f t="shared" si="0"/>
        <v>1759.9383</v>
      </c>
    </row>
    <row r="13" spans="2:21" s="5" customFormat="1" ht="30" customHeight="1">
      <c r="C13" s="43" t="s">
        <v>6</v>
      </c>
      <c r="D13" s="75">
        <v>21633</v>
      </c>
      <c r="E13" s="63">
        <f t="shared" si="0"/>
        <v>2161.1367</v>
      </c>
    </row>
    <row r="14" spans="2:21" s="5" customFormat="1" ht="30" customHeight="1">
      <c r="C14" s="43" t="s">
        <v>7</v>
      </c>
      <c r="D14" s="75">
        <v>13706</v>
      </c>
      <c r="E14" s="63">
        <f t="shared" si="0"/>
        <v>1369.2293999999999</v>
      </c>
    </row>
    <row r="15" spans="2:21" s="5" customFormat="1" ht="30" customHeight="1">
      <c r="C15" s="43" t="s">
        <v>8</v>
      </c>
      <c r="D15" s="75">
        <v>13723</v>
      </c>
      <c r="E15" s="63">
        <f t="shared" si="0"/>
        <v>1370.9277</v>
      </c>
    </row>
    <row r="16" spans="2:21" s="5" customFormat="1" ht="30" customHeight="1" thickBot="1">
      <c r="C16" s="48" t="s">
        <v>9</v>
      </c>
      <c r="D16" s="76">
        <v>19286</v>
      </c>
      <c r="E16" s="66">
        <f t="shared" si="0"/>
        <v>1926.6713999999999</v>
      </c>
    </row>
    <row r="17" spans="2:21" s="5" customFormat="1" ht="30" customHeight="1"/>
    <row r="18" spans="2:21" s="5" customFormat="1" ht="30" customHeight="1"/>
    <row r="19" spans="2:21" s="5" customFormat="1" ht="30" customHeight="1">
      <c r="B19" s="42" t="s">
        <v>18</v>
      </c>
      <c r="C19" s="30" t="s">
        <v>104</v>
      </c>
      <c r="D19" s="19"/>
      <c r="E19" s="20"/>
      <c r="F19" s="20"/>
      <c r="G19" s="21"/>
    </row>
    <row r="20" spans="2:21" s="5" customFormat="1" ht="30" customHeight="1"/>
    <row r="21" spans="2:21" s="5" customFormat="1" ht="30" customHeight="1" thickBot="1">
      <c r="C21" s="36" t="s">
        <v>114</v>
      </c>
      <c r="D21" s="36"/>
      <c r="E21" s="36"/>
      <c r="F21" s="18"/>
      <c r="G21" s="18"/>
      <c r="H21" s="18"/>
      <c r="I21" s="18"/>
    </row>
    <row r="22" spans="2:21" s="5" customFormat="1" ht="30" customHeight="1">
      <c r="C22" s="67" t="s">
        <v>60</v>
      </c>
      <c r="D22" s="68" t="s">
        <v>62</v>
      </c>
      <c r="E22" s="68" t="s">
        <v>66</v>
      </c>
      <c r="F22" s="70" t="s">
        <v>67</v>
      </c>
      <c r="G22" s="70" t="s">
        <v>68</v>
      </c>
      <c r="H22" s="68" t="s">
        <v>65</v>
      </c>
      <c r="I22" s="69" t="s">
        <v>61</v>
      </c>
    </row>
    <row r="23" spans="2:21" s="5" customFormat="1" ht="30" customHeight="1">
      <c r="C23" s="43" t="s">
        <v>0</v>
      </c>
      <c r="D23" s="44" t="s">
        <v>63</v>
      </c>
      <c r="E23" s="58">
        <v>36697</v>
      </c>
      <c r="F23" s="58">
        <f t="shared" ref="F23:F32" ca="1" si="1">TODAY()</f>
        <v>44812</v>
      </c>
      <c r="G23" s="77">
        <f ca="1">DATEDIF(E23,F23,"y")</f>
        <v>22</v>
      </c>
      <c r="H23" s="62">
        <v>2542</v>
      </c>
      <c r="I23" s="63">
        <f ca="1">IF(G23&gt;10,8.88%*H23,4.44%*H23)</f>
        <v>225.7296</v>
      </c>
    </row>
    <row r="24" spans="2:21" s="5" customFormat="1" ht="30" customHeight="1">
      <c r="C24" s="43" t="s">
        <v>1</v>
      </c>
      <c r="D24" s="44" t="s">
        <v>20</v>
      </c>
      <c r="E24" s="58">
        <v>41516</v>
      </c>
      <c r="F24" s="58">
        <f t="shared" ca="1" si="1"/>
        <v>44812</v>
      </c>
      <c r="G24" s="77">
        <f t="shared" ref="G24:G32" ca="1" si="2">DATEDIF(E24,F24,"y")</f>
        <v>9</v>
      </c>
      <c r="H24" s="62">
        <v>2681</v>
      </c>
      <c r="I24" s="63">
        <f t="shared" ref="I24:I32" ca="1" si="3">IF(G24&gt;10,8.88%*H24,4.44%*H24)</f>
        <v>119.0364</v>
      </c>
    </row>
    <row r="25" spans="2:21" s="5" customFormat="1" ht="30" customHeight="1">
      <c r="C25" s="43" t="s">
        <v>2</v>
      </c>
      <c r="D25" s="44" t="s">
        <v>64</v>
      </c>
      <c r="E25" s="58">
        <v>37893</v>
      </c>
      <c r="F25" s="58">
        <f t="shared" ca="1" si="1"/>
        <v>44812</v>
      </c>
      <c r="G25" s="77">
        <f t="shared" ca="1" si="2"/>
        <v>18</v>
      </c>
      <c r="H25" s="62">
        <v>2433</v>
      </c>
      <c r="I25" s="63">
        <f t="shared" ca="1" si="3"/>
        <v>216.0504</v>
      </c>
    </row>
    <row r="26" spans="2:21" s="5" customFormat="1" ht="30" customHeight="1">
      <c r="C26" s="43" t="s">
        <v>3</v>
      </c>
      <c r="D26" s="44" t="s">
        <v>63</v>
      </c>
      <c r="E26" s="58">
        <v>39496</v>
      </c>
      <c r="F26" s="58">
        <f t="shared" ca="1" si="1"/>
        <v>44812</v>
      </c>
      <c r="G26" s="77">
        <f t="shared" ca="1" si="2"/>
        <v>14</v>
      </c>
      <c r="H26" s="62">
        <v>3156</v>
      </c>
      <c r="I26" s="63">
        <f t="shared" ca="1" si="3"/>
        <v>280.25280000000004</v>
      </c>
    </row>
    <row r="27" spans="2:21" s="5" customFormat="1" ht="30" customHeight="1">
      <c r="C27" s="43" t="s">
        <v>4</v>
      </c>
      <c r="D27" s="44" t="s">
        <v>20</v>
      </c>
      <c r="E27" s="58">
        <v>41060</v>
      </c>
      <c r="F27" s="58">
        <f t="shared" ca="1" si="1"/>
        <v>44812</v>
      </c>
      <c r="G27" s="77">
        <f t="shared" ca="1" si="2"/>
        <v>10</v>
      </c>
      <c r="H27" s="62">
        <v>2209</v>
      </c>
      <c r="I27" s="63">
        <f t="shared" ca="1" si="3"/>
        <v>98.079599999999999</v>
      </c>
      <c r="J27" s="7"/>
      <c r="K27" s="7"/>
      <c r="L27" s="9"/>
      <c r="M27" s="7"/>
      <c r="N27" s="7"/>
      <c r="O27" s="7"/>
      <c r="P27" s="9"/>
      <c r="Q27" s="7"/>
      <c r="R27" s="7"/>
      <c r="S27" s="7"/>
      <c r="T27" s="7"/>
      <c r="U27" s="7"/>
    </row>
    <row r="28" spans="2:21" s="5" customFormat="1" ht="30" customHeight="1">
      <c r="C28" s="43" t="s">
        <v>5</v>
      </c>
      <c r="D28" s="44" t="s">
        <v>20</v>
      </c>
      <c r="E28" s="58">
        <v>38324</v>
      </c>
      <c r="F28" s="58">
        <f t="shared" ca="1" si="1"/>
        <v>44812</v>
      </c>
      <c r="G28" s="77">
        <f t="shared" ca="1" si="2"/>
        <v>17</v>
      </c>
      <c r="H28" s="62">
        <v>1759</v>
      </c>
      <c r="I28" s="63">
        <f t="shared" ca="1" si="3"/>
        <v>156.19920000000002</v>
      </c>
      <c r="J28" s="7"/>
      <c r="K28" s="7"/>
      <c r="L28" s="9"/>
      <c r="M28" s="7"/>
      <c r="N28" s="7"/>
      <c r="O28" s="7"/>
      <c r="P28" s="9"/>
      <c r="Q28" s="7"/>
      <c r="R28" s="7"/>
      <c r="S28" s="7"/>
      <c r="T28" s="7"/>
      <c r="U28" s="7"/>
    </row>
    <row r="29" spans="2:21" s="5" customFormat="1" ht="30" customHeight="1">
      <c r="C29" s="43" t="s">
        <v>6</v>
      </c>
      <c r="D29" s="44" t="s">
        <v>63</v>
      </c>
      <c r="E29" s="58">
        <v>40067</v>
      </c>
      <c r="F29" s="58">
        <f t="shared" ca="1" si="1"/>
        <v>44812</v>
      </c>
      <c r="G29" s="77">
        <f t="shared" ca="1" si="2"/>
        <v>12</v>
      </c>
      <c r="H29" s="62">
        <v>1863</v>
      </c>
      <c r="I29" s="63">
        <f t="shared" ca="1" si="3"/>
        <v>165.43440000000001</v>
      </c>
      <c r="J29" s="7"/>
      <c r="K29" s="7"/>
      <c r="L29" s="9"/>
      <c r="M29" s="7"/>
      <c r="N29" s="7"/>
      <c r="O29" s="7"/>
      <c r="P29" s="9"/>
      <c r="Q29" s="7"/>
      <c r="R29" s="7"/>
      <c r="S29" s="7"/>
      <c r="T29" s="7"/>
      <c r="U29" s="7"/>
    </row>
    <row r="30" spans="2:21" s="5" customFormat="1" ht="30" customHeight="1">
      <c r="C30" s="43" t="s">
        <v>7</v>
      </c>
      <c r="D30" s="44" t="s">
        <v>63</v>
      </c>
      <c r="E30" s="58">
        <v>39293</v>
      </c>
      <c r="F30" s="58">
        <f t="shared" ca="1" si="1"/>
        <v>44812</v>
      </c>
      <c r="G30" s="77">
        <f t="shared" ca="1" si="2"/>
        <v>15</v>
      </c>
      <c r="H30" s="62">
        <v>2559</v>
      </c>
      <c r="I30" s="63">
        <f t="shared" ca="1" si="3"/>
        <v>227.23920000000001</v>
      </c>
      <c r="J30" s="7"/>
      <c r="K30" s="7"/>
      <c r="L30" s="9"/>
      <c r="M30" s="7"/>
      <c r="N30" s="7"/>
      <c r="O30" s="7"/>
      <c r="P30" s="9"/>
      <c r="Q30" s="7"/>
      <c r="R30" s="7"/>
      <c r="S30" s="7"/>
      <c r="T30" s="7"/>
      <c r="U30" s="7"/>
    </row>
    <row r="31" spans="2:21" s="5" customFormat="1" ht="30" customHeight="1">
      <c r="C31" s="43" t="s">
        <v>8</v>
      </c>
      <c r="D31" s="44" t="s">
        <v>64</v>
      </c>
      <c r="E31" s="58">
        <v>38312</v>
      </c>
      <c r="F31" s="58">
        <f t="shared" ca="1" si="1"/>
        <v>44812</v>
      </c>
      <c r="G31" s="77">
        <f t="shared" ca="1" si="2"/>
        <v>17</v>
      </c>
      <c r="H31" s="62">
        <v>2900</v>
      </c>
      <c r="I31" s="63">
        <f t="shared" ca="1" si="3"/>
        <v>257.52000000000004</v>
      </c>
      <c r="J31" s="7"/>
      <c r="K31" s="7"/>
      <c r="L31" s="9"/>
      <c r="M31" s="7"/>
      <c r="N31" s="7"/>
      <c r="O31" s="7"/>
      <c r="P31" s="9"/>
      <c r="Q31" s="7"/>
      <c r="R31" s="7"/>
      <c r="S31" s="7"/>
      <c r="T31" s="7"/>
      <c r="U31" s="7"/>
    </row>
    <row r="32" spans="2:21" s="5" customFormat="1" ht="30" customHeight="1" thickBot="1">
      <c r="C32" s="48" t="s">
        <v>9</v>
      </c>
      <c r="D32" s="49" t="s">
        <v>64</v>
      </c>
      <c r="E32" s="59">
        <v>39788</v>
      </c>
      <c r="F32" s="59">
        <f t="shared" ca="1" si="1"/>
        <v>44812</v>
      </c>
      <c r="G32" s="78">
        <f t="shared" ca="1" si="2"/>
        <v>13</v>
      </c>
      <c r="H32" s="65">
        <v>2928</v>
      </c>
      <c r="I32" s="66">
        <f t="shared" ca="1" si="3"/>
        <v>260.00639999999999</v>
      </c>
    </row>
    <row r="33" spans="2:21" s="5" customFormat="1" ht="30" customHeight="1">
      <c r="B33" s="7"/>
      <c r="C33" s="7"/>
      <c r="D33" s="7"/>
      <c r="E33" s="7"/>
      <c r="F33" s="7"/>
    </row>
    <row r="34" spans="2:21" s="5" customFormat="1" ht="30" customHeight="1">
      <c r="B34" s="7"/>
      <c r="C34" s="7"/>
      <c r="D34" s="7"/>
      <c r="E34" s="7"/>
      <c r="F34" s="7"/>
    </row>
    <row r="35" spans="2:21" s="5" customFormat="1" ht="30" customHeight="1">
      <c r="B35" s="7"/>
      <c r="C35" s="7"/>
      <c r="D35" s="7"/>
      <c r="E35" s="7"/>
      <c r="F35" s="7"/>
    </row>
    <row r="36" spans="2:21" s="5" customFormat="1" ht="30" customHeight="1">
      <c r="B36" s="7"/>
      <c r="C36" s="7"/>
      <c r="D36" s="7"/>
      <c r="E36" s="7"/>
      <c r="F36" s="7"/>
      <c r="G36" s="7"/>
      <c r="H36" s="9"/>
      <c r="I36" s="7"/>
      <c r="J36" s="7"/>
      <c r="K36" s="7"/>
      <c r="L36" s="9"/>
      <c r="M36" s="7"/>
      <c r="N36" s="7"/>
      <c r="O36" s="7"/>
      <c r="P36" s="9"/>
      <c r="Q36" s="7"/>
      <c r="R36" s="7"/>
      <c r="S36" s="7"/>
      <c r="T36" s="7"/>
      <c r="U36" s="7"/>
    </row>
    <row r="37" spans="2:21" s="5" customFormat="1" ht="30" customHeight="1">
      <c r="B37" s="7"/>
      <c r="C37" s="7"/>
      <c r="D37" s="7"/>
      <c r="E37" s="7"/>
      <c r="F37" s="7"/>
      <c r="G37" s="7"/>
      <c r="H37" s="9"/>
      <c r="I37" s="7"/>
      <c r="J37" s="7"/>
      <c r="K37" s="7"/>
      <c r="L37" s="9"/>
      <c r="M37" s="7"/>
      <c r="N37" s="7"/>
      <c r="O37" s="7"/>
      <c r="P37" s="9"/>
      <c r="Q37" s="7"/>
      <c r="R37" s="7"/>
      <c r="S37" s="7"/>
      <c r="T37" s="7"/>
      <c r="U37" s="7"/>
    </row>
    <row r="38" spans="2:21" s="5" customFormat="1" ht="30" customHeight="1">
      <c r="B38" s="7"/>
      <c r="C38" s="7"/>
      <c r="D38" s="7"/>
      <c r="E38" s="7"/>
      <c r="F38" s="7"/>
      <c r="G38" s="7"/>
      <c r="H38" s="9"/>
      <c r="I38" s="7"/>
      <c r="J38" s="7"/>
      <c r="K38" s="7"/>
      <c r="L38" s="9"/>
      <c r="M38" s="7"/>
      <c r="N38" s="7"/>
      <c r="O38" s="7"/>
      <c r="P38" s="9"/>
      <c r="Q38" s="7"/>
      <c r="R38" s="7"/>
      <c r="S38" s="7"/>
      <c r="T38" s="7"/>
      <c r="U38" s="7"/>
    </row>
    <row r="39" spans="2:21" s="5" customFormat="1" ht="30" customHeight="1">
      <c r="B39" s="7"/>
      <c r="C39" s="7"/>
      <c r="D39" s="7"/>
      <c r="E39" s="7"/>
      <c r="F39" s="7"/>
      <c r="G39" s="7"/>
      <c r="H39" s="9"/>
      <c r="I39" s="7"/>
      <c r="J39" s="7"/>
      <c r="K39" s="7"/>
      <c r="L39" s="9"/>
      <c r="M39" s="7"/>
      <c r="N39" s="7"/>
      <c r="O39" s="7"/>
      <c r="P39" s="9"/>
      <c r="Q39" s="7"/>
      <c r="R39" s="7"/>
      <c r="S39" s="7"/>
      <c r="T39" s="7"/>
      <c r="U39" s="7"/>
    </row>
    <row r="40" spans="2:21" s="5" customFormat="1" ht="30" customHeight="1">
      <c r="B40" s="7"/>
      <c r="C40" s="7"/>
      <c r="D40" s="7"/>
      <c r="E40" s="7"/>
      <c r="F40" s="7"/>
      <c r="G40" s="7"/>
      <c r="H40" s="9"/>
      <c r="I40" s="7"/>
      <c r="J40" s="7"/>
      <c r="K40" s="7"/>
      <c r="L40" s="9"/>
      <c r="M40" s="7"/>
      <c r="N40" s="7"/>
      <c r="O40" s="7"/>
      <c r="P40" s="9"/>
      <c r="Q40" s="7"/>
      <c r="R40" s="7"/>
      <c r="S40" s="7"/>
      <c r="T40" s="7"/>
      <c r="U40" s="7"/>
    </row>
    <row r="41" spans="2:21" s="5" customFormat="1" ht="30" customHeight="1">
      <c r="B41" s="7"/>
      <c r="C41" s="7"/>
      <c r="D41" s="7"/>
      <c r="E41" s="7"/>
      <c r="F41" s="7"/>
      <c r="G41" s="7"/>
      <c r="H41" s="9"/>
      <c r="I41" s="7"/>
      <c r="J41" s="7"/>
      <c r="K41" s="7"/>
      <c r="L41" s="9"/>
      <c r="M41" s="7"/>
      <c r="N41" s="7"/>
      <c r="O41" s="7"/>
      <c r="P41" s="9"/>
      <c r="Q41" s="7"/>
      <c r="R41" s="7"/>
      <c r="S41" s="7"/>
      <c r="T41" s="7"/>
      <c r="U41" s="7"/>
    </row>
    <row r="42" spans="2:21" ht="18" customHeight="1">
      <c r="B42" s="11"/>
      <c r="C42" s="11"/>
      <c r="D42" s="11"/>
      <c r="E42" s="11"/>
      <c r="F42" s="11"/>
      <c r="G42" s="11"/>
      <c r="H42" s="12"/>
      <c r="I42" s="11"/>
      <c r="J42" s="11"/>
      <c r="K42" s="11"/>
      <c r="L42" s="12"/>
      <c r="M42" s="11"/>
      <c r="N42" s="11"/>
      <c r="O42" s="11"/>
      <c r="P42" s="12"/>
      <c r="Q42" s="11"/>
      <c r="R42" s="11"/>
      <c r="S42" s="11"/>
      <c r="T42" s="11"/>
      <c r="U42" s="11"/>
    </row>
    <row r="43" spans="2:21" ht="18" customHeight="1">
      <c r="B43" s="11"/>
      <c r="C43" s="11"/>
      <c r="D43" s="11"/>
      <c r="E43" s="11"/>
      <c r="F43" s="11"/>
      <c r="G43" s="11"/>
      <c r="H43" s="12"/>
      <c r="I43" s="11"/>
      <c r="J43" s="11"/>
      <c r="K43" s="11"/>
      <c r="L43" s="12"/>
      <c r="M43" s="11"/>
      <c r="N43" s="11"/>
      <c r="O43" s="11"/>
      <c r="P43" s="12"/>
      <c r="Q43" s="11"/>
      <c r="R43" s="11"/>
      <c r="S43" s="11"/>
      <c r="T43" s="11"/>
      <c r="U43" s="11"/>
    </row>
    <row r="44" spans="2:21" ht="18" customHeight="1">
      <c r="B44" s="11"/>
      <c r="C44" s="11"/>
      <c r="D44" s="11"/>
      <c r="E44" s="11"/>
      <c r="F44" s="11"/>
      <c r="G44" s="11"/>
      <c r="H44" s="12"/>
      <c r="I44" s="11"/>
      <c r="J44" s="11"/>
      <c r="K44" s="11"/>
      <c r="L44" s="12"/>
      <c r="M44" s="11"/>
      <c r="N44" s="11"/>
      <c r="O44" s="11"/>
      <c r="P44" s="12"/>
      <c r="Q44" s="11"/>
      <c r="R44" s="11"/>
      <c r="S44" s="11"/>
      <c r="T44" s="11"/>
      <c r="U44" s="11"/>
    </row>
    <row r="45" spans="2:21" ht="18" customHeight="1">
      <c r="B45" s="11"/>
      <c r="C45" s="11"/>
      <c r="D45" s="11"/>
      <c r="E45" s="11"/>
      <c r="F45" s="11"/>
      <c r="G45" s="11"/>
      <c r="H45" s="12"/>
      <c r="I45" s="11"/>
      <c r="J45" s="11"/>
      <c r="K45" s="11"/>
      <c r="L45" s="12"/>
      <c r="M45" s="11"/>
      <c r="N45" s="11"/>
      <c r="O45" s="11"/>
      <c r="P45" s="12"/>
      <c r="Q45" s="11"/>
      <c r="R45" s="11"/>
      <c r="S45" s="11"/>
      <c r="T45" s="11"/>
      <c r="U45" s="11"/>
    </row>
    <row r="46" spans="2:21" ht="18" customHeight="1">
      <c r="B46" s="11"/>
      <c r="C46" s="11"/>
      <c r="D46" s="11"/>
      <c r="E46" s="11"/>
      <c r="F46" s="11"/>
      <c r="G46" s="11"/>
      <c r="H46" s="12"/>
      <c r="I46" s="11"/>
      <c r="J46" s="11"/>
      <c r="K46" s="11"/>
      <c r="L46" s="12"/>
      <c r="M46" s="11"/>
      <c r="N46" s="11"/>
      <c r="O46" s="11"/>
      <c r="P46" s="12"/>
      <c r="Q46" s="11"/>
      <c r="R46" s="11"/>
      <c r="S46" s="11"/>
      <c r="T46" s="11"/>
      <c r="U46" s="11"/>
    </row>
    <row r="47" spans="2:21" ht="18" customHeight="1">
      <c r="B47" s="11"/>
      <c r="C47" s="11"/>
      <c r="D47" s="11"/>
      <c r="E47" s="11"/>
      <c r="F47" s="11"/>
      <c r="G47" s="11"/>
      <c r="H47" s="12"/>
      <c r="I47" s="11"/>
      <c r="J47" s="11"/>
      <c r="K47" s="11"/>
      <c r="L47" s="12"/>
      <c r="M47" s="11"/>
      <c r="N47" s="11"/>
      <c r="O47" s="11"/>
      <c r="P47" s="12"/>
      <c r="Q47" s="11"/>
      <c r="R47" s="11"/>
      <c r="S47" s="11"/>
      <c r="T47" s="11"/>
      <c r="U47" s="11"/>
    </row>
    <row r="48" spans="2:21" ht="18" customHeight="1">
      <c r="B48" s="11"/>
      <c r="C48" s="11"/>
      <c r="D48" s="11"/>
      <c r="E48" s="11"/>
      <c r="F48" s="11"/>
      <c r="G48" s="11"/>
      <c r="H48" s="12"/>
      <c r="I48" s="11"/>
      <c r="J48" s="11"/>
      <c r="K48" s="11"/>
      <c r="L48" s="12"/>
      <c r="M48" s="11"/>
      <c r="N48" s="11"/>
      <c r="O48" s="11"/>
      <c r="P48" s="12"/>
      <c r="Q48" s="11"/>
      <c r="R48" s="11"/>
      <c r="S48" s="11"/>
      <c r="T48" s="11"/>
      <c r="U48" s="11"/>
    </row>
    <row r="49" spans="2:21" ht="18" customHeight="1">
      <c r="B49" s="11"/>
      <c r="C49" s="11"/>
      <c r="D49" s="11"/>
      <c r="E49" s="11"/>
      <c r="F49" s="11"/>
      <c r="G49" s="11"/>
      <c r="H49" s="12"/>
      <c r="I49" s="11"/>
      <c r="J49" s="11"/>
      <c r="K49" s="11"/>
      <c r="L49" s="12"/>
      <c r="M49" s="11"/>
      <c r="N49" s="11"/>
      <c r="O49" s="11"/>
      <c r="P49" s="12"/>
      <c r="Q49" s="11"/>
      <c r="R49" s="11"/>
      <c r="S49" s="11"/>
      <c r="T49" s="11"/>
      <c r="U49" s="11"/>
    </row>
    <row r="50" spans="2:21" ht="18" customHeight="1">
      <c r="B50" s="11"/>
      <c r="C50" s="11"/>
      <c r="D50" s="11"/>
      <c r="E50" s="11"/>
      <c r="F50" s="11"/>
      <c r="G50" s="11"/>
      <c r="H50" s="12"/>
      <c r="I50" s="11"/>
      <c r="J50" s="11"/>
      <c r="K50" s="11"/>
      <c r="L50" s="12"/>
      <c r="M50" s="11"/>
      <c r="N50" s="11"/>
      <c r="O50" s="11"/>
      <c r="P50" s="12"/>
      <c r="Q50" s="11"/>
      <c r="R50" s="11"/>
      <c r="S50" s="11"/>
      <c r="T50" s="11"/>
      <c r="U50" s="11"/>
    </row>
    <row r="51" spans="2:21" ht="18" customHeight="1">
      <c r="B51" s="11"/>
      <c r="C51" s="11"/>
      <c r="D51" s="11"/>
      <c r="E51" s="11"/>
      <c r="F51" s="11"/>
      <c r="G51" s="11"/>
      <c r="H51" s="12"/>
      <c r="I51" s="11"/>
      <c r="J51" s="11"/>
      <c r="K51" s="11"/>
      <c r="L51" s="12"/>
      <c r="M51" s="11"/>
      <c r="N51" s="11"/>
      <c r="O51" s="11"/>
      <c r="P51" s="12"/>
      <c r="Q51" s="11"/>
      <c r="R51" s="11"/>
      <c r="S51" s="11"/>
      <c r="T51" s="11"/>
      <c r="U51" s="11"/>
    </row>
    <row r="52" spans="2:21" ht="18" customHeight="1">
      <c r="B52" s="14"/>
      <c r="E52" s="11"/>
      <c r="F52" s="11"/>
      <c r="G52" s="11"/>
      <c r="H52" s="12"/>
      <c r="I52" s="11"/>
      <c r="J52" s="11"/>
      <c r="K52" s="11"/>
      <c r="L52" s="12"/>
      <c r="M52" s="11"/>
      <c r="N52" s="11"/>
      <c r="O52" s="11"/>
      <c r="P52" s="12"/>
      <c r="Q52" s="11"/>
      <c r="R52" s="11"/>
      <c r="S52" s="11"/>
      <c r="T52" s="11"/>
      <c r="U52" s="11"/>
    </row>
    <row r="54" spans="2:21" ht="15" customHeight="1"/>
  </sheetData>
  <sheetProtection formatCells="0" formatColumns="0" formatRows="0" selectLockedCells="1"/>
  <mergeCells count="2">
    <mergeCell ref="C5:E5"/>
    <mergeCell ref="E1:H1"/>
  </mergeCells>
  <pageMargins left="0.75" right="0.75" top="1" bottom="1" header="0" footer="0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Principal</vt:lpstr>
      <vt:lpstr>Resaltar celdas </vt:lpstr>
      <vt:lpstr>Superiores e Inferiores</vt:lpstr>
      <vt:lpstr>Barras de datos</vt:lpstr>
      <vt:lpstr>Escalas de color</vt:lpstr>
      <vt:lpstr>Conjuntos de iconos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Ejercicios de Excel</dc:title>
  <dc:subject>Celdas: Tipos- Porcentajes: Extraer, Aumentar, Disminuir, Distribuir</dc:subject>
  <dc:creator>Giancarlos</dc:creator>
  <dc:description>Para uso exclusivo de los alumnos del Autor</dc:description>
  <cp:lastModifiedBy>Giancarlos</cp:lastModifiedBy>
  <cp:lastPrinted>2008-09-12T20:16:10Z</cp:lastPrinted>
  <dcterms:created xsi:type="dcterms:W3CDTF">1998-03-16T16:48:42Z</dcterms:created>
  <dcterms:modified xsi:type="dcterms:W3CDTF">2022-09-08T21:40:46Z</dcterms:modified>
</cp:coreProperties>
</file>