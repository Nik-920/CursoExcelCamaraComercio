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855B720B-2368-46B2-A3D0-1012F11C08D1}" xr6:coauthVersionLast="47" xr6:coauthVersionMax="47" xr10:uidLastSave="{00000000-0000-0000-0000-000000000000}"/>
  <bookViews>
    <workbookView xWindow="-108" yWindow="-108" windowWidth="23256" windowHeight="12456" tabRatio="731" activeTab="2" xr2:uid="{00000000-000D-0000-FFFF-FFFF00000000}"/>
  </bookViews>
  <sheets>
    <sheet name="Principal" sheetId="74" r:id="rId1"/>
    <sheet name="Gráficos Estadísticos I" sheetId="151" r:id="rId2"/>
    <sheet name="Gráficos Estadísticos II" sheetId="159" r:id="rId3"/>
  </sheets>
  <definedNames>
    <definedName name="_Order1" hidden="1">255</definedName>
    <definedName name="_Order2" hidden="1">0</definedName>
    <definedName name="_xlchart.v2.10" hidden="1">'Gráficos Estadísticos I'!$C$137:$C$146</definedName>
    <definedName name="_xlchart.v2.11" hidden="1">'Gráficos Estadísticos I'!$D$137:$D$146</definedName>
    <definedName name="_xlchart.v2.12" hidden="1">'Gráficos Estadísticos I'!$C$137:$C$146</definedName>
    <definedName name="_xlchart.v2.13" hidden="1">'Gráficos Estadísticos I'!$D$137:$D$146</definedName>
    <definedName name="_xlchart.v2.14" hidden="1">'Gráficos Estadísticos I'!$C$137:$C$146</definedName>
    <definedName name="_xlchart.v2.15" hidden="1">'Gráficos Estadísticos I'!$D$137:$D$146</definedName>
    <definedName name="_xlchart.v2.16" hidden="1">'Gráficos Estadísticos I'!$C$137:$C$146</definedName>
    <definedName name="_xlchart.v2.17" hidden="1">'Gráficos Estadísticos I'!$D$137:$D$146</definedName>
    <definedName name="_xlchart.v2.18" hidden="1">'Gráficos Estadísticos I'!$C$137:$C$146</definedName>
    <definedName name="_xlchart.v2.19" hidden="1">'Gráficos Estadísticos I'!$D$137:$D$146</definedName>
    <definedName name="_xlchart.v2.20" hidden="1">'Gráficos Estadísticos I'!$C$137:$C$146</definedName>
    <definedName name="_xlchart.v2.21" hidden="1">'Gráficos Estadísticos I'!$D$137:$D$146</definedName>
    <definedName name="_xlchart.v2.4" hidden="1">'Gráficos Estadísticos I'!$C$137:$C$146</definedName>
    <definedName name="_xlchart.v2.5" hidden="1">'Gráficos Estadísticos I'!$D$137:$D$146</definedName>
    <definedName name="_xlchart.v2.6" hidden="1">'Gráficos Estadísticos I'!$C$137:$C$146</definedName>
    <definedName name="_xlchart.v2.7" hidden="1">'Gráficos Estadísticos I'!$D$137:$D$146</definedName>
    <definedName name="_xlchart.v2.8" hidden="1">'Gráficos Estadísticos I'!$C$137:$C$146</definedName>
    <definedName name="_xlchart.v2.9" hidden="1">'Gráficos Estadísticos I'!$D$137:$D$146</definedName>
    <definedName name="_xlchart.v5.0" hidden="1">'Gráficos Estadísticos I'!$C$100:$C$110</definedName>
    <definedName name="_xlchart.v5.1" hidden="1">'Gráficos Estadísticos I'!$C$99</definedName>
    <definedName name="_xlchart.v5.2" hidden="1">'Gráficos Estadísticos I'!$D$100:$D$110</definedName>
    <definedName name="_xlchart.v5.3" hidden="1">'Gráficos Estadísticos I'!$D$99</definedName>
    <definedName name="anscount" hidden="1">2</definedName>
    <definedName name="limcount" hidden="1">2</definedName>
    <definedName name="sencount" hidden="1">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<sst xmlns="http://schemas.openxmlformats.org/spreadsheetml/2006/main" count="207" uniqueCount="166">
  <si>
    <t>Cargo</t>
  </si>
  <si>
    <t>Sueldo</t>
  </si>
  <si>
    <t>Código</t>
  </si>
  <si>
    <t>Ejercicio1</t>
  </si>
  <si>
    <t>Case</t>
  </si>
  <si>
    <t>Disco Duro</t>
  </si>
  <si>
    <t>Producto</t>
  </si>
  <si>
    <t>Ejercicio2</t>
  </si>
  <si>
    <t>Banco del Pacifico</t>
  </si>
  <si>
    <t>Agencia Lima - Sur</t>
  </si>
  <si>
    <t>Lista de Empleados</t>
  </si>
  <si>
    <t>Empleado(a)</t>
  </si>
  <si>
    <t>Situación</t>
  </si>
  <si>
    <t>Horario</t>
  </si>
  <si>
    <t>Rivera Tello, Juan</t>
  </si>
  <si>
    <t>Representante Financiero</t>
  </si>
  <si>
    <t>Temporal</t>
  </si>
  <si>
    <t>Part Time</t>
  </si>
  <si>
    <t>Castillo del Aguila, Irene</t>
  </si>
  <si>
    <t>Asistente Plataforma</t>
  </si>
  <si>
    <t>Full Time</t>
  </si>
  <si>
    <t>Arana Blas, David</t>
  </si>
  <si>
    <t>Administ. de Agencia</t>
  </si>
  <si>
    <t>Estable</t>
  </si>
  <si>
    <t>Flores Casas, Andrea</t>
  </si>
  <si>
    <t>Jefe de Operaciones</t>
  </si>
  <si>
    <t>Torres Garcia, Claudia</t>
  </si>
  <si>
    <t>Herrera Rengifo, Marcos</t>
  </si>
  <si>
    <t>Practicante</t>
  </si>
  <si>
    <t>Andrade Koz, Amelia</t>
  </si>
  <si>
    <t>Atención al Cliente</t>
  </si>
  <si>
    <t>Romero Peña, Juan</t>
  </si>
  <si>
    <t>Gestor Comerical</t>
  </si>
  <si>
    <t>Salas Perez, Daniel</t>
  </si>
  <si>
    <t>Ejecutivo de Ventas</t>
  </si>
  <si>
    <t>Huaman Velez, Rocio</t>
  </si>
  <si>
    <t>Representante BT Comercial</t>
  </si>
  <si>
    <t>Cruz Molina, Medalid</t>
  </si>
  <si>
    <t>Ejecutivo Televentas</t>
  </si>
  <si>
    <t>Rojas Blas, Martha</t>
  </si>
  <si>
    <t>Analista Intelig. de Riesgos</t>
  </si>
  <si>
    <t>Distribuidora de equipos "Security SAC"</t>
  </si>
  <si>
    <t>ID</t>
  </si>
  <si>
    <t>Precio</t>
  </si>
  <si>
    <t>Proveedor</t>
  </si>
  <si>
    <t>Fecha Ingreso</t>
  </si>
  <si>
    <t>Stock</t>
  </si>
  <si>
    <t>Teclado</t>
  </si>
  <si>
    <t>JACGHARD</t>
  </si>
  <si>
    <t>IBM</t>
  </si>
  <si>
    <t>Monitor</t>
  </si>
  <si>
    <t>IMATION</t>
  </si>
  <si>
    <t>Memoria USB</t>
  </si>
  <si>
    <t>Scaner</t>
  </si>
  <si>
    <t>LG</t>
  </si>
  <si>
    <t>Impresora</t>
  </si>
  <si>
    <t>Cámara Web</t>
  </si>
  <si>
    <t>Case ATX</t>
  </si>
  <si>
    <t>Lápiz Optico</t>
  </si>
  <si>
    <t>Disquetera</t>
  </si>
  <si>
    <t>Lectora</t>
  </si>
  <si>
    <t>Vendedor</t>
  </si>
  <si>
    <t>E-001</t>
  </si>
  <si>
    <t>E-002</t>
  </si>
  <si>
    <t>E-003</t>
  </si>
  <si>
    <t>E-004</t>
  </si>
  <si>
    <t>E-005</t>
  </si>
  <si>
    <t>E-006</t>
  </si>
  <si>
    <t>E-007</t>
  </si>
  <si>
    <t>E-008</t>
  </si>
  <si>
    <t>E-009</t>
  </si>
  <si>
    <t>E-010</t>
  </si>
  <si>
    <t>E-011</t>
  </si>
  <si>
    <t>E-012</t>
  </si>
  <si>
    <t>GRÁFICOS ESTADÍSTICOS</t>
  </si>
  <si>
    <t>Ejercicio3</t>
  </si>
  <si>
    <t>Ventas 2018</t>
  </si>
  <si>
    <t>Ventas 2019</t>
  </si>
  <si>
    <t>Ventas</t>
  </si>
  <si>
    <t>Ventas 2020</t>
  </si>
  <si>
    <t>Crear un gráfico de anillo con porcentaje de incremento.</t>
  </si>
  <si>
    <t>Crear un gráfico de columnas. Tomando como datos la columna empleado y sueldo.</t>
  </si>
  <si>
    <t>Baja California</t>
  </si>
  <si>
    <t>Chihuahua</t>
  </si>
  <si>
    <t>Ciudad de México</t>
  </si>
  <si>
    <t>Coahuila</t>
  </si>
  <si>
    <t>Estado de México</t>
  </si>
  <si>
    <t>Guanajuato</t>
  </si>
  <si>
    <t>Guerrero</t>
  </si>
  <si>
    <t>Jalisco</t>
  </si>
  <si>
    <t>Nuevo León</t>
  </si>
  <si>
    <t>Querétaro</t>
  </si>
  <si>
    <t>Sinaloa</t>
  </si>
  <si>
    <t>Crear un gráfico de mapa. Tomando como datos la columna Estado y Ventas.</t>
  </si>
  <si>
    <t>Ejercicio4</t>
  </si>
  <si>
    <t>Ejercicio5</t>
  </si>
  <si>
    <t>Bebidas</t>
  </si>
  <si>
    <t>Salsas</t>
  </si>
  <si>
    <t>Frutas secas</t>
  </si>
  <si>
    <t>Mermeladas y jaleas</t>
  </si>
  <si>
    <t>Carne enlatada</t>
  </si>
  <si>
    <t>Productos horneados</t>
  </si>
  <si>
    <t>Productos lácteos</t>
  </si>
  <si>
    <t>Dulces</t>
  </si>
  <si>
    <t>Sopas</t>
  </si>
  <si>
    <t>Condimentos</t>
  </si>
  <si>
    <t>Pasta</t>
  </si>
  <si>
    <t>Aceite</t>
  </si>
  <si>
    <t>Granos</t>
  </si>
  <si>
    <t>Frutas y vegetales</t>
  </si>
  <si>
    <t>Tarifa de envío</t>
  </si>
  <si>
    <t>Ana del Valle Hinojosa</t>
  </si>
  <si>
    <t>Nancy Gil de la Peña</t>
  </si>
  <si>
    <t>Laura Gutiérrez Saenz</t>
  </si>
  <si>
    <t>Andrés González Rico</t>
  </si>
  <si>
    <t>Luis Miguel Valdés Garza</t>
  </si>
  <si>
    <t>Mayra Aguilar Sepúlveda</t>
  </si>
  <si>
    <t>Robert Zárate Carrillo</t>
  </si>
  <si>
    <t>José de Jesús Morales</t>
  </si>
  <si>
    <t>Sandra Carbajal</t>
  </si>
  <si>
    <t>Giancarlos Barboza</t>
  </si>
  <si>
    <t>Ejercicio6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</si>
  <si>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</si>
  <si>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</si>
  <si>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</si>
  <si>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</si>
  <si>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</si>
  <si>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</si>
  <si>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</si>
  <si>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</si>
  <si>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</si>
  <si>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</si>
  <si>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</si>
  <si>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</si>
  <si>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Ejercicio7</t>
  </si>
  <si>
    <t>Mes</t>
  </si>
  <si>
    <t>Nº</t>
  </si>
  <si>
    <t>Febrero</t>
  </si>
  <si>
    <t>Marzo</t>
  </si>
  <si>
    <t>Abril</t>
  </si>
  <si>
    <t>TERRONES GUTIERREZ, Bherta</t>
  </si>
  <si>
    <t>SANCHEZ LAPA, Klisman</t>
  </si>
  <si>
    <t>PALOMAR CRISPÍN, Martín</t>
  </si>
  <si>
    <t>IBERICO BELTRAN, Hector</t>
  </si>
  <si>
    <t>PEREIRA RUCANA, Miriam</t>
  </si>
  <si>
    <t>GIMENES BEDOYA, Estefania</t>
  </si>
  <si>
    <t>MANCHALITO MIÑANO, Alexander</t>
  </si>
  <si>
    <t>PINTO CALDERON, Virginia</t>
  </si>
  <si>
    <t>PELAES ORTIZ, Patricia</t>
  </si>
  <si>
    <t>VENTURA RIVEROS, Henrry</t>
  </si>
  <si>
    <t>Apellidos y Nombres</t>
  </si>
  <si>
    <t>Enero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</si>
  <si>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</si>
  <si>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</si>
  <si>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</si>
  <si>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</si>
  <si>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</si>
  <si>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</si>
  <si>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</si>
  <si>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</si>
  <si>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Unidades vendidas</t>
  </si>
  <si>
    <t>Gráficos Estadísticos</t>
  </si>
  <si>
    <t>Crear un gráfico de líneas. Tomando como datos la columna Mes y Ventas. Ventas por Mes</t>
  </si>
  <si>
    <t>Crear un gráfico de Embudo. Tomando como datos la columna Vendedor y Ventas. Ventas por Vendedor.</t>
  </si>
  <si>
    <t>Crear un gráfico Circular 3D. Tomando como datos la columna Categoria y Ventas. Ventas por categoria de Producto.</t>
  </si>
  <si>
    <t>Crear un gráfico de barras. Tomando como datos la columna Producto y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</si>
</sst>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&quot;S/&quot;* #,##0.00_-;\-&quot;S/&quot;* #,##0.00_-;_-&quot;S/&quot;* &quot;-&quot;??_-;_-@_-"/>
    <numFmt numFmtId="165" formatCode="_ &quot;S/.&quot;\ * #,##0.00_ ;_ &quot;S/.&quot;\ * \-#,##0.00_ ;_ &quot;S/.&quot;\ * &quot;-&quot;??_ ;_ @_ "/>
    <numFmt numFmtId="166" formatCode="_-[$€]* #,##0.00_-;\-[$€]* #,##0.00_-;_-[$€]* &quot;-&quot;??_-;_-@_-"/>
    <numFmt numFmtId="167" formatCode="0.0000"/>
    <numFmt numFmtId="168" formatCode="&quot;S/.&quot;\ #,##0.00;[Red]&quot;S/.&quot;\ #,##0.00"/>
    <numFmt numFmtId="169" formatCode="[$S/.-280A]\ #,##0.00"/>
    <numFmt numFmtId="170" formatCode="&quot;$&quot;#,##0.00"/>
    <numFmt numFmtId="171" formatCode="_-[$$-80A]* #,##0.00_-;\-[$$-80A]* #,##0.00_-;_-[$$-80A]* &quot;-&quot;??_-;_-@_-"/>
    <numFmt numFmtId="172" formatCode="dd\/mm\/yy"/>
    <numFmt numFmtId="173" formatCode="00"/>
  </numFmts>
  <fonts count="5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indexed="12"/>
      <name val="Bookman Old Style"/>
      <family val="1"/>
    </font>
    <font>
      <sz val="14"/>
      <name val="Bookman Old Style"/>
      <family val="1"/>
    </font>
    <font>
      <b/>
      <sz val="10"/>
      <color rgb="FF002060"/>
      <name val="Arial Unicode MS"/>
      <family val="2"/>
    </font>
    <font>
      <sz val="10"/>
      <color rgb="FF002060"/>
      <name val="Arial Unicode MS"/>
      <family val="2"/>
    </font>
    <font>
      <b/>
      <sz val="12"/>
      <color rgb="FF002060"/>
      <name val="Arial Unicode MS"/>
      <family val="2"/>
    </font>
    <font>
      <b/>
      <sz val="20"/>
      <color theme="0"/>
      <name val="Arial Unicode MS"/>
      <family val="2"/>
    </font>
    <font>
      <u/>
      <sz val="10"/>
      <color theme="10"/>
      <name val="Arial"/>
      <family val="2"/>
    </font>
    <font>
      <sz val="10"/>
      <name val="Bookman Old Style"/>
      <family val="1"/>
    </font>
    <font>
      <u/>
      <sz val="8"/>
      <color indexed="12"/>
      <name val="Arial"/>
      <family val="2"/>
    </font>
    <font>
      <sz val="11"/>
      <color rgb="FF002060"/>
      <name val="Comic Sans MS"/>
      <family val="4"/>
    </font>
    <font>
      <u/>
      <sz val="11"/>
      <color theme="10"/>
      <name val="Comic Sans MS"/>
      <family val="4"/>
    </font>
    <font>
      <sz val="12"/>
      <color rgb="FF002060"/>
      <name val="Comic Sans MS"/>
      <family val="4"/>
    </font>
    <font>
      <sz val="10"/>
      <color theme="0"/>
      <name val="Arial Unicode MS"/>
      <family val="2"/>
    </font>
    <font>
      <b/>
      <sz val="22"/>
      <color theme="0"/>
      <name val="Arial Unicode MS"/>
      <family val="2"/>
    </font>
    <font>
      <b/>
      <sz val="14"/>
      <color theme="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8"/>
      <name val="Arial"/>
      <family val="2"/>
    </font>
    <font>
      <b/>
      <sz val="20"/>
      <color rgb="FF002060"/>
      <name val="Arial"/>
      <family val="2"/>
    </font>
    <font>
      <b/>
      <sz val="18"/>
      <color theme="0"/>
      <name val="Arial"/>
      <family val="2"/>
    </font>
    <font>
      <b/>
      <sz val="2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0"/>
      <name val="Arial"/>
      <family val="2"/>
    </font>
    <font>
      <sz val="12"/>
      <color rgb="FF002060"/>
      <name val="Calibri"/>
      <family val="2"/>
      <scheme val="minor"/>
    </font>
    <font>
      <sz val="12"/>
      <color rgb="FF002060"/>
      <name val="Arial"/>
      <family val="2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14"/>
      <name val="Arial"/>
      <family val="2"/>
    </font>
    <font>
      <b/>
      <sz val="16"/>
      <color rgb="FFC00000"/>
      <name val="Playbill"/>
      <family val="5"/>
    </font>
    <font>
      <b/>
      <sz val="22"/>
      <color theme="0"/>
      <name val="Gilroy ExtraBold"/>
      <family val="3"/>
    </font>
    <font>
      <b/>
      <sz val="14"/>
      <color rgb="FF002060"/>
      <name val="Arial"/>
      <family val="2"/>
    </font>
    <font>
      <b/>
      <sz val="18"/>
      <color rgb="FF002060"/>
      <name val="Arial"/>
      <family val="2"/>
    </font>
    <font>
      <b/>
      <sz val="18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</borders>
  <cellStyleXfs count="30">
    <xf numFmtId="0" fontId="0" fillId="0" borderId="0"/>
    <xf numFmtId="16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5" fillId="0" borderId="0"/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7" fillId="0" borderId="0"/>
    <xf numFmtId="0" fontId="4" fillId="0" borderId="0"/>
    <xf numFmtId="0" fontId="3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7" fillId="0" borderId="0"/>
    <xf numFmtId="165" fontId="7" fillId="0" borderId="0" applyFont="0" applyFill="0" applyBorder="0" applyAlignment="0" applyProtection="0"/>
    <xf numFmtId="0" fontId="2" fillId="0" borderId="0"/>
    <xf numFmtId="0" fontId="1" fillId="0" borderId="0"/>
    <xf numFmtId="0" fontId="7" fillId="0" borderId="0"/>
    <xf numFmtId="0" fontId="7" fillId="0" borderId="0"/>
    <xf numFmtId="0" fontId="1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</cellStyleXfs>
  <cellXfs count="111">
    <xf numFmtId="0" fontId="0" fillId="0" borderId="0" xfId="0"/>
    <xf numFmtId="0" fontId="13" fillId="2" borderId="0" xfId="17" applyFont="1" applyFill="1" applyProtection="1">
      <protection locked="0"/>
    </xf>
    <xf numFmtId="0" fontId="11" fillId="2" borderId="0" xfId="24" applyFont="1" applyFill="1" applyProtection="1">
      <protection locked="0"/>
    </xf>
    <xf numFmtId="0" fontId="10" fillId="2" borderId="0" xfId="24" applyFont="1" applyFill="1" applyAlignment="1" applyProtection="1">
      <alignment horizontal="left"/>
      <protection locked="0"/>
    </xf>
    <xf numFmtId="0" fontId="15" fillId="2" borderId="0" xfId="24" applyFont="1" applyFill="1" applyAlignment="1" applyProtection="1">
      <alignment horizontal="center" vertical="center"/>
      <protection locked="0"/>
    </xf>
    <xf numFmtId="0" fontId="13" fillId="2" borderId="0" xfId="24" applyFont="1" applyFill="1" applyProtection="1">
      <protection locked="0"/>
    </xf>
    <xf numFmtId="0" fontId="17" fillId="2" borderId="0" xfId="24" applyFont="1" applyFill="1" applyProtection="1">
      <protection locked="0"/>
    </xf>
    <xf numFmtId="0" fontId="19" fillId="2" borderId="0" xfId="17" applyFont="1" applyFill="1" applyProtection="1">
      <protection locked="0"/>
    </xf>
    <xf numFmtId="0" fontId="21" fillId="2" borderId="0" xfId="17" applyFont="1" applyFill="1" applyProtection="1">
      <protection locked="0"/>
    </xf>
    <xf numFmtId="0" fontId="21" fillId="2" borderId="3" xfId="24" applyFont="1" applyFill="1" applyBorder="1" applyAlignment="1" applyProtection="1">
      <alignment horizontal="left" vertical="center"/>
      <protection locked="0"/>
    </xf>
    <xf numFmtId="0" fontId="13" fillId="2" borderId="3" xfId="24" applyFont="1" applyFill="1" applyBorder="1" applyProtection="1">
      <protection locked="0"/>
    </xf>
    <xf numFmtId="0" fontId="13" fillId="2" borderId="1" xfId="24" applyFont="1" applyFill="1" applyBorder="1" applyProtection="1">
      <protection locked="0"/>
    </xf>
    <xf numFmtId="0" fontId="22" fillId="2" borderId="0" xfId="24" applyFont="1" applyFill="1" applyProtection="1">
      <protection locked="0"/>
    </xf>
    <xf numFmtId="0" fontId="13" fillId="3" borderId="0" xfId="17" applyFont="1" applyFill="1" applyProtection="1">
      <protection locked="0"/>
    </xf>
    <xf numFmtId="0" fontId="13" fillId="0" borderId="0" xfId="17" applyFont="1" applyProtection="1">
      <protection locked="0"/>
    </xf>
    <xf numFmtId="0" fontId="21" fillId="0" borderId="0" xfId="17" applyFont="1" applyProtection="1">
      <protection locked="0"/>
    </xf>
    <xf numFmtId="0" fontId="20" fillId="3" borderId="0" xfId="25" applyFont="1" applyFill="1" applyAlignment="1" applyProtection="1">
      <alignment horizontal="center" vertical="center"/>
      <protection locked="0"/>
    </xf>
    <xf numFmtId="0" fontId="19" fillId="3" borderId="0" xfId="17" applyFont="1" applyFill="1" applyProtection="1">
      <protection locked="0"/>
    </xf>
    <xf numFmtId="0" fontId="27" fillId="2" borderId="0" xfId="25" applyFont="1" applyFill="1" applyAlignment="1" applyProtection="1">
      <alignment horizontal="center" vertical="center" wrapText="1"/>
      <protection locked="0"/>
    </xf>
    <xf numFmtId="0" fontId="28" fillId="2" borderId="0" xfId="17" applyFont="1" applyFill="1" applyProtection="1">
      <protection locked="0"/>
    </xf>
    <xf numFmtId="0" fontId="28" fillId="2" borderId="0" xfId="25" applyFont="1" applyFill="1" applyAlignment="1" applyProtection="1">
      <alignment horizontal="center" vertical="center"/>
      <protection locked="0"/>
    </xf>
    <xf numFmtId="0" fontId="28" fillId="2" borderId="0" xfId="25" applyFont="1" applyFill="1" applyAlignment="1" applyProtection="1">
      <alignment horizontal="center" vertical="center" wrapText="1"/>
      <protection locked="0"/>
    </xf>
    <xf numFmtId="0" fontId="7" fillId="2" borderId="0" xfId="24" applyFill="1" applyProtection="1">
      <protection locked="0"/>
    </xf>
    <xf numFmtId="0" fontId="29" fillId="2" borderId="0" xfId="24" applyFont="1" applyFill="1" applyProtection="1">
      <protection locked="0"/>
    </xf>
    <xf numFmtId="0" fontId="34" fillId="4" borderId="0" xfId="0" applyFont="1" applyFill="1"/>
    <xf numFmtId="0" fontId="33" fillId="0" borderId="0" xfId="0" applyFont="1" applyAlignment="1">
      <alignment horizontal="center" vertical="center"/>
    </xf>
    <xf numFmtId="0" fontId="34" fillId="0" borderId="0" xfId="0" applyFont="1"/>
    <xf numFmtId="0" fontId="32" fillId="4" borderId="0" xfId="0" applyFont="1" applyFill="1" applyAlignment="1">
      <alignment horizontal="center" vertical="center" wrapText="1" shrinkToFit="1"/>
    </xf>
    <xf numFmtId="0" fontId="17" fillId="0" borderId="0" xfId="24" applyFont="1" applyProtection="1">
      <protection locked="0"/>
    </xf>
    <xf numFmtId="0" fontId="40" fillId="2" borderId="2" xfId="24" applyFont="1" applyFill="1" applyBorder="1" applyAlignment="1" applyProtection="1">
      <alignment horizontal="left" vertical="center"/>
      <protection locked="0"/>
    </xf>
    <xf numFmtId="0" fontId="26" fillId="3" borderId="0" xfId="24" applyFont="1" applyFill="1" applyAlignment="1" applyProtection="1">
      <alignment horizontal="center" vertical="center"/>
      <protection locked="0"/>
    </xf>
    <xf numFmtId="0" fontId="45" fillId="0" borderId="0" xfId="0" applyFont="1" applyAlignment="1">
      <alignment horizontal="center" vertical="center"/>
    </xf>
    <xf numFmtId="0" fontId="46" fillId="0" borderId="0" xfId="0" applyFont="1"/>
    <xf numFmtId="0" fontId="13" fillId="6" borderId="0" xfId="0" applyFont="1" applyFill="1" applyProtection="1">
      <protection locked="0"/>
    </xf>
    <xf numFmtId="0" fontId="12" fillId="6" borderId="0" xfId="0" applyFont="1" applyFill="1" applyProtection="1">
      <protection locked="0"/>
    </xf>
    <xf numFmtId="0" fontId="14" fillId="6" borderId="0" xfId="0" applyFont="1" applyFill="1" applyAlignment="1" applyProtection="1">
      <alignment vertical="center"/>
      <protection locked="0"/>
    </xf>
    <xf numFmtId="0" fontId="24" fillId="6" borderId="4" xfId="24" applyFont="1" applyFill="1" applyBorder="1" applyAlignment="1" applyProtection="1">
      <alignment horizontal="center" vertical="center"/>
      <protection locked="0"/>
    </xf>
    <xf numFmtId="0" fontId="35" fillId="6" borderId="5" xfId="24" applyFont="1" applyFill="1" applyBorder="1" applyAlignment="1" applyProtection="1">
      <alignment horizontal="center" vertical="center"/>
      <protection locked="0"/>
    </xf>
    <xf numFmtId="0" fontId="35" fillId="6" borderId="5" xfId="24" applyFont="1" applyFill="1" applyBorder="1" applyAlignment="1" applyProtection="1">
      <alignment horizontal="center" vertical="center" wrapText="1"/>
      <protection locked="0"/>
    </xf>
    <xf numFmtId="0" fontId="35" fillId="6" borderId="6" xfId="24" applyFont="1" applyFill="1" applyBorder="1" applyAlignment="1" applyProtection="1">
      <alignment horizontal="center" vertical="center" wrapText="1"/>
      <protection locked="0"/>
    </xf>
    <xf numFmtId="0" fontId="36" fillId="2" borderId="7" xfId="24" applyFont="1" applyFill="1" applyBorder="1" applyProtection="1">
      <protection locked="0"/>
    </xf>
    <xf numFmtId="0" fontId="37" fillId="2" borderId="8" xfId="24" applyFont="1" applyFill="1" applyBorder="1" applyProtection="1">
      <protection locked="0"/>
    </xf>
    <xf numFmtId="4" fontId="37" fillId="2" borderId="9" xfId="24" applyNumberFormat="1" applyFont="1" applyFill="1" applyBorder="1" applyProtection="1">
      <protection locked="0"/>
    </xf>
    <xf numFmtId="0" fontId="36" fillId="2" borderId="10" xfId="24" applyFont="1" applyFill="1" applyBorder="1" applyProtection="1">
      <protection locked="0"/>
    </xf>
    <xf numFmtId="0" fontId="37" fillId="2" borderId="11" xfId="24" applyFont="1" applyFill="1" applyBorder="1" applyProtection="1">
      <protection locked="0"/>
    </xf>
    <xf numFmtId="4" fontId="37" fillId="2" borderId="12" xfId="24" applyNumberFormat="1" applyFont="1" applyFill="1" applyBorder="1" applyProtection="1">
      <protection locked="0"/>
    </xf>
    <xf numFmtId="0" fontId="24" fillId="6" borderId="4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25" fillId="4" borderId="7" xfId="0" applyFont="1" applyFill="1" applyBorder="1"/>
    <xf numFmtId="0" fontId="25" fillId="4" borderId="8" xfId="0" applyFont="1" applyFill="1" applyBorder="1"/>
    <xf numFmtId="169" fontId="25" fillId="4" borderId="8" xfId="0" applyNumberFormat="1" applyFont="1" applyFill="1" applyBorder="1"/>
    <xf numFmtId="14" fontId="25" fillId="4" borderId="8" xfId="0" applyNumberFormat="1" applyFont="1" applyFill="1" applyBorder="1"/>
    <xf numFmtId="0" fontId="25" fillId="4" borderId="9" xfId="0" applyFont="1" applyFill="1" applyBorder="1"/>
    <xf numFmtId="0" fontId="25" fillId="4" borderId="10" xfId="0" applyFont="1" applyFill="1" applyBorder="1"/>
    <xf numFmtId="0" fontId="25" fillId="4" borderId="11" xfId="0" applyFont="1" applyFill="1" applyBorder="1"/>
    <xf numFmtId="169" fontId="25" fillId="4" borderId="11" xfId="0" applyNumberFormat="1" applyFont="1" applyFill="1" applyBorder="1"/>
    <xf numFmtId="14" fontId="25" fillId="4" borderId="11" xfId="0" applyNumberFormat="1" applyFont="1" applyFill="1" applyBorder="1"/>
    <xf numFmtId="0" fontId="25" fillId="4" borderId="12" xfId="0" applyFont="1" applyFill="1" applyBorder="1"/>
    <xf numFmtId="0" fontId="39" fillId="6" borderId="4" xfId="24" applyFont="1" applyFill="1" applyBorder="1" applyProtection="1">
      <protection locked="0"/>
    </xf>
    <xf numFmtId="9" fontId="38" fillId="2" borderId="5" xfId="24" applyNumberFormat="1" applyFont="1" applyFill="1" applyBorder="1" applyAlignment="1" applyProtection="1">
      <alignment horizontal="center" vertical="center"/>
      <protection locked="0"/>
    </xf>
    <xf numFmtId="9" fontId="38" fillId="2" borderId="6" xfId="24" applyNumberFormat="1" applyFont="1" applyFill="1" applyBorder="1" applyProtection="1">
      <protection locked="0"/>
    </xf>
    <xf numFmtId="0" fontId="39" fillId="6" borderId="7" xfId="24" applyFont="1" applyFill="1" applyBorder="1" applyProtection="1">
      <protection locked="0"/>
    </xf>
    <xf numFmtId="9" fontId="38" fillId="2" borderId="8" xfId="24" applyNumberFormat="1" applyFont="1" applyFill="1" applyBorder="1" applyAlignment="1" applyProtection="1">
      <alignment horizontal="center" vertical="center"/>
      <protection locked="0"/>
    </xf>
    <xf numFmtId="9" fontId="38" fillId="2" borderId="9" xfId="24" applyNumberFormat="1" applyFont="1" applyFill="1" applyBorder="1" applyProtection="1">
      <protection locked="0"/>
    </xf>
    <xf numFmtId="0" fontId="39" fillId="6" borderId="10" xfId="24" applyFont="1" applyFill="1" applyBorder="1" applyProtection="1">
      <protection locked="0"/>
    </xf>
    <xf numFmtId="9" fontId="38" fillId="2" borderId="11" xfId="24" applyNumberFormat="1" applyFont="1" applyFill="1" applyBorder="1" applyAlignment="1" applyProtection="1">
      <alignment horizontal="center" vertical="center"/>
      <protection locked="0"/>
    </xf>
    <xf numFmtId="9" fontId="38" fillId="2" borderId="12" xfId="24" applyNumberFormat="1" applyFont="1" applyFill="1" applyBorder="1" applyProtection="1">
      <protection locked="0"/>
    </xf>
    <xf numFmtId="0" fontId="26" fillId="6" borderId="4" xfId="24" applyFont="1" applyFill="1" applyBorder="1" applyAlignment="1" applyProtection="1">
      <alignment horizontal="center" vertical="center"/>
      <protection locked="0"/>
    </xf>
    <xf numFmtId="0" fontId="26" fillId="6" borderId="6" xfId="24" applyFont="1" applyFill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horizontal="left" vertical="center"/>
    </xf>
    <xf numFmtId="171" fontId="25" fillId="0" borderId="9" xfId="0" applyNumberFormat="1" applyFon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171" fontId="25" fillId="0" borderId="12" xfId="0" applyNumberFormat="1" applyFont="1" applyBorder="1" applyAlignment="1">
      <alignment horizontal="left" vertical="center"/>
    </xf>
    <xf numFmtId="0" fontId="26" fillId="6" borderId="4" xfId="0" applyFont="1" applyFill="1" applyBorder="1" applyAlignment="1">
      <alignment horizontal="center" vertical="center"/>
    </xf>
    <xf numFmtId="170" fontId="26" fillId="6" borderId="6" xfId="0" applyNumberFormat="1" applyFont="1" applyFill="1" applyBorder="1" applyAlignment="1">
      <alignment horizontal="center" vertical="center"/>
    </xf>
    <xf numFmtId="0" fontId="25" fillId="0" borderId="7" xfId="0" applyFont="1" applyBorder="1" applyAlignment="1">
      <alignment horizontal="left"/>
    </xf>
    <xf numFmtId="164" fontId="25" fillId="0" borderId="9" xfId="0" applyNumberFormat="1" applyFont="1" applyBorder="1"/>
    <xf numFmtId="0" fontId="25" fillId="0" borderId="10" xfId="0" applyFont="1" applyBorder="1" applyAlignment="1">
      <alignment horizontal="left"/>
    </xf>
    <xf numFmtId="164" fontId="25" fillId="0" borderId="12" xfId="0" applyNumberFormat="1" applyFont="1" applyBorder="1"/>
    <xf numFmtId="0" fontId="42" fillId="6" borderId="4" xfId="24" applyFont="1" applyFill="1" applyBorder="1" applyAlignment="1" applyProtection="1">
      <alignment horizontal="center" vertical="center"/>
      <protection locked="0"/>
    </xf>
    <xf numFmtId="0" fontId="42" fillId="6" borderId="6" xfId="24" applyFont="1" applyFill="1" applyBorder="1" applyAlignment="1" applyProtection="1">
      <alignment horizontal="center" vertical="center"/>
      <protection locked="0"/>
    </xf>
    <xf numFmtId="172" fontId="25" fillId="0" borderId="7" xfId="0" applyNumberFormat="1" applyFont="1" applyBorder="1" applyAlignment="1">
      <alignment horizontal="left"/>
    </xf>
    <xf numFmtId="172" fontId="25" fillId="0" borderId="10" xfId="0" applyNumberFormat="1" applyFont="1" applyBorder="1" applyAlignment="1">
      <alignment horizontal="left"/>
    </xf>
    <xf numFmtId="0" fontId="23" fillId="6" borderId="0" xfId="0" applyFont="1" applyFill="1" applyAlignment="1" applyProtection="1">
      <alignment vertical="center"/>
      <protection locked="0"/>
    </xf>
    <xf numFmtId="0" fontId="47" fillId="6" borderId="0" xfId="0" applyFont="1" applyFill="1" applyAlignment="1" applyProtection="1">
      <alignment vertical="center"/>
      <protection locked="0"/>
    </xf>
    <xf numFmtId="0" fontId="43" fillId="6" borderId="4" xfId="0" applyFont="1" applyFill="1" applyBorder="1" applyAlignment="1">
      <alignment horizontal="center" vertical="center"/>
    </xf>
    <xf numFmtId="0" fontId="43" fillId="6" borderId="5" xfId="0" applyFont="1" applyFill="1" applyBorder="1" applyAlignment="1">
      <alignment horizontal="center" vertical="center"/>
    </xf>
    <xf numFmtId="0" fontId="43" fillId="6" borderId="6" xfId="0" applyFont="1" applyFill="1" applyBorder="1" applyAlignment="1">
      <alignment horizontal="center" vertical="center"/>
    </xf>
    <xf numFmtId="173" fontId="37" fillId="0" borderId="7" xfId="0" applyNumberFormat="1" applyFont="1" applyBorder="1" applyAlignment="1">
      <alignment horizontal="center" vertical="center"/>
    </xf>
    <xf numFmtId="0" fontId="37" fillId="0" borderId="8" xfId="0" applyFont="1" applyBorder="1" applyAlignment="1">
      <alignment horizontal="left" vertical="center" shrinkToFit="1"/>
    </xf>
    <xf numFmtId="173" fontId="37" fillId="0" borderId="8" xfId="0" applyNumberFormat="1" applyFont="1" applyBorder="1" applyAlignment="1">
      <alignment horizontal="center" vertical="center"/>
    </xf>
    <xf numFmtId="173" fontId="37" fillId="0" borderId="9" xfId="0" applyNumberFormat="1" applyFont="1" applyBorder="1" applyAlignment="1">
      <alignment horizontal="center" vertical="center"/>
    </xf>
    <xf numFmtId="173" fontId="37" fillId="0" borderId="10" xfId="0" applyNumberFormat="1" applyFont="1" applyBorder="1" applyAlignment="1">
      <alignment horizontal="center" vertical="center"/>
    </xf>
    <xf numFmtId="0" fontId="37" fillId="0" borderId="11" xfId="0" applyFont="1" applyBorder="1" applyAlignment="1">
      <alignment horizontal="left" vertical="center" shrinkToFit="1"/>
    </xf>
    <xf numFmtId="173" fontId="37" fillId="0" borderId="11" xfId="0" applyNumberFormat="1" applyFont="1" applyBorder="1" applyAlignment="1">
      <alignment horizontal="center" vertical="center"/>
    </xf>
    <xf numFmtId="173" fontId="37" fillId="0" borderId="12" xfId="0" applyNumberFormat="1" applyFont="1" applyBorder="1" applyAlignment="1">
      <alignment horizontal="center" vertical="center"/>
    </xf>
    <xf numFmtId="0" fontId="25" fillId="0" borderId="7" xfId="0" applyFont="1" applyBorder="1"/>
    <xf numFmtId="0" fontId="25" fillId="0" borderId="9" xfId="0" applyFont="1" applyBorder="1" applyAlignment="1">
      <alignment horizontal="center" vertical="center"/>
    </xf>
    <xf numFmtId="0" fontId="25" fillId="0" borderId="10" xfId="0" applyFont="1" applyBorder="1"/>
    <xf numFmtId="0" fontId="25" fillId="0" borderId="12" xfId="0" applyFont="1" applyBorder="1" applyAlignment="1">
      <alignment horizontal="center" vertical="center"/>
    </xf>
    <xf numFmtId="0" fontId="28" fillId="2" borderId="0" xfId="25" applyFont="1" applyFill="1" applyAlignment="1" applyProtection="1">
      <alignment vertical="center"/>
      <protection locked="0"/>
    </xf>
    <xf numFmtId="0" fontId="28" fillId="0" borderId="0" xfId="25" applyFont="1" applyFill="1" applyAlignment="1" applyProtection="1">
      <alignment horizontal="center" vertical="center"/>
      <protection locked="0"/>
    </xf>
    <xf numFmtId="0" fontId="50" fillId="5" borderId="0" xfId="25" applyFont="1" applyFill="1" applyAlignment="1" applyProtection="1">
      <alignment horizontal="center" vertical="center"/>
      <protection locked="0"/>
    </xf>
    <xf numFmtId="0" fontId="47" fillId="6" borderId="0" xfId="0" applyFont="1" applyFill="1" applyAlignment="1" applyProtection="1">
      <alignment horizontal="center" vertical="center"/>
      <protection locked="0"/>
    </xf>
    <xf numFmtId="0" fontId="31" fillId="0" borderId="0" xfId="24" applyFont="1" applyAlignment="1" applyProtection="1">
      <alignment horizontal="center" vertical="center"/>
      <protection locked="0"/>
    </xf>
    <xf numFmtId="0" fontId="41" fillId="4" borderId="0" xfId="0" applyFont="1" applyFill="1" applyAlignment="1">
      <alignment horizontal="center" vertical="center" wrapText="1" shrinkToFit="1"/>
    </xf>
    <xf numFmtId="0" fontId="30" fillId="2" borderId="0" xfId="24" applyFont="1" applyFill="1" applyAlignment="1" applyProtection="1">
      <alignment horizontal="center"/>
      <protection locked="0"/>
    </xf>
    <xf numFmtId="0" fontId="48" fillId="2" borderId="0" xfId="24" applyFont="1" applyFill="1" applyAlignment="1" applyProtection="1">
      <alignment horizontal="center"/>
      <protection locked="0"/>
    </xf>
    <xf numFmtId="0" fontId="49" fillId="2" borderId="0" xfId="24" applyFont="1" applyFill="1" applyAlignment="1" applyProtection="1">
      <alignment horizontal="center"/>
      <protection locked="0"/>
    </xf>
    <xf numFmtId="0" fontId="44" fillId="0" borderId="0" xfId="0" applyFont="1" applyAlignment="1">
      <alignment horizontal="center" vertical="center"/>
    </xf>
  </cellXfs>
  <cellStyles count="30">
    <cellStyle name="Euro" xfId="1" xr:uid="{00000000-0005-0000-0000-000001000000}"/>
    <cellStyle name="Hipervínculo" xfId="25" builtinId="8"/>
    <cellStyle name="Hipervínculo 2" xfId="9" xr:uid="{00000000-0005-0000-0000-000003000000}"/>
    <cellStyle name="Hipervínculo 3" xfId="18" xr:uid="{00000000-0005-0000-0000-000004000000}"/>
    <cellStyle name="Hipervínculo 4" xfId="27" xr:uid="{00000000-0005-0000-0000-000005000000}"/>
    <cellStyle name="Millares [0] 2" xfId="2" xr:uid="{00000000-0005-0000-0000-000007000000}"/>
    <cellStyle name="Millares 2" xfId="3" xr:uid="{00000000-0005-0000-0000-000008000000}"/>
    <cellStyle name="Millares 2 2" xfId="12" xr:uid="{00000000-0005-0000-0000-000009000000}"/>
    <cellStyle name="Millares 3" xfId="26" xr:uid="{00000000-0005-0000-0000-00000A000000}"/>
    <cellStyle name="Moneda 2" xfId="4" xr:uid="{00000000-0005-0000-0000-00000B000000}"/>
    <cellStyle name="Moneda 2 2" xfId="13" xr:uid="{00000000-0005-0000-0000-00000C000000}"/>
    <cellStyle name="Moneda 3" xfId="5" xr:uid="{00000000-0005-0000-0000-00000D000000}"/>
    <cellStyle name="Moneda 4" xfId="20" xr:uid="{00000000-0005-0000-0000-00000E000000}"/>
    <cellStyle name="Normal" xfId="0" builtinId="0"/>
    <cellStyle name="Normal 16" xfId="24" xr:uid="{00000000-0005-0000-0000-000010000000}"/>
    <cellStyle name="Normal 16 2" xfId="29" xr:uid="{2562CAF4-594A-42B1-956C-4D0CF0E68A79}"/>
    <cellStyle name="Normal 2" xfId="6" xr:uid="{00000000-0005-0000-0000-000011000000}"/>
    <cellStyle name="Normal 2 2" xfId="10" xr:uid="{00000000-0005-0000-0000-000012000000}"/>
    <cellStyle name="Normal 2 2 2" xfId="22" xr:uid="{00000000-0005-0000-0000-000013000000}"/>
    <cellStyle name="Normal 2_Muestra Funciones Estadísticas" xfId="15" xr:uid="{00000000-0005-0000-0000-000014000000}"/>
    <cellStyle name="Normal 3" xfId="7" xr:uid="{00000000-0005-0000-0000-000015000000}"/>
    <cellStyle name="Normal 3 2" xfId="19" xr:uid="{00000000-0005-0000-0000-000016000000}"/>
    <cellStyle name="Normal 3 3" xfId="28" xr:uid="{CD126A66-81DE-447D-8492-91934A481723}"/>
    <cellStyle name="Normal 4" xfId="8" xr:uid="{00000000-0005-0000-0000-000017000000}"/>
    <cellStyle name="Normal 4 2" xfId="14" xr:uid="{00000000-0005-0000-0000-000018000000}"/>
    <cellStyle name="Normal 4 3" xfId="17" xr:uid="{00000000-0005-0000-0000-000019000000}"/>
    <cellStyle name="Normal 4 4" xfId="23" xr:uid="{00000000-0005-0000-0000-00001A000000}"/>
    <cellStyle name="Normal 4_Muestra Funciones Estadísticas" xfId="11" xr:uid="{00000000-0005-0000-0000-00001B000000}"/>
    <cellStyle name="Normal 5" xfId="16" xr:uid="{00000000-0005-0000-0000-00001C000000}"/>
    <cellStyle name="Normal 6" xfId="21" xr:uid="{00000000-0005-0000-0000-00001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66CCFF"/>
      <color rgb="FFFFA3AA"/>
      <color rgb="FFA4DAFF"/>
      <color rgb="FF99CCFF"/>
      <color rgb="FF6699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PE"/>
              <a:t>Empleados</a:t>
            </a:r>
            <a:r>
              <a:rPr lang="es-PE" baseline="0"/>
              <a:t> y Sueldos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SUELDOS</c:v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'Gráficos Estadísticos I'!$C$11:$C$22</c:f>
              <c:strCache>
                <c:ptCount val="12"/>
                <c:pt idx="0">
                  <c:v>Rivera Tello, Juan</c:v>
                </c:pt>
                <c:pt idx="1">
                  <c:v>Castillo del Aguila, Irene</c:v>
                </c:pt>
                <c:pt idx="2">
                  <c:v>Arana Blas, David</c:v>
                </c:pt>
                <c:pt idx="3">
                  <c:v>Flores Casas, Andrea</c:v>
                </c:pt>
                <c:pt idx="4">
                  <c:v>Torres Garcia, Claudia</c:v>
                </c:pt>
                <c:pt idx="5">
                  <c:v>Herrera Rengifo, Marcos</c:v>
                </c:pt>
                <c:pt idx="6">
                  <c:v>Andrade Koz, Amelia</c:v>
                </c:pt>
                <c:pt idx="7">
                  <c:v>Romero Peña, Juan</c:v>
                </c:pt>
                <c:pt idx="8">
                  <c:v>Salas Perez, Daniel</c:v>
                </c:pt>
                <c:pt idx="9">
                  <c:v>Huaman Velez, Rocio</c:v>
                </c:pt>
                <c:pt idx="10">
                  <c:v>Cruz Molina, Medalid</c:v>
                </c:pt>
                <c:pt idx="11">
                  <c:v>Rojas Blas, Martha</c:v>
                </c:pt>
              </c:strCache>
            </c:strRef>
          </c:cat>
          <c:val>
            <c:numRef>
              <c:f>'Gráficos Estadísticos I'!$G$11:$G$22</c:f>
              <c:numCache>
                <c:formatCode>#,##0.00</c:formatCode>
                <c:ptCount val="12"/>
                <c:pt idx="0">
                  <c:v>1800</c:v>
                </c:pt>
                <c:pt idx="1">
                  <c:v>2500</c:v>
                </c:pt>
                <c:pt idx="2">
                  <c:v>9600</c:v>
                </c:pt>
                <c:pt idx="3">
                  <c:v>9000</c:v>
                </c:pt>
                <c:pt idx="4">
                  <c:v>1800</c:v>
                </c:pt>
                <c:pt idx="5">
                  <c:v>1000</c:v>
                </c:pt>
                <c:pt idx="6">
                  <c:v>1500</c:v>
                </c:pt>
                <c:pt idx="7">
                  <c:v>2100</c:v>
                </c:pt>
                <c:pt idx="8">
                  <c:v>1800</c:v>
                </c:pt>
                <c:pt idx="9">
                  <c:v>1500</c:v>
                </c:pt>
                <c:pt idx="10">
                  <c:v>1850</c:v>
                </c:pt>
                <c:pt idx="11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2-472D-AD7B-6DE4847A2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4824672"/>
        <c:axId val="614826592"/>
        <c:axId val="0"/>
      </c:bar3DChart>
      <c:catAx>
        <c:axId val="61482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14826592"/>
        <c:crosses val="autoZero"/>
        <c:auto val="1"/>
        <c:lblAlgn val="ctr"/>
        <c:lblOffset val="100"/>
        <c:noMultiLvlLbl val="0"/>
      </c:catAx>
      <c:valAx>
        <c:axId val="6148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14824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PRODUCTOS Y PRECIOS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alpha val="88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6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'Gráficos Estadísticos I'!$D$45:$D$56</c:f>
              <c:strCache>
                <c:ptCount val="12"/>
                <c:pt idx="0">
                  <c:v>Case</c:v>
                </c:pt>
                <c:pt idx="1">
                  <c:v>Teclado</c:v>
                </c:pt>
                <c:pt idx="2">
                  <c:v>Scaner</c:v>
                </c:pt>
                <c:pt idx="3">
                  <c:v>Case ATX</c:v>
                </c:pt>
                <c:pt idx="4">
                  <c:v>Memoria USB</c:v>
                </c:pt>
                <c:pt idx="5">
                  <c:v>Lápiz Optico</c:v>
                </c:pt>
                <c:pt idx="6">
                  <c:v>Monitor</c:v>
                </c:pt>
                <c:pt idx="7">
                  <c:v>Disco Duro</c:v>
                </c:pt>
                <c:pt idx="8">
                  <c:v>Disquetera</c:v>
                </c:pt>
                <c:pt idx="9">
                  <c:v>Lectora</c:v>
                </c:pt>
                <c:pt idx="10">
                  <c:v>Cámara Web</c:v>
                </c:pt>
                <c:pt idx="11">
                  <c:v>Impresora</c:v>
                </c:pt>
              </c:strCache>
            </c:strRef>
          </c:cat>
          <c:val>
            <c:numRef>
              <c:f>'Gráficos Estadísticos I'!$E$45:$E$56</c:f>
              <c:numCache>
                <c:formatCode>[$S/.-280A]\ #,##0.00</c:formatCode>
                <c:ptCount val="12"/>
                <c:pt idx="0">
                  <c:v>2</c:v>
                </c:pt>
                <c:pt idx="1">
                  <c:v>12</c:v>
                </c:pt>
                <c:pt idx="2">
                  <c:v>23</c:v>
                </c:pt>
                <c:pt idx="3">
                  <c:v>23</c:v>
                </c:pt>
                <c:pt idx="4">
                  <c:v>34</c:v>
                </c:pt>
                <c:pt idx="5">
                  <c:v>34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56</c:v>
                </c:pt>
                <c:pt idx="10">
                  <c:v>234</c:v>
                </c:pt>
                <c:pt idx="11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3-4A51-9AA8-5B4E83F76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1540096"/>
        <c:axId val="681537696"/>
        <c:axId val="0"/>
      </c:bar3DChart>
      <c:catAx>
        <c:axId val="68154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1537696"/>
        <c:crosses val="autoZero"/>
        <c:auto val="1"/>
        <c:lblAlgn val="l"/>
        <c:lblOffset val="100"/>
        <c:noMultiLvlLbl val="0"/>
      </c:catAx>
      <c:valAx>
        <c:axId val="681537696"/>
        <c:scaling>
          <c:orientation val="minMax"/>
        </c:scaling>
        <c:delete val="0"/>
        <c:axPos val="b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numFmt formatCode="[$S/.-280A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1540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3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'Gráficos Estadísticos I'!$C$78:$C$80</c:f>
              <c:strCache>
                <c:ptCount val="3"/>
                <c:pt idx="0">
                  <c:v>Ventas 2018</c:v>
                </c:pt>
                <c:pt idx="1">
                  <c:v>Ventas 2019</c:v>
                </c:pt>
                <c:pt idx="2">
                  <c:v>Ventas 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A4-46EF-9F9E-BABB49F35A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A4-46EF-9F9E-BABB49F35A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A4-46EF-9F9E-BABB49F35A3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'Gráficos Estadísticos I'!$D$78:$D$80</c:f>
              <c:numCache>
                <c:formatCode>0%</c:formatCode>
                <c:ptCount val="3"/>
                <c:pt idx="0">
                  <c:v>0.55000000000000004</c:v>
                </c:pt>
                <c:pt idx="1">
                  <c:v>0.32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9-40AB-832F-D951A822A72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Ventas</a:t>
            </a:r>
            <a:r>
              <a:rPr lang="es-PE" baseline="0"/>
              <a:t> 2018 - 2020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'Gráficos Estadísticos I'!$C$78:$C$80</c:f>
              <c:strCache>
                <c:ptCount val="3"/>
                <c:pt idx="0">
                  <c:v>Ventas 2018</c:v>
                </c:pt>
                <c:pt idx="1">
                  <c:v>Ventas 2019</c:v>
                </c:pt>
                <c:pt idx="2">
                  <c:v>Ventas 2020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7-01FD-4625-A77B-98FF37514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0"/>
          <c:order val="1"/>
          <c:tx>
            <c:strRef>
              <c:f>'Gráficos Estadísticos I'!$C$78:$C$80</c:f>
              <c:strCache>
                <c:ptCount val="3"/>
                <c:pt idx="0">
                  <c:v>Ventas 2018</c:v>
                </c:pt>
                <c:pt idx="1">
                  <c:v>Ventas 2019</c:v>
                </c:pt>
                <c:pt idx="2">
                  <c:v>Ventas 2020</c:v>
                </c:pt>
              </c:strCache>
            </c:strRef>
          </c:tx>
          <c:dPt>
            <c:idx val="0"/>
            <c:bubble3D val="0"/>
            <c:spPr>
              <a:solidFill>
                <a:srgbClr val="002060">
                  <a:alpha val="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FD-4625-A77B-98FF37514F20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  <a:alpha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FD-4625-A77B-98FF37514F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FD-4625-A77B-98FF37514F20}"/>
              </c:ext>
            </c:extLst>
          </c:dPt>
          <c:val>
            <c:numRef>
              <c:f>'Gráficos Estadísticos I'!$E$78:$E$80</c:f>
              <c:numCache>
                <c:formatCode>0%</c:formatCode>
                <c:ptCount val="3"/>
                <c:pt idx="0">
                  <c:v>0.45</c:v>
                </c:pt>
                <c:pt idx="1">
                  <c:v>0.55000000000000004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B-4AF2-8A57-50E79A3C2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VENTAS</a:t>
            </a:r>
            <a:r>
              <a:rPr lang="es-PE" baseline="0"/>
              <a:t> POR BEBIDAS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304-4E72-ABCF-B46635EA40B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A304-4E72-ABCF-B46635EA40B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'Gráficos Estadísticos I'!$C$117:$C$130</c:f>
              <c:strCache>
                <c:ptCount val="14"/>
                <c:pt idx="0">
                  <c:v>Salsas</c:v>
                </c:pt>
                <c:pt idx="1">
                  <c:v>Frutas secas</c:v>
                </c:pt>
                <c:pt idx="2">
                  <c:v>Mermeladas y jaleas</c:v>
                </c:pt>
                <c:pt idx="3">
                  <c:v>Carne enlatada</c:v>
                </c:pt>
                <c:pt idx="4">
                  <c:v>Productos horneados</c:v>
                </c:pt>
                <c:pt idx="5">
                  <c:v>Productos lácteos</c:v>
                </c:pt>
                <c:pt idx="6">
                  <c:v>Dulces</c:v>
                </c:pt>
                <c:pt idx="7">
                  <c:v>Sopas</c:v>
                </c:pt>
                <c:pt idx="8">
                  <c:v>Condimentos</c:v>
                </c:pt>
                <c:pt idx="9">
                  <c:v>Pasta</c:v>
                </c:pt>
                <c:pt idx="10">
                  <c:v>Aceite</c:v>
                </c:pt>
                <c:pt idx="11">
                  <c:v>Granos</c:v>
                </c:pt>
                <c:pt idx="12">
                  <c:v>Frutas y vegetales</c:v>
                </c:pt>
                <c:pt idx="13">
                  <c:v>Tarifa de envío</c:v>
                </c:pt>
              </c:strCache>
            </c:strRef>
          </c:cat>
          <c:val>
            <c:numRef>
              <c:f>'Gráficos Estadísticos I'!$D$117:$D$130</c:f>
              <c:numCache>
                <c:formatCode>_-"S/"* #,##0.00_-;\-"S/"* #,##0.00_-;_-"S/"* "-"??_-;_-@_-</c:formatCode>
                <c:ptCount val="14"/>
                <c:pt idx="0">
                  <c:v>29946000</c:v>
                </c:pt>
                <c:pt idx="1">
                  <c:v>16116975</c:v>
                </c:pt>
                <c:pt idx="2">
                  <c:v>12568402</c:v>
                </c:pt>
                <c:pt idx="3">
                  <c:v>8912960.0000000037</c:v>
                </c:pt>
                <c:pt idx="4">
                  <c:v>8772019.200000003</c:v>
                </c:pt>
                <c:pt idx="5">
                  <c:v>8348659.1999999983</c:v>
                </c:pt>
                <c:pt idx="6">
                  <c:v>7174112</c:v>
                </c:pt>
                <c:pt idx="7">
                  <c:v>6597203.1999999974</c:v>
                </c:pt>
                <c:pt idx="8">
                  <c:v>5610136</c:v>
                </c:pt>
                <c:pt idx="9">
                  <c:v>3491082</c:v>
                </c:pt>
                <c:pt idx="10">
                  <c:v>1678622.4000000001</c:v>
                </c:pt>
                <c:pt idx="11">
                  <c:v>363384</c:v>
                </c:pt>
                <c:pt idx="12">
                  <c:v>291564</c:v>
                </c:pt>
                <c:pt idx="13">
                  <c:v>151200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4-4E72-ABCF-B46635EA40B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3">
                  <a:shade val="15000"/>
                </a:schemeClr>
              </a:solidFill>
              <a:prstDash val="solid"/>
              <a:miter lim="800000"/>
            </a:ln>
            <a:effectLst/>
          </c:spPr>
          <c:marker>
            <c:symbol val="circle"/>
            <c:size val="8"/>
            <c:spPr>
              <a:solidFill>
                <a:schemeClr val="accent3">
                  <a:alpha val="97000"/>
                </a:schemeClr>
              </a:solidFill>
              <a:ln w="25400" cap="flat" cmpd="sng" algn="ctr">
                <a:solidFill>
                  <a:schemeClr val="accent3">
                    <a:shade val="15000"/>
                  </a:schemeClr>
                </a:solidFill>
                <a:prstDash val="solid"/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5.7325913163428959E-3"/>
                  <c:y val="-8.861857939300149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3A-48F9-BE9B-A3EDF93E8A39}"/>
                </c:ext>
              </c:extLst>
            </c:dLbl>
            <c:dLbl>
              <c:idx val="1"/>
              <c:layout>
                <c:manualLayout>
                  <c:x val="1.2898330461771515E-2"/>
                  <c:y val="-8.123369777691813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3A-48F9-BE9B-A3EDF93E8A39}"/>
                </c:ext>
              </c:extLst>
            </c:dLbl>
            <c:dLbl>
              <c:idx val="2"/>
              <c:layout>
                <c:manualLayout>
                  <c:x val="4.4427582701657441E-2"/>
                  <c:y val="-2.953952646433374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3A-48F9-BE9B-A3EDF93E8A39}"/>
                </c:ext>
              </c:extLst>
            </c:dLbl>
            <c:dLbl>
              <c:idx val="4"/>
              <c:layout>
                <c:manualLayout>
                  <c:x val="2.1497217436285913E-2"/>
                  <c:y val="-9.0258621521277716E-1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3A-48F9-BE9B-A3EDF93E8A39}"/>
                </c:ext>
              </c:extLst>
            </c:dLbl>
            <c:dLbl>
              <c:idx val="6"/>
              <c:layout>
                <c:manualLayout>
                  <c:x val="0"/>
                  <c:y val="4.6770916901861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3A-48F9-BE9B-A3EDF93E8A39}"/>
                </c:ext>
              </c:extLst>
            </c:dLbl>
            <c:dLbl>
              <c:idx val="7"/>
              <c:layout>
                <c:manualLayout>
                  <c:x val="-2.2930365265371584E-2"/>
                  <c:y val="-6.646393454475121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3A-48F9-BE9B-A3EDF93E8A39}"/>
                </c:ext>
              </c:extLst>
            </c:dLbl>
            <c:dLbl>
              <c:idx val="9"/>
              <c:layout>
                <c:manualLayout>
                  <c:x val="-3.2962400068971547E-2"/>
                  <c:y val="-7.631044336619582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3A-48F9-BE9B-A3EDF93E8A39}"/>
                </c:ext>
              </c:extLst>
            </c:dLbl>
            <c:dLbl>
              <c:idx val="10"/>
              <c:layout>
                <c:manualLayout>
                  <c:x val="-1.0509629338493703E-16"/>
                  <c:y val="7.87720705715568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3A-48F9-BE9B-A3EDF93E8A39}"/>
                </c:ext>
              </c:extLst>
            </c:dLbl>
            <c:dLbl>
              <c:idx val="11"/>
              <c:layout>
                <c:manualLayout>
                  <c:x val="-7.4523687112457743E-2"/>
                  <c:y val="2.215464484825037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3A-48F9-BE9B-A3EDF93E8A39}"/>
                </c:ext>
              </c:extLst>
            </c:dLbl>
            <c:spPr>
              <a:solidFill>
                <a:sysClr val="window" lastClr="FFFFFF">
                  <a:lumMod val="95000"/>
                </a:sys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'Gráficos Estadísticos I'!$C$153:$C$164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'Gráficos Estadísticos I'!$D$153:$D$164</c:f>
              <c:numCache>
                <c:formatCode>_-"S/"* #,##0.00_-;\-"S/"* #,##0.00_-;_-"S/"* "-"??_-;_-@_-</c:formatCode>
                <c:ptCount val="12"/>
                <c:pt idx="0">
                  <c:v>13971193.74</c:v>
                </c:pt>
                <c:pt idx="1">
                  <c:v>7035442.96</c:v>
                </c:pt>
                <c:pt idx="2">
                  <c:v>6012458.2000000002</c:v>
                </c:pt>
                <c:pt idx="3">
                  <c:v>25026900</c:v>
                </c:pt>
                <c:pt idx="4">
                  <c:v>17098128.960000005</c:v>
                </c:pt>
                <c:pt idx="5">
                  <c:v>33895880.040000007</c:v>
                </c:pt>
                <c:pt idx="6">
                  <c:v>10038799.540000001</c:v>
                </c:pt>
                <c:pt idx="7">
                  <c:v>12066104.960000003</c:v>
                </c:pt>
                <c:pt idx="8">
                  <c:v>11039384.719999999</c:v>
                </c:pt>
                <c:pt idx="9">
                  <c:v>26430140.380000003</c:v>
                </c:pt>
                <c:pt idx="10">
                  <c:v>13603099.719999999</c:v>
                </c:pt>
                <c:pt idx="11">
                  <c:v>56256211.199999996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A-48F9-BE9B-A3EDF93E8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034704"/>
        <c:axId val="1474035184"/>
      </c:lineChart>
      <c:catAx>
        <c:axId val="147403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4035184"/>
        <c:crosses val="autoZero"/>
        <c:auto val="1"/>
        <c:lblAlgn val="ctr"/>
        <c:lblOffset val="100"/>
        <c:noMultiLvlLbl val="0"/>
      </c:catAx>
      <c:valAx>
        <c:axId val="147403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_-&quot;S/&quot;* #,##0.00_-;\-&quot;S/&quot;* #,##0.00_-;_-&quot;S/&quot;* &quot;-&quot;??_-;_-@_-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74034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  <cx:nf>_xlchart.v5.1</cx:nf>
      </cx:strDim>
      <cx:numDim type="colorVal">
        <cx:f>_xlchart.v5.2</cx:f>
        <cx:nf>_xlchart.v5.3</cx:nf>
      </cx:numDim>
    </cx:data>
  </cx:chartData>
  <cx:chart>
    <cx:title pos="t" align="ctr" overlay="0">
      <cx:tx>
        <cx:txData>
          <cx:v>Ventas por Estado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Ventas por Estado</a:t>
          </a:r>
        </a:p>
      </cx:txPr>
    </cx:title>
    <cx:plotArea>
      <cx:plotAreaRegion>
        <cx:series layoutId="regionMap" uniqueId="{1C4B23D7-1A6D-4E8E-B3F2-60B53A7326F7}">
          <cx:dataLabels>
            <cx:visibility seriesName="0" categoryName="0" value="0"/>
            <cx:separator>, </cx:separator>
          </cx:dataLabels>
          <cx:dataId val="0"/>
          <cx:layoutPr>
            <cx:geography cultureLanguage="es-ES" cultureRegion="PE" attribution="Con tecnología de Bing">
              <cx:geoCache provider="{E9337A44-BEBE-4D9F-B70C-5C5E7DAFC167}">
                <cx:binary>1HvZctw4tu2vOPx8qcJMoKOrIxpkZmq2Bo/1wpBtmQQnEAAJDn90nu8n9I/dLbvKbanc1VURdSJu
yQrZSiaZG9jTWmvDf/+w/O1De3/nny1d24e/fVh+fF6N4/C3H34IH6r77i4cdeaDt8F+Go8+2O4H
++mT+XD/w0d/N5u+/IEgzH74UN358X55/o+/w9PKe3tuP9yNxvbX071fb+7D1I7hN65999Kzu4+d
6XMTRm8+jPjH51llqukOvp8/u+9HM64v1+H+x+eP3vb82Q9PH/arD37Wgm3j9BHuJfJIIskRIc+f
tbYvf345wUgcMaEQThH95dMu7zq443cZ8dmEu48f/X0IsIzPfz+69ZHNcOX45Pj5sw926seH7Sph
5358fvGv/1nMB/v8mQk2+3Ipsw9GX7z9vMofHm/1P/7+5AVY95NXvvHG0036b5d+7QwLnjDtn+mL
9IgoTiVlTH35euoTcoQYQ1yl/IlPfrbl2cf7Zz/d+bvSbr9p139wz3ef8tRTL/75V/PU5XQf7bPz
+3/93/6XbfsTEocf8ZRwxcVjJyl1pIRUKSY/OxGuf0nWL+nzO435voce3fzEMZfnf7EEOkBp9Pce
8vvPKmY4PRLiczn7OX/Ur31DsGACE/T560ka/R6Lvu+Yf9/5xCuHmxd/MbdkZvp49/Ghknytv3+a
f9QRSYVMGWdf9h//yj+YKkaZRF8cmP4SGz+3nj9i2vcd9Z3VPfFYlj+0l79UK7o1/V1rf7Pi/0FU
wI6USiGTmPjiqF+hg/SIpakiEj8pb7/DlO875uuNT9xxe3L5F/PG6V1rwgNs+bPShqAjLlGqOFHf
TRuM6JHAFBMpnnjjd5jyfW98vfGJN07/+VfrMvquvnuWgUs+Wd+bPzFH6INXFOy9+H6zwZgfYYxF
itmTNvMHTPq+d371gCde0tlfLWce0Pe//me8+zPRAKSN5BwDYv4+nAakJhkkllL0iwefuOnfNj37
J3C7u/I3g+f7nvreM5446/ovhxB2Ybz7aP+3EALlHDxCfsmqXyEEwThV9JesY7+U2S8I4XdAlu87
6uuNT7xzsfurgYHDdNff1dPd+Od2IIU4gAEKvvn89dgtGOEjhAlnJAWk8C3d+X3WfN8n3977xC2H
l/+/w+r/BCC/BQWP3vNHhRt6BFnAFX3QAh4rN+SIIyUe/jz2xdcY/882fN8RX298ZPD/ukDzn8Wb
r4pWfjfe7T5LYd/oN7999fMSQaF7cutvobUv+3Xy8cfnmFMOethXie3hIY/i/Stw+tU993dh/PE5
CGv4iANUY4ik0HoEAo463/98iR8JRRGhAnA1QwJyqbd+rECmI0dpigGRg9aIKABzcG2w08MlLI8U
51QgBgmoUgGCxC9LvLLtWtr+6378/PuzfuqurOnH8ONzQWE5w5f3PSyQYy6wEJ8tFJJiQRBc/3B3
A0onvB3/n6lg3k24jyfN0JCoBUnjjbGlH3eIqNDqdkV9lxfdED8NbeKuV7CoPWnknKZ5E7p0yyRO
y59og/s+C6Ikoy5Xpvqsm2m8Fsy+J52vtouh4nzQqa2rIuOjmrimoRr1svIh5g41bNRpMhe3i0LF
rJehou/ZuoR3ZLCRH69IlI2ucMl6LW21ltpg3l21Zk6IJlMlBi3qNvV6FMXGdsUqHdWUz7HbYRFR
1OtC7agnOvdBtwXaSMatpIse7Fq9lEnLcF4yubPwEW+2UTTv5TBu8rjrWcRnbsDjiZuMjZoWsflp
nVz3LiQBLZq2XY0uwZVb0OmwFnO2FYatmeMrPyyLRJPeelGfDVvEbYa6pF32vpFll491X9jdICp6
Ws49GTPsnOl3iYujORHjMNYnKVbseus6PGnmygD7JMScL1XZRF3FaRBa+Ppl7YZPSeTJm0329q0M
i80pGsd9Kqt4Qdam27VKDm+7ghWaI/Em1Oh9t/ptnyjLUba2Xr3pCu6zti3qAytafjYjGbN19P1d
Z5qgk1LEi9j37VW6NI0eQ4d1j429GlWrrEZVG7J0E/zUzumwQ70Yz6aukC87qV6I0YfdGqZzTpJC
r9uwXbJKBp4Jaca8YuCV0IZiN5N+anUhVVdn1PFwlXrVZbRfl7wV/FOJ61oPG7+oTNmdNMuI9NKt
7pytKXtl2nnb842ma4bISHZuaPZTVWUNWdj9FFGVRZF07zpUsUG3MfXhPCFJq/IhjeNZPyX1dV9s
7QzRI+K463pqlrwO1WCypYqV0+2Ay1nTpKnL62LCLO21kqHp84EkpNgnFYulbhmrixy52os9V77o
dor0lp8m/eal7q00rZZkHspsasW47DZwNNZmnXCpy82OXDfBF+jYrWP7cZotSfdDWcmrITr6epog
Hs9bSLI2b+kgXs/FymTWcmdOw7Lx6mSuvEL5VKZdvFzpxH8aUNzwLuBW4oPgclB6aPiqdCSMj5DX
ZHxVdna46mLTD3k1FmIGCxY7HyR3073b5jTJiBUT/yC3dXpZdajsMuYXHvXiq0JkReNMp9tlXA9R
1Ek4ZqZGZb4OeE52M7XozciSKLWdTaML13adJmY1t5Eb/i7MW7nsehVGlHOoDu+XNtmuG9P2F4ZJ
f0sTlr4xjRiWvBnQemPXbb7HvvDrhaHVxHNRpyUk4CbN1ST78MHZuQgvmUmHIhuG1LdnK19CoUOc
wrTnqerWN0EtyO2sLFKZ1Rvb5gNXvQfH12FweeOpvOnqGJLjpBeV261ucUyXWPANApwvNCccs/4w
t+XCMmEITbK2iFNzAsEqm0yVkD45qlk1XC4DmoVO0aCmg2DrRG8KO5pqt1GOf5oJmlc98sgrXZTz
0GUtWZe3ph6TzDlLQ9aqZa2ySRq05GjYivsijsX72lfIaKM6qKVDMZpzk6i514RPftTeVTbVvMLF
mM2cDoVWVbNtepjraTysZVrizBYIrxDbYk3OxmIYzC6Z4/Rm9XN6HtVs5EUQW2/0gCr5tt0QEdo2
TF5WpXgIXKiKNluHoXrj2zW9bwTrNi1jrP3eVXV6u4mh8VnVz+ZMLSTmfMXJW5SE5VXFq2I+6+dy
c1C7Jaw7QAjSvNnSubhkc9uizFCxVHrBs3/HomNez4qGoPtWNEme1Ey8GKatb3XT17TYo7RpUwi2
FVwhk4WOnQ6qEpuuvLHsxbTNrczHeSUsdxWTQ5ZsTRR5v4W1O0yWuEIXwft6FxkTrNJRtd1yDzir
VsceIFjeyGGeX8y2i9X5tA6QXXMna/UBCpX9WC/KzEFLV23bbdWPa/s2jm3jdgu0FX8pFtMXenB0
wefB9bjVXthOQbTMsjoZkEf2OPAmrMdsqNm8K6HI0yzGin6Qpgskm+gAPanGgzjZYsky1tcq35rp
jeiXLeN+mXdprOp9vdkDY0m7K6pFQOyskNpNs2Wb8suFjP1d7NYX87hi6OGBVFpZ+QZsPlGb99r6
dgc9cj6OpJrzcpLTu3rwaMrnVbWVptKIKit903W5M3xedMIcT/e4pm2ty5C24tqMY3uxwl3XEAX1
2cwG12ULq8KOo+Fi6ITPjW2hVRUVGXY1aZzcoWa+Hsho0G5evbxCLpA8+t5esLSQx+Ddu7UorSZb
zTtN167buaSuTyEX/Nsy2rxM+XqyWXqK+jLRjHihCW3bUdfN7DXGbMvplsh8Kbb6fV179146A8jB
9LV523rroAt4KfN+QCnYFdKMsRBYZtYUN9oxa96OG4KHLOWp7JTfTWWbvptYWZ2IoV8h5toJ68AS
82Y1KWp2ohPG7nkJJcAm7fZSDHNy4OnSo3wsZ0yhT5vwMrb18joGsnTaJUn1JmUE3c49etGNFbuQ
Mx2CNmn/Eq+B3Y4QjnjfrOl2FcrEHNY4t4XeandnVKTasMmetiJ5ad3Wv0pr290XCU5I1tVmfWH7
YchxqbrcLkntNOe8yiDFlhMLOZ3RqNK9FOmHUbZU+57yLLSL8llqrIBkWsBVp3iI9TVwEpXhdd5e
t/XYYN2grlxzKxcpjgHcxOGwbdykox5CYoKeEszxfrBVvBrZgg4KGQlxMq7igJwsd+kwudN56unb
oirYTcHVfLEkDT0YV9c5q4ksAWHN/ZLNqRcXLd4wVNxE7gcK7byuu2QA0AllVaZu2nWxnvKBj+Qs
VBvXbCkRtLXAQrYKu91Sxue96lrSAYBJw3LA0m1e99GgfamSqdA1UsV+pfOQyRozzWCN2ibzlPdt
aE5VnaJT6BRWq7InF/XQtTtXNvRyVXE9ODaxfFvScV8AUT4ORqKs4EV/1RQ48DMupjIbOjmc1Kmk
b3pSGy2rdtXeRJqRjQ4nwOrsngTq9krJS1O5ZI9EKhodAJzn64q7nKMFvRpT88oJZc7shinkDoCJ
tO7eMZyGrO+9zEmv6kwt0Z+0vsj6wrGD6ojXcbkUHOF7LNN613DcnzQe4ZxGVh3gtIHS86KuS9uY
E8AmSzYZOhxLiCk9orbKKQ/NSQQ4VmtbAkDoEn43bUuZBe6aPSrTBjp/fb1AFb5RfRUhpt2UuRSf
iUUMh8Jwd6lsP57WBeflCRSCMl82RXcp88UL09T2Naxs8FqpLfBdF6ahOnRJT9pTKariZpFuvi+8
E2k2sCTNWbmEdQcQK4R8BtiFARNLUl+VhpU3MzR6QLK8ixo8vb5pQCrUjrTVvmvCWOdlX/vrqm2n
WpOOl1NOYCvuZybEday3yypg6DXFshsCIhkNeDlw1/nMz0O48+UQj7fWlReRlV5vXVoynXZ+bIBP
tB3O7cja11PieJthKZedZfOKtAIkHw7fnmx4xN8+2GH1pqx+Pkfy9dd/vLQdfH8+6vDvFx+Oofz7
t4tfzq/85rsO9/ZBRQtP3/TAw78+69+HKh6479cTFk/Y9JcTL7/w0D9y8REPf6Q3/CJmfObhD5OO
/8zCvwoW37Dwz7ORLxxciqOUYAqzYkkoYQR/w8GBToOkAhNI4MAQEwxGkD9zcAoc/IGWp2nKZSoV
+oaDsyNOKZyXgbkypqCCpX+Eg8vHDByllIC+iZAQmBECQ7jHDNzTiE3fV+6impVJc2fJil80zDXk
Q+ILAGBtQlN2NsLxhGRftL7eXn+zWd8RATDMYb/VABBsQEphwAdaq1RUUFjptxqAmU1bNeMQz21w
juQkeqFuWUnxdLJyVQ2ny0oJvyq8X0Ki63oR7LTt6Gi7rMS+3GYtQlfQSv8Xu55oEwgqIyxKIp4i
EEp+ZRcBfXLEc4vPyTy2IZdWmDLzRs4xa+qmBBJcb15choWysG+6RVW5pN1qdBuiqa/c2jQztPYq
SU+5DRPe/Rf7QHp7tG8KlBhOCJYUVJSHkwaP962hLSMD5cO5EWabcmQRXc/okMirZEHd8Glphm08
ww2U0n0k3oCuAdRRvl+bavJ5qbi/UQ2R8QxUk27btzwqczVDg+JX/8XSBxXnW5UHtJqHgxLQrWFE
BT+feBjbFbNkIfhsQwuggNiPQ3HiWrktunQLUOZKdP29tdV03TS+AYYwu8CPHVtGc/bbtjx81CNT
qMScSylTDoEH/3i8ab2piqUVeD4jBbDvzOEutBfzDLRIA7yth3dGuLEq/4uvIMWffmoKyxYoRVwQ
+VTm6jebiL5exzOLMI/5tHmnNBcNQlk3bty93LivkU56ZpaDJR28via1jDe/vfiHiHi8ePDDZ9FN
EYaVfDDzG7WNAnKsKjd0Z8TbplmzabDMOe2ggS5fesWXQ3BXXx76rbT3JDhhUqk4UxK8DZnD+NPg
BOWqj6Gf3RlaapKcOhrFdMK6etm0G6yxMPn9WnG/83FQKB+tjEM9hByQcEgAygmUxscrc0UpZMnI
ctrUyQqw7MsW4krQsy4NSffK9x3bTtbRAlr6gx8NI79UEgaLJGDGw/z1201NBGupWoM7FQmul4MU
3Qz9fSDihTUb7GtSr4UH6DYl/r9E1dM95sAMU+gAgihIfyKeiKcJWsvgaT+chtJhlLmxg0z/Uo4q
MUMk/fZCMSdPSiKGHgZTZgVXBIPjmvjBDd8EUDDDUthkiIdgk9XuyiSsn0a6rfGYlorxHeS17bNa
dVvmVS12dRvZWdemBd8Vg1tf0HQEYNgwdQLEuc1Tx4TujJVnhTfkQYSbMz8uQg9+jKct6+gbp8R8
7FAibmYlQBDzPd7RabxceFHdxiKdB6ZbVTiV7J1ZTMNOUbItY3IfW5AFA6jLn9RY+PfDFOK+THB7
UtGNX0I4vO+mAWgSasYLvAwyGzjymSIFPm432XFNHJFnvsHjQW5KvkwWLl8Y+yAtl5aBRGzTPaqG
7twv1uUmQVul675tYFNIn0FTfUUF9jdVShq9xq7Z24nXp6K35aEvulfz0GzXcSbLTmzW5xFPxWFU
QRyXwVZ3wzR+SsdNID2zxmVqbjZdzMmWd2JsDkqB5uC4j+oA20B1D8Li5ShhJ3BS40oPAz4eKRCv
GUjw6wLP3Y6IpZHaD72/881EDsUKRLrnhX1ZuiB3Gyr6HNozfi9nslZ6dX7drbZcLxhvrgIV6TWX
4wQK5YivZV81N9Gi+CnWfAHyAiLWqUqp1M3K5/6aUmAzKVgSNS5XFDLeC1TpSUr6Ey9waTOYU7hz
Yld+uoCumIE2Mx74KtRhEsNtDQLoqa3EA5J1M2j2rsiqCt7WT2F0O5EompyRMmznwMiml4Vsqnd1
7Nsih/JQv2iA7t1iWdAXSVnF1x3DmwZGqHZuapIzJ1iiFyNXla2KYa9dB/pkdK7aJW03Wu0bxEQO
FKv+0Cz8jGCQh0UuU1TWap8mDjSBW1cmEFyXC1v4dGqL9QPHA88WATC+rddwkvTlchYVS9/GOTEL
KEJdfVwlyVTqEdjqsUX+NSlR+5GuHJ8MMsyHmjoYMIg2Xro0Af1rrh8EJpNNyF1M6zKW4FTev1rZ
ZvJNgYci29J9SwxQbg56cz0BISIkRCAN63bBCtvl0ALiDhNSdHrg1W3q8XlNgCWsqf0onC00iMEn
eFi7W8yrNysGqb2RNSj3ns56xQt6h408RN7RbCyn4XwtJ5QxM70obJwPxG7LjrZNfbyUS9wZ0jQZ
TooVoo7JeR9xErL5gd3MY6oOhNTDMekGe9XTNdyKregujTPllSnK9bwuqdt5t0xnySCSKQtp5DTb
Zj85PcKpGJ8NJMZyx9Ou8Dpd2yFmRVUt93QwhGd2ahSoekt7gauxbs5kBWLD26op2uSdiWtXwEPk
zFu9qrSuLgY19PVHXNT4kwPPkddbT/1Nv/Zc5HPvxvFS1kSINyr1pnjtB2jnnTabqc1pFIg0n6SN
ccoSsgZxKwBnfPSy7TzAwclvV5HJcjkQIwPKaQn69/4LMOsTMYF4KOQY2clSMbAqrDXdLTNqkMmS
ZWYmkyF6s1+TOMH4oK4A1YVpWtq9qi0BjT20hczs2sETIk0qr5PVNBcPc6k0i8swyfOyRxvLwtKb
5pSvsAV9ZpvF+vMFtyxeplCJGds5K1uAzdhDXXk9Vc3S6K6ACaLu0aS2DGhlGXYM6qjIbGpnds6H
ljcXToHcc8WQgw5LkhlU4W2F/LjohobdEQ/A8XRYw/aqVxBiZVZjD/BYiBK6UupMwd8uDsPeBAm1
IwtJO55uxA60zGkhEFTcYaMx2A6mclu7FXuKR5gGdh2oHqcPM7btauxB+XnZCWnbHZztnNWUQXRG
4NqzHKQGxxZEQkqzrb/vt7YC3RCmDfaMBOOrE6TiUNZZl0gzi/2GwEPVLu2N8n5vUtFfiHEmdN8H
R28okKHanDvUr0xkSetc3V3gNrRNecanjqo0c/MSoXZBlUeZBBkHgXOn3vV70NVUfzDIxgC5HyVF
u16iesmjaxqQIrdqC6TPcYPSjyBwyKrTFq9pXeoljmuyS+sQ0wMvXbu3pipTkKYia6YDF3SWOqGV
tOe8xU15qpaUsddqkbO/7/oZ3JJINMSQA8yroVvO8GM5AP2spduVoP/X56Tvm+mncZ57A8XPolY+
tKfCsnvWoXGAseVW8JHmNbCi8hOgDz9cb4BNtxMokizclAUUTBB+ALYf22oozathJEFcxrBusFMV
drR41/u1h5JVTJ0pbhzBaGU6CNeyVM9AqkALbdfK1Z8MwBbf66rto0syGBE6O+Y2rARA6dovU/0y
cQqUyrLGu8QUi26lcvGwhMadlL4tQja5gl2OlC8/8T4Ur/Aa1enQVyKbDR5y2WLxGmD5GxdKcwLL
6/dz/3l8RkHFs21zJlgxt3s3oRXk8s6OV2pa7mAGWoFEy8yhkLW8SMauyGa2QpyRIZyIpUhukS36
w0YG6C0L85lgqYWPXND1AHUlV0GlL0wKUpsySuR4qnheOYe1T6XgulDptHNbtPsm4ep0Jcm0G1S5
0UwsUFikXZp8i2hsb7gs21wm20R0AlR0yZ2q29NKPginE3f2IuVl24CaztAJ2WJxbLoGH1Mcq13d
zcXeVPNrvHYm1UKVIVO9cBp1jJ/Fxa+nrObujHTzrMEn7VnsIar5CHtdDVbAzLAf+HtSDu2BgogG
ctu06dBN/cnYS3cNcuCiJbXrid9M2PWhvmdb529cyXsdcDrldiumDC+2urE1PC7gMn3FQbqWWQ/z
kHOP+p7qtRrSF/XsFaAEymHGgzacKT/imPFkiq+2efDdzowWRjMx0mrNaGoi2vlxxp9UkcjzemX0
NSmADOu2t20WhsSB/oVqs5/gfztFDdzKu11VFfx1g8nK96kqO/mOeVXWl3Fea5ijQPEF1slDDRAw
VFXec9kTPfTSAxgikzd6A3jgdN1Ow62BZn1aloa8p6Utzho6kxOytDZmUZXxQAeJlZacrMfNWK5J
7q2qJ11HP50u5Ti/saOH4TX3AKhg9fJmdBZDzxdp87LvarvkaxnJGxjvyVcmrZfTygd7M5qCnlQP
xD5/OJlwgtwCUoP3wexgsLQ0mTGcgYQ7DGIHav1YZBNrio/jtKrXHBsnMwFDXAQi+Qr3gcCjeu2T
xfXaycpq0CbHY3gwSOAuItPmYWRTtoDCjPeTn8rTDg426oFS6FuxXlWVEePNlLFpmM5X4/1PUZrm
FrdLAYM/N21vKC0FNJShrfepXRS9lGOCgsaoc3MGY5D6gjeQ9qdSruHVCIT/Ggo6jH0wausXfina
43Gah3xZULvuwxxnsytrR2udtLHNGJzJmEBfX5eLkooyHNeqmmfY3zXptFoanuhirdszspbJDlfb
ctfFNN0t3uBbmMiqLNKtz6qGl/sAM+WDh5HPPhSdedn07R2GqeMxLJDHzALFegNb63gOxwdCTqzB
aY42JfYJqdZDWYX+zAFvOlAQ3XNHU+pgQN1W8VIBPrxyBs2vhEnnHspxMb9aKIjSsnbNeTM13cXQ
dxcJjM0+zG4sLkTr5AsSq3GP4GjKMbOFgBEUTCMOq4FhkJI1aEwNI5lqan++oRpCLJAAnAqNyfEg
Ov+C2y25k0BUlgwm2tsHSFbS5YiK/l1r1uGOs34+sEl+JD0ATFgOjN12yUbZBHBlBnJlVA2TdKBj
nZeJy7Ep752sxWkyQ17AqWd8qEO7wUQIe+BXfbggY+t3mA/vp7GZ5X6RvMkTHvGtABacx66rjoGT
D7t+5fd8Saoch+6sTKdy7+ZCXaOCoJcjcIBTBCg2I17Nl+MMM8dNWqILsY07E+v0LQ9FuEzqCFUn
GauDZQ3RKRtSmGTAIKhjoOLjzqC8laPLYFJ4jiUmgH6Cy9wyh2y0BG5tRAvnRArIERiLvmNzjfYD
K9FJ2zOUjaY1WZThuCgEBTQWB0X3/4+9M2uW28a29C+CAxOnV5I555klHUkvDOlIAklwBEGQ4K+/
K22XS7brVsWNjuiO6O4HSw4dp5KZBIG91/rWtghQUW24oD2s0SLfqH4zIoIf1JBk5xxpUehYf+xC
eO8+nNGOEq12baLseFiZWN78It8P0uizBqB0DupepaiynsNGRD/QY/UvQESG+xqdB1CV0Otut8Rk
eS4kCuQ8hjHxwCfaRXe+xdOVEq7iS9mutKrSyMTBnJLABiIlvQ8fqy4g7wK0V/EhdkVVH+suql06
xLb4jNqH5bFNNpX6sH2mgvKP3ozToa+G0Kax0mjKGNMf4rURuQ0ak+uuCJ6pDhZoY0lzqnr+aV7c
8LyUK+qosXCP3TAuZ78lCns2vJci9DaDAzS9FDeGB74gEqcrQ0mHJOLrGJo4m0RDHqqaf6gt48ew
9BABYfjAGU+auxlc6D42NrrAM8dFuKF9w1Y2paok62s/D05ncomaEyABGKEWVVDWhSHZNTHsptVE
/opnu0lhMiXXdSxD2D/6K1rj+kmjDclWMvKnTlqsdZxQx7Xj4V5RhaIM66SEADHqU9uv9c7zpnqp
k8HdS5T/w9FRzzMaR+1nOZLh4zCO472kscjY0I7HphrJFwin2MS3pttjRUf6GHOy7SFZbz5TomA/
zCJttkVRsxukVLsGOtZuSkwVpkwbkWLLiSZ0edgZd7LvHBZj2WaT7l9La/Qj1415DkOhs1I4tIoE
YFzaEX2XVKjNaLdMx2Fw3yqpjc3cOIX9YeoqkQ6RHj5vUS1TGlRoUDuc21h/6zzuUA1/CfDXtnCe
gQLVlD2yqe/Pxe2spSOfLgIe190KYuceWp94mhyvu5sDxY+uLC5tp+SY9VsTgaaypUjXmomDrciy
7gIUgC9lHXcPs2DVlwSBZXygjf4oIWigsi/Qri7roHIIdcWLpJbe96HjPFtRE147ye3eVIOjGWNd
eB4KGu2mLVkOSpKTowNLVUPgow4TLPrJsk3Ck6X2+wyt/NZNurxbXX9oermlm6zDz5Om/MsGLQac
HNisHPU+vrB4ivYGJesOX8D3Riavg9Ik061MnuXGhh1boir1Rdsc2TIyIHJ6OiyjqU8K2GKm1LrC
UZ2Yv5KGM4Y6OgheKR/t0+oiB0kkCHAJ0QUtbfCeGL9+Caep20MBbuVuFWZDFxUNn1q1+Md49IFL
CWmDNU0m2No55MY59VY3nxvAYdMn7/GUozpK3J51Gh+sM718S1q1fsdh6bIKN/Y6OVLnok9onAaL
ly+zrARMyZj214ZEC3ZMPrshE7FaAEY4XV0gGRXqWoRxkU8aytFXuqghOgK+aOccbVfwygOcYI0W
ZikZmpeEdElas9CO1xkLe7ava8jcMoagAhwXY5VZFtuhFflaTeUKyGpalzvPSvZaO56kdJCvBift
HQXZ8R1aCUqOQREnH7Vl49oXOY973Q9ZKHBtZ/drD2NKKAP3nQaaty9BusgDFBgLAnFbExwNEcqk
y8gr/JQPw9DdjTo2Y7r5An/ip7LoCOrGYBvxhNHIOPAwPU3utzmqtrwbnXTvVGLlXWNBXt0Ni6Hh
Z3ACXN9ty+KLXRE2cZRHFbXdoWtigidwG2O8yo8NRMSyGnVyTUbc8GfPxQpnqqMgubIKF4YeoQJA
IA/Dr+0zNu5ifSNloq1NiyIYi/dGh5PYMxgB0z5eVNx+r8Clbc/RRhuIesMWo8UEiubNYZuBs17i
TW31RcnNRY+CWG6yVpQVBP3e8xK/STZ6tFBUxSM2w7WlkTrFvprrYwRj5L4JBPp44C1F9XnrWwFJ
swBil89eTFGZ9nyK4rOtCV8fuAAmdKeR2+c3DnXV2FubkrQ89VMPeWIYFUf7mxSifVw2MtB9H8kJ
KohGLQ1otfHtJSYK0jdNlkgeZ+w08DZcodbXQNVdLDPmuqkHNIn27xAzy+0BpSnEAqVXyk6+itEw
wBWyiUpl4FtQNwmuVUaJ1HdgNfr6B6nMgCbIoUI/Dawb2X6baUhAbPrG+h8bi83Wp5Ha4vBHFIi6
r7N1nrCeGCtvllnf44sXxODXInGhew5ow9GX2nCDsxcWcqquTQm08tIygffuIpS2H7EZ1/wRtRDo
s9mw8Yn3DfuiSxEGY9qiWzPo4YVZd5VCa4wnZ4AhU9xqGRr63VhZdxN2TQASRCQk/DFOhLl3i04E
bl3jYorfoiC8LZbAyyAEr8d6FE9tVKAbGQrVpmWBEvPdxAoFeXj1MQjnbanPfCojuTcF0KOMGbuJ
pxmEZ78fi4F3e5TJvt7JlXfBDa3duse6rvE5y6nXEBY3XpfduakU+1jUkfVrOqklKFHHwSXLQiyN
I47AJbluKHXJTsTwdu9AtckRjKXc+FMpJ1KmS2VgkBZtiGbQx8le67m1+5Fu+NQQO5ILM/MaA3px
N+VMK9zMMOas2xUWFcG+EuHSwhwDpZwvE9Pgh8YBtRU2vnU8d07iVTJyUYyaD57beVriLT4HxdyV
J1Q8zm2731xR+ettNYDi2AtvZkC9o4vC8VSYgI6Z18RtVzI1oUv7drBu7+c25rtkc0t3v0zj1OT1
OpMLFhdJ7mcj+9OGdzTPsmZ6+JJMjJDcA5s5QMiuhzNaTe4vMMbmaF+bOOyODZ9b+lzq3nc5NsJg
yxNCXX0/glhOICuwqbtbZZfkwdQOxR7Yq0EN2wEEvKIxGsHtUL22uwH6cX0GbVRB3JWJeQUbA8SP
AtGHusaETTK9bv30Jmstm5yBYPzq58A9qha36Og5M9M3RKGkRlHa43bPyrQ+R+iDv0YNAOyP/QCW
8Y5vavgmcKu/QCPS4miTtff7cE3iPudVX4jcY2ModrcnDFt0jKb+2HS3pWHrxn/97eG0hmGNxtQk
45HaLSp1ajiI22MHDN3nZQhm7r6d+20687oFJ9WgUAz31kBJhCk0dHyn66m+MKe6Oa2EsF1eUrX6
c+i5UQ+CFv14qUnX0BSl6GyhpZZ9jb4STHPsWN6B7s3qsI+qXY2FG+0jm+g5Uz2pL84nozpFlA0/
ooku5Q/RB2yD8syLsMYXJ6HsjISL6AxTpG0/SjPjma8AbJqdNq2GcKp60NZhtgF03x45d7gFQyQb
feBbqw4LN1zlU+NsvKWt0mNzCGzU+zM6dtjDQIBEV/+ooe3oM46BUN8FLq57D94Ky3QP+xfKOgmG
sNsPdeI/jL7zV5D0MMVhRBjsn4kAmHm/6g51d22WUWU6icL2HGw1HfdWVsQDKh56XnyoojIYDwkJ
YgL8dkaljX26LZaHRkITe0jWquz3wEqxIri1lTisjYOfVQbrPAMDnjTBZxhaottUg6RszlMbA4cC
ol8fN55UwZGVDcICaDeS91L2IFnxBA8+VzG1eF7r3pR5u03jV+oqtN12QnRizyCJfTRjXCy51HXD
QdDezojfrNK1LZt611c1ewmqsFd3+JKC/qmXvoBkATPVfhh8acP733bMaOSavXeG9vV+ZbQKEB1g
XGygRYUrD2SaceOQP4fxK0vJbjsw7coj39atPnHcytPgSllnYKTt9C00vLC5w4mH3SdsTHjwqMPe
a2limVOQeZ8GFlG3cz7eujmL+mFBeKJc5xCVMm4yEhdejTU5dpHFsmC+QE1M2AzSfZGwL6B82pUc
aFetyQOB8lmkyLvM8ecmiIPmTq46fIPMMPrrRKyUeY1j0b1DRRS4Z4XKd3ssuBPuXaTmEY/v2ruT
rEnork2n6PYMhBw/DIEWzZBBsJKqU0FMKd/qLvSU7SuKQ/Iits2P33GeNBoHCq1aZAOgX2/kfgI+
MByWuqH0GMjpJgiTmcsgydFCF+uSlU6N4VvRGgRiYiCp/TU2QduXt22KbTmhcb+V4D4Rt6A5S2Ao
ALseez+4NIh7UOdjK1q3Cx1O+s+mdcGSF0t4g3hgDiSwCKoEHErKIJujHjZR2bmXyTRueEIz4asD
/NggvkbNvEgQmbxtj0PR1p+08azGEp1jc9OwV7gcx64dY3YP/akFFo2IC5IuME0htpsatsfvNVJA
Z4Gqy6vwRlHqDkcXqIzI4ilu2+1eUe2+scpjByAhK4nNEEYohs8m4BYAJl1cc6dqMqwvMWh2lVdq
xjrrYgR33tE6CfoTpIthOBJCFCIuwarnlw1YKjvSBl3P0W0R+QCjaTouC/VDJpHLqa+FC5zvM+Re
/Ap0h6jvUQTv8wt6VtJ9VBGnXyPC6/GNepagD1zWMgQFu4zlihoAnmVJkZNpufqauGkpPy7JOhZf
Al9gbRSQN5MfMFjW8ehtWbiT8XV1I5b1Bg27hBVxEZ0W+m5SKOR3hQsn+uKhZw2pun2xRzFVxF47
5F+6+wIsxrDfWsv1awCfHxu9blzQp6wsw6nZi1hyCfsQRde3sqzCWxyj6OMw6/wIS7GpJ3RUEysV
vtf2UYxAnuBPbok7eFzyUoFx1PX2NBSwpS99ZcPpa9vNxgOsUksFZgcu1HwxA3JaRwPGjt1Mlmq7
bsZyfj9AKe9SEjXOe8RA0J6BYSa99R/7oBkrqCNdsNy1o+3ks2M4HI+tYdibR3To+q5OlnA7O9d0
4IEGauNozYj2U3WqpqJPHusiktF9vNmCw2pBxRJCFBnY7am3gvgLeoZ53lEGTeQ1CkiV7CADt/O0
a+qe3hj7JTDQChvVFmM+W0gvoFHHPlTNrgVTQYYHQZxlyR3pRVXWadWg0J13G9626v4D7PYXCvDW
vgcctT+GpSAMDaLlz2BHgJrahM6sB9e3oXix0ifTa1fLQX9ZywCmXcLguD+CQ8UzitgVjp9f4ZLf
U5W/Ezy/ZQN/pjt/hj3/b2ZL/5Qo/pktFTSRgJX+YJ1u9OqfMp5/jCr5J136+2v+yHgGv4gYJFuE
2Q9/zXgmv0jYewH6feCKiGz+wZfy6Bf8sQDFA/YTR0uCOz79lvFE/PMG9wjM/0B/gX02+V/gSwGC
3cYixDhe41D+HX1jC0T/cqr6C4KDE7SbmEByCeB149gCouJhw6MfpOWLqfE8/Idl/XfuDmFVNCBc
xjKJ2G181s+8EtAsXybJ3F1AMywPE4n9fmR1J7Efj1FxiZaepGyLRZGPNeJ6J92sKD1+ul3/Ak37
K6V1+wIEBhGFuAf419s9+PkaYElBZIhNd2nt2pUoYGKbTVAyYImuRn7692/G/vZuGNmGFZWwCONy
RMz/gvgBcIMcMCLyiYb1wjuE6pxbo/0coduZkgTkUowS4KilQ3QSTAk/g1v5wKAUfIzsjLQF7M1d
EZkfsi7Zkv37qxN/ux/ydmkBC0GrCWC1NxT4J37Mtkj69AhoXKaFV/uCTOSzDMZwAP4+NhBTLUzC
3McTeUsmPX/QJXqVPHQl6uGiBHELf8Q+NDg/3ZO1XftseuivSFbFJMhQaiqEHsoSEEyRjK3Zx6pH
xhaxjuh5cPOnJtyWD0lhlhx9YJ/aBVaxAi+Abn4vI15nqBE9cjUzz0fdRTDyAeZfhsR7kaOshBEW
API1e7fECSK2c+xdKqHZtP9h0QKmw9fwM6eJ6gRfEQDK203EsB1sED9/TbIKUKBF0XAG4AYVvqwM
iKQm+Oj7Gep9YQUdznEZIdw71fa7lUJV6YSKwWSUSIRMQDo5kpawfN/1lQCc0SBDEmZTmTiWcr+U
CFAwumYGUB7CNxWK22O0VUWHdt5yhaoWDMslqXpyDMpbXqVdx91mkQs0NIJeBmGbmbb8ugGOeiS0
ae5btBqNoKctqeJMIYh5DaoazJutgpcFZlQWxG5Bw+DlLl478W7TC3IonKb4z3LaIBKBOuNOAzg/
LCo0SH3RlxHeVF4CUHhHPe6pLjZ+3nSPwpYGYmqygK/8jOA3PO1i8iLAuYow+HGQAyAn3sItfrMj
jta+MMMNsdhGkge+11+XDq51sUR9+6kLSvuFBr5haWwgT4IhmYstbSgvxFMUxRM7kmqZHybpnxDz
jWTechlexq3Nk7hw2eijEjFupqo5R59Ji9TAuPsYLKZEaqPa+k9Ko9uGnlPBFmdRi461L7QzaQM9
5ZNGU0eOAq4ryMOwR6iEbQGMaFWr5gcGQvIxRUy3f6pLoQ4eosfbpBMLxqtzzzGgZUSWi/imNqrC
BoeAtTFs34K1rU4hYPjHUhjZHSWV88Fs/iMqTm6QjJti1H4rccmDa+etzkzX8UNQUslPAfKq5WGd
WR98rq0jPxrgm8AAWwgjeyd08egJUuTpXCbzA62ouqxzbx+2AhHzfYfEHgID2odDPsxVqJ/juBZY
j1iW3eOKU+JOFcn26KOq3T6H0pDyfQntn55QEW30SgedzKg44QGmrlsZgo/dCDxmbhVrDjhe6v4y
9z762kx1DK9ATf4VNzeOUjajC4afHQxgCoFbvAs7L8zVaB6tp1EtFkJ9NxbrqUZEKAYsNsCKHlo9
1EAjh2gxF6z48EccJZAn6Loc5km5Mg3BPJwaQdipH+1wy4aqtzGwLaKyFPMG4lU+LybucJAofhF0
tsfSVn4XqE7kIFPrL/DvzU4OrTqGYsXajIoxJXENGxn5Q1AektFPvVk5UqbbcD/rjR5rXosjXGOk
ycdOHMJmVXkY6+I5ntcSF22ZDrIqnrs8WBIC0GMwwGaBRFcPKxC0+rB5PS8PPbDrHRvUSLONg8NJ
u2VYwFtMM6rvOQK/CWczunElQCV2xltKgAnq9Wxj/m1cO4+1VXnxJMPe5Q6I0VuLpwERI3T4VTxG
Z4V8XAbtjez6sDQw48x4GiXvDk3VsXy0Tl2XHnFcgHf9zsFlOYjJ0x3CrrLYAViwDyXUiKPxCH8h
ExlfNsjSCcJpQDRzXiP0DmsvKABBBXWQBYrYl8QSk42bhVs+oRJN+Uwh6N0+3nEcxZtsew4JYGv2
tivIaaho9Dj4Pjl4CBvXjbinZAL2yKsE4b81CI+9MfGU+nklz4WIt3sYlNFDeItVt3COjgmJ3CHk
AwXNwZv43bzNCIZjTZwaFq91al2JLEjiOyiS3cyfwfORw9jzJUtoH951MGBfeDwN6c142jk7zbki
Qf0wT1BMk+FaqCS5Mg56Zkgk3dcaEUepww/bgJTqfMN9IHf1V9xfnsrBLHsAfS6vWZCkqx77bHNw
B5C796CMxx8tllCRD/HWZLUE4pYhkjff63HqXxC+AEZkLNrrTZb4G3RxcEvxCXYfO+kZ0RQofsFx
a7t1r9cS6elRigPUpAjxBGsPLbrt+5Bu4d4vw7RvirHeLUDtss1qSIFNAGYRMUuAze7TyApUU2Qc
D+VcgIsRVYeot0veRmyzBy3brFfN9L4eVn1izEQAqMi693ZmGQ9bpMmHDj6faOfkAyTkeQXfGkdX
HvU84y4kcFeTqYUCXPAFe63kUAdmleTVwBAvFnJt2MkBcbj6FaZ6BFtK7EKz9MOFqC54rlsgDaQA
/nS2iGLo87rxEP3jsuQ6AUe4TfErS+piFwIregiS21AIAFSoPBa7YjbCgCjDWPRHsSAWHDXIFLOk
fAiiGLM5JJ2enZrkTmNoyCnq2r1IBtisNb6FPrRvqlRVHgmqL15R7LdT5w/g8Nbdr7tOKAqAxnRl
CFOKERxMz8LyI85JCoMTfOe4zPM5npwFpgCb5CSJZiceTe2xAJqc2U4kh7pm0aOmBSZqIEt/7sIV
+a1AL9u2r0gHGqAMwjv4GfMFuJM4dZAl92NnHoXhLit5UL+4rqBVjqx4eOVl7K5Lx9BBY+MhIgWb
0t1Nrph2LQSqHYhQ91nRMXq0Wzwdqm74WLMGtjirhzvTRM10cUgm74alOxP8x49hhND6zX41XbbW
LX7lXQV1AEjb5JF3EW3zTEK/fh+okk9jQZaMCYE4M6N4917BpEjDUsdftK6iq6KrrlJBK5RBZdj3
sE3BpiUQXKPuecHQCpOt/ZR8WEUhvwnd8BxEAwOMnshlb1UVHEo5q7sGReIzrQWcI67JU7xx9Tix
1YPCQcK2nSmr8xqhr3QMknqB+zKFl6iv+JpBpt6ePaICkKPBjAEYjGBIluCIdnzp9DXEbIh9W4oJ
wpeGMKJmHcLCKoIIcHVvkYTt3bwnQVTuYWKKOa/reRBvbTAvbYcUtAyPepganISIcuNvNpyQeEw1
QFH2UBbaDClYwxJGR9nbl5XN5liUpDmC1Qt5qvuWnPyG52i/Qij+XltUJLsQMhg/IBUjMLFGxPOy
g1hUneE4OWgXfV83V5Tc8XZcSjH3KaA66A4Av+yUM2EE8sisfoWbPD7OOMgxIQK6AbCaDBY5ps70
SdToDJrk0mKmSLcqdemDGalwOI/qoXG6HLJCYkN43HyFsSirxey1vWKYISCAtH3/tdn4/4rCu381
h/2f6gDHUNt/qyj8aa7z3173u6qQxL+gVZMJIt8BwquY9fPT5Cj2C0MoHCOj8Pwhm4ou7h+ToyIM
eGc0oRw1Jdql28DWf6gKAi+ilGEIFcgWXGPwP1EVxK+RuZ97JCYYxWQq9NMU/yDZ/OceCcbEqPvK
sVOgigFnYUv8uF8BuUQXiQT0iPW96gixcjkVl0ZXerg3G5DJh7mjDYjPFWLwE8x7LjLk0Rx/0X1w
m7DEouKbXo3yx6Ar52Q3ryGygVAx1Pat2eDxYwARRlAZIC/oTkLq633feouw1yLJtxEn2Ar8z4ow
3zZ0eJlxRaPua8kPdlQDNOtKFg+dgUB5aFAzw3CpTIOji2IG0KcoWF1O/XaGMSVTbcb2uIW1xJwZ
kC25Zw6fq6ymsN4VXcfOQbklSSbjEQAd0a5KbeRgpnjE/U+sLuidHGeF0Ekk4VltDQkwMqBo1TWI
C0IPXR0CWhkKYY/DAkW68HP4SBTquzax+h7g+w0ljhBCaqN1OpZh9w4ZZnzJfMa0F0PCHRD8b0tn
l5PH2XFOJEH/SS0MKNWc+iXO4obCgFE2OMeufRoFfVOhnV9bITDrqoZrO3YYp+G28CMYfzMei85U
+t5Q2uHCgOA1CAXMBKK7X2j4pee1zyJtYf0pKOYhnOmg1jC0QfNO93NTVeYcy8mHz6qdCc0jTlqF
QVeLIqdk4FtymtUiD4AS3FcUC2hahyJJp9gP6OU6GG/hbO5gQcJFd3IBT0sJGES0UjJ24XkKi2h+
AAzVLRjQEOK8se0i6k9Tj5kPKU6epAXwXrRbHrdD8mnE8MJrtRbJcKlWX0C0mKvkmJSyeAEI/kxX
RJus8CxIu7aMzUE5coOOUOakLFbJp0WiBAgBT+5XSTE3wGN+00c92us4VctFR5vfY9oPeY/JGfKE
xEGRSbFiKkYBZaPZLA6AzQQ5YovDflkUxGxDv6rNq71G4XYyhFwistk0lPDmV0OumDLjUmuGOm1Y
vSExRMP+aVqZ/84mofAytCUekbwlfin5Qt4lcezkHtJEEz+wBNbgg26GMoS5HEmdLxjt9QyeOyrz
scVRcZZQTrYPvQL3AYY9Hh9Hv7LjHAbN+VdMOUr6/lE31mD+CjLC30gjgIQrp5oYeERcxWU21njj
OXXDkDQkdahZPvfNgmplHlWLCM7Y2HdY7uwTIhOxOKKGwWAtq0i30xMcpDMyt/NLVdL6A4q00KRT
EVA08rR97mGnov/vQXKBEqlWDExxjX4qzIYxMAPlCK9VKFEePFg6enVFd49Q3tTeY3oaZjFIt/Tv
Cx+B0V/pvCq0VVN8tdVkwTqpYYl2pGcSt0yKBY3DHFxAWCWf+7GZyLfEIp5k0qoOMYoBycg2GgHh
UdJnSQle8wy9VzR71nra75Bq0piTsVlIVhu7QT9bsPE9Ui0wlWc2Nid5uw8lYUPz1LN11HWKywSj
QaLZntBV44ZP8QYZRyx+EXnURFG2bmJ5LdqE+zzEI3cJBxOcQtlhCEijbqQKvu4t2MEEhLWksNzQ
ESlzjoxih3hhU5hhhtz6MiKvojKKuOO+0ej/yhrLj0x98MxmcAZ+6cAJ1DCLQFH2+sQZUt7AqDRw
cx7q3FViOwgtfBbbKQ7ScpkGRJr8cDQbYa+mt/Ue8YzlDo8AfWwahInF0A4fFAcqlC9VaZZzP07b
C2wpl1z85hd7aQTYt9qPaLcXEM/2sWDUwZ8FdBfcowsp35OAIvnJWQWutJswRCbVrHYXxMdtnKM3
NPwN46ySWuWUgEeBMraVDXA11pEWRX3N88VgGkuxIoV0buaOuMNAa/cwU1F9Qjht/EiLsvXvEtFE
T4kDH5n3aF2/s030QCeRZ+sR0hSoMSVClZjuUa6Y6yHADFS7/73V0P+5sRz/rXWSoPr4SX/+m3Py
L6bv/7Pa+e3F/yx2UJYIDgcllr/OOP19SCamNt9mY1Ao1ZDx4R+gsPq91GHJL/gJIqWYmZH8/qrf
Sx386NeYP4onjhro9qp/DCf5kxGGuaD/wj+I/irph/DXKccboWqKboPy/1zpVA4ZQ7nI5LalQShF
HHy6qMn4HAPxim+FacmnVSFq01bz/AjgvN83iqHt4KjnPyqvXm6DcTz5gYF1Cvwn2MXeJNdg1oc2
YhMmkvVfQHD8kED1gskA1C1a+3WwqssNwC84+6HF4egrqLVTUjVhKrmODI6OcLa7Ddm43HXxXKW1
ct8aL9VBz+uapFphHheyB/sWbupdWdD6VKh5eo/5C7h0xK6Pa8mSK+K6M1ACwduHgcHJR2n0ajBz
7LAqiamGo+BHWTiWLdsYZWps389IIl90yI/ggiKoCbFxiEmzLn6LpqH/QmXbvXaDQDaqE/O7qemr
tDDR9nliSfOeoPF7FfUNPQuXpkJ5pqECZFXj9TeDoXjYzUZL8rjyoNLsgHzH//OPYSzgVQSYBPDf
e5j/YkLOH6/65yMYoMnAYFmJYQbx7SH4Y1Atxf/+AefcT/7mP9oN+ovAABu8TGIsgYBZ8ke7cZus
g4E68uZjRlAhafw/eQbR2PzFkoHqh9QWmh2Ozgcjef7SbvSkL4pJdZgkBfvi04Dm9gNfDT32tB72
3Rwv6bL1W7oKQJYpXwl5WOBjPa0J2l9jVO+fiBNfLNXzka3Jh9EirJAWyBs0hwje5eOmWvXAE8z7
xBSQaNY4tNHIHzGCdcA4iQ6RwGwGtDCnnOgKKkAR/tCYXvMUuig5r2urPtZEDO+CSqivqtWgyOtp
s496ZvRb3d+8omFxMK9iOf4Xe+e1G7m1butXOS9AY3Iy37KySlKplFrSDSF1YM6T8enPx7K93N3L
9trGBg72AfZVw+5WqCqS8w9jfMPO1nVfB9Mqaqs0XXeWmoqrZqBWh52WYBOyk/JFq208GX1Vl/Pa
udwpCsBpfKUttxLtkf6lnwJcIBBS2dLIAKPiITXK/DxgXl3VUlNf2uUubqs5RlKjouIU6Q3PnswO
kEoPQ/sgLbt98piGH1A5mzdDkFMopMsDJItCoLP1bAUO2ASDhw1GchtVah4jVtYh1OH8zJrWN9s8
h6tbqdzcysIMXnkbgy9tgM7/MLK4+SYivR18VBvZOXX70sDzPiO5yqQzFZt47LKHnsfWhBs5GPGi
S7Gd4io8IqiSz1jdO3GM3RFyjoTbhfiJDdqVFtYwBJwodh7p5aovqOn0M8rZ5CEAQCJ3neq4BFpA
N5tSH8TzpOFZXeOxI3dMc40UAaAW6/CG2zy4c2xADWs9QC1GpdJlyCWnco9fIDqwZOxuhTTGR5mx
2LRHB3VmpweIYxeXs5fTm21SG8e+T31s7bXGNqnsnGR+ZaQaezdxmADRxFbxGWAl1AUs8MarnGfN
W9t2AQ/NiYf5jVOx5X8Mhvk4WlhYkc01DUS9osFQE+iQFgsraW9jNweGBzbjbLMovBWOVl0NdZLt
JUr3e9EV8Bzb1E4+QpUYt0nGp+nLei5vYjSi7EnHRtorqlmueid0Ig2TQJzC4gzsUXsq0eUZawSY
ABFHLDSsxlkHl9gn6wTwLZ16BOc5KKqtUXTjLmOfZ0M6kosH2RtkC5qZivXenZOkZpgl88RPzGBE
HNwtnhInVxAwDbyD+B+S2HWQS8aU9v2yKLmO0X9jy6pC5a6CIlbZcjV72TaxTNxgdTnMzRY9Kzzh
TlLzO7Nm4tCwWAd12FLvbGuo3TUeg/oJ4IB9HDEE4mJtvJdCuJ+AL7M0CYMRj17DhHUnmnYsV1kZ
zSeEWNqDnqu03iWeGJtdqQfRE793etMbYXQV4KLUNixd2K7YGOp2da9xEVa2FslrjPDutElUBw3v
/+0R9YOk538e5e0vy0mqP/G3c7M/i9f4o6D87ct/P84oAQ1yJdjjs0YADPTDcQYOybEEQzUDzOUf
JaXUf+Ff6iQdeXDfllr0j+OMoDfP0xlzCaRaXM36PzrOnJ+FGDZseTbKDuIYSE32Zbr2nRBDDKmS
dGc5YvmiSPxZRcMjx0CWbbPEsxmg2wkVpHm5xSoN3/ix6cESdl6kx1uZYkM5OtUc6vc5o/e1hgVx
nYbxo4F0dzV44HVV0QVo+tRHEdoRj0cEeLgQuw2CQzzIzKWRKY7AHdtwfqr08qXV+2TPchsTtzbG
IG4A+qDMCTYj3rYNLMVyXY84pnQjwUBvpOeZDSpeuPA996avioH6akYe9dVzuN+abOjePEtOByNk
iKPTpgn1XHqyWbt6+QRb7Bw5lVwNYca9XXiPeaDuS9V9DTyc/2xRR99x+oPg5r32BAvoQZoPQ9ZN
dOUG8yBGdXjNM3vF+iJ6bISlthgtGx8E3LRC/kgVaWA2VXB91z3j87VTYroroINCNlPFBolAu9Jw
ad2qsWKgmEbuQQ+1AVPg+FWGXbf3JukdRl3hVNNFdPBqtLteBr8gihxr62IY8aFn4zkcAM8sdXeX
f4I5C8dj9t47D0hnmo5nrIEPwg6+htNUrFKjSh7QdbebAB3/qnbzgWMPvbrXRKwkFDRklhVweOJD
m1GAlO0YbbsMaI09tB7kmiHYO/nk+ImhFWtwb8Eqj/D1dGO17pr6KtCc4pwOIDr7zpK+MA33nOXO
GY1VfhUyC0Js7WX7uajZdhfzm6qmm1TqEqCC6lh1GI9OGn6YTXZXuKm3ilnCi3rEHOvCnzeHFO6S
wO8VfB7t9AGcdnoNdh6njTUYd7ByEnhGwBxYaBdT9eTmbNfYVmbRvG9a2Lmrsnfm+nNdaO0WRjUu
DAnToAE+t5tYFfoDOBsfoNaNFtWLq1M5vhkNrDQbFq1WZw0PYzoWYFqq2m/czttVSVwxLcjzk8Tm
seHjnyA5GPGmzDvQ0SDx1iUN2s4q1BnkS7aJU/1RZzG9ZjCXQKFH1NRn1aOwoJsGGvZaKk9W2kny
Xk1Jsu+CzN0O2EYwx8Ua8wEAh/msW6exLb8ImRYrZQGHteOU7WmOuGRWXgObOhyfExCr9/3yMz1X
67CnZLCjI+2QoDnqIXBEBvFVRj4ftIirZJPKoTJWiBRSdve6Vt1nOXAfX2C8ww4ESwKfjBzAk+RO
AeO+bpUGbrXvGrGpmtR8a5oG6FehJ86xzZvkrFud+zCnevciQiBfNuSML2h66dUwbToVw1yQ72uU
XeEDcC+GP5Cx2fDXPWNEKLUqgQJRm8Q+sAxkXOPqkx1SZ3bov0bRyHRr0eO+mrlydJROesCboCcI
np0c04gfmeQNgHotIsvHxZ7fJ56aoSB6nWL2Gaeowqpkq5k8blyNOYtfIpwKfcGHsnNwBckjoExU
8525bOuicB4ZMKrUWDG2fBZ9Ec+HKOhe8HvwgYB8R6yUYrB7yIomWipPuuQCF2mLw7A39S14EHc/
Mu2yt2NFBO7i04ZepLODfvnn5/Z/Db3632G4/g+cAwFVNdkz/XX7+fj+8f5dRt6CdP3ta34/rcUv
NHUuAV3y3yZA5i+EqzKAuQhhL7Oh3wdA7i9A8LwllJX5+jID+uO0JluXY1qQr8vEhob2Hw2ADPET
IRXAv4nDErbgEsaCA2PRC353WjtmoTODceWuBXj/aQIu5ZXr35hkaB1y7TqKq0h8a1LVVoxklAn2
BLK1p1+BpYuORaHFmxxC1g3aJkI+GNVfNYa8dzyvPvJIqk+6E2tHSFD25Is0Na5rvdKwocfxbc7e
J4SS3DmPWgYrZwT9XdR+FduVSzMcyStzavRvLPD0bSFUv2HrYm7pqRD5VBJfMgP0YeeB+d8qxkEo
NNlqsI7ipltnSIBvgFhMd5jpgngj+laojznhScYknodQs1BTBoA6Sdu/OY6rngLeH04CE8pO7eVx
eN/DbNgT+fDG+cappur+0eg8647FDRZtDBJL28Zkf4sJqW3WMgSNhqkfcDTrs2jSfBG3u7xkEVPb
Qn7rC7hJKYoUSpTFC0tuwd6mu9t4qpe3wgi+LnoKf8KvNe3bKcKwhUJt7LemYmHqm2ocTqzVyjWP
APsTi0F0SCgOnjC9aJs8muvjOEMt6HhmtSbLDks7CEzhB+hZbb7q8zbQcdwAgfhS4zbftNK4jwaS
WkSe53dTAFSMqTHCsdmLAJc4w/NAYsAqRH985bAX3BtsqXCuQgvPkCxU2hnhUnGfZ1pp+16VXA0l
53xf8HJFnTufgcJD+wCQf206sb5Wkof+iqmg+UXHVrrz+ij8YrbDV1NP5c6N42E9GFMC8MAy3ro2
TQ5TWNT71jZ8Fjwra5AMxyf9zbJjk9kFVAHWpFdpB/K+L2Z5AjrLRL5vrw1HA7mBhR8nT+LrSCw3
OTESkFMUQLEk1YKzaQUnRxWY5HmGrhwrfy5YBa/7QNubCSR63xzaaO1ULAjZ9WrQlERauLC2S5f+
UctRFmF7/RKNpjesFkUGaipbrFMyYsqmfu4GwzsbtR5fY5qjwdfC9rmYVX5CjNrusNzDSwop8hZ8
e1IsisNx7ZW825yD1hiN62D0cLHqmthTpopbKg4kc8kcd6cIafCnxgb91g0T8i8dg1BE6ShR33ZV
DTQBU257xgSN8DiIjDewdXhHAqbQkqZU8/bkKYVHj83Dozulk28R7UM5XNnGGzNchTzLds4YJJ+d
ibGRzwwh3Glmpt1naP+kb+UKSkpghwb6jIQu0ZlJTgk5tlY2f0SryDQfSk3GG5AU9ZXHKv1ryuDk
oOOQwUaE2w6AXV2sQNKnLMCaAYVNPL5gm+LV9GrkCGzkI7ePfmOkU3MdeCw3F9RZyIqzQRTs52Wj
pcfMHZvHLh/DxreQ67DnGjX9lslJ+SISrcSjFbnGiIuOgU7jc4dUA/1uo8oH5FYNMH6n817a0UrI
6RhYXoVzA/oOeSfXPhbMTchyZu84ZnfVTFN1zayM5Qy5Kv09OFGsn7UcXoF4VNuWvfVt5tXjDvtk
tg7blEAdKy/SAalvz+w6Mo38oYjrcD3Ukw1Mvk23Hou4ZxbHw7KM62tqIbpyXgMtxgpII0wzVent
ZrQdlq9yvHatcDi4JfJ+aHPfkAiukZoes9Itd4GpWedcougWjHa+YrdPNNgenWd8Y08YspOSEWCc
hi2rXyeQ4Ak5qZ6jctCf5jHuvmWIi3yDFZqWVDk6gDnYcTXcm5OF6jXRwvSxbw13hcLgf4cBv7bs
/0FEo0umxn9XU3wfF/jHEOC3L/u9rGBFRGQefbxjAifGl/HdFED+IujzqQ4MfQHt8le/D7X1XxYf
1mI3c3UqD+O7oTZTAA5SODMmw26MAcY/mwL85PrSmQII08aHQQlDGfPzFMDiYYC2uakOHUN2PyqL
bJOEZLEs9zxHWMO4NTsbLHUhv0rN3WBT10bU2zlIMnz1O+ybtI6hRLfm540dQ9VKnXiPjxZ5ROqV
yAYyETyiixbvYSaqDQLfItmA7AhhBcfwfA7lpVbGQkfdDLCgeVD81l/GS11dX2psJ5sLdWCQ0a37
SyEObHOBrHIjl6eluYCS6uaoQbMmHU78VBoENBJU+0vhP1lRcZ9pLt2ADjHQZVYh6RKsS8dApgjd
w6AEI/Eeo/yGNCUj3aJ1p9dwLn0HRCN6EAY2AFURHDGaHNqhuRUgCPdNrS3K5EJxIOu6CB/sos0K
BC0GcT+T3rj5ylqaH/T+boNpgbaoWRqkfGmV+iKpmGXjiHizvaEVm1oLeSjhO6HHmi/9Vh+WMbSE
Sx9WcYaSdeSmTrDB6Vo+i86dPwXpKCEMyPY2YEBen6JhpF+fTBm9957qknfomVa6qSsm5LQlMvtW
KoSDG45ERNlcgQNsHezvq4wW5R5zbElgSp1ULlNUVnIvrPtt9RiEFYEmU4sXeT32SVYc0xZMBtWV
NOcVXrIh9007Nxpf9m7HwhCFFalQkBaVr5TeMVfNofb5IxIVJudFZzPcJzAJ9nNAEtx1iVoTbQhh
Y4ryxNlOVZB+SVTU4pidk3GA1Di3FpT/QPDiMETovrpkmDl0rjjgSVzK4AR7tcsgWM+tKxUTiLVJ
+RjIQtPMOFgnQUFGmiLWMNha2ZAUSDsHnSA1bK9ReI5kxHs/XNLW4kvyWnZJYWttm0S2pA5JZ4P+
kpwzA/s0wRmkt419VrfXXdOjpaxHa3wC+dFyLdbZXUDijBogM/cZZzAKKfi0CO+DXQ4xhBpfP8Zm
iEXcsz6j2wJcHBtJxoSFfjsRpB42PB+uoY7A0nJN29dIWNsMBRBzhNPTsjdy+6+mF+crp2pjfwBv
wlKJg0FVyt50aJsdkbvrmPO49GcRlSsBmvKzGlpgXgF6FNPaYdg4Dc30Upn4Pwp9cu5i3SxumcdU
m4Ar0UeMo/xad3oQJxVgq8QUh1xfDqmu0BmAawTGgWoO/SHHs2V19uMEgWgZi9XXkDXxUUcTGwc/
6Vq1HYK62sCKe9TxU+/bUY4QFk0D1GV9H47WGXrds6zFuyOdnTDqdj1niruxd3VfJ7rlm65q+1Nr
5/KlbybSv6qpxj2k0r0Hg3PblVG6NwdVr1t72llMI66cLEx3Zhd1t5y6FlIO+pS4pNQIhdFei1G8
1FYxQeSDjjbNpQPaAVxl7EN2Ztyn95LjPhfLhqJE2zsDbMt4X6wygbkLUPeZzIxorUU5iWftaFPP
jlS1CL/r/MEoiNZb3tL+afJic6tUFp9wufUHFYj+CC+qvlVBKr7UsLq/aLM95X6S22sr8aBsF234
2k5teJU0iPYyi9oky5IArRr3MMK8IXtPg+qjAgFy35LmdAMYLNrWQH+UYb1NwBj/+VThvzMv+P91
G+BcPNB/PVNYle/4r7L3JZj67b15D8v5/Xtf769f/0ch4KIrYVmL4O7n7TbRuvylQHPNunoZFfyr
ECAyfFHXeqwQWGSbrKR/19KSAIMYxMC5y3cVnvGPlttws35abuty2TFL9uWGjQtcUIx8P19INQet
nNsFBxqDAlS/U7CEtah8rwv6GfkZsR96KISB/XFOPFRSEid/usJRA1a0WoRU80VTxZnMYRkKFai7
QivSFs29ww22CGR5ahajd0TIMj/0F72Wpi/aLbnIuMY2JgJ2MMVdVxrDDTD9ZFsvwi9ujGqfWWRk
oUFHF2YuErGmCeZdTB4mbB6BgkyGoDD0RVaWXxRm8yI2k4vsLBCtuk8bL1gz3NTX+iJPay5KNWcR
rbXCbuyVu0jZpqZqriLOu10ftWKPY7dKDkycEcAxfkEM5yy6uAn+0LEbHGMCsZyNnwpNcxC01cRO
Wnpd8vTuST+0Grtt6b5h0vhkt4Hj6bshHK6Q5Nn9EeJ4k50Huy1P/SLaCy76PdlJxMZp3popjcmo
3fSLzi++SP4KM6rJhSKE9XnK0ZuuoyrvgzWVYuPtdBBT453UwHKbq1KClTBWrdd5bwxgrWNCCTUc
kikwj23Vjs7GKuLO851RIlGEihBuYXKMatOAWVty4qJZ7Qwi/lh5IHOcL4LHqYmmU32RQXbMA0rf
WtSR7kUo6VxEk+jvEFDadVjcq0VVmXtpfmUzJz7Gwp3Pjk4v2cOnfmhtt82unJnH7GM2FgEyzb7T
XyHEFeqR7iX/UvINkXR2I2lvLHtR3+LEasydbCqyx3zXo5OWRp8j255prr2VEPVC0k/V1sJiHjQn
W5Xi9Cvr1qK7fMAT0a/sksxXvYy715lwnNWfg2+L1HbewIfpr+0Cv+WAQVzQIJVEYoDJ6OqCwIV1
u5oB7z/OnD0gu+sivtarQe3KTIYPKdrLR3Nh4kbF1N54mkLGuIBxE3uw1mhWo9c+VdmvhNwht3V7
bTIPegRVoqDUgC0ihxJi5qudsqPphebt4tJhbDwFsXgvsWms28qsjxOu5pyukSvAT4IkxX7CN6M+
hKXbesWwDxwxg/OXpFLkJkrw3Iirg+oA6lJbUlIN40QUC76+7nZKgU4jg8Mkq6q5OxktZ+8FstsN
7KYHF7xxGgv9U0VS8V5O9Y50jgj8Y9XiyjF0Y8Hf9F/twhpfrcpK3A3fiw8VFr2PClrG65Q4XsS8
1MbIBhx66mRrDfYZ/19FdUTtFrTFAxvtlA2aizyXwb7X1SNxa9pu7NMElhl03mZorIepcp6SoH+8
EHrZwjvdqpnn9pRUaOiTeaq2XkOdPXax8QDfdvye14txGp5wb9xfmL2lE9brEQXmjuxp+xnMExQU
GZnzv3F7xWgG6MLK4IxpqToUrOVus7iKIb/Y36DJg72XkfeQctkD/fid4FslQ/CexNH8oYkg3CwA
XzvS4ltqtPpNB/94Aq/KR/ZfwPnqo0UwawCU3s8iCMgXsO+Y694Wk9gcrf6g+0pv5o2yoCtA+OUm
kh88m9jNLTOwPnbwUTUwlx+DwJAAAL0KUGKAYc4w5xOviEcPSVerwC5uLhhgRp2S2kS+4FQQk4+c
Vm26oC9OCxR4cIACO1yMiDXQzRf/Dgbu64a6Ki8+Ukibb1GntDer6bqXQaaPF0qwO87jIWtza5Uq
4yNv+29ICr2NYgW9+jtksJFXzabSo2EbCRv3QbJA2Kiu9hXf/njhBjt5cALV+dG1+nOYcYHPfEb7
UZqfAM1opz/jCDdmVTDVK85/sISDpP3Sa4zqpvmYuCFRE+lf4IRrvafjxBYrCEXeaF67yKe1mz/Y
wpE744KowWSDFwYImSGm7pONmKukWEGpsHZTMKmNETb66oIcDiSW7sFiIQ0nHYo5E3h/8equctpQ
wNocMRf6cKjrz7jg0pUSPZa/HyjE3gxGUsLq39XCTMbV+J94xAHxM74AwnRFzPOXOEqLPSovkwrV
SNodTbh1gLHc7rS8SDjWDKtb/QorVnKilWQhCcS53heGAd+zZ35PEgvCVKs+JS2k8dmwnxGxJNeA
B7lfS5toUUWuz0cGCtrvmcGuRdf3d4OtESOe4vHnoX/l5fV7CdUYf6NZPxgMP7fA6KNzOMHnAXA2
QRU3x9ZXyYRnLtTLuxFwma/Vc7RPOsO7NzII3zFJ5gfcIcyiL6xkmdbDprUq3IApfZsRZfrNVJss
6ydO+85w97kVZ49VbPDRCIJuEaV3JNfjLxlCyMx1PXu7qB3iTyZL4k0k4w+tLWqMnzE5IpH9NHFr
rcd6ZfBEwpuelk9kuMPjKKrxvijEuwEBdpXZudgHBL1dRbF67SpAQSxswwVjTxYCj0ST/UqCErYX
LKInLMlrU7hn1YE5DyztwUy18mqKHH31L0Rzq7NpIG5vGHkw4Bp9AosMAP6udAwN4PgIUewmm1jj
fhl6VdeMVbuacBsMuQOUVLusor2XdapAtYdiTPguiqRubfUwRuG1tIGZLBUKwn/EjNorXe8uqKYl
O9XC7B8sib1mee7cfp5u7clwd3AKCYafMS/ftCgOXdC39Wl2rKg6Mo1AfEdeBnRd4ML9Qy+HmcT3
3h3vQari5wqinTv2d9WYqHCrca1/Sa3a/ZzVJbyHcuz9AEE9LsZ0OIjata9IicqR1lVoDgnBORgR
KIJ24kDRsmZceVUT7HgAE37t5uJzpudbq3E9a1kmZM69dJWzTy2oBrS/zieur899mcXXo1WE+zF2
5k2TttWOh1618SZFRREFMxB+4EgIKzUdT3E74MYhwgLOC4EafqPEt75qzVMVq3YXQWR+WhbnrwLC
x9U4Fbq26sa2vrUSodPKTaz19MzI1ribtUfyxECzW+xzJj3DDmQpuzrbdKUbmY8fNYXcegZ6cgTc
MT7Fspqus64X2WmwHPPdxVH5PAXdsG06M9JIg9eJfUCHg9UsmLSXGHEEvjarSdcSyTQWjJAo9nXI
Dg4RXhaZtyY3B/9decpHf56RFMChrPJ71zL9spC4S9wsw2q2kUE9WN5Gj7syIeepaaSGEAHfLbhO
vdsb5IzOG4iq6FattBxfJbxeAmCCSX6aU61Re5CN1a07xLO5t6Y+nCiBpHGdDKN8bmYhHgN2Cuhn
QhoSt0RVsa3aJhd34Gw8AWyhip8Qacbp+X9b30LFavoPs29JD/h3o2//PXn/P6v3LEYlUsQ/dL2/
fulvXa+uk2GKOd8SIH8s6Swz7t813bqDchunKipFxGw4Sf/V9RqX4NPl66Qrli/iq35vex1EcGib
MJGSisqf9j8Zf/80/EY3bvLNTX6G4y1j8OXvv1uqs9OF48vk+gYNFZGMbPNvXaffSnLBxKYlyPPG
GvJoYl1JMfvd+/Unlo6fHB38aBsm1DJ6t1H7eQ6v/vsfbYDmxyU3jDcCNuNxTNzq2ohz4j2GmdLt
73+WvjTv3xllBbsH10RAj4kFR65l/mQfsYmVJ2+EmHSkAO4ZX7fO3HAuZbaqs1gHKV5MWkogh9Oc
4AN7sM1F8lmEPQnSPXsr2r2ui25bT4dzGRSZ9fH3v9+/vRcm4w0LOBk2Y4tP4idtw9TrNH8YoW7i
vBm32pgEdyF0gFOQZvqv5gtGTH/upNF/yiHlrfB4Gxi2cG1J41edxXcfeY+0os7m2rxO0CRsi1oM
Zzgq0UOMrA9hWpSdSZkatmZCWAdZS97bZLQhN8C/xkR/8tmzRfrx47B0wcyGrQtDHX6T5e+/+x0Q
i2YKuqBzveSUH6Lcqw8lhnoe7qY4MnMxd2Emp1/XeH/5ypc38YdrgNGSATLYcrjZFlv3jz8Uy7Aw
nGwcr2VlcMF3y/O3HPP+uSfmBiQyaJn9379M66eZksCThLqU0ZRkToV546drfGaGkAU2qb5R3EUH
zZwgTak0qYmct4fX2uvt4kgaQyj3Arz/tyIZ5oWwDi3EKJioG17X36Juj7/280ywAuFdJKm1Ni7J
SkRFuEHmRX4O8X5INRvtNS2T8oMkFId8+GaMP4DDO6NfMvP4mJKm/xjdtLx1aBfydcC+IWG3XIJU
DEX+hFvbfmT70oHfzMR8ZbMsyxCN6+YuyTNm3wi8u1WXY+XYZnofX7cF5CRtNNR1i9/0Trh5+TSk
0yjWYcIiey8cLl3dyIGPeaRqfMmKRHN9Bbjx8e/f5Ivw58fP1TIsdMa65JJeIlB//Fwbaqh8CLvm
erDy5BGygljMyqG2Imx8THd02949lOLuKZ+yHjJwsVhKQ2Is1lVEUNN+xgXijfBvNiCcKXp6FT5o
orHPf/97/jxgFBhul1vOFZewUtv46SZ3ym5wjZ5kBxOibA9RokZ0jHeneY163Mq+NVXmc1k0yBPx
DGRXUtR4DKiy4UioqolJ0HDD04TYVhtq6FMl3tZn19FaFg7GkOEuq8pnUqlyNgnh8BFVY7ib2asX
J1NkHckEmgWbVUucNwZY9p6Yp+LDTNz5axiXxnNY5u5JZnn7Hx5tl5Hxj/ediwDcBXsIVYQn8HKW
/XCzu5RejQedt8b6wnymG2cstK8z5vmFXZpgOCbqIUHfS6esZo3Eh5ryuVo1YR+/26htuXBlgw99
rDLo1llS7SbWtL3fuVnzkedx/TVTgX3laROT2CYMPw2OzDZWXN+WzHbuyVpiwCmCwSGnkwvVRzll
zZR9A7RkB9PLKdQ69QrSX22oMYM7rcq6k0MUFZ46nDDfOq/Abo++6obcI/CpdNnOo42hbqsqvX4a
5hhlM6SaMxiGYY8XpCKb0wzkmilz8zQ4drUNSolG2rRPRh7mIFssr36ztVnbh3FQvQTUqDdQSMxj
Q4d9bMUEGHB2SeSx4onrum/9JKI9YC9m+kHYo4LKCMPB4Gi/FGWQV1shZPRijNCxDZddiFMphTAm
SL+pkc2mF8Xstoswximddsb9qAUVwmKCDladIlluldRjup+tYrilubdn35ia7FPXIT+xdCw6b45U
yVc1KpUDusqyI5Q5epwgKt2dDA2AVBF87mxLmOD8yQm03NuAe/lKV+y8hEqRdTcBz0Fr7kCP3jRN
P99UOhtiTMQRIYt4hq97bgdicCNwC51dfTbsRDsAt61fuamKnamJ8nPU69o1DUi4U7DgAgCHKQF7
sB6DnUswxx3BNuMj75MiHsuKtWyj8Sg9gmkl6yDOCKxdNyrrvpZTp73MLOHvTYjBCXGX2NMh4bb1
QtYXjxE0zk06G8ZplHVG7KZu5usOHtIr6QUEczZYcTJ/Lm1xUJJZo8+wfLiyQy35mrIHpCMwYi3f
9ACC+GcggI+6LCZUzWXhvkf9XJwDYcZrnKjiax2BwlJFabGdBdgHKx6AXD216truR4Y3nTQOruW0
96meFR8OMbOEQ5GHCBUaQR1yvb7InVUMsozHbElcbK25ldzW1mAjNOBql37Zypahxzwxpuh5PEER
GgftnhQPMmUD1fCADtGDbevQhGCduhpzauK7zPlOlKN1R8aCiQ49N46JUQ7O2uhl9ylGyHZLg2f4
+AviNY5czA7Ytn2vN83bbIqNR3xGyacmGELWzvZ0zhIOAT92vPEQOIr2N6p3cWthyGpstG+utMhz
6OjWI71Kj3PoBfSQQTKeNMPVfNJYbtwpCx/MoKpuKuBqa9E28c6Y+LUkO+ByrtxtH1UZA3NlrfWm
XXuFHlposFA+KW/Q12Fna76huOg8QRwRA5N63/fuS6Kg2BsdoqMcsKPPqj66Cdsk3dkdAsGEiPTV
GGFzaJX1YbGyXkkt028T0hVWU53dk9txnKuB5OnQtK/m2HngNroLw/4+Ry0WxWPx1gaUUmCe7HXY
WO+NxRlepywaXPSBTYw2s0+4Nud5+Ax8Eew37jE+XpxyhFHV+xk0K4URhMQWbx83o7f1Wkdtswxc
UVm5iQ/VI6q30qi5XXun7B+btic9fe8gIzGoqhguDvW4LnvdRpwnOjr/KRi6nFVQB8ELjWWmrQvG
IDciMsR6ErWFUrasJSmSALHXDrE8ySqNTRBg+PjK+5n24M7guC180QktYk1GKInPYoSuQRb1cBXB
KXmGBU5Ik6ScWZWlXZ1K1Kd7/udL0XfMJixbVy/JFHu4ozVh3gE6UIpEMVY4VtEU+7ki3M7ISdnQ
nLG6TjjkiOkcB8yhPB8Zl5Y1LrTOrYxDyRqE6DmCR4nuNJurULdhl4g0gvgXDMlO6zPvU5NIBg0k
sCypDEW57YMhvY9a08Q6YAc3pjboBAmPmoKaL5ZvQAZlnVy78CQ/qtZtNGJHiTVXSRJNG3SbNeyV
mnCKY1XHKQP7UZ2qaeoTaHS1JBZisiya+MgVD6Y9EhbjDYULp6pVu6RPUrF1ecYezdJJPyo9gbtG
6ADmhXbs1HVZdcaHBgZBX5dRzcMC3bLgyW8hppdB6wx+PZX6e62mYTOOmfamG1H5DK+o3fRyKs5z
PbMnVEmHLkj24DnXkVQhPMoS/jlKoQGCz+hJQ18lGgj3KIfNBckxLdNdSYYB0QfgXm23XlKJKrxG
PIuWkGdnAs5mDWrl4AIG1ICW/yicxnwCUVJ8BTE7fWY9ETd+sCw1ZoezfTW10tqQTRM+sL9L2E7y
bl1ZoyHevYmhVZ2OYOPy2cTT2g8RA3bQSfnDOAiCwEZvcM9DlMYDZ8Sooy8WeXbq1ZgUR1ePmOJY
mSaJbKTho4lDITOccytEHA3lnYmNMZnBtnZRMqGaxPDDdg5Fiw94WEWHjlne2YXnd1fNXnJuyVPy
lkBlKJmIiKvqQDEEIaUhhOaTW9X9mycT+TqbqWWs/i9757EcubVu6Vfp6DkUwIYf9CQTSJ/0foIg
WSx4t+Hx9PdDSqVTKt17Tp9JRw9OKEImVCSTmcDGb9b61pLVGfhmVpX37lSH15yRurVpWL8y2sSw
M6xDRvf4uUI79K2gZXWaaDnmD8BvKsIOpGjDTUP22IMpTQZtmlbIuxErasWlWQkMSEXc3JokLh5D
TWransE17s1LQfofNti/GO2Adqf0/rNd/TsyI4qjDmEDPe0/RI2/f9GPoY6qM7nhuQt7C5y+hRHx
z6GOSlv5h4hR136j5sfapqMxZMdn8WN/THFMwBmOxh1p/eCV/xt0DOwWf+1tNdVEEUlbaxKfRHv/
a40NL1+xFNkFB2uuzfy5q8AYI/+G9qIo0o1WNYlaw7Y1ejCmaglUEPd68NQ0oRWecAznM/nDJOyg
YygXN2A5UX5nqCS4HoUycStkGoNiVA9+QvRItsv7GL6eNcMnQrzN4EDtlLJABRlxLoT9WMIthYBM
gg3CupWUWr9z8kRFhGX19kY0TkIpLnOCvB1JiZi6rp8T4PDVzmjdybuhPiQw55pDAOoFKr/eWMkA
QeQavkxg+rMusmcTBbHOwJV4pSMOcAOIh+ghKTpD3/tLNDQBATUCCIsVspV+FUHRihupmeUpVdNh
oITCs4g/ncTP1ZjXctqIyA5PvGKWTGg+BII+VFqIHfFNsQiIM9dY1UBjZ18PMpiAGbfuYwZUsNng
g+PYQ3U9TesiNeU3Rx158tJfOq9wiu2tzmKfaPnB4hQyJyW4X1wGMD/GgaptU+mDpl+nRhcf46pT
h0+9YFLk0V0T6ZCiiy+eNRi0w94N0m6Lc0J5tS7bh/myicBMsqwl3MuOIvt9YRFcthd8EZsMinu2
GtFlw0G89rLuyC+7D01XFOMcmn1U4PnTiJa9wYU20CoTK0MxxrOPZHNEf3jU57d4erBF7foMaIj2
jM7TkNwjoCfg0Ql9Ow1eIPSeCCLaQTOhsjFq3yHdW+8C8+GXJEzSyCJ/iUhMnFLfCLXcqzwXab15
GJeKBYskEU9l0FH4uOUZRORb3CnSi2ZCIG0HV31RqcaaVOW9HFn9yq632Q0iDZWkZsYV8Vp0BQ/I
2YMnUvnO/0jPDMcRBUCsjMQE9ebBtAgurUx9e4nS1AIkFaDl6o9f4jRpIep1gA495WnMMpebSIFR
ZhP6TXkQk7Gmm+2hCdrPS8AmvBdyBDFJ+Iy34pWJQnYDp6DbXaI2bTrAfUqkoSerovYr7PqePoXu
FnQ4lAZVR8uDc9d24quwhD9J44QQoRZe25YmCb/EcaadCG7TfBYOG6mgWw3JgCA+ddqrUOrxrdE3
TySPZlduk1hrzKQFLN60XxVWaxMamj31dqKsLlGdEco5X7coufU5Mph9TsMzmh33mtuezxUp0Bry
u/FWEcishziASBFun8dR+SaxTawpRfwFMrSujB9pngyLirMsxVceu8Fhykexai1cCim1jcSB4JFq
mJ5MNw2ux0DkIHJqSaZ4DXSiJPlrrr/FoePVjsoIbHwBmw4BztXJqJ8R/dkhRMFUBw8XO0ivcu6w
Ck+mcDskgqhFKP8RXK6q0WzXf8aBmiaJSCsontsQNTLS3gbEYF+fHALtt1YVOFdBjckhcjWbjZcL
HiJja5OAzfWgma7KpTbLsFbWWu1clSVplMAEi8RbokPRYyHvZaR2bxN8zMoVoEKfLwpW7eYfOaJp
WJnoWigBZf5NNDWNKEZTH1n2cMBIYvnKVJo3CpFKO8Ahj7PVjCt6i4w4pipZmylsPdGgUqpD1rHW
noeBdk0cprItUhalIlMwQClA2fS5/15WWe6ToI72tKgAR6e4upDXJPrKJomrHqJdR67KHRi3eSuq
Bth7wGY71JaKkEAm/k1hHLZEleqiqp5cEPJexFNnJap+8dMp7yGnyTpMSEGrXDvfDUuC6ZQU+mbU
S3uz4FLXICXDVdOr39mMcc0ooU2hTi+4qsnqI4fKqjeNkl1bbs3QvQiccZV1XXgCVh3/EnE6pD3y
10JeV0V7NQujeAF5hsFVCXI/YV3wPqUGtp/WxHxONBqsNcLQQ7JP+zSKtkavKyt3GkmJTUHFWsZI
wFFKCmoXxix7FaW/C+uCP5zZ+7orYbhK40D8zapJINCj50KLrgCaXFhOMOWVTWB1iL01zXjEA7th
j+is8rykLflrPmoZUCSWRsla2SB/ULQ95Giz34XU4ld5PFfwERGj5IplHJSuG+/63D5nZG/dZRgL
b5k4dIc5ES9812ANO/gqASC+nA2rpnP7I+fO/I7BANC+m77mjvXqMCnYN+YMexeT8HVHZuBWuPJV
TQbV71TatwKDwllFVXvFcEynEm0c56tFd4W4LCnStw62DC6A3DxpbOLXigL7FLG/EfXr2UzFvrCj
/DDwQZIGKtFXaOSuHX/KYOW2aHzZIqWqE/Y3faszI16CWFEsVXvY88oBXhih8lqtbKe6tdc965Q7
SfDSbmyrwicpyUTaRjs81iGKLVt0P0Ja50mVCSF2PctTuB8ZowI2S1djNVYfGOOy27BqHs08k4y4
ArsGlzlF16FNp2zQo8SHuZHZl94ziRFtoIw43hl846kW4/dLuGsrpLpxOWfRGKYgWKLKlCzkU02L
99DoErxNVQojG/Ry2cMfWzlzkKs+ewZA16HMTLINqLgIyKvw+51wDVbjKZqHbQ6I/TueinupD2p4
a+dGrvktaRrhUY0jhUjpAknlmiopYUNfqKbpBU4ydFsXueOwrTBB9tu8suASlqXM5rvCmpxyTYQ5
/BTaqxgSgY47oMewGuPjsgSt6Gfb40aganGMZ41JAAdHwo3+UFCpJqTpxdDqp0pvuiuXZBjYjWkP
t8YxZtQUtWM3xD0unEbjRZEIwT1SQslfpvaU1a1UEgarYmDwtu90I+yOrjVNAWRw6sx5b2mu5nNd
5RWO9SLUq++TPrsFZ29nnVB6z0eedk7mj0badHeEFaQ2ynnaQKY2mXviARoPZzSnOfN5SaRX00wB
/no1KWci5tX5eYGYb2Cjl59tCREha1PW/fhXUfl1nf6Yz52CTwXTCTF1I3h0CA2A5dshDl4nq6F8
M2uOI7uzyLWah7Oco/DYdXNxZIQnTXxpS4BCVyoOKqPOnJ7TS8RCu6QtkBlF8EJ7CWFgdBYx7riE
M7i9QH44X0Ib4kuAA9JfVd2bxhLsQE9HyIPikvdAWqBzJmCAEAjmePhEyks4RIorvvLyS2gEoWoE
SAyXLAn0F8d2yZfgyF2iJpbUCfaxBFCklzCKuCWXYrhEVBjNEleB43P4IjVxfk+NsCEwQO2M5/90
jP83YgCN5R2ru/+5Zdx2X1J+yfLnjvGPL/qhfnfAIdpwXy1HsO++oJp/6ABU8Rv/rTumqvLow4L2
ZwcJwM3B+2aivlk87yzd/uwgNYsWVNXYIMBkdNTlf/0bHSTr8F86SAsdMD+LRTSKBKQKv2yn6pT5
eKfo/U6xlmlgaqdyh+MpLz01zaMU77HmIOhpDaVY8YvWJ8pR6xVnW8HkKDGr/MFobKFtetKB8s1E
2l7hl0rcd/vStZKHlFSPNy0bwnYbTpW2c+CUHgjFRU5ozV1cn2qyio8EqsToUckaoFoV+NUNg7zM
fTRP/RWg9uZNtEq7Ew2aaE9tW/vL1OeSu6cfER/NyqB3W8Vq9bvcsIcXAU61hzlcBB96Ws1gc/q+
QimMGEKuFSz1g1dzkBkeajiVVIrcMk5mqZFzWcJod1oT6nvEPrROtcOcG/eNU2xbfl/PbGhkndmY
yBtur227st9wp8TbqlQ0ci5oJfeQrBIvmwbtHvtMBtCESbc1OAG6o0zi0k4Mt1LWBSLLGKGwWnwr
6kQ/tsrsItJqROTHWpOBeGWH4NFNjc9N3Yk1BKH+LsajzsSccIEN0tn81hj04WpwS0mz68gPWcvi
K2+R3PrgwL6V0ZKDM2S57NeE+monxmbD3qoohKQR1s8mLZW+tYfYBQdeqSNaZKx27TLqZFxdq6m6
LptAwo+haWQiZpy7lDEdoJVmsA71BafH+4U5soly9Vu68PYYJ4LesxYKHxkT1cOwkPnMhdGX2MK8
pVX/LtSJhrWLcmB+nUXI7noM6G9hBHGR7sCktcD/LiBA8DHhNdQK9yYPkyTbkmdCqWrm9hMy6XYX
Dvo7ZIdsukUWKNbkZTe3+awq12ydXFi9UUZ0KwPPVYkpcqMvtMK2TMMnXJviNb2Qwyb0OWRRX4hi
8kIXsxfQGLgEIqe6eFIVf1hQZOYCJasWPJnTpEa6DhYb+qqrc0bwnQLpeNOa3MOrnnrWxh0yMNfW
6/ChgC8AoCiXOQtB1ik4veEWyJA9TdTq8sqwU+c6Ren3oNpj46Eqq3rPSOG0sJAmELYn0Qfxm4H/
VJ0Jlg+HXQnHHKu4Ay1BLye5lpPS76xCRSsZqGszIOY2zEH4oDQx36mpxqPoTYKmOwGjRvSoRnn+
f0BI5Q4bhlfgFiRlMW3wQA7OMJUnHXS4FqvPBuuGdommHpAJ8B1qIVuyFJTukIt0ZSkMI8Bf3Djm
oF2pjqy9RMBImNhuFCLAhB+qPNujmWtPgw9E0BN9Gnki1gGw83hdG2xPVrYeEKkzo+ujkSULgelQ
w4drKttskg07G0qhb3CH21OC1HZgp20lKGbLPEV/KknU3bZm07COtObZwOzfum/EAWm7ucs0g3wS
s30BKT37RkOYsBWr+RUyhd7LHEirlD3CQhRkGztybDI/6lPjxPi328amgD+UyWjTOleo1TVfxQTr
tSn5MhP+/m2uaoJUp0yfz1JgiOwth25RDqxzQabKrQF3aI8bn5GCyDTrysCT4RdZ7BVCvsBh6T1t
6QRh0xIwY8fFSSj9dKyFc55F/E2O5YebZrdt0n5qqJV2A4keNYQvH4vbxiHFvuCe31qigFYm6+Ib
rWe66RvCsuKkzM4Leuje5kPwUZKpPqJ7SatnJASeZOmTKEnrVOhs1qVdf7hBzFYMfoLLR9+2LrGs
U3YsYrW7wsYHNHGoKzJrpaXvjJQulzDt1GOvnJ/axgwf804Xe3xSxVUDqOTKRR167dakwykymTxM
UhFbmTGZ3+gjlC+zX7qVqWYHRfN8L0qL7s8aWmWjCBjTPn3J4LETJJFcE4CfmGtWO7O08s88zaRH
WmFxwvDEYZQ60YsgmMAnObhv1qS5NKknx2BCo1kktt8y1NumwlBIKy/m1SKU2HKyqButn6O7lOyj
a8UlDWrsp+EeoYTOAToYqKhDdV8wK9tgCZtP7egazw77P4NQ9NATHAd3Wey6h9YWjU/UNBCzWODM
CuSVU+Rox1dYgbNwZ8wW1LUoypd8GKwpxGYZR3Vy6ycrH/i+M8uxGbCBH9r6V8I6t1yNIXhLQ6/S
WFmPrHlZZw5y1Cg1NbVDEkyYQ2+9tFKa+mdQqvKYwvU4sbKAndANw36EjHMLskSekRIgYOakXct4
kF6PRsDHJNXeL3UuYEg6MX904vJQjOa7GCyW8FMUHK0wfhtJZveqQQe3YhX9aTRYBY05ckn474C1
mA0Ifdy7sVHqHo8nGv20S7LxINl7LkYyNDQt6cNZaa5tNsq0rE0/XIO+yd9HG6X4yh4iEhyCsdOn
XQgW/hAuJNm1rjeKcmaIw9NnVM23YQSs7/+/LWD/PwQ/ETJi/1MC+PX7+P75l13GH1/yozLVf3N0
SzfwZdqLHHOh+v4gfzu/wXwyl5oQeLBNQ/xzZWotsisX6rHpIh/9hzFTY7dhWvoi6STw0+avf6sy
tX4RCwJWBg/Bb8k/BOI94xeNKpgZpRCFnTK4mvTNUJntfm7jqvUMDrCPlPTocBXZavw6E7KAqB01
9T0QGSJW5ZjfyKqUn5QTQ7sKcls/IGOLr2Jb6qu2drNT2kUY6afS8CMuN6KKuq09ylXF2m8lGTBt
derFj2HK8pNtKBXh3p2mhTtnVHFXIvP4amKxmNT6jKO8bymO6SU0ZWvXDg/IUWIq9yJFZdMZ1KHm
l21dOXSoKqmLluJqXla0zgNNgQYuT4a2s1XK3HyfsJFfgzrpfRI+QqAtpVhQyoITPaxh4/O88kST
MOPrMNKz+RSBRYxRy75hH5T2PJ7MyMl5fhr1vMdcljbvcT3WSPGnmVvYVPJ52na9tO1t16o6kEDE
Yret1spixaygs9aaZD2MEzyo2y2cp/ga+0S2rXW9o74IbTRnFGYWQClH6GcGh9ObiFUGAU7rakf8
jsFVq07DQdrN7BOZrp3N3GlZ40pnWNdMoSrPrJP+pS6WvIGwi5MGJchYbXKRa83GMCsAEKALpnQN
jCLd8iTIg62JfsjZz3x3kL6tsNcglhZ/g+YwZlybusPDMIxqq9jzMnXhh9FEmCmXjTli24msh9ZI
k8CjM84+wqrT3KPI2BuZaVfuO/Y4uwFrsi+Wd5ehRHA3MQ4gnXPWgBrNuoQV73SOR7s9QJ2xis9e
G/Od2asAgoLIrvd632iQCqSh10Q/mUnESrt1HxMlQMMH7eapoC/z4jkYPc5wuV2QHYz3ZpudWU4w
J+INfW2H8CGoUGB5qnhnBgOJkqIF8bUVz+D6tGECuqvUUJyKxnoNTcVFx1k346vM28ja6bMFADQH
+MdaZEiT9WRW843SFkP92NSBFpwCHQAx24Teye9bUyYMlwezH3dJXVE98IlT4YRDnQcLriEmDNa1
RsIVB6nAvT9XXRzfF41hAsIfh+yqYsRjraxJaz4Zw7OwoSeykZND61kRSOZaAad5kFyVgyFR+mbU
RDYLSQQ7xrm2VXQglhMOwDEYq1X1lDA/b1m5SVHfydQ+JOHSjJgNMlTpOOMaO0ZxD73a3qPUK/cu
gpvV6GTNfpbFeFepDSQEIfXNbAfVF/Fz+lNizu1dXi12ThsF06pyDUgOqf0Ups1XbzusMV3SwVaF
FmH9U8rxkM6LutLKU28Mq0fMhK3XDV2/6RQtPehD8gqDNdzGTJ5Xejmf0bhWqzYXd+TykjEXNP2W
8oo+V+bzq9E01yWVMWIhdfB75jurTi2wSkezdbbzwl7b0oooAAuz2jl6JKhUCijrx7QlGxCNofIw
h471OMdGeuW4KZqcwLiSohPVfdhA7joPNteGU1roUzCRhVcSQ+GHMMbkaoB5fpuifa95eXXyFFJu
OMD+w25aMZa2Pl1K81cmzunWbAt7U1XL8RXLnhttSqj4A1Sa7SL9datvYnR0rHMFkXKTEyV7qVvz
W8LFecSAG6CH0Q/aJNkUFiQ6XpFwvJBUlfZGUdiD+zhe4n1OSXRiafYZVfW3Oc66A9JQwuidaokB
Kk7V2NabuZbv1UwyfA7F5JQRe/Ah4qm4JtLEOpljBgWbXNrYizpouuyZGj8EN7eapUWu9CRE+EEI
lWJ5sOmw4eM1wiraKU6P8oatadWP4Y02TXQHvA8nLuBgq6tdhOQIzFZ6YFQxNmvacmVrhQ3nvo1Q
1+RhATQzZt0yFZgQlaT4QpQYv2plZ5ImOuoKnjC0Wgk7lqxy+GyFu2MH5d7O3ZS8DZqViHUUlelz
VRXhFztf4H863uinulRjFg0IJj0Xm7i+lpbQbxw9scRhgN3+ISoXBCezS1RiaLxjpn8Rg96iwBOm
sE98I5PFgRtTd8ZK1QrUR8MQNTXSZsaofpiwH1wZVKqPVUMaK/OJaRMFQtvyTG3eR6u0dlk1tHeq
7MzUywajQP0S8dbA/C7dDvURT//dFLdEbGkwDp9bQmrBnym2VMHaiOQUKzZtgx60OIezomTXUaXj
TvbCxmKIWZqLUtj3Gjl4upcaJjfOGHavjtLCoGU1aVz1TlnLLXpfay/TipJvTJcRaWcqxGvEen6V
mU50NDNVPzF6WAbzl2GOqRnuB6zxkRHPMu0JlrnPdBkBZZdxkHEZDZGTan8JA8sWdjJCvljXNm9k
QPVX+mW0lC9TpuEycGLayvCpsURyjLs0rU+klDOespdJFbxYbWeSeNNsHTNV34plpgVQkvEWE/mh
YBdl1vnGKDVN26ThXOQP+WU0Bu3AfM2g2J0CxHgsrtWIMVrKsjBdc9MFxP2i81pJUKxyx8vAi1f3
Y7KxgB2/8k7Q77dzBcFvtpNHxjPFPoO/gmK3ntxQgLnEt3JTi4BWliTk4EnPiPHxMyVmV0V89ivT
eR1cDainhmmWmFY5SEb3mGa9fEuJI7nWShA9rJLPwxQSTsWAi3O4rPrgYE6pZqyVJF42t1VsXwdd
NR6JTInYs0xs7pxSOsdEmQnmQpmWbxyRjN0tnWAdbdu25h4eMLNu7LEGU1dETq94ECCIUvtPUY8M
958W9Vfv07uM25/nzeL3r/lJouTgE6NqJr4M7gqKoT/nzdZvS2GOTMhC/4ks/8+qXugQ200Hjwxf
6vBnKPh/KJbUheNmMi1A7gQk1v63ivpfhs2LE2dBtiBkwgIkTH7Mz5aAKgAYEUdGeej11iCUSwlO
MhT579ie/9Hwsxh6fjKGaPwUQ9gYjbDRWWSn/DLSlsC4+ll15aGe2uKctfbs9YZd7Ead2oTHMR5b
Cotbi0tyA21U3f+0Arj5/Qf9LybNN4Ao2+b//O/FMPi3n0/9gOMMWTWfw/L6fnI5dUlaJVbV1IeZ
1BKPIZq5jmoyKVBKbwrTxGVrKfYSDTh76dhNt1aHukQCTt3mMhq3Zj6lp7Ct+3NlGcnWrIt6rTTD
2kidsVrlmGxe2thw6VDQr9dEHTKs1CZ0PmWkbRSt1Vkw253trrn704UeUf0rV91/8wtyiTDTRMfD
4EQgg/v5F3RBX8VigqNr2lKutdB1X1tjvJdKEW36OC+uUJ23Pl9LV5VEQ/zSasDW8KlYjwMCLd92
FAewjV56GUNvn3w8YxMhClhTZovDP/80tOXF/HI1cC1gAiQRCbej+MWGgi5JdwvHLg4G0jIW+RRa
jRzOgdZrb4GqHfIKg7c6iFHjXVbLR4IAUk+dm/zun7+Q5ar76+uwuTIxhnH/QTcUv1gRjbnMUcPG
8aHEE3EY7UJfx9acHQM3qTcdZca/+JSAK/3tJzoIBHG+8TfbvHTxP39MGRmeAC/08FBbXfNgJgxw
2B8MpepBsFW24TDND1qG3b52gqTcxKyvUt+BQf5cY7zWIK8Wk9fCSdyLZLZf7dyVPtEvh1ExZ68C
kPxSi4Zu15BFawDOwGdjp4ZNDHDketHIemVlkaryomYqTpA4kYwcCT75ELPieDgEZ09vF0qCnmVo
doW0WIszkJ5K/YBFaNqHdIto0ORLpSTJQUxo1sGvmflqhIiySorkXbcDZ9fJojyrtFReP0nnpiQb
QfXJjr6NoRw4Pk+/yo9KML8rkp2lZ6jVeTCwn/QGxLJ11ycJLtRK3kbAylCDO4V1OzLRQ4s/jtAW
wKFisiC8ESg70eIU7QiNyfIhJtQqPRiy/as7FNNh1CxM+nGIXHvCdNOpDpCHvp00L+nrVWJhdZQy
eSqB3KFKmUqOvzHfFk6RUA+NA3CicWakCKVIznv0e66HG5zncDRZe4EETPPSJmwF3eGgfw5q3+tr
WJDWXpc20aAtaqFpV6tSLXd5MDjRvrHK3CU5xkBArCFu106WTXgDYZpsQ67Kzg2hZbsEoJ0RxWv6
d5Jgco7GJAwI5cExVKb3LbTt7tso41l/mropWwbobsykV07dJhgQX/qWHPmF1mCEU+c8ZfSDby5W
HPcF5EXZJGtsU5n7ruRwnri7mVCs8bcKn7n6vYxcND4jiyoLEI7hqD56Nic+hG7YPDDN6bkUQoK+
lzRlLBxjiY+J1jRpvyBRYbvgIDxaSTCFqxF74AtzLIRbBjEXxpKnTMxBubUd9n++PSrNYzrZwWtU
gKvwshHV6no0kh7aczaXh1Gwjd+iAcJVFdJwbAiOnDcYl5rH2pFijUrHNtdV0ywvQ4d5h7I1MkcI
hMFytpMw0V+LtCxx6IdJFvqmPelQ8JIo3Nt2ULb7NHRKl7o9htyMHQVMS6fLY+Us1bRR0k/mFtYW
Db3ARgWK+jw0sluVLH9xataBPzm2duMCUfBK2ywOExv+XZSDSwm0B4K3yv3ctIrwKoRwyPcDWBNI
EQW62PGamJLvRBSoXhQE7j4wAUG6KDqYevWFV0kAMnZW9RsdltI13oHxGuWddRryvka703xWmQzX
c1sN52T4ZMoFpqm1+uuBLQ0FcG6xfSsYfFeB9TK7I5iGzkljUFST3I14mO4nhVQg8pBOhluS2G4M
TxFIMGZIbbzXE0e/mlslvO+LST1HpKa85dqgHZqicLY8eMadEc/FxkgnbQ+QkziJSEdalQwAwaxm
sF+spIu+ZNuhSkL+g5oNhuduiBdNYWOBGU/QS6q/H6v/Uc//K/U8aLyfHnj/nXr+vXpvfq5MGSnz
JT/GzcTVseU1KTt/LkrdJWKAQpBK4iKPWOrVP2T0YBIuMnnVEAb0QH2p4/4oSjUYgBDeDKSZf6QF
/TtV6TLO/sujmToGDKFtg4pitv23B6Xs0Ic6E0NRe9bjtcrIijRZlissPSPuwDDyktaNgQyNQyK2
oeMiAejhmg4rgwA4JGxzYn3+9Obd/L2IpCD424vCJyBY0i0iEF3ov3rlsxk9RFb326WjJrEreUjy
dLBXlt01ZwPG104W9mcwEpqH0LY4a4P7NYqcbe9oufduNYAFBF7g6UNgggiJko4ZX/wdivCm7lvt
3nCC9JM0S7CnbOJcqZ2znvGg7utsuVdhxpnBKt1C1E3ZNBRIvinRXid2ZQ/INVGyamvbnfZlEB1b
9AG+brdyZTPgGHoWPE5PQ58P7078pqnPDfvHKnbwg6k1EHGFmx9IroyK78QcnWc9WhulQYffT+eB
jOm1bDljQz3emXQSWyznxnMp4aPoPCwzNyUOeJ41H9xNzALORj7YVU86uUSlJjYxKGCSIIrrPrCH
ymABV+n208TgVUO+3Ve42wle412r4zGGMNTO6MSU1RwIQDzozml2o11AiNXELl9Hc2289ONM3kDd
fV+2fR9V1/QbNZ5tAEr6lUiCa4v0qLWtdizki/wjx8OKP85U15jcVp1tpkgrUSLk9PqrylTlmvgd
8p8xhx5N8rH3QYI8RbABPkLtxUA6dTtndp0HZTSda7tKTonRvefodFZ5Ia4TGnFPxft+YldcY+wG
bUExlKV+qLDm77X4EV+KvAvVcotz9gzysdwUQ6L7sPhWvRE/pxr5qbml3hZB/jigcLztKX/ZFUfE
voOY7DVovV2umTulx5xKIdPdw4D6QJz3GlYkvEViLLELTvJmIAx67Q7pzMo//xhD9ytn57J13SW1
oA6fx9p+yqIa6mXOY3+NxjD3kQ9uIm18zwmG21IqLDONepkBsfyPpn2jDuW+tZq1MJoNa/XPwVSr
JyA8n8Ikf8AO9jwZUlDNg12tAWVEfuDk062ZmjdtoapeMJkoZMygfIA+UnuFVM4M1AsPYSuAoSEI
zmR1O74zCHxkE/YPfyrD6WyY6U2jW/Yt9aDCqBONfWgylh+rDlTvSN5zRdOm6gyL+1Ltv0sASaw4
A0RRAyNsZc6al8GtkIRCKCwi8Qme2hNaWcbMn+18i8YGJoOWamx/U3K0gjn4Vtna3lYSIgKD0aDU
A27GGG5qd/NQPSRIg56kTWBfPGM27J0k8cupdm5I7huPcowQGr/OYkoP9BsjqxMmM2PVUkNWhe1Z
83hMnem2nVF0YKy+17ja922FjblMUXLpFgP4Nn9Eohl6XWAfpyE+WSX7aUUn0rNpa8x7inXVqV2w
6TvAxr4S5+FZhM18SpK8ewicNHqFhJac+nrE3AIH8qxYNiU7ex5rXSp3bRToV0oY9U+QKrg5o971
g1xuyYa2cQ5o9OG6/YmDzr6tZynI7NCHfDfXTbaLXCLE+hAKqDorlF51fyO5O5UmMg4lr/kYpsH8
3ZBp+i2Ui+i86qLNnDsOH5Xt3mfkPJKgwO+PEDfYkrORe7MK1GyJEoDw1n0HRka8AFzhpzg2Rr/J
5OdckQmhxuV36pLxPp7CqCPHt2qVbyrG0ztk1wiQnaCMv5hLQ2spI/EM16Dbdo157MzSp/b/NhF6
v64UU4cXbRyNuldIaq4aIsSJS1uZyVDeYgSe7oKoRxwwVQUGTFdiyBxHVTnNY8JtnAlalSWOIcbJ
cp9fMhrcaWYyX0wFQGc3dDZlpQMXqPrhsZcIhlRj7u8qy1wiIFRWImxD0WNcJZfkCDATrg+wsDLW
oOOCEtqkVLBKsctn71NoSMQag7GMsWsR970kS06FdYms6C/xFfmSZMFDm1CL4BJwscC13Z1yCb5A
+yhPHB3aOZbiAaXOvO9Jo69W2TiMLzQkZE0sSRr6kqlBCV9xJ0Ay4cgGuTvqnfwalxyOUjixDw3v
3r6EdJiXwA5d7RGs4x33GYbT7tRmNzKznFKxCnGA3tlL9odziQFBsfsU1FxJDuKso6hIC7GqJThE
JecGZ27kPnDJKIdhSRgReqYR0nYJHgHapr91SxpJKtrmlkhOvV6yTmlNqhIT1Tqn02Dy3YBggQIw
PQNOaq9TxxrhEHaqSiimru5ErrrHQLBk9YpKkxHEdNNgd7laUKQcvzE9Hc+Z7LFSleKj17W8POAc
qzbJHM0g1GVWVlhdAoFvvzMDnQ0nu9UNLUeteaio5+i2slN935mdu2Mt3F7zhiUQvVvZVysgvB2T
4rL+aHmq3Dup0e6CCIaoAkmcJflk1qi32nHaBJctHyBkrV5pl+3fOIuYyBiIdcnZ/i/2ziy3bmTt
slOpCTBBBrvg6+mlo16WLPmFkGSZwb5nkJxNjaUmVovH9r22UJkX+ZL4L1BPCdhWnkYk42v2Xttu
E45ugxH2xVwZXf0wLktEjnz2iXFdRk9RGUVyDU4ekIhYlo9J16FCD+q44cmbBJHaFj0ZtqAKcKME
HSTCIgRb48dp+81EcdCvlVRqO43QBJIk8tYukOXDUPjmOkRfuc6SjAE5X8EqBZWxk6MbHnFe45pH
VXkr08oqjohrVHExl31vvs3kq1DZ9DO77Z2nC36zGMRTMn1MvHSo+l0tLRxNY9PIbRp2Yv6U2UZV
YdpLw8K9RB3Y6xecf/PDUMcTtzn45/DqVMz9Yz3D/0D5iYW7lYr0z6XRh/jrC2yNX/uBHz/zsyFY
ynubIfCiOhYAyRjM/dSfAP+m4g1QTTMs/qUlICSUP6UiNmmDEYgsmaU/WwLyRizpMcKmlpc+//07
LQEpZx/Lb0HgWED17UkW0/6JPvTLENcZVdQU7LgOztiFZzyPkjuGQuzgZ6e8SbpZEo3Edk02ED7k
WMj7xI0may+szuMwTALxDEeGJbhFVs6xswbMbnNmq53jjPlZZ4IzoADuG2/44hDB0e2qiGXMhoLC
ezV4S6+Bzou7cSaKafH8m5gdCdp6NNlMN1vP0pI4yKzVVOuVhbOlC5XHoEmWUX4++1axMxiC642n
vOSl9YPKXKsctSDSgCQ9n9EELGvFzrRIhwf4tULx2qhVPBkRJWzgT56zQTcog02fAa1cOXCW2Maq
JFgZUyN8lkmDuPf8/HbqHLtFIOZn7w4u/H5JARD9Hv0GitbZI9bqMNYSSytpZ91dT7IxhjBvsMmn
MrLgsazc8UJbuiJ5GffIQlXP67vJ8tp3JxrSeY2n3ji4UdDZ+0EaRbXvbdkmqzDtKnMFaSW20egm
kg8jg/4YD+w0IbsViLaJhYSX6MWHNJgZ3NWeQzR51WqEEa3Buec37ZRs3VRlTCmDMX4J/TzO1lGf
YrUg8716FhWG5H1VyOgrmMoI5WGg23lNpjdBE3MotzxrNjVKWRRKoDvcXYgGwribRx1+haiTvxgz
UIFNiPakvJonyDOXmq/k3mvrudjMyjeeZBknN1LPJI6CGyfFE9q7fYMZc77pRHzPgfBWoESB9JiS
LEvytpQqXIvSLjZDoteel/UkoBAjOtqziUwQzWlkhhzNpcvwxBL5+ZgSMJG28tYaQ7Nj2GSygyC5
VBIftfb6bDwoJxrPfE3KKcldgHsbp7uN7XZfdlPobyZycBCvK/muRa7WoCeLS03mKpdFe6ip6PYK
8tZOsrbcmczSsHRWeX/A4qW5VbzJvCI9AnV8wt5yo+fZf7SLPHpJBDirMZrFGRcrKaxuVr8afhdv
giWEFvbBu8D8/OgX8hlf8oZiZsJ+PD3r1rMeRQ8a4TAx5123cw0QCP8Rpm3G0s1lF80PjDYJ1+UW
S6Fl55C980hFBxKok+tiSewdSHM171I0btZX/5SsLU4p28kpcbupl/RtotK5VLvRxByqDbHkw1Ia
GA+q1szwsFnCGZOBRznJNFV4a3VK+raW0O8mLcpyJSYZXqZdk7yasYfPKjeM/M6RdUZrXNbngPDC
K4t28RbBlkX4Vd9edXbO1Jm7crxq+M4wdqdBa5KJlbqgXfwu2Bgtdux6TgAsC7QoIbJY137OkyXh
PC0JO0deLZ8clavgUixh6Ek2k7YrjcQ7JIxriTbXrOW3nuctBkafqD+XtuSSLQBjPkHcOi19fxX2
RLDPSxh7fIplPyW0eyzak40HiOYmlwPXEiMD29v8syflf2vihvABIv7VcXrbs2x8KV7+113525n6
4wd/nKnS+wO8Iq4IM3AE9EH5b0CFDP5g/URGl8m+WICc5Oj8MWhborcZsnGoshR2vsdw/DxV/T+Y
ZnEUOwLLQIB76G+YjT4iKF0HSAVYRMxOPnkgoEQ5c385UzE0lBxGxbjvgrzad+T4XnjAIc4rbuBt
P6kGeU+bk/wjVa0+53bLqsS3dXf5yzf3/5itfRCWuoQy8R5IL8V7K13xcX3pINtn2ufOe083ZOBa
c8uK1BnieCOh7J0Nhm1dBU1EXfu3X3dZCCOq5aWXouL3j6/TouAESa19aUT1K4c1dpEG/h4WSUdc
hUhP7uaZTOK/flXxYR3Ox7VdgdqGaSIDWc9hwvrrtx7VURj6YznukbCa/gavlXvtWyQ20iA/xtOM
fSQtRN1vm9DRO6Mwm/C8pp7ID4W7MLjIIkXR0WXlmkm7fRdiAnPWNsr1FXZn41lmwt0UfTY/NBCg
vgVg1pgItchbk85HXxVE5WnhxVAsGuvuK0be6sgGMHxOYYj/9Wf9sJjmoxIOhYfNkTb7Xseyf/+o
wO1ZjEMq2nsT/IokmHYWUjd7VcH1YcLHoT4IHV02cfj+1y+86CB+myHz0oFpB1ziSKKxeAQfXjr0
20wSqjDsM3IGzMLa+k2JKT4+lo31BZNEvPWZzfaWAJmNOBfC3CFrQ2Q0ZrcFDKGGaG2wKgKYl74z
S7pOQ9CkifPJrP2rPmqjFQEO1qESYu/hlsBLfk52gr3BbL6tXHWfDjboghkl//CSS32VWPJQZAVW
Mn7NUbFFXrCBYv1EZtgZe93PSdVfdoEvD12tzsLYOtNWVayQix+lMp6019eMhwgVCbgVKvMZzshl
UCesqLoQk3y3zVhwdQQ2LUSG/eDmzMgiLda4qfYT/uoVPFkLa0ZPWgIsiQ6stVLj2hI1ZCwsNbl/
6BP3hmidr9Qf+jAgld6yr2UYkpT2xaAlYkRH7MUshm2e4NSPs2csI/ilIvb35LrudOcH+8i4IQkL
OD5D8ZXPaHQnoKExq+mfCsfddEHkr5hybP3aHVAlUas7QUFV293kbtlg5So/z418ojF8jwtnrSO1
IoIFYa2Kribb+0JC2KZktKNLWa/mOAB9bnVfGNrQ7aJ0nfcGnFdSHFLvvckiqDhDGZHl21BxXOnK
Ns+tXnbmGj9R/SI174YkEDuGpOpn3xbPbkYpEajzvvFFuvHDvjfOLZLc+Yi+Y4K26OLwHNAXaaoN
uVjhWdEWaj/PdjquoLVNt6Q2yEe/DED4yHa233z8gs/C6u15EyPzGi56lebx2pNR/caQut6lfp2+
4/S0njvk/bdIRTuKF3JjIZL01bS36j77JMcsB6lBzBe/hGAwmduG4UrIhsAw5Q5AfurCabYFUJ15
nUIsQYeZuglIg5L4d8h76YbwuPY86Yd552TjtFV44+66zBTnhVk0j1om6l7OzGLePdyjx1olJvcs
gptDDFJ3Yk+QIA7EeZrfMzOoUsKfJbaayraGI1H2ib6xtM8sWVaOW27odWJrLR0PUImhPaT3tQrz
4Yxt7LBml19NR7RNXAElERvZLVmt+UU4iumQJGO2GwRsIqpHJQC0yVFvpkzGd0bYkoaOuYUIWyOc
4ASQCtKwdg7tS9J42issqmi6sd7geR+UbFdRkrKIZxRTjesIIGK4knXXFhtSRUi9iALnevRCedYh
GHxORrd+YJWKSZ5juQ53PoPhpzRt234NZHHYuZUsIfyOWCqZAkXJMyerSwIKksJd4Uw+OBFbXTQ8
xuH8qXImbKodl1vAGMEqlM6ZJyKyW8uhDUfsdQnnnIvFZtvHqgyg3TXeZowMiGZ5STovyKTdjH/h
wqG/2M2RDp+F09tbcBs+gErSDJEdZHmxJ5s681Yg+cK9qZKSFIJ83EkvceY9UG9k6yyBiTYMyiz7
VOBCY1uVhIcw0DDzRh1sp0ynB1fWr5PvZYgfSP4DuESHOeLoH0jDQiEee+ETJc6q7JJmP7tsJgrH
iNcoKJ6BgPrk/Lb5LjMa62oh/DfrONDm0bBE5u/LuAxRGDjKcJCbNubaQHN/b3rKebCmEg9SG1RB
dMXyhtWzYNZ73oKp1lu7qdBAYsJVhFcUreYB3hrNDS8u751Ml0smQUrGhgHIHxSVC1hOU2t9wm4i
10Gupoeqd7xHz4UciJpdt7caIM1V2lgxKMnGRbYBcNPj2cpvJiDLhkhBuKEbBVoR2nZT2isUSj16
MNl5t33mpgCWmuiLhxYsQzEcYKpiERHdTNIiRJqUBPMLacbvTlAXm6wPU3fFarzEMKbK9sAHy3dI
WceDZYdoRec4ZGsk9WXRkSOREnF59NwxvMFgRJfIPftQYZ7jhMnBMJRQ2FmRzcP0Rr6mc0PIkeo3
9jjMh4TZxtqaFjosflHv1jNTQRIXti9SycHU4k+IkkitO19PECPrkNSxCBbNtIFi2lmLergnybI3
QWsCQc0eIkJYzxOTA8JmrnDudGOGvdw2btI89TfgRqJhrYIcuqGDVukpTZYIzQ6i74tf99ZFp6vq
ZoLN+OqozLuS+DpZeTYazWmdnPeEluMDhnEPKsS6nN2O7zvNyzM1VuLQoc9ZzVMLHabk8QraoxPN
Q8kvlPYTcuzERjJsP4f2MJfrCvcnCz4UM4Q+QeU4BkkWblOCXl/dAtAOKS9GFpOD2lWta+7SuHbL
+IH5ZT5mGI8KBTTMDic1VddKSPLQ7thU9Ga2FhbpoTDCv7gcjkllHEYPh43u+rsot/aq0/M6Fm5x
MBOerlrb7opvjDyaHn4nMZTNV9XkycGqQgUMySG2lVtyHHnMYxJ8VB43fWrp5K6o6h33OXMafc48
rtjOyt0OXaO2kZTQd/N9yGjtzGX9M6TMtUm+RMOdHsdI4EMZ8Q0O/pVypu46N0WynQQZj3bKxgqv
Cy2liQ1xnO+mxnibA5ZqkCPvVGGO38vnf2yK+t/aGxIi9teZFPcljdxvTr8fP/KjK6Qj/MOh5cPp
932k+u9JK/HL8Cl4Si2yRP4FqRI/u0KyKMhFXmKawUxYvutTbP/oCoX3h+A9Ue6iMMbbLv+W0+9D
5Qwsf8FPkBHMAUZTtPSsv/YnqW9NtoyN+iK36sU7N+Uo1mortI++Lrga7SoroPw0zvep/J/KhO2l
3fxFkUkTSK9APgeCDzgclvehMUpy1U5Rq+oLYOjEuDYqYeefF3buYgDPS7HHAeBgH5wAhV47qAae
y952nybykG+BEiJ8Z1VZrQDllI860P2Sw+vOhM9PXXxha6+xNgtP3lnFeFqsHbWGcRzqztjKgNEM
YALvYNi67PAauz607z5T+J6arEfQi7McTK/nUV+pMvkPn/zDbHv54DQpODUt4fjeYtT87RvnY8rK
quLyYlDj+KnET3ZtOLn5H5qx5ev75eu1TOEhv16+YiIuhPNRBo2Zpbdr6o2LkHbtMbQr4LjuRH60
05PktP7rBuxD58eLcZGySWAoLXwuzo+/y4qFLyeee6To1teAJxyTkVspo12dTHSAiRmGFXlJtX8x
Q93/oQr702tpmZ58+LDSJYBMspzgKsa4+ftX6tvCL4q4tI6Tjckr6HLwfH5at7e9o/PPbLv6I/PI
jWE05dazM7lnFgK9KU4DYP1QmX48LP/0DcFu+fiO2KgEDggZKlta4o9a+y4birx32/5Yt/Z0R50h
bgqJh2mVV8aMFMZyjRvWD+phGORiSnEnRSmrnSkXTAU5qsf9oFxjPIuTFOMYPQ8M7zgv3Qb0Uu9+
GhZ+UruQlJiw68vRTr1Lq462UOwALvULe8laKEzWCchkn+BMxQnUBPPNfnBBKpkrpfrpQgnoTVbZ
Vm8Ts4adWohP3IyxJuEpnG66Ew1qEaNTLC+QKBJWKVRIigouxhNFSlNC+qvpRJeqT6SpZoFO5SxO
L+YTiSo4UakSxrMgqjw3EVtqR2Weye8YKza/cX+0T3yr9sS6ov2Ce0XRnZefI5h1apOd2FiN9BdQ
VuAs1Cw7HRaC1ommVRtj3191fuYZ2yRFUL1jsdKLT1WOqHmnzcoFXDoClgOlCavLOnG74PMxZZLf
gV7Jie5VnkhfmJcX6teJAFafaGDhiQxmnChh6FwghmUnelghYkhi1okqpsIBepQ/V1O+nqe6xo0f
jjex0Ta7vs++zkhZOniEXY74am4hgnlrAtAHVG1A6kvjFXZ7C1YxnjrZjlckmgX2fY/hIOv2naeH
RB2q2qnRIckgclxxw2x9lubOddO0vwixfpGnBWQlGDde1rjrZLDAp9ptQUUYF1+KhYseDXdjqG74
gftmAacTCL6QZsqjUXh3wHhHehPfvPIW4Dq7gFu3ZAAAGwbP74JljyDIQmgB1S4GtHCJa1gYr2dv
3SjvCWVYfTBnvzqkzBnXSvMA7p2h2o0S3CkSkQb8Ho4M38iylWPHEllUCHw/xLncYfMLQJJT/0cL
c9417iBOXIYLhd5hK3MNqRM0fbRQ6ouQNDU3JyGPLRJjLbXw7Du33LPBkNt6ssaz9Dv2fiHgF2qZ
1i9U/CoS4pOKeudqtLpulUXQ852Fo18sRP1aBdOVDwb2c4xdlc2LO9jHcqHwzwuP37MXNH9ywvSX
djKU4G0KbzeNdG1tBYiFHVgRvsdpww4+nDskALhGGZbUrL5warlm+6VMJ56NSLKTZyx/qUR4zum7
Tu0E9XE41hWeXVFmBoREIoNxq5n9ixtjqLZ8Ih9WcZv1t+SMzFBsYj/Y+awyizVZwP0z1LEShrtq
7XRbJC2dqu6If2TGq6SxpqWPH9nMtOk6D2aQmqqMWcvU8Ga+KVkjK50iHkGTM4HcpKHOy1VJoxlx
9mccwRsHzu1bpC333AdP2+yzOU+wSdNOP/aeVzxFBlnGG5VgJL+WTm6jdITNUZ33TmHiWJ1b42tO
8Wxs8CTM3yZWb18rckTEVllW4yL2s3T/bMK+8u/bXJv4+VoHzf8gPW3uRie231OzW5pylXbYamrH
w5Acpca8hvfvfjaHJRhCttVwGfQyfnW8JeV2HizY9D0ObPQSS9fW2mXin/VhXYHLyV1EzLK3ecaV
hMlu41wDtApCsHKbuY2ftdvF6arN2NXSQ7c2PuIhLdr12Pg1rHG0Dw6GoClydj1K9GJtoUoxd/kY
4K4MI4ifRKToy2BMAWHmeRd9EjbuIwPl51vjFJ3Jeiz33uERGB3Ew4EAyi4fyJOtdU7DZNW1vxHR
VFfLhcMirLJ08cTkJ0CxaBLf6dAJG8fQI0Fg26UMUB472weV7g/DcAv7gIkjM60gYaa3YBtxUMDY
h5WkeDC5dvSghYrxkMhhwGurRbnBzeo/KFb+rJjdlNRoUqlMc1c1nWuhp89zkydaERiHIBwmsgp0
Oj5UtWcD7FJ5+9CjDdJ7LurgW6QHmFajUTrJbgg6U+3NsLd40vkE9sHS9AlV6QazuHFmN//m0toh
TmoGSFJV5ZY+Tg+M37vKNPviwq2Cga9S9lb4wjURo9EJR5gwiqSLaJ9gv69A77pItRC/OiUp3kGH
PI6j8HZw528JVO2HBBj9o8C4PZ2pxmj7DZEXaOzawRyGnWUU5Xnoe9NZPBvhftBjMa+LyerSi7D3
iyNyghlEmQR1s1ou3mkvjGI4dyx3mg+W4/a3YdvG+zFk6IAgwXXCbRHN5rDKqDYPyMMIgQkL+U0D
5tmX5Ch/6jCgH5ME1TIhUwvLuxYm3Wlll9f4ClyGuxXYs85p7828Iy8yakTB/HyOr+SQDofBcrIz
PbntZgT+byFu62aEW0Nd+l88KP2XRbKMLOoynZN1k5llsfvrQm+pTX+rKm0QA9bSL9hIRDAR/l5o
lZA0GsMwuqMd2n6xcUCi8ijMCsFDK0R/UPTgqv76JT/urehMeE32oliL0ZxghPz9NXMb7HmWpf1x
QkZ9bbpt9aQsQpX81uz3xJnx1ToFGwZWXoQtMLscL0O2SNH/b4C/g/b/g/WAZN1F+//nWqPn/u2l
+z//u/hVbPTjh34uRv0/0AvB9ELPwyrz1GT+FBuZf5DBCCsE3gy9yumvflmM0hqTGbd0yNZpY/dz
MRr8IehqMDPwS4VS44m/sxn1P3RkTNE9FsBLl+BxGNKW/X6FDUnEVKx0rL0PWokxEd6alKFRAAiU
EZIcDaLYHhRObcZLUO+YNeUiqjDnywLTDpCuQCn3U1XCndsYJI6Bw2EdkK6qNhnNw4LnlYyOmMiH
4XwGedohmMZp9FXE4gSpST9vh0ktnnNXRFRapIFVTsE8uQLcEm/GyoSDhrgPnTopRUySBtTh6lCG
kgyWVOiEW0EWb460jE9F2HZ49yvI82MGIeqdPXC3MYtIsuHxJlT3q1a3zXgsjAS9QQsF8s7yBybK
htbjfe1o9k4k95CXrtq+WKfNouyvPDPZJ8gEYxKx+o7AHbd/j3JUQtvYKIoO9kKcD/tZwmbe1kKE
n/uZpN0mqxIY4L7fv/qTisZVFQXASnRDNk3ez/E3CQEe9XrCNVOSXc8ydO04kKzexgTF9HaRWyFO
Nrs+OLej2QJIC5TSdPPj6Xr9x2Zb/wMVgouX/K9u2k3fvBS/CwS//8i/plYMoPDj+P4PbxB77X85
2f0/wKwKEjMdi+kCN9/PqRWjKSmYJ/GXjDmQD3In/ZxaiT+4vwR5dJwep4fA37ll2aF/OIkw89JW
m8Q88hhAOvHhno2xdAd5KpLzCN9k/N4DE8+gKUa1eT9i0WeEnLRmkJxxOVHER2MO4xPBsx3sWPCY
6f3EGcJ8V7L3f8oDAtJWXRYSPBo6MdVsBeJCb1wrC19H7RtnEDWjV7pfmRxt0yAhXHR28xw3KsJv
CE4tW5VQZMDWV7WqSZYadLHi+MfKRFBckd3lcLD3MlxMqYvHNVgFSdo9W/Rs5ba1uDfBZ3V7MFwj
lpIm3MAyCohXq/0lqukxCsrkbtadeOE+QXvY4aDdtMgY79FA1xc6E901oUS5u4djnlabyVDlFpWU
XZ5byu2RRKIVK9OH0TGCz0pFwU1lVPBnDDy0LvsMc9zTWMd7N5/nAG/xOI1HbOHZeGdCV2U4boZO
dM96pWh2JvakMSmb/K7rW1TlK/CW0PhLACUbvWQ3G/MS46xPkc72Kd65dIH6JKfQ5zbJ2G+foqDh
objH9hQQjbhZ7wDGA6DkK3jJ+4Eo6URU00XtmOMD7yA6ThZvTXjzKw+hdOvBrbz1QgvPY+QRExKJ
Ja9aaONTwHomI8CdPGvULdblMJJxPZ3irvmFwxTpG/M5XtKw6yUXW1etc81X+a09hWYDskeZMUqT
TO+pZF+6zLAq0fPgq8jjWtPSV1ti2Ko9qdhYZpd07q4xkwtX129J5n+Gwk6yUI/b7uAuud5eg8Gs
XuXEfaswiL9mlPur0ZnAauXReF4ZNOC4p6uzomrZvrE4XVHH+eciIM57ittq2/UMNSvdu1vTcOUb
W3bxFelaT+63Hm+6OYv3DXnlkWbHq08Z5lokw719SjYvEwr29ZB1bJ0ys71ubYQSWwk0J70M/aZ6
wuOLggD9+XSllvB0ZGpLkHo3itZVq3AJPhHYofVZdspDwVlLNsrMeYDV1XNG/SYdVBYWRl/72iI6
ieFVnNhErAB/R7RptbZ7g1INqoz2Ch9u6eSjWTHmGjQsgS0qjI1Ng2bE29FUEumSL+kuzinopTmF
vrT2wDZyPIXBlAmGaiBWzGdR/ycExuQgbi4m2L+o9ZdEmdZ0CZeRtWhJmhnYHV5w+xFAg7CuUIf8
ezxNVGItuHaDyR4vvVOcjbkk29DRE3LDxpbAmzbH9UYKz9RbRCXYybVa0nE4oOZNoUf1Hvki2JY4
2Z5kOGSSQY4D7L+ulb9rm5lk2KaasB71SySPYS3xPMzeiOpJ0MCy1vcyniBzGM3rgfxb51hMkIN3
ZmdPZykyIiwJpywgPEARLPy2nzDZeV44X6O9YUivT2FClaHil5o/mJ6LzBkAgSJrLL/gcQNBni00
cizI8wufVb9bHvkdZ3RwwDhDMSVrj70iY3WzlfXBNtm+oafVT04/9vvIpkc99LjqbzpQx4CMHSuX
bNmisHP3QShLbCEa7s2qJmQHXhjQswnP21usaMv6Li5vQcstSFT2kdk325pJdQDYUVorMcpozaJe
G4c01/qZsebQrJhCpiYxNLFbrAxC+VoU0XP57OhGAcauI+9JYAEL8TmEcb+p24EiRrUocBu0xXkU
+8dqnhb4vGvehrHurz1fttaBxInQvoWnRAHjI54Q5BdMmbXKXdW9EEhX5s9DUU5nne8mr5GD5WJT
8qxkJZgRmGJBw7bfSqfCg5dy3fmHgDmRu02swkMbKnk40Eu32XqYRcdSMJzFeZqWwzrKZPqpEuXC
tp7uQRM1azOyEdMI5xLNKgDFOCFZzlwZfQN3bizsT5OYnC3puZor1JI0henZ6DvVHcPlZGfYcXJR
2AUhq7k4y0T4SM5bdmVXXnNjNrl6hWGHXd70NlNnA2StmnqL0WreARo1Dh4PsPHom6kdrQtgeMXW
TJtaHswTGSD+jglADwIzgM20tr4UwovlpdcFBWCBQPM8IFR0IQ4kJ/rAuIAIKOBgEoyEt/WLoAxW
wT9bj/3X7hpt12J18eet1qfsZXx7yX7fNn7/oR91W+BjxFjGtqaz8G8wePyrbgvkHwzJfZMjNHAt
cCKUdD9aLStYlKvM8M2loDrJ6/7dabHA9BbFpoRVj1H775RtmMs/lG3esrhcuPk8xkDCfFRhZmJA
91Dk3qHwLTzKwDcZ/0KMdjC0ScllLJvuDKIf4AOpPfdGkXz2mFQy7PZNZNso9Dgsz/HaDrfCSvOL
tLNUts5CCUDL7Uv7JWL4/cD/pdyGnLApm420pV+R/XkiGheOGBJA8GXirKla8YRarngLihzkM0ds
s8Iw5z6oOK6u2twJobKzpgceP+XA1giV/WRWk/UZ03V8ZsFG+TKlLgGotZZnra3dg6ni9pvbSEcj
aFhwQUhLok2ZKfe6bAf7NqtH85NXFOpYAljYhgOYFYW0/N0zs24TpM54rOScIR+cxXWTKuPWjkAN
i8XEQmwmyrWJvc3KW/wt/ey7JeNaFDaW2THlmzLX/2SWTFHrky0mUi2a0GhLQXOGN3NdW8SlBiM5
myOp3Ylfbz1dYqXDYTLMYbUevfG598LzAn/lGgNOswXxsThlIfyJcSD5pO5voVMPRI1n4VnSGfKM
qbm+DrKgBjWXVhe57Wb3xBRk4DsrXn9b6sR8bCgkt4kzlQ9BMZDXmNo261aFwz2ZVHKfi4DzSOPp
2TQ9HEyA+aF3GQdAEu1xZsQ9KDRtW1ZE1huk4wGt2zZOIuFBX17SKbskG7pNXjb+I75IVW2dkWg9
alEqC2jZDNHIufzOuPrHGsb/1geUwEfxl7Ogm/799ffH048f+fl4QiJPb2jjOaNsxF5Gk/pzEhT8
gcbtFz4aHd3PSZBJW8nzColEYPEsWp4qP59PSOQd/GGmjSXOpbcM/s7zyfY/7m2ZM9q+AwqYCaf0
YGb8PgqCYovpK7bEYQqT3tkkmKP0JqbfJZEaby+7E81GrW+7vmczBR2xWupfD5jCVVG0UUsAkFPc
1CekYpEBCCIgq2n22h+cqxJiULNzxvDVGOIIJWnU2IQT8Jbuw4pNVz0ssAlkTGjHKoMbDkFzjJfc
DNHKkgu2jV2t+7XNn6JcrQPxeU4wF2OXt/1m76UDIrlwcOx378SSdMcWQ7tr0KcYSV+GK5XI7k4v
9Em9cCijhUhpkgnc0ysW8UYYlX5oI80eiigOOJYkw8K0ZNbkXRSy99yVzpXHCpVT50uS03dkJyom
v24YzlNCo9EjCyYbnN751ZwtX5zXC1hznPsAT60Rh5uuZ4S/gb3QPuoTjzNj5PUO+iH9rLFZiTWQ
1vRLgDr2FnsSVqouq+Vmsn0on+B7ombltolnY4Sz4meQTcU7mypW+cQw2Z9F0d1EFtkZQ9mE/s1M
yNvN6HgGEsYRuq5ZFZa9BoXj8AgUAVU+K3wwn9Y04KJjjteXF3E8xHelhWloWybJZOzQ25HWBiEn
hJYLc/LBmyJ31bRleYthy08pW9P8nXcdXBexT4aiiIuQwGO7SJ/wqdfVbi7Jpt0qT6g3N7O9Bzvy
szPuj+rV0G0Gw55GgNK0NKk8S5ajOOsQUB7R2Mu32o0SqO4U0hsnAhlCzWjDVibEsn4lxB1wR2ja
ydqILHmL21iT6NZGwRnyuuaQxb6+4F9On8uxzR7GII2eSKVDgkC9718DQA7eRAqVbzVWMTEXeWBf
WI0XEIri5SywivTGAPXnsW5mVLJunFQRuNWF9blfEOQbZWF9bHi+HkXq4jF2IUzwzTNviN+Anjjv
XRKY2UUY4cl4sQa3wjnX+EYK28QIhw11r3S2gVEG6jENE8VYphrbgngwr3qCkjs2R4fODTKu6sl9
IUPVd3a5L1ntyS4KvyH8zoYNbnD5FLLJfbMVhIZVFgbh1xlLBOaxMI12TWVjnqgyTGkeH8qbJfIf
O9VbIrcX/mcliF+jdSE2eU7Z3SXLHoG5zXBk7wqti9SW9Jh6yv1SwzOOabLzvjqfom76gorDNVcR
8vx41/HOyQnhHkOs5+lwRq5QeO7aZBfGaq+OqndX+uBu62luz5tazCs2ORrFOxxQwl4HvdzQQpFr
ZySLxBforExXja0cG54bGyTap+YCTEPyMhdurTcY4osdPOgwI/Q7ga3iV2qJWHN8kv4E0k8i1cHO
zgyEeDfVycKK/29RWi7O1nDxuEo2UK8kjLVkIlaVJTYkPsfTW2ue3LH24pQNxyVUWaqEPRuIB9Mx
cc8aNblMRBvsWCUmZyJvHXfZvUBCJiKowzvvmvR0vpuhsyW94rWWY7d14FLcunUnNMRCQkc7MaFK
qrVxbw5zjucIbYXczEv5lSeVW5DckjyOVQZWVQtfN2REIhRlO7nUdEp39MheN0G3RdpKATgpk5Sf
yGdaMZXdXX0qFQsi2ru9FY3NI40Mc4hTWcm9QomZxELuyKjulgeAyXY5wYQDvqJxUxgHI1yS4FRM
WLmRZocB0l18KMj9gEExTtGOLIpYfK6Crr90G+Fe2mFO5ZJR+YLGm4rhGmaFdVs4ZUUSq+V9apiH
G+gnVHCOLxS5ALGbYArsGBc9i9xBPBIFFf1f9s5sR27lTLev4hdgg2OQBA76IufMysoaVJN0Q5RU
Jc5kMILz0/dietra7t62bxrnAAfwxbatraGURUb8//etdUPAc7rxMpcMh1VkpdpYWR4Nt43FV2Lj
iQpdhwDBQnaj9WHbTAmvi8xxNhR1yb+JTMzQhgPaAxWUWC6laGfbTa2GlzBT809heMkp6mbUjmGm
v7Dw7++LaR7dUzPq9JuqhCXOyAXVLTpRIhJOWFRHO84k36hF4R5L8gTrzCWmsorzdriUiwjJXJRI
ydWOlC2iJLOd/bUu/PQ1v3qUkkWp5NtDstVXzxJIbOemgXj4wSuxTbfp1ckUdGVX76AF8LdoLdqm
JEfgRGDC+sJfRrZZRjxHQjKknJXDfn2IGbY6vS++caK982eQUO7ih9ILa0ahjDKU+CJRSPH+XuWS
pwZRDhYNi2MKXHD3PPQD3qmrgur/313/FVsbEdU/PBmu6yItf7m4/vnf+Nu+wSHwylLZZa/gk+bj
J/vbvsGlIcn+kEujwzFvGfX//d5Kyo4Tocuhg3+y/r5vQOKG+ocArcU+gn8xcP6dgyG/+i97b3YN
vCH47XE75eD6+8zmZMUpIVKxkPBMeJzI1+JmO7X2trLifxLcZCny+1+MGzzwhYAHJeFebuq/O4NK
yNgE1Idj7yXMxfCFFZWfPsUSBghJQJHeeq3MNvnUW7vYzE5SobCtbeVurABRapr7yaXLfYcB6Mge
QMnkOKKV2vHystcdrJZN2MEDsSfe2irMNkFamVta/iYqHCrVRY9+YPK7dI/h5xM+97Pt5O/M+iVt
ayPdDCXzt8CuoLnL7o33ZLCi8szmndVBnj24Q9hvjMm8GVDdoG8ynrPReZPjeDMaQ7MeACGqTLOS
8by3QOuvVD0/zKa4NWP3bPl0KYq4LHBwcZamFWt+jlL620FDwG+QSq2MOk4vIwPPzUQLamHLmLSW
cm8/Bl29nsXQ7SNix2syLsMl0rHHw2wiNmQXya4gq4naKAIjA0WAi/1gDqu4HSOg2kRcBqcrdnBi
15QX3pE9sFwgOsWAdLQNGzhZRtpj8XON9IxKx3w0+GB2G6v2+89QJNEjPwrAgeR0268rzcF6H4Wz
5rZKzoe/AXPeI5adILxVPygykYRMiccYIo7u2s5xkHuXAADC0KAsyfF2N/khsmAG/ZjB+mfH4a3h
cGDYIRTw1jFqFgAT87TNc/YIkQtSiAf1RZN9XVXAOFf5rJHT8RcCtOihanSDYsV5aQsRAQIST5SE
871ZTvXOV/O4CQmSrfoqO7K3zo+0I5JNXtpLeql+I50ILYOJHxcg9GNu8Nxk+tGooXDMHEnIRnUh
rzIzuE+6TqCwqs703NI1eInnivH2ynJGxFB9jDvUG0FRLZf3hroYmTP3bqyig9SVOvoEczkxuBkZ
jvLDsXwgZG11HzaowIpRfyXywmcg4TBd5HJBJJnPfJ3KDV2heONk4mTm4pKYU7omRTUcPd4KawFO
bAfw6sIZAp6NBepjqiaU0KNQ69ahHBiyVV6BPUpXJUu+jURMehwX8TTSsBIsLCepisDRvc1qMz1I
158JtomHVDWnoqKfG1MOtZaGYNjfy959K3v1pIv05IU4fpOiOZVhxpejOuRGOdFJy/YFnrypry8W
n/Vgbl9xjzM51j9t4TxXub0dYNavvPBZLtUbH7bICgZb+gQKb9zVcY8zHJSan5fo6pth73cWVLFA
wglLvWYbVc1NIiSqwqg+d7Or13mK/S1X7UmMYlrVQ/ssANtFKpWrxFXto1uGxtskBqa9vdw4TvAQ
2mQPfNsC0je7KK+oZcYVyQTOiPyO+d82TQ2psSbfzL00w1qQyuemm6yd7kb1cxrjflEpEuA45tjp
hkPsAZYmIIzJS4MsO3Bm/FIEKHn8SH+yHbRew8mjhxqTO+RGleDsDswMzZ1wZRrvY/cwo3L7331P
/1+483eX2cgfjY9v0x9J/f6DrM6fPj7/dPfjvZS/4Az+8hP87ZVMZeNv72CH4TEvQd+0rYVsz9zm
78MZUD0OvzQJnuvS/7fDmdCi24LiCmGVbYt/q6lCWugfXoxLQsiB7s7ghgrM72L+tDsacOdNeQzS
NiZngvyuWjR43SLEG+OswrKTFJsBGNC94upxiJdtrmKCSReT0SVDXR/kt7LCA6lh+qQy9nDwxX37
nepmtu4USEu/K1/wNjjHhoe3zfeIb277MYADvMj9BAnE28xipUsVL9+Npld9TDnvjWzO5d708gOk
kt00d+02juSj3SER7MMIZG4TQQTqo1tNq/DGx2pxJlHkr6dcDndZHBTsBqtkW6B7Ozb1GB1gZdpP
dlN7H9Y0GvsRtMS71TbptwQeTL5qXIe8IHrw9kuIm/N7sfjoHLKLe5bucGWKYeEZLdxtLxf9TiYE
K7l1ufmtCgdvh9WIXZUZT8SoZUbCoVaCql3jlER8GmPYDbGaN4KIasUWeBhPbmmCimR0lhK8B2fQ
BZFBk800V3NYzP5KTnNwRAYJOpKVcvVu6348wKOI7+bQByVkzcWjGxqa3ThL4goU0Y3KWp6zowjK
u6YkX5GwNLyMfls/SpYY3J4IpuvETG/tSqXpKmEplcHQc4O9Uxf6QvNzOPVRSIAS+V75YghultwQ
uZky/+H36UonfBn6vtnmZqm3YJqrU5aU/pbFnNGdl2NTutdXoyVARuZZIKKHYR9hFDpDyBk+8qsJ
c8Et761Fj9kvokzz6swUiz6TfSAmTU4l412w6DUzOgfpCu0kZpJFv4nTUK/KRclJEnjFKcUmIoWu
kyk94s5F4Uktdl+x0eVvuDulcmp3CQ9Lrlfssms9Ri0lFfO1uJpBDWyEiiQLwlBiBxg6WaDmMSIV
o0Yr6sd+8uAAoFszbOHJGqIfDbiLvxsFSlJ3kZP6V00pwIlmEZf6M21auzTbco3cyiCsxqfG4bme
Zki+VZEBhKc8vXUp9qRbefWjatBEgAzy8Mlb9KlF2qoL+A57JybkqkGDD4xVCfBrJg25t64IxD2V
o13uhquddewbIRg0MQ/c2ThnacP4MykB/2p2Jd+MwHNsraLZm6o1vlCanO8spbGu9y0k2nqC6ANI
ItT8WWLjtQebTYABJCrVYfvcpmHxlKpBBfAK2pqxo+rYpPsz7YMSCsOlkip8ShvLVLve6ynmO1EQ
FrsOjQ6JZ4hcAWtxV8YnGkb9cGadDOi+r3i8rZkOgT0MSn5zK7vrbazAbjQGWxwa/VssJ9mvJ4kK
YBXCGOWLH5TQraIhXncoIn9i8zFpyNQaKTx8rA9iMvqrWUprLyTCt6MzieAQTTB4Y8ujjWw7WeKv
/DGLNYerlA2Nmyu/eMj4aO04UU4cg0ViFQ+KjEq9obvGx6Xtk2JLUptKxjg0jzr1yzXv0PyUOgtF
nT6u9da0Q7tlaEbfwIw+4HncWM5UfW9MKllwVxgkRA45amInAZx9YpDY+Kzkw4Pj+aF1q0KOv9ol
oqIGTKPQwaxHt7XHW1QgPo6BaIrvOfyWNz1wv3JrRqPDpM9qhnnFQKG8h5vmiiXmGHyYWFEfbLtK
nG3RuuZ75vR1TfZReys6sMLhr7Cv+ABXwcavemM3+0X/7CJGbdcF4oAv9GJ7HPOj0OeYWtRi/q0S
+s75+FJqP1OrPizkVoY6mVe2YeYUwwV+D2rtDhL5op6jlMNr7auta9F/Ul7FoT6b3oa001ixAQHo
ICH/Y0P8ZAbbXgI+0XsgYOWJOP3eVcB/+zrJDyMrgl1EZfpQgWzE1zYlr0HiWW9m24hXTzXqJ2sL
i/UccGf+aBqMlNiX7vg+t8bLVFcPTeg+lp7rrBuqVoQ0vXAHquLcU1XY9n7R7lLmzjQzYKkmFCSL
5jynzHBEJ56GMji4Nd40ndgsBr2Sb1pSmxZaNYPOlNebRwyg6Sodh/5ehTMjT9v6CapGkmNwq0tN
WeC+aMBL1LH5HiKHm7voUCeKDWprUCPTj+QwzR99AH8GPAPfD2w5AhqS7YkBstgy2i83AE3ng1P1
PHGzqlyj/cL9VH6MVfmsSPFtuZyDVPWY8sHV8DDM9sUKnx1VZR/gJHdQI9yUofcDFolxwERg3VSZ
fU/sJdrXKitosxTwR9n9oEyS3r7UGSftTqVrNXLDyMBvfO17GH15nLqfdsNBVeY7Uhn2lq22IAhY
DPOutjv3mcN+cy5GbrppGpfHZvZuawZcCAC8n0i4xk2gQjoSEHjvIxscGD5Y2DokA3W0bSlisftI
0TU3nB7WYDymi+ABQJmrOzcDj0pIvnf2NAZP5H7bGwkiGc3F6BHCK+iOMH2mWWOl9b3npMt3KTDj
rAryeyQtPV0nXl4pMOX33gx6Hk0FbcrCyfbRRIKkAbv4OiNuA9Tp5zNLT/M7nInXIgJ0UYaBfAPa
WWxFkPS31InaXchTc2MGVf0WD57xmkzJcBwkqaZloJ48DLHjv1g6Na21RxoNcrZTvcqCUfXRh2Ic
HKZW5N+rxIpfBz/c5lywrU3LB/DJreHzrqCbzFAVnAEGzTguXoCkCeaeG/vQl1ubEjzYn8An1jKB
I8Yy0nEpgWkCzG3FNqG892tOPyscyMlnIOTM+sH0W+/gEAL8WlAX+h7atUGpQobRF4Afbrui9oCh
29YJHL025OxToeWM1oVbAgmx28mYbpui/A4iuX9IJjeslvJ+SNFr6INyLR23cndknHkqpKn2iiNN
q+ahVF73M0G7DqRwUlxlojFhItJQjXnM3QE2dJ4ZqeaqrriUxXUwkmdusVrUvT0Va5eU20vhVmVw
BKqDfAQXS0uDj6l8o/0jr0Y6G4ZQ74IDDp9DWp26FOSps6jet44JG2S+sBM7d551NjjZbA290D7i
utlVmfWmZfgMMi7d2n2W74Ru/XsMUhEj8QjoyyTSjUlkfYVfJKSPBLuPRR4P4jxm5xcuN+lZgoqb
w6g55DYrEpyfY/NVWNlI19SwY7HKgWVjPNcmyBoiXd+pvVTRJofGu40mOB6KZPxGlsabFPFwmnRs
vyYizo98hz7xF1c9ZJlVOwf0INEMErt5HWiA4e1j/luGkKpS3GYHMYJdV/SyDzPzvX2gw4Tgk4u6
zoR52CBZ2TKerRg/sYi6pB0eS07trE1lnjT5mUw74bKqsqZtB0vqHOGM3ZP7CiEQJqio4VmA/aXz
Zab9cotN85+6tyE1EGHLx2M9iuFEo4s04lAwv1uptJ8/QUb7A/1I3z3Dtv36v3u5/H81HwB7S4De
+p8DTC+f6v0Hy47l/nmMq/cfab38Y/H+p3Px3n/+UiH588/11+CA8x9XO5pl4qNYjgl/z6OTaxJc
P/86AV7KIH+7mxJi99FXMAb24LBTyP7t3ZQNv++ReFpKH8v/9e/A9fjlfxkQL8kFj6wl/jaO1pTj
fp3Z9qUhG1n76TGWnJ79IJ4+7JTREBMM49Ms8/HC5tZON7NBJMeXYNf3WTuYH+CUeKiVE29vM6k+
QKhOYGFZgawy3dqfJPSXyFPeful7IzQ3v/na3/+5t/VbV9o/9OZh9loenEjL4/cMynsZe/8GCdga
U+fOyo2PcmhG+RRJs7ypyrppjiLIM46kQfpQTwrjQdMDQkWcSl2+Dj5qI5ObgAPB9o9/Q773+ys+
M28maWCGfQKtAV/RX39H4cAdiEZ3fFBTMA/roI/UB1qrlheSGT84duISHe4izfY2SblRQwauvidF
VZQAw9HAk1Lt9F7VbnlXcpR7qWZnWGVulEI1c8IHwpEvRF63wgDMH4EDXBhSWD6h+8wfrVGizyLy
DZF7Sjh4OkZf7wLZGcbKG3Sy8bIZ/OgQGQcat2D3hvylnBhlBy25YM+L4Dg0BlReXdwSxO8aDqVA
eQN6OJzbDHPncs/Oe32GAYjQNI3su6Jjqg6+9UiBHUC9zhd0uPwuBptJ/xiuW848c1w1h6gJULli
Dvs2OlN2CFP6+Qjm7L2nh8+xnowfpTbNA8tbtEEARlPUqikAoHAS565g5mY1pf9jqGhxU0twNpHM
TqVrMh5g6lo9Np1lPHSypJqtnLZnD69FRsNoDE6j4Nat+3p8mWYuebGIi80caXMT0Li4B+Zab1vb
eVRNrreNcub2OJDGtaEfKdUzXPasetN6ZULlJ5YUlFt247ByQiyw5B3ceV65Setu/Zr+2GYCM7zO
vCZ59yRp77VVaZTgWJFMlg8OKaB9QTqBBERYo9EK4srhXjUU7DqtCptm0pjTD5tu8Wvuu81H5FT1
Y63dZI3x1jc2lTSMO5qyNv8S/ScO+z5riaYa0+VrMWYfVJC8cU+tHVtGICf/hP42dS8534bVLpXz
8DqLtPP2vZly+UvSBH5y4M18PEaz92hOOHmxJvXhErMBcEZlM3oNstm4wVsd760wde5591QPE8Pk
E6e++OxRvT2zSN/ZdGGjy1DOGTraJvHkpmz97P16WWsg5LGUiL3whhZvz/2LxfZTg+6OOknTmI9T
jvMhYzHwA/RnetBCamr3oh3Y9OZyhfK0TDc5fyw6IAXsr40oQ9oCbjg773leKOcYKq5iKTucobQu
qF79+7HFerMyyjIpTvSPxfCcMnQOV2XUZ1BW4mb2MSYuB9ZszBrQZn5/HEYifOsC47O9N+24y27m
tsr7dWGCwGciHG87z3Y5FJftLfa96imjcWJuMW/kct3YUh21FcqXIRfztiSDn7Ntz9hlmMNUPYFQ
jivOmVn7DDceri6rjm8e1TdOw0A8VqLKQAzwB2YMIqYziTIgyJBcAFnTl2CJnJumuqV3w3u/7T3r
OHWBT6zIs7kj6DGO3qqKqNXFdLpux/PePWmH0z4PAeHuax922jquCS5NVZS9tuG4ILOEm56mUmaH
LhUpdrnMvhj4eFdN1DJeDLoWWfwM+hJwVhrEyO1Fb34UU4pEhik3QwsjiYZdGQflC7M6925R6WIk
F7N7DEiAr7nccGwJDZwiHsDOp1B4LL2i3J4IIlX+NjBBJKxLRGg/Ol6CdKMJxqtNaQaISRz4Nnwz
AY4mQadLNAMJ8DCjBVo55kbjPuQWzRfKKXqOS5OQZxZUZ2reSXEnUtJbG+FQPoaPvYz6J3M9ok75
kasygKRc9+EhRDn7QmV6ftBB20JodD3nEtE6YyNAfK3CzsTIUWvjikcE/eUyxcNBg5DXHHycviFO
2ywxq/cO9/MXOTgxt4bYaZ7DtI1c/qq1enSVZ24tpWB/9XA9NZ8qoJ6yO/ANy9KmK8HWjoaQ0MXG
bh1Ftb+nEXZuxrLe4ZacjiXbvMfJKcrdFOd4/4yg+4AeaQQrmyQWmsGuurXzgb2DWkzQM3CcCpgB
4zoFvgEoi6EJ8RocfLhxNN9ELPCfW0hL8LERuXdbY001cwzobhMJWnUqcS0CI560CSHkVbDj8kqc
LNAeoA9JAiS9xd9APcU1ezozlo+TY8qiD4iHb1Xj6mnDc4Hxi6WaHeDH6BTKzrzjlJ3capbFFzU1
FI/AJm7guVdvkofAyWdXeak1UhuiT9FtVhTdl1aX/aYsuYLRC1W34Iy2RT8Yd6kde+fJCbNTUhjG
Ybb5rlRSfqazeAGfYwCpzKpkXfDDtpSdLBQ2a0r20WfIVGvdN5OLzzsJD7pskeYtpJGxGOID10Zu
zrYBsQlu9hHfy3gv5jft2u1eeDI8B5ly10x1uGAOtO3gSvmbcnTdYypi+7luBwYWDNgoygTFumtx
Zw1t3j2UbpKv+yjzXwb8yvBB6fDnnBFQQ8XEwyIR5RsH0sB+cs0Tl2+5tv2ufmYEzZxTtN2aILC1
jZ2qpRY0OZekHL5pZUZHmWTGS5Wjb2rGOclOcwGGkDjnQpS3YctXvr+1OnIkWwug7rwm5MWosr4C
6TNy2DuqIc5mjnP/KTNnn0+hh1W31BEAP29B2hOYg0+lTCuKt5nBuW/VjTwq14XVULmaeLgyTXCY
bHUeozRR3Ul6bgdjIo3Op6hl+lByGr73itQpDtogYc3s06BuHF75+1GgYPEPVy6/YHvv7GW7PJmT
iWYiSgH9GYVO/RhbFmqi/kr5j8N0OsfVHL60oufNWVKIgi4h5/ax1aRvNz3QEe/QZtWgN9nVJeBc
vQLJohjAUuDqVRPUDxCc7S9k06JXFwcLjNYwir8zJGFQOWd2iFWdj3FNJD2JqdokV7HBeJUclOD4
B5JLi/ygD2w5MC0S2anxRlwzwZT/qHybzJtK2pD8m01RYMVjkotreM3IuSzvodlLMkvrPvRmnvmB
PhUdEpX1GPTyc74m7hIrxRiZXpN4+prKg85JQs8IlrSeShOSe+M1xNcveT55zfYxXXe/pUvgj+US
2T+lhh4CjFlz8kgixe27kmt9TQxa1/RguAQJJ2kb3EoZLq46e3jsRR+sIULGO5feTrjypeO9Q2Eh
m2gnRvyDSO/Cu12yi/41xnhNNOpruhFfLwkm55p67AVZtZugqZs3Ppt8zk1wguEuuOYlxTU7aeRL
jtK6Ziq9OKojoh2ZEO8eJbXibC8RzCzQdvojTLUFBFeWLdsRlPI3DOuL2xby0D5f4pzNNdnpX1Oe
0Z8Tn0WQ3c/Lc3oMmvCjK22CsZNCzRT39qpw0uiHvWRIOU0SJ4XbFL9RVy+eI14Gr6OVj2e9JFAx
piK9vMZSM/Z2Dy6BxWzdksRYW0uCNbqGWa0gZ/4YlToFuqNSh9O9FF892+iR+yxxWJTxRGPR+7BH
8dkBMMuOa8mghxxt4zfBEu40vveGW90NfsNZfbzmbstcZG+lVqHBQz0jmctGO7hDblJ8ttfkLm+C
6iEVnPYjtx+ey2vGl27Ekve9Zn+raw44WSLBVGJJB5vXpPBgLCFna7ANVl0SFhVHonTEVRZzxKSI
X07bLO4JdeDMnS5h2s2awTZju5NrdoRAOa/Cb1V5fLanyTo0/RgzAuyMr52RDrClHYdDSU2oYlUx
L4MUa9vx90kJehjIcNFQlYHecssk8mZC1XTHwuNxzUn13MDYho1ECufsReBlecN8tzuV7yx/ounY
cezmIEy7ruhOpIk+Knf+wUFOnLMaPVlE+cbaohiQd6rXUJt7FV7QzFFVyysHTasJ3sSdspvGEfO3
kVTocbAqcjnWyIuTPLr8YMSzErr+SjMnH7j9KIDcOYzLkE3nLu+oHKMtm78yExU/OGzxRzDIHy7N
Nid7yUu3RO5ARu/BYrx/ITc6fw9EGl/8WpAuJYSZ3hmIyNJbo2pM+aWO3Isf5vaJ75b8QulaPDeN
EUE+H/MjyG1941PKxjhdZrOQB4coBahT5a9bHdy2JqHtTScZWo4waGkx84wfZHcXMwv7Ku2UN0pu
9oBszXnnSffRLh2COZi2somHpsU8bK+M4isx2/zU5RRRFnINaSDFxA4SFyQXxDDOOJ6Ulecr9C1E
GzISq6s66D6LPnypQzfFUAVualVJlgPGhKRFVKXzYrRd81n2k7NrTC13DoHUxyko9DGaU59qTVsf
OYT6HBGt6kuqgmBc9E3uPo1TUpFIml6Vg3sxbFAeMi2Pl3nEsE6p6JDkGAzn1otIPxGzMo64aNRx
MKPsUtVjiDGnGyBrr1hutf5tZELGoleuf7TUcfDucme7zCLj8WmRBf3SKyMtBAtlnkjDYiqs7v/9
ORqhBQWC7Gf7f36JXFyHNT9qyeePl8h/PtUl//nDH/I//kS//Lz6P68/SfxZL5LVX/7L9pqDfCDd
PD1+6q5o/zowWn7kv/p//ulfg67Ywv3DQdrTe/neFenvnK/On/+1v87M4DQwSCLCQHjR5sn220yl
ifl1afuR2fbovPw9U2nTIBRQHJi/kOngmcgI5i9lG9v+D+wJjMvIJS4xDKiHf/0S/GXaxFeP2SVf
vP9m+vT7kRkIIX4LIPtdm+ETZoZfRz1+2/FSayngBrqg9QXrDyjZxJvdNYjq1Tq5hyaUP/GgjHZ0
9ft/Mmv6B67Q8uszMQD8YvnBfzNqQvnkl6IbQZR5B28kI+zIOboQmXv2S/d7PlQPoKpbNN1Rv4Uv
0K7+eNj1+1EXv75NQPXKtxGMIn83fOtnHt+gmcdjEw8Xs1tC8PFdmUU5/Y7w4hjc+UPp/JN06ZKj
/WVQufyqAWAOny6VRxfvd7+qzwgpsw2kQ1POjaBj3HgkG6hWnYOiTQJ+ZIXtf8b8ABhKMxnrMNjY
dSxXZWB92mlhbgw5f2SJQaN54Lj5T74m10HpbwlTXKz5THguYBFiu+HvwZmURmxjHMoSMza7YuW2
+ZOBEdXfQNivADCoZGq3cNOn8DYNxHjogxzDKlHDnLjKaM/Tm5htlqZGzdBi19ap4e7CVGp5k6a5
ZMHrKls/QxL05H3D2JYNu+mnPD/rPrixJTfPDYPa1vvqNJ7KP/nmstoPzUGMjUvkqMnuwIhwZ5Sr
ykxCuSHTYn6v3aR51pzw7rmVNukp6SjTt8DXiJ9M49GwTDmvyz5GJyxKuc1Lz2iQf6mZ138lgclp
sh7NSgWuTwwyQ/HtoARgvwNVujJ512G3aoXYQj3JT6MO1IfX+c5L5ebm1pXEA9cJXGt74wuJ/izt
FYu0mZRs6u6sUecT0E1zTxi2/yZ5M29UB9feQV3FfcYCBcicyr04I9+lDBsd/drAkb/re1g+Resl
Px0Z0dX1hsTYo93kpeW1YK2LjuqE0VUziBV94witL4L5H44ib4lWdvbJjG6YhbwwLGgPuAHxKmn9
UIbhvItb2CuiKHaakOYh9qMdOVOaIXzamMT46f1AaYK9U19UEH/4svEmS46K+c2u89LwC/Ot6cga
CkwgxQGNNyXLzM3IK/251J7+6hRJ+M2KOW+4LirdVdg28kQ8hJRVN6n+McPSdt8UhC3NhJwKSuQ7
1qQn8AfLMaibV7FhGZuu0UQduTW+D8r/Wpew2dcTWkQ/cW7xIYCY8Sa72Ocz/4Ldyui7ZdbqZOMh
ODtlh3wuDHYpp4Kd3+XcV7wh3k6WOdw0Wd2cDBsNK+CWZkVXOfwa63lbVOadb4b+Bzl3+8TOzFw3
TJwYr/JBTCbsw3On7iOyAuuho/rRMIoQle3sG5WiK8GXt44nEW45mlfbGrboY+0g9cK3aW9Z/g8g
U7umO6CYrzcdMyPyAl1+zElQgZoCpPfMMHr6rK1Y3VLpyx9TlCZUKnRj/1AVdCzJ6fFkWCGTG8/U
PxvOZqsE/Ozr0Fqkbl20L5AGKvOthmDwUfWyf5p83/0u2Mti9SwED/i8cMcPZp7J0dYueYSIFNsN
UkrnLaAjEq7GIs0A00YsIVvLENu+7+oni8kSW19fvRVNZzyak7BfIVXkCK+znj9QYqTsF7tQAhoU
fgv7IWE/XVzs2s3nwzTbPQkgyyXMo9xzIKnU6UE5NzOMzHtRmxSBwF6fe5ZOWHLUlPE9FHJHhxxD
8mjKhtvOcuC3swg+WXz6CLv461LXn3rGgMeJrdhPCgJJ74hbj03ENkTRuqp125D1JWRvijBaNbpW
ey11caGH/Y003n1I3hi0BJgRwyieKQO+miAbDjqyVin6H5IFTJzofRJql2KEkmi5LG15VCNM7m4b
N/hgFmGfgWmw6WSle0Se9+j2432mxF2Sp2pTyF5ucW5UBKzz7OhVTblJUVX0rDOCW0IhD4wfzxRi
7d2oW465cSKATQpnR6msetCk3g/C8F/S1uUaumBXRdTtJNbCU+876CHM7HbiGebH3cEkMPBWRrbe
mqI6CG3Q1/f36Si+JvF8F3V0Z52BjUQFWXVDrfHRbamkyjaLj8Xc2ZQT5Mx41OKL0ABNVN/B0T57
CStuleEzcGdmKXOj3ofZ/LlkQnTFFoP77VtZpi9jSzEr5vO3tWCW3nhm9CDyGUegIDFnm/Ndnbfd
Nm4hlYy5ZleesGoPTfZcJPIZSrfFWQ7SP4ajjt5RGjQU+IJk00dJdGMqDsyNb3T3qR87p7RuiDwo
Rx1BGMuNbZL7MNNWopbpIZzRsfCgdnrRJlGFe5a9PaYYYk15AEOFE8Vo1XKxoq/E38i3XmXeZprn
iXHfrL6yk2YzEzT5vq6Fzaw8aemr+vJDxFm47zX40bUN6Zc5m7CPaS+5gIKd31MoREVpkbqmnzns
mNVz3xhe7KicNvxDu7MmEd86Lpn8qqMtRyvyG5eUZuPmNm/+kWca6JtPc+SJTmjNOaa2QXa+Fx1v
lFadyMD5a4cAy8aeSG2bLbdS3/DnAa6UeDYI5XyPYlns1TyDDoopLWtgOsBWPfmQjjwdC8vEceQj
JXBm+1tYkj0Zu5hhG1+3ZPYBLfBSJ7HWrB3Egzy2JlqwrlcejTkbdmkFIkc15pvoArCOuXaNr5Ub
yLOwmpoWB0WJNd6FaFeQV9liOTYO5O/Ki5u2xkNkhNGGT5+1rmc9ntF1jJ+e0fXPycDvoPSlXt7J
BN347tlZwKuWeevn7CYOOhbah8byufCq+caMEDDDgUG6FOts78ZzvOXDyOC5dqErhK1kwxG2m17a
8sAhGiN1GKas8aTFTkG0GM2Zto+MrMZ+Z0eFSyp0GVdaRRAcNL996r+20wyrKdf3fEzo/GpJjDBJ
Iu8lt+wJFQ2uwezITMrZpFmJ3MZVyBYv/TBlRFRi33zEdEx9xHSlujidtm6HiMOznq1yTRIu2aAU
q4gxSjKOVSH9C6cZxQw9a6BVd1iIv6ROk5+8od5h+bbflA2XORDBa4SDp1yR2/Mf2cA6DzMgIRzI
afpilcO0j2v/bCo1njRX2Ffmi8Et7zTEwFmvuhOTtuEVhmOEHdMg9uIpksqJ9IPHsaXpPsjEfqiK
zroX7n+xdya7kWvnln4Vo+Y84GbPQQ1utAqFeinVTQhlpsS+2Wz35jvVU9SL1cdIn+PMPHbaxgUK
MHCHhlNHiobk/v+11rcEXKeSZcRGs2h6kkU43DXIgjs6EnhjZ2WSvaWkcazk7aDo/8EeRGqnAbBK
JVU/j/k5+lH2LAg7r0dUNMo60/olsqqvCAgpJhMes6uQxMRmAAGy4fSr72IPE+qjdPwoPAdg4XPZ
o+7eTQhAUMtoq/f2ExLsBjsne1IcWqH1HluT8YA/KLhvdGJ0G1/WQb0HUKDfA4Dk7zU50NtZjAaP
nMh/LsZkXE2tcYHeHe4MFNYVfjXu3JF1SDjK7uG28BUmuUqLuTTxkrfuJsvLEaxanz3QYxZiyFXO
wbAj4xM+NM01QUg5N9uLkG8+Z660m9Z4WtlKm1wSiauDl9ilRWHljHN4h4gX8PTBHk4PruI71khx
N/jp0By0GJybROnoOlG0px91rK2LuHGXrhkKLfZ9BWdvxTDUo4qX1L2+AEoZ+c9QalR/MDW156xV
4YSQUt9ksbkoTnwFgzxsLlnWUrWqzuYYCbZEbUQGTylmCmoOp02RfWYyjLZGMxrDdRH5LNxtMxub
K5/1sXfH5RK6Z1XiiR3iSeRXlGyFyr2H71zLY2VR9+QBfH8DKdav0QGS0l3ZvZEJDBS1inPMeU4j
z5Jx9p57WdWbWtnEXxfhFl2AFYn5JRzLW7YL7nlYEMWaaBAbnLg4CGrhdjjPSJwpml+MfDr45fC1
yl0P6xWDIJOV3IVz8VAWsjtDL/GwwcM9hN+U5VdZTnQmkpl3U0+BOBPV1J/hzOTvQjiKzL2mvSK+
SObCcDeDDyzGlUNMhUwWmZda+MmhmVH2qUE3cZM7bTQ/CGS+cA1pU5zjkXYBO1ehQnAz6KCrghFD
Hnjk8iwPOjZTej4P2KdvBJasF1GC4kqIwM6jvV/w+f0+zVInunaTgGXzIPaGQ4Lsyo5SjpW0OKAr
yTYo6ZBLJ8f4yjazv449U2c76QX9QKbAKw7lHEpKhKMwxOaSFDTjFE7Y4RNURqTOWkSQr4G7cBn4
5nbWvXJxn+H4ouf1NuoxQ666Wen0OvEqSDt96lDF59lW5sP84YB16N1seDWHrnit2cjxDTEV9lzK
cEf/WQHW+TrnVjhsBcH5ZGsFBjVCYB+a16isqy9mmOJAC41k1Ach7cnfVkE4t0+VG/HIXaG8jT5+
lsTw1ia+YE4vMhLjWdrixd5NYiIfZxt5R5W603n+kbm/S2ECwCDiBIhgc9OHjfKfywD3OzXoPSoY
JVVOgI2jWzy4Do+CdWsoCMVGvOiCXmIiiudFjzq9CIcux3a/7V/5LtiraBEXG1RGr4Z13WITJMHg
+etsESOpdcwXvba6hGsXAoWrGBLD3i1XfjyX97w39pr6huay1Xa2SztUBiQlTHxkQZD4Vb6ORDc9
prkG5sF/cNdkgpVpaYjzvg/1BXku+NwVIy2lEMa5CsG1WakMuCmMGOJpvM+5NB8RbYy1X4h8nw0Z
DuU6EeswgJxg9lrdzHk8XGd9Wh7myRv3YxBMn2jgbG7prR4/+IgTXMtzFrDHL/1D1mbqrch6rjaI
AQVeSb5c+6rOnav2JCJPi57s8qc82ieRueyBnf37W8X/zr7wP9WdF9igWjzSxP/Yn3dZt++s1r73
4f3xU79vFbHbsbcKA9YgRCCw3f2REgtDOM8h2DGcZCwdfyKMQTMNsek5IrAAOrMN/B3hE0CGJecM
xdVm4QOc9d/ZKgqL1eUPGy7P4g9DJhTYyNgg/Ryf7iw23py4QYwJC1RBNHgJJudFm21sfReRV3in
5M7ftwln1LLiW7dyi6G9tHk+eBeTGJodB9mZO4I16lUKHdqixdLpjkAzxhtrQSewIiDlseAU3Nif
PyahH/NvrIVg4S5I/vWtLc0SmmTvnPf+XOwDzCB7HsuIrCduA+2LCREVJG9MztSqRAOwfXYBkjow
lwMVVExpjghHMTYDTI7dCzNLvANKkT903qwYH+d+ZzkGBpEFCHTf0ItQId/o+ZMl+/JiMmVzJSie
v44LXdyaDQ/zJh7de7b8w44yBfsINELeqiAg2zlyf7pPulZvXM/qjnqujX7DWJNoijl0u/JpTtow
Dyp8RoXOv1Kk6yKpYRuaN1nmxx4ViFb13PfZl1hP/g3udooqBuUl2COsubUxwPQZdjudec+xJzlI
jpZzHqlmnAjRMuKuGHeWRUpqOreZV6v1zOv9yIOeMHVsxLseO/m+6qL2zMAQjg/eLrFA1NI5oxJv
uJF2N1+Cvqhfx5EVxarPAMHu2S8VBzqdqDBdpPdGYSvBu+XSKIjBIHJM4lLh/G6L+ssgghCR1hXI
SRAX+5ZFbFim7U7yyNmNgaCSIhYfTTQ8JwGzZa2c8YuoDedKyrai+sPRG6UnY1uZdb4dw7r9thtd
1Ie/Lcy/LdD/0DV++p//LZnjP/W2xY78V7es/4qHtw4oYoqw8v7Dnev0g3+9azFg/sYdC1XDdRa8
hPu9FmL9thRRMzO7/gKg4Nf9nm1dINjsO4CkcyeBJ/E3//BS2+3xXwx9Co+5rVn+v3PX8n8WQ1z+
JIp0goX25XPWWW5q3zlxyypiwwEc/dCkVv1Stgw8K1YsBZFVr5n2ccEOez3bmJLWuSYQJ5yEebDN
hk8ZLTh4xCTn/JWOtAyB7pIs8ycwqVs8CzTk0OYUbmQWuq8aFBBnoHhiRjHYveyJ9NjohhSlrERQ
BNeAViyWYL4Egg1eKJRrNVggCAl5NFzCMhjw5BrhV/xD6SvRCLIdxGUwGhq4OmGroguITcJ+9tMA
MJjEVh59oujS+QoearxokiqomHEi4PgFIApzzcZLvIMNcj7NFYbow+Sw+uV00flUswbJ5zbQ8a2m
cuZ8Ns3kuja1JH0CE/5JSM99CKlFThjbwVXBOojEi+ckYws6IUhjcFGRrLYcjHMWZEpYn1z6el7c
JdWySrkfO2Bhx7g/y1XPXS6XKf+sJb6LyKAw6OKJi0tiC6N+kJyZjvxvY2ZnStRqTeOVaVCWSnrg
f84m/wo+ZomH/+oqX5NVf/+SvH9/Mvn2M3+9wIPwN+FageWgHIHx+CEgsFzF6JWLzZ3zD4eQ7y9w
HHYmpwROH4Q7fU5Hvx9LIAuSECDSTtMieezw3woI/Cy7wdHixERy/u8DZNp6qrLRauUZbO5DglW2
d/Nt53TYkcuz796Yv6Or/vlXWcQhAuS95c4FuebHW8mQIvlbgVOfeb56YWXz1kflg+2rT7wx3rdn
0g+PpO8TBNz/fjxrOciJRPFNDnuB+Se7fjfG7hRFTn6GT2pYuf6QXKbprM/yhAbVX7+sv/urwE9Y
UF+EyV33x5eVp6X0eyHys6mQD7zRr2ZWX1P0e/j1r+HT//k1LfdihHEWzJYgVvKTLl2Ffe3pSdp7
THVupreICKmrtzKmuKy7imB60OQMPgzF7Y7XalJHwTJwKadov1VV6JjaCpp+Ema9U5vF1Pe1uc55
/NQPAYBaKi/AiacfainCCEbpPAZ10tOlXHQWSmQEmkOydtxPuaioB4+sfR/GyiU/MDb72qrUfTgS
jDjoxHGuMteKSEMZ2XmQRd5mNOaBOrPZ7c/jjI7stk+5f7edSxBYJ5+lU9NrpP1qj9gdhzhU0nBe
WyrSelN73Xg+6YCVYEwF2ToHCj/1E0VoMLtAx+Wyj9Yj4aw7XZfpUoEW+YT65tx84ZGbDixhvfFa
axRMity84QJX+nAN927GuWpZzwNNh4KVvwvuJG7vhVvAGcp1t+lbZd8DEq3NPefD/k4bxXQm6uky
6oN24ykfbTAcO9e7MdiYL5SfdAGrF0YTX+i5KfQarLr22L/Ojdo5+TTMD57dlMnN7CXDw4AX9Mj3
M73C7l88yZEVW0dCfe+nfnI9gDt67KUsrpk6/SOAFJWjUgwWFXwDz6k6boNrH1b+ToAYe8H21a9L
7Jn1ahgtCrDL2mGLMkJES7G1OcWtdM2GIDZGSc6bbXCoYS9soQGP0N5bM48ORuryPEvwD3+KJ3sp
YwSauOLB1wXrSmThbK6qcE6PzmRih5NYCK9igenXCHFALSjz6lElQ19u84SlGd9PE4eZp/1aDmuH
mmd9XWXB9Jz5KNJnLKLndsW7GrZoDpaj+s+JW4fpdgbXdkO6Mbs0VA2l2BtL+PnTMgwgUMawV4po
NzSkKdZUIEbbyOkhMJr4MCzLFDud2OFGZZSxFoqgNL3hTcDTm9wLOnaToi6Sc54gTNVpeiWN0dhi
g7IvrBKZEIdeZxzB7ctrg/EG8di589ECznu4mVsqAdQleZl022mZHFm/heKcxbLTjzzjeyoR4rRJ
zA+7mkrj2+P3H97PFjz2jzc0bvRsdh3TFNzSMLn/eJehkXZMeFvDveQQ8EYSvXmKdGbCLC3q6SL1
A03HoZkfzKiR110uO73XkzO+To1Rfhlcle36YSiecrOiAdCw5YWSEPPXSvKJQh2KlXkVEPd456pH
pekdrXcB5eQwmUz6NPYyHkz2kAIkxOm29j/Dwz9tr+Kj/O4JsFi1/mrBunor3//3/3p9o73q/cvb
D5MDqc/lp/6YHczfWHjwQGU2sDmc4+T5g4vjsLxgCeIyQCxA4+98VO5yIOFBzGM4cFwouH8cLZgd
8B25SHcCqMJSAvzvzA50B//0peWXE5vxfL6zoeWeHFvfDw84d/O8TDPn4ChLRqwETQBfqYzdV2sO
0huX+VyRImT43yB+9/qy0vP0njWmvgOiJtUGb0DwlAY1tXMRcQhhSfM2LCf3s98TAN50WvAs456C
KybV6T33mhlHbitagtGT9HDE1ObTTE2hsQXhiK8yOx2v2f1x1GbPEuDk0U2Mt4JtLTuAwj54gH7j
HUL31NJU4E7zxuyWjYZo0LHWVW7uSZvLcu3N9Eb4fmpfdMso4LZt+jlNpXNjxCbBbH2aGoLMcz61
cdfcwMRT3O6WCeFAmzs9G2FJKwbQCaaReJlLArrmkfXsDFryGCYDWulpjGGxk776y2wD6o4xR5xG
nmmZftrTIFSPSFebqO9pqx48pPyVduburJJzNByNKd4nnO0gOVs21cJAb/IDqbXI3LRqdpND7uIL
GoF8BOsksjwUvaoqNgMZDsVuhKB6sOaEYxEGrSHW3PU8XKvL0vPwkWROCnOjlBLfb05a753HH/gt
ukS8Y26R6tn4pcWqugZvgN7YzRZ/oE3jxzrv2vqybsxZrVXL9LJ3arp7FjFdp3vLzbB5rVoKVpOV
x1Q3LMJ265c7ywZeB1OZ7qKbBUUCOHMyTEoHRU4qaujCHATEIJ17P5TDZ5XT+8FbWROm6ip/MFdD
oax8Fze1q9dJOsiPYtCzg19F2+9RXpULD8eXbGuEju4CnunBmQqUKh/nUsIVEWApBCzBBPcTvnHh
GAyL9ISd54XvqJXJIG3tMYtk6T5KU5IgIbfovQOAqL8To1XFx66Di3IbR+0cY+hwk6dpHGLrwXWN
or3xGmu6YFylIJXLs3S3hDXS/NaLKXmLwjo0t+SOSvMmpNMIYAta34XRdgs6N/Wrl4EK0TvosfZF
gUdIrTFJKucsHEVzZeaUOJ3lY2E9oSP649r3M/EqrY6Mp4OLdd5mfT+c0SfDFmpsW/B6VjrUWbKy
IeG6GHfEQBkxXuQCoYKPirqleWlemr+1MDnlkKk7viuTOjqnqibExnSfkIZlQeBR5SSNpdYpXRqe
9NL1RIEKtU8stZYOqBZPVn0+L91QQ03ZB9yOsnD3Tt/2MJqkvDCxACNozslGNKZPQUkQiTenDNM7
u44f2dt6z06DESFbGqoKBTUwcPN+3y/9VdwEZb1F5+leJr+k4IrEBbqT5dQJ/57yz7s5l6NzmGVI
unSK0ILWJMtwoAH9oD4LjiNVWmJp1WpFSsFWnS1lW/DkYtBWs3Ho2R1/lqdaLiQBLkR3WNCIkZkR
JvJmO5HPKV+PeT2nrc7vQ6eykHMcFYgVdamY4elYD7JDT5Eoxq0QzoF5z67RI4Q6QJl7p+CZY2s7
BROlL6AUvrJK5OKtB39KLgIyp9O1AY96E2ESCs/QjGr1PoDHJoJpGfQpbSPAjRE7m1yxwZ3zER3N
NnwiI5O2nA0JAS6auE1r57oNExgQATAfimNkSPPUmgBk6W/yRjrRjoc/b0jWGuKzafY1VQbMBR1O
TEn0L8RU/+JJqaAC6pY1qOkZQ3TVFhopMGEyJm9In45cxS7JwuNMYuAT+eP4JVDcW3pak4/AtAqI
InL074ORNphdkJBfBhmcBO9aW8mTFSWgNEMxgVJx0OOuytlciI1wx557j8o+tsEyDy5ROP2LiEvr
qYuaJt2Gc2am5yYNRzgV0drFWiTd2O+DJCflG+eDjMj6Cnyttmor4kdAoaFllB1laQQm04uUVpNm
RasadVvh2Eefc4Jx79BH+arxWFDQpZDtOeuWNaFHwl7PRjw1wD1ag4+hnllrcepsxavFB5iwCx87
+86gkHfYT405AbTKnKS5isqh4IfoObp2Y5NbKwD0Pj/4XNRLa2KMBVm44HH2HmlgezM5MW5FmQVY
6ufYBfxqNdBxznI2andd1lEoDG2kpRd4SAQ4ryDyg3UbKkCVsPFK/dSOQzfsdF73cHYavy3+P9cX
/qcuhsE2uJzf/7Gadf9W/eViSLu/3NR93f3f//P98uivP/zXIx4MCdpoPAzxKEOLpsW5/48jHq53
NkCOG0CkME+VFb+vh53fXJd/fqrMMXGz89f8bpUXv7FZYHvAJkr823WHeMJ/OuJ5AiYCbATXFqyI
XfunuSQ2BVbRHmxNFBt5fRXNSa83BdjxN62m6CvUO2XcRUs5ys48BRnztImyczdoP+Y8tZ4wfUJC
Cd3yyUrdZKuWUKQQaUo0HxOt3dThFyim9IKV87m1xClRiQixoP4v2TMbL2WVskm2ile1xDDnQvmA
b5Zo5hLSHFoeGuYS3MRj2K+qJczpERH5hHPLObTwCZmok+WupqYDLPITCT+8oB60AvTQwoyqWnOL
U/e6Gaiq0bp14C4QKNVLtNRaQqZ4t6uNXIKnzljLVx4J4HdknX2YUBHW5gBnKrc4cK69zCj25ug8
jEn3zpyJS4s40aE0XYXZhkW4NscK/vrcQ/cigAy2qLicqz7aDktilo1Wfx9rT12ardLvthpJ1i4Z
WzPS1XOKTWyjUsdH6un0bdAn8WVMb8d1uyR167yQO2yAXP7a4vMxOutZLtle5nu5ryfPxmbcq+VU
w5LnEvFKEdA5xYPjbokKT/4SGzaHvDR29UzA8SJ0VUAO4GQtqHNU11U1TTi/Kp78/QWWV6wI2cmW
MJ0sCvnJrkCHGudB52RjUCdLA3nCmvzgyeogTraH+WSBcE92iPqbN6I+GSWsk2ki+magOJkpjMVX
YZ0cFqnu4AmkdOBtqYCm8lm4rf46n6wZsVhsGnGICXFr1lH+Oiw+jrwp8vDAIoyHEsuy1D+OfBfl
zoGPWYNIZO+OCxsr2IrNfN6uFJcACGC7J0aPr7GW64aejPcEHwvmSLvwbwVWH/3AQ1s+W1ORvYhu
GK8xHBojBEeaNs9VO1L+XmfWRorKABc6JxzfhDGx0cdACUYy3oQZv+yG2rxIPMRplzzVrg+RKudc
UN8S2CzjI7tNr7/rWltleATt/GoyuWL2gRx8PqSy4ixKQUQ6U8EQKg6poe45+jezpcSG5WDAMaOs
x/IxTzMa1xSzzvxsSU0POj289nt5OhSjOsqPMAC/vE44pc1Xs4EHkglmOVTbWdB/7peTdn86dE+n
A7g3GcN9QEmv2iWnM/pYNuDPrDFeoCDfDvLydKqPei8cmdEGE/SdfTr1o3IzAfQYLMx9TA5XcWWJ
+pIEW0H6vRyxo9gUSE73YP6ZLKrTlOEuA0e2jB6RXfvdlkMO4dAIy2SEKWyZVMRpatFNh3OkmVOm
mYhoNaNNY/eEeL1q8HCZyEFDlQurgAzBDJcLvofjI3RVJvpNmXcDf6VX2u2KDjHs6tM08eQNwGWO
62nMiuqouqyMNiGjxXyPI87rHywZ2NazMwsZnPfs3IJVyZhyJ8jCijVBdXUeR7AAiG/lLWu52Co+
moZbywpPOit44ABD9qYcK3mLJzypq5CsoLxWSdJfhbmyzoijz09JMdePVHL40Taxo7A/EmaHqhkl
ea62NpvJ/iYlTYXJT8U4hFtz48xGfWP1S7Rk6X/BpRrW1XoaJM6qjG3qfk5y8YjB178DNM0IAOoa
7lZg6kuSUAaev6H4QGKGAIoF1zo4GefmtTWXzUftWgrJ3+S9QtnYd9GQflQjIKEvssO+tiakl8xn
5kD2f+cbUfOJJjOIyoBEsbOaGApvdOIbz24n5wpTpVfea82x/PJ/Fk7/ipCFioy89I/PJKu37O0v
a+Tqj7qt0re/3A/tD8eS04//sXgKf6P4nCjUoncsYvPfTiXC/Y09q8l2iWUl4jTC1e+nEv833Dk4
Rv0gCMS3n/r9VILSjQCO0YZgoC1Mjk8/BfZ+FeDjV3y/K+WYZOPJJIyCQsYRaNHOvl87cadRXkuT
5UUpi+mSOK97rGAewIHzJpvWSHZfK8cdx/vv3q9/Qd9i1mBpJnybwgVEO+cnqTyW9AqwCYgvhtIN
ttz0AMx07RzedNlYvjZDYHz8+hfyLn//OgW/EKsoZDgYX6HJy/3xdQobNWXKrPhCFCKFAKHsZMEW
gDUBDJSt2lHBwBlGfYUfznjtDcu9/vUf8NMbzR8QUk3vg9Im0esQx/jxDwAJRM3zkljpS5U9IH3G
dI/l6QVeqvxy6JAbpFuE57/+pctW86eXHQYYS6lhxkgF5PYnwa00C9+165F+Ri8CnlANfv+klfDe
IY6Cke7NrrjFxp7dFrbRQIwyau9mCKP5LSPjxbqKf7bOicl8sU3q5HVrkKPSWYi2JeX0FKKmfXVB
4MCf7lIKdmNDw4/O8wtaEturKO+ztyAcOD1awXxvRa0PkgUw1ObXr/JPL9I2IbY5fH9JujJO/PQi
Mz1TOzA583Gu6vGxLLmiViaj5x2kcPOAjZMcfy3UrrBs8+7Xv1r83DVn2iZag32KgPIu//yxJmNX
N3nc6CN93eG9TUyJl1hDN00wQX+1F3h01RKA5pybB5/puKTuQqTzB3+z80/+lj/pHhiIhevivmMK
skzwUz9+xRZtnP7IeTomvlk+dAnyJ28GQEzE4/qTOUvkySgyjXY9epjEorbPjmwGc8buEj7Z2lTh
sF9o/9BX84bcuZnC2e36wLxK8KWvCsNMC4whkieRsqeQAhE3qteFTZieCMTsjGdx0ecMIBHbuNWv
3+mfRR1eHIhdTHKo8F74zTH4nbnGnuNGAPudjjzy2UpgTzYjIl5WdyhMUTz/+pf9KWFLS+GCXeLG
bAXcZH/+SsEhoOa9gYIcdYXzYYQK8gtu9+hmJBtGAge8CgkkpzTuU+Cy6bpv6YpYo0NzABuDEEpU
P7vyvsyou1tnokGQmx2LarEqsMZ/FrhdSl9/vMpJHvNAWL6GqBR4N3/84JuW4njRT/2x0CRVJxAV
AfzQFEM7yWWoJk1c4fFh0U0raBT67Rl8PBAuYYDUb8VN+bmgVxzqZm8Hn7RZtu+lbcQg4YjKfAG/
34S0eUzDh4Qq++2E8Q+1uuXS/D4pzHu84BtZ9iJ/kDj8Sad3BNU0AX//0S3Madd0EUV41qD3piP9
fc4l//DrD/ZPxlI+WKwBlA0x06P0nGiK332NehO9d2AgOSYkj68tH2RN09jjvUXZyYGCL+dCj9Sv
uc3oPgWxnWVrq2H9Vk3ti3Bccze3luVzwE0durFz2d4MfcwFZSsCcvgHxi3usG5rtCo5FKPmzkcE
9BL0BjgQpMr9r1+Nu7Avf3z/HMuhphxTjOnQxbT4eL9/fNPkrml8tOMjgCs4RGGV5TlJKcjuK0Na
2tk5/aQpxgYivIb5ZufX1uzYLIRl7Wz6Ioycc3Cqxo09gBhYKWO25crvA+IyRWg9MrjS+QFSei8Y
JTeBqmELFqnXHUfZyPwsSBMGIQG7R20gU7aXkrDIcF6xWK13Ye0F2xi240K7SMx3vywX42lXsRK2
wxFpWDqyfV1gQ2AuAOdt8qzxiLTXhEdzK42+QmEm1kLwtjlGElLRmqjuEJ7Lxst5FlHubpyHshj6
TQbx+bEAlReuOEQ3F8YwXMIpdA6ucg2F0KN8VqpjvZ9Q4NYJOhIjb1NfV31ZfPWR1BYQpedfz4uo
pSHgmusSsu8XO3MTeFqS0sWK7CMzgeWunUzbhwwpANLz4Ir1ZEfZy2jr+D6fzAn4RpOq/oZaM+2s
Kq+Qm84bwWrLNlHdmYcvZhe2YnY3/ejHX+kyU+HKYfa705hzjJ2FzSTeAOqntjexwvYeQjASnSE5
QF7BQK+fU9cUT2UmJrCOTNg7eMYUirIRL2L24zRUirgaLr3B8D+cPqrOx6BmuymKJL3q0AT52pZY
pdgdp3o3Va52Nzlc7UeHVh+6iQz/EBupJJ1gJERCBimDCZi2b/DkCMJzDArGnrQIWbu6Ci/Smtey
ck2Uw66oukvlw+zdAQ9foPeRsFBL4gA9Cyei+0Yer7dWNlVOl23rtWTYhMOS2O+a5gyu3o0e2Pig
r5vzl8DpveuewcpfO7Nfr7HLGLd+VPZfqsQkN7twj5A7sstx1v5awQcYiHmRobXdxjlaipPkluCz
8ZonuXE1gmp6T6bKvPVbX3wd2cPh+CCMUcAMZ8An9npZ4Il/a1X6GBvN8JTYYvyELFAfXEhnS9AC
7dQfepolIYg58JNMZb/ESRutCiXkmy0WIchn0aY23Si88o4y06y8ngJ7+LCmyfdWFlunce8INn2r
PFAdiKMSceYeJimeFncMOoQwohyDI+phPYj2CDwTmaWRfV7vPA2MW3uFTz8Ingn2+NP8WDZ+c29k
bfuUjSznFXPxl8xTMNui7GOYnfCOFfr8hQ6karc8OBb2kBlRo9eIjDSu0uZt5SnxgTVK5ivWqiQ2
E4TnBzHq+EitGG1+QF5fstb3Oazq+VqJSNzNkkwZhWPxeM9qTtl7w0sTQdGElR3GwJc7brCPbhxW
n7ti/BhSEtUMP80jzRI+JdHTFF1bbRWwlGl5kPscMp4LA/d1xFB+LvIiefBFyTcs0aa+zjwdjKuE
ws9dXrV9vJkHB+o8kdKw4BBaNOZ+hHUqzpY6g2GVU8a5NIDXDZ0EpahrXpbAhivcbNJnQJ+Srzm5
R928SIMMD04mXdfBUYcUTtraiI64/s3ncPTqlx4rFoYvnkvHoQbjU5nCvnI7UwkcpqEL+6EZ3C+C
tOaZX2vvWfZ9eeZkdX3hwM37NOCtHxbua0Z+jyZueeRA6D0YxKvaPfGKocWVW9S7zqilu44yOvVW
tHuOlFB09UWRjPeFN8UHTQ4dOSVz2ErZzjwQ/HU9932kEYq2PvzQK6eLs/fed7J5Jeae7cckZy/a
WtDXXrM68p0VHsKIdQchXlgRrQrLjVETed7oYOmPYSYEADY7jvsBoc95bVzDPq8d26QcOWU63I5s
iIYLtr51sVWBRpo3C2wxwCxxM6wMUxiHhtHnZWotdSsW9t16Lk0nXoEwbcRmnil3IA/hQ9DNLaq3
fNfSXzWtKdXaoOAC+aw2w3PPE+mw6ZWEQz90EZuZVrXEIPN+LO5ZP01foIlHn8aoTC5FJdpr04kS
ZHCzQ8uqWkK0a5xLlr/lBKBf5wIyYTTwm3co1k61bUqyijd0N4D6Ms26S+96Ix/oHIgT5OU6t45G
EDuHAVL+HadX0a8NbAPpLje94TEfOgzVNXSDdMeOjKhyn3lxcO7JLD1m4CxfuwRVaiNULO5b7AFv
CurFuGpjkvUswcOq2/JixukOOIl8JXkbH+u+NFygBAmQvKGI0zPKs4eKlLXb7sIhQm7MCPl/DWgL
YtNNMUO2bns50lrojmG5i4oapuNkNdYHw1X2JSgreY4CEJI8ValrbdAHi3rl575NgUHsGXolWqLR
29Qd+s/Z3NHaUyl3aLCiM8HxjDSifd4Jf+80gqQrWkRk7OGu9odCBOQbG3ewLianYSJgI2o9tDWz
VdeT6NhaQ9pe8JfUzoJ+6JP1JEsc3kIRjIGFZ1E/RBVCe13E1jBBIO3rp8UGF+0NBjbeVur5tlHd
LeHpvshIepMYhPKhQg4vWww9lMyxHwyx0Q0Gb0CfkdmPckPGW9UgQi9+O/oxwqqeSfy26iYddP7R
dnNzNGiapWcFdi4l34EoqBjRCYh90yura2GrpoXVFo+P7EyVsQrcdiyObdLOciOL2L8fuyB/ztMx
py4patVzJzCHnru0oFGIAaXQwTI4xFvT6+QLHB11K0VpXgfUyFJwm6dV7dziZzHSJQszHCs/0cN6
NrzxxVoe0X47iWI9s9flagXKf0e7Qf4l8CPzHCcBX8sxJ/KwtSTJ3k1o1sVnEKr1eWMqPru6EJRf
N1aiSeIYHgk+O+jgfMTAi6kFNCr8AUVzkTRtJ5b22OQmI/Rs4MofgJeU4bCz8rJ8iLATUFUTQl9R
VAZjFwD5OYIufklRnCRewiJ5BaIY3qVxGz9OlSLQHPIQ0dxYh/pr70iQfQEtmvGB3G/zQu0mdN2M
1gwrSudrA+/DhtWLOrNV3dw42i3xxxFRPv2/ad75nxKv9D4VQmsAgrheNIeF0b9OEzNLyU1W7l0h
ehBmlDM6zySRPltloqYtuNiAKpfAWQ/2rNx9AS472bp8ABm3D8odZmF600YzW1i3VNWm+rLrdda8
swaZste5HTqxQ/BG0OjsyXTfirLmfq1KVcBydZEgnlyIvN6r43oUXsWh1wwPTICe/+CR7TJwUkkT
dmFJgGXdl4hNu6kvOdnkGIjXdqNL+pJ1GoVfYPoUNA73Vol3aMofxvD/MXc2O20DQQB+lYgHsGKc
3wO9FAla9QdVXHpckqhYcuPKxC08To+c+wh5sX6z6w3exDEhUxUbLomd8czu7Oz8749fE+JhD3Ry
sObAf8sPVPRQq3BsbKK2cUfK3auck0uuxVWfrh5qbdgOesj7OZsBHdaVLcbNim8ucO5apCwybTAy
A87lnHzD0340JVGexmNUFtjrpJfRk6K6TSsokgOJJLNn4+bjVbXh2TcA7bTt9qrbhdOGO3VVjPe7
+dkJJUpDcg+19A8nhMyHdJGzF2ZnSH8S4d+lQpSsyI7RT0WAw8n5KDas9JLpn0QTnPZ42LbJHlGk
gnfZ5om+yrTP8nK5Kmht+C3Nl/WYRFzNxLNUb0GoMX0STTmgluP+cEKEs30aDWkpKH9dm21bPqzl
9mGEXxe/KtTV6aZSmnLC6RhfpBMC3aMe28YJoGen3cy/p8vz9G5VpLMVdNZlHYnRcZ+mwY2yjlEQ
n2NfSqzsBXe8CutvUfAk8Sh+H3F0qZIL4mlEaEFiDHTUtNcON4zojc8Sqe4T0urWOHA8jFbwMwhY
cjibJf4o15bghxnIcRpQIwc/yOVGvUPbH+GagXpJDAjO4sufoAHYa2cfGEdYzTjjJa7QLSagLMYx
pkIijCWXLqESslkiIHMixAXdTGSn6Bb5RPYJjoDT8eQn/YiYLEFVLweIxtS3hZiofkxYmyhv58jn
UKuRlvtj21tY9B+3xOW46jr9si2extTTx6Q2yPWCUThAUGwMBaoOsrm1I9LFXZMlse8BP/m79ysN
2qrJtXoe+6DUKLl3u51FPr8J9hyr5ddueq2//vOKwN1XNyLlv7xMOXKtmHGEnlXjKzRd7dNzrRP2
57tsVkEb+K1Ul7pK6dbSE8FnJ8Fw1JbZC16wJ5dGSUVL5bkW8m1qthp4jyZSbqwdF1jktjT8e1DC
lc54UYPOgZtmAWS3L+ghE0wI4Q4l50QL9+PiPp3lvbfYsB6YDIfTaLTAz8vCcKBRAJhzCv1nWejH
sfZFaZYkDZlVALtyQGixvqCFfbEoQtBOvGtBX6Zzk4UDglaXoMtpIb8nZ+5uFuLs/BFayJ/MgylS
LBcHSLiDBBhReNWQy8XPvPdhsf4TGNSVZamF/tncU7zqsbRoS3sJ/8XxzHdVLm7CJX46svqoFmPZ
atePKxOyHtEJMTX1wHEPsmp6X/KASwAveqsW/CHFJMoNgYQfk+XBjFY2hxr5nOTQEDBdO/6BnLo2
N3RfCsab5kXiJtOi3H7ChXKkrzNzT8+ocEQS+n7o8fZH3HpIsi6T6ixbJdZfS2rV178DWZKM8Rr4
dx2/5FvL4JVoc/DKbW5mW4gPKFZH/deySWvHQi3i60fRHTySMpMbh1A73k26+saVv6vBexd9089C
80SemGULU7z5CwAA//8=</cx:binary>
              </cx:geoCache>
            </cx:geography>
          </cx:layoutPr>
        </cx:series>
      </cx:plotAreaRegion>
    </cx:plotArea>
    <cx:legend pos="b" align="ctr" overlay="0"/>
  </cx:chart>
  <cx:spPr>
    <a:solidFill>
      <a:schemeClr val="accent1">
        <a:lumMod val="20000"/>
        <a:lumOff val="80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_xlchart.v2.16</cx:f>
      </cx:strDim>
      <cx:numDim type="val">
        <cx:f>_xlchart.v2.17</cx:f>
      </cx:numDim>
    </cx:data>
  </cx:chartData>
  <cx:chart>
    <cx:title pos="t" align="ctr" overlay="0">
      <cx:tx>
        <cx:txData>
          <cx:v>VENDEDOR POR VENTAS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VENDEDOR POR VENTAS</a:t>
          </a:r>
        </a:p>
      </cx:txPr>
    </cx:title>
    <cx:plotArea>
      <cx:plotAreaRegion>
        <cx:series layoutId="funnel" uniqueId="{B3CBAD7D-8E1C-46EE-8402-153010E86D16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>
                    <a:solidFill>
                      <a:schemeClr val="bg1"/>
                    </a:solidFill>
                  </a:defRPr>
                </a:pPr>
                <a:endParaRPr lang="es-ES" sz="1050" b="0" i="0" u="none" strike="noStrike" baseline="0">
                  <a:solidFill>
                    <a:schemeClr val="bg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  <cx:spPr>
    <a:solidFill>
      <a:schemeClr val="accent5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70602</xdr:colOff>
      <xdr:row>1</xdr:row>
      <xdr:rowOff>28575</xdr:rowOff>
    </xdr:from>
    <xdr:ext cx="7419857" cy="940642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1D2446BA-78F5-49F5-8D0A-145405809F64}"/>
            </a:ext>
          </a:extLst>
        </xdr:cNvPr>
        <xdr:cNvSpPr/>
      </xdr:nvSpPr>
      <xdr:spPr>
        <a:xfrm>
          <a:off x="70602" y="699135"/>
          <a:ext cx="7419857" cy="94064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5400" b="1" i="0" cap="none" spc="0" baseline="0">
              <a:ln w="9525">
                <a:noFill/>
                <a:prstDash val="solid"/>
              </a:ln>
              <a:solidFill>
                <a:schemeClr val="tx1"/>
              </a:solidFill>
              <a:effectLst/>
              <a:latin typeface="Gilroy ExtraBold" panose="00000900000000000000" pitchFamily="50" charset="0"/>
            </a:rPr>
            <a:t>Gráficos Estadísticos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820268</xdr:colOff>
      <xdr:row>23</xdr:row>
      <xdr:rowOff>31375</xdr:rowOff>
    </xdr:from>
    <xdr:to>
      <xdr:col>5</xdr:col>
      <xdr:colOff>1748116</xdr:colOff>
      <xdr:row>37</xdr:row>
      <xdr:rowOff>26893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E383C7-9A21-5A34-8589-4F9DD29BE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309281</xdr:colOff>
      <xdr:row>57</xdr:row>
      <xdr:rowOff>201705</xdr:rowOff>
    </xdr:from>
    <xdr:to>
      <xdr:col>7</xdr:col>
      <xdr:colOff>1147481</xdr:colOff>
      <xdr:row>73</xdr:row>
      <xdr:rowOff>206188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57783C-8481-10AA-FE74-902B471FA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587188</xdr:colOff>
      <xdr:row>81</xdr:row>
      <xdr:rowOff>112057</xdr:rowOff>
    </xdr:from>
    <xdr:to>
      <xdr:col>3</xdr:col>
      <xdr:colOff>1004047</xdr:colOff>
      <xdr:row>92</xdr:row>
      <xdr:rowOff>134471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F953600-D6C1-A7D9-2D02-086CB9560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2514601</xdr:colOff>
      <xdr:row>80</xdr:row>
      <xdr:rowOff>309281</xdr:rowOff>
    </xdr:from>
    <xdr:to>
      <xdr:col>6</xdr:col>
      <xdr:colOff>125507</xdr:colOff>
      <xdr:row>92</xdr:row>
      <xdr:rowOff>44825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428DC6D4-F280-2F4F-8F07-195C4D938CF4}"/>
            </a:ext>
          </a:extLst>
        </xdr:cNvPr>
        <xdr:cNvGrpSpPr/>
      </xdr:nvGrpSpPr>
      <xdr:grpSpPr>
        <a:xfrm>
          <a:off x="6629401" y="26262105"/>
          <a:ext cx="4944035" cy="3500720"/>
          <a:chOff x="6629401" y="26262105"/>
          <a:chExt cx="4944035" cy="3500720"/>
        </a:xfrm>
      </xdr:grpSpPr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06C6D4BE-2548-34A0-678B-DAF7C8A756EE}"/>
              </a:ext>
            </a:extLst>
          </xdr:cNvPr>
          <xdr:cNvGraphicFramePr/>
        </xdr:nvGraphicFramePr>
        <xdr:xfrm>
          <a:off x="6629401" y="26262105"/>
          <a:ext cx="4944035" cy="3500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$E$78">
        <xdr:nvSpPr>
          <xdr:cNvPr id="7" name="CuadroTexto 6">
            <a:extLst>
              <a:ext uri="{FF2B5EF4-FFF2-40B4-BE49-F238E27FC236}">
                <a16:creationId xmlns:a16="http://schemas.microsoft.com/office/drawing/2014/main" id="{6E55EFB3-8933-BD62-300F-73CFA58070FA}"/>
              </a:ext>
            </a:extLst>
          </xdr:cNvPr>
          <xdr:cNvSpPr txBox="1"/>
        </xdr:nvSpPr>
        <xdr:spPr>
          <a:xfrm>
            <a:off x="7548281" y="27809208"/>
            <a:ext cx="1335742" cy="76238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083596AD-6737-43C4-B64E-11BFFB5713DE}" type="TxLink">
              <a:rPr lang="en-US" sz="4400" b="1" i="0" u="none" strike="noStrike">
                <a:solidFill>
                  <a:srgbClr val="000000"/>
                </a:solidFill>
                <a:latin typeface="Bernard MT Condensed" panose="02050806060905020404" pitchFamily="18" charset="0"/>
                <a:ea typeface="Calibri"/>
                <a:cs typeface="Calibri"/>
              </a:rPr>
              <a:pPr algn="ctr"/>
              <a:t>45%</a:t>
            </a:fld>
            <a:endParaRPr lang="es-PE" sz="2800">
              <a:latin typeface="Bernard MT Condensed" panose="02050806060905020404" pitchFamily="18" charset="0"/>
            </a:endParaRPr>
          </a:p>
        </xdr:txBody>
      </xdr:sp>
    </xdr:grpSp>
    <xdr:clientData/>
  </xdr:twoCellAnchor>
  <xdr:twoCellAnchor>
    <xdr:from>
      <xdr:col>4</xdr:col>
      <xdr:colOff>147916</xdr:colOff>
      <xdr:row>97</xdr:row>
      <xdr:rowOff>237564</xdr:rowOff>
    </xdr:from>
    <xdr:to>
      <xdr:col>7</xdr:col>
      <xdr:colOff>896470</xdr:colOff>
      <xdr:row>111</xdr:row>
      <xdr:rowOff>215152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4ED123A1-6AAF-E71A-A1A1-B8667EE815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32057" y="31596105"/>
              <a:ext cx="6853519" cy="53743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138954</xdr:colOff>
      <xdr:row>115</xdr:row>
      <xdr:rowOff>13447</xdr:rowOff>
    </xdr:from>
    <xdr:to>
      <xdr:col>7</xdr:col>
      <xdr:colOff>1290919</xdr:colOff>
      <xdr:row>129</xdr:row>
      <xdr:rowOff>322730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0F86C02-91C1-F9B6-E549-8C2A373FC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336176</xdr:colOff>
      <xdr:row>135</xdr:row>
      <xdr:rowOff>22411</xdr:rowOff>
    </xdr:from>
    <xdr:to>
      <xdr:col>7</xdr:col>
      <xdr:colOff>1183340</xdr:colOff>
      <xdr:row>145</xdr:row>
      <xdr:rowOff>313765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28FE385E-E111-79EC-B8D1-9ACFFDB414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0317" y="45634835"/>
              <a:ext cx="6952129" cy="4235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</xdr:col>
      <xdr:colOff>103094</xdr:colOff>
      <xdr:row>150</xdr:row>
      <xdr:rowOff>309281</xdr:rowOff>
    </xdr:from>
    <xdr:to>
      <xdr:col>8</xdr:col>
      <xdr:colOff>690282</xdr:colOff>
      <xdr:row>164</xdr:row>
      <xdr:rowOff>8964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04F2958-2B0A-079C-791C-FDD7BE112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1"/>
  </sheetPr>
  <dimension ref="A1:U421"/>
  <sheetViews>
    <sheetView zoomScaleNormal="100" workbookViewId="0">
      <selection activeCell="E9" sqref="E9:H9"/>
    </sheetView>
  </sheetViews>
  <sheetFormatPr baseColWidth="10" defaultColWidth="0" defaultRowHeight="13.2" zeroHeight="1"/>
  <cols>
    <col min="1" max="1" width="2" style="1" customWidth="1"/>
    <col min="2" max="2" width="11.44140625" style="1" customWidth="1"/>
    <col min="3" max="3" width="8.109375" style="1" customWidth="1"/>
    <col min="4" max="4" width="15.33203125" style="1" customWidth="1"/>
    <col min="5" max="5" width="15.5546875" style="1" customWidth="1"/>
    <col min="6" max="6" width="0.88671875" style="1" customWidth="1"/>
    <col min="7" max="7" width="11.44140625" style="1" customWidth="1"/>
    <col min="8" max="8" width="13" style="1" customWidth="1"/>
    <col min="9" max="9" width="14.33203125" style="1" customWidth="1"/>
    <col min="10" max="10" width="0.33203125" style="1" customWidth="1"/>
    <col min="11" max="11" width="11.44140625" style="1" customWidth="1"/>
    <col min="12" max="12" width="14.109375" style="1" customWidth="1"/>
    <col min="13" max="13" width="17.33203125" style="1" customWidth="1"/>
    <col min="14" max="14" width="11.44140625" style="1" customWidth="1"/>
    <col min="15" max="15" width="8.5546875" style="1" customWidth="1"/>
    <col min="16" max="21" width="0" style="1" hidden="1" customWidth="1"/>
    <col min="22" max="16384" width="11.44140625" style="1" hidden="1"/>
  </cols>
  <sheetData>
    <row r="1" spans="2:15"/>
    <row r="2" spans="2:15"/>
    <row r="3" spans="2:15"/>
    <row r="4" spans="2:15"/>
    <row r="5" spans="2:15"/>
    <row r="6" spans="2:15"/>
    <row r="7" spans="2:15" ht="2.1" customHeight="1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2:15" ht="2.1" customHeight="1"/>
    <row r="9" spans="2:15" ht="50.1" customHeight="1">
      <c r="E9" s="103" t="s">
        <v>161</v>
      </c>
      <c r="F9" s="103"/>
      <c r="G9" s="103"/>
      <c r="H9" s="103"/>
      <c r="I9" s="101"/>
      <c r="J9" s="8"/>
      <c r="K9" s="102"/>
      <c r="L9" s="102"/>
      <c r="M9" s="102"/>
    </row>
    <row r="10" spans="2:15" ht="1.8" customHeight="1">
      <c r="C10" s="19"/>
      <c r="D10" s="19"/>
      <c r="E10" s="19"/>
      <c r="F10" s="19"/>
      <c r="G10" s="19"/>
      <c r="H10" s="19"/>
      <c r="I10" s="19"/>
      <c r="J10" s="8"/>
      <c r="K10" s="15"/>
      <c r="L10" s="15"/>
      <c r="M10" s="15"/>
      <c r="N10" s="14"/>
    </row>
    <row r="11" spans="2:15" ht="3" customHeight="1">
      <c r="C11" s="20"/>
      <c r="D11" s="20"/>
      <c r="E11" s="20"/>
      <c r="F11" s="19"/>
      <c r="G11" s="21"/>
      <c r="H11" s="21"/>
      <c r="I11" s="21"/>
      <c r="J11" s="8"/>
      <c r="K11" s="18"/>
      <c r="L11" s="18"/>
      <c r="M11" s="18"/>
    </row>
    <row r="12" spans="2:15" ht="1.8" customHeight="1">
      <c r="C12" s="8"/>
      <c r="D12" s="8"/>
      <c r="E12" s="8"/>
      <c r="F12" s="8"/>
      <c r="G12" s="8"/>
      <c r="H12" s="8"/>
      <c r="I12" s="8"/>
      <c r="J12" s="8"/>
      <c r="K12" s="15"/>
      <c r="L12" s="15"/>
      <c r="M12" s="15"/>
    </row>
    <row r="13" spans="2:15" ht="2.1" customHeight="1"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2:15" ht="2.1" customHeight="1">
      <c r="B14" s="13"/>
      <c r="C14" s="16"/>
      <c r="D14" s="16"/>
      <c r="E14" s="16"/>
      <c r="F14" s="17"/>
      <c r="G14" s="16"/>
      <c r="H14" s="16"/>
      <c r="I14" s="16"/>
      <c r="J14" s="17"/>
      <c r="K14" s="16"/>
      <c r="L14" s="16"/>
      <c r="M14" s="16"/>
      <c r="N14" s="13"/>
    </row>
    <row r="15" spans="2:15" ht="2.1" customHeight="1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2:15" ht="2.1" customHeight="1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2:15" ht="1.8" customHeight="1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30" spans="2:15"/>
    <row r="31" spans="2:15"/>
    <row r="32" spans="2:15"/>
    <row r="46"/>
    <row r="380"/>
    <row r="381"/>
    <row r="400"/>
    <row r="401"/>
    <row r="402"/>
    <row r="403"/>
    <row r="404"/>
    <row r="405"/>
    <row r="406"/>
    <row r="419"/>
    <row r="420"/>
    <row r="421"/>
  </sheetData>
  <sheetProtection formatCells="0" formatColumns="0" formatRows="0" selectLockedCells="1"/>
  <mergeCells count="2">
    <mergeCell ref="K9:M9"/>
    <mergeCell ref="E9:H9"/>
  </mergeCells>
  <hyperlinks>
    <hyperlink ref="E9:H9" location="'Gráficos Estadísticos I'!A1" display="Gráficos Estadísticos" xr:uid="{2A763CF0-FA28-4119-8E1E-0AE7075790CA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B1:L164"/>
  <sheetViews>
    <sheetView showGridLines="0" topLeftCell="D150" zoomScale="85" zoomScaleNormal="85" workbookViewId="0">
      <selection activeCell="I160" sqref="I160"/>
    </sheetView>
  </sheetViews>
  <sheetFormatPr baseColWidth="10" defaultColWidth="15.6640625" defaultRowHeight="24.9" customHeight="1"/>
  <cols>
    <col min="1" max="1" width="4.5546875" style="6" customWidth="1"/>
    <col min="2" max="2" width="26" style="6" customWidth="1"/>
    <col min="3" max="3" width="29.44140625" style="6" customWidth="1"/>
    <col min="4" max="4" width="50.5546875" style="6" customWidth="1"/>
    <col min="5" max="5" width="28.21875" style="6" customWidth="1"/>
    <col min="6" max="6" width="28.109375" style="6" customWidth="1"/>
    <col min="7" max="7" width="32.6640625" style="6" customWidth="1"/>
    <col min="8" max="8" width="31.6640625" style="6" customWidth="1"/>
    <col min="9" max="9" width="19.33203125" style="6" bestFit="1" customWidth="1"/>
    <col min="10" max="16384" width="15.6640625" style="6"/>
  </cols>
  <sheetData>
    <row r="1" spans="2:12" s="33" customFormat="1" ht="38.4" customHeight="1">
      <c r="B1" s="34"/>
      <c r="D1" s="104" t="s">
        <v>74</v>
      </c>
      <c r="E1" s="104"/>
      <c r="F1" s="35"/>
      <c r="G1" s="35"/>
      <c r="H1" s="35"/>
      <c r="I1" s="35"/>
      <c r="J1" s="35"/>
    </row>
    <row r="2" spans="2:12" s="2" customFormat="1" ht="12" customHeight="1">
      <c r="C2" s="3"/>
      <c r="D2" s="3"/>
      <c r="E2" s="4"/>
      <c r="F2" s="4"/>
      <c r="G2" s="4"/>
      <c r="H2" s="4"/>
      <c r="I2" s="4"/>
      <c r="J2" s="4"/>
      <c r="K2" s="4"/>
      <c r="L2" s="4"/>
    </row>
    <row r="3" spans="2:12" s="5" customFormat="1" ht="30" customHeight="1">
      <c r="E3" s="12"/>
    </row>
    <row r="4" spans="2:12" s="5" customFormat="1" ht="30" customHeight="1">
      <c r="B4" s="30" t="s">
        <v>3</v>
      </c>
      <c r="C4" s="29" t="s">
        <v>81</v>
      </c>
      <c r="D4" s="9"/>
      <c r="E4" s="10"/>
      <c r="F4" s="10"/>
      <c r="G4" s="11"/>
    </row>
    <row r="5" spans="2:12" s="5" customFormat="1" ht="30" customHeight="1"/>
    <row r="6" spans="2:12" ht="24.9" customHeight="1">
      <c r="C6" s="107" t="s">
        <v>8</v>
      </c>
      <c r="D6" s="107"/>
      <c r="E6" s="107"/>
      <c r="F6" s="107"/>
      <c r="G6" s="107"/>
    </row>
    <row r="7" spans="2:12" ht="24.9" customHeight="1">
      <c r="C7" s="108" t="s">
        <v>9</v>
      </c>
      <c r="D7" s="108"/>
      <c r="E7" s="108"/>
      <c r="F7" s="108"/>
      <c r="G7" s="108"/>
    </row>
    <row r="8" spans="2:12" ht="24.9" customHeight="1">
      <c r="C8" s="109" t="s">
        <v>10</v>
      </c>
      <c r="D8" s="109"/>
      <c r="E8" s="109"/>
      <c r="F8" s="109"/>
      <c r="G8" s="109"/>
    </row>
    <row r="9" spans="2:12" ht="24.9" customHeight="1" thickBot="1">
      <c r="C9" s="23"/>
      <c r="D9" s="22"/>
      <c r="E9" s="22"/>
      <c r="F9" s="22"/>
      <c r="G9" s="22"/>
    </row>
    <row r="10" spans="2:12" ht="30" customHeight="1">
      <c r="B10" s="36" t="s">
        <v>2</v>
      </c>
      <c r="C10" s="37" t="s">
        <v>11</v>
      </c>
      <c r="D10" s="37" t="s">
        <v>0</v>
      </c>
      <c r="E10" s="37" t="s">
        <v>12</v>
      </c>
      <c r="F10" s="38" t="s">
        <v>13</v>
      </c>
      <c r="G10" s="39" t="s">
        <v>1</v>
      </c>
    </row>
    <row r="11" spans="2:12" ht="24.9" customHeight="1">
      <c r="B11" s="40" t="s">
        <v>62</v>
      </c>
      <c r="C11" s="41" t="s">
        <v>14</v>
      </c>
      <c r="D11" s="41" t="s">
        <v>15</v>
      </c>
      <c r="E11" s="41" t="s">
        <v>16</v>
      </c>
      <c r="F11" s="41" t="s">
        <v>17</v>
      </c>
      <c r="G11" s="42">
        <v>1800</v>
      </c>
    </row>
    <row r="12" spans="2:12" ht="24.9" customHeight="1">
      <c r="B12" s="40" t="s">
        <v>63</v>
      </c>
      <c r="C12" s="41" t="s">
        <v>18</v>
      </c>
      <c r="D12" s="41" t="s">
        <v>19</v>
      </c>
      <c r="E12" s="41" t="s">
        <v>16</v>
      </c>
      <c r="F12" s="41" t="s">
        <v>20</v>
      </c>
      <c r="G12" s="42">
        <v>2500</v>
      </c>
    </row>
    <row r="13" spans="2:12" ht="24.9" customHeight="1">
      <c r="B13" s="40" t="s">
        <v>64</v>
      </c>
      <c r="C13" s="41" t="s">
        <v>21</v>
      </c>
      <c r="D13" s="41" t="s">
        <v>22</v>
      </c>
      <c r="E13" s="41" t="s">
        <v>23</v>
      </c>
      <c r="F13" s="41" t="s">
        <v>20</v>
      </c>
      <c r="G13" s="42">
        <v>9600</v>
      </c>
    </row>
    <row r="14" spans="2:12" ht="24.9" customHeight="1">
      <c r="B14" s="40" t="s">
        <v>65</v>
      </c>
      <c r="C14" s="41" t="s">
        <v>24</v>
      </c>
      <c r="D14" s="41" t="s">
        <v>25</v>
      </c>
      <c r="E14" s="41" t="s">
        <v>23</v>
      </c>
      <c r="F14" s="41" t="s">
        <v>20</v>
      </c>
      <c r="G14" s="42">
        <v>9000</v>
      </c>
    </row>
    <row r="15" spans="2:12" ht="24.9" customHeight="1">
      <c r="B15" s="40" t="s">
        <v>66</v>
      </c>
      <c r="C15" s="41" t="s">
        <v>26</v>
      </c>
      <c r="D15" s="41" t="s">
        <v>15</v>
      </c>
      <c r="E15" s="41" t="s">
        <v>23</v>
      </c>
      <c r="F15" s="41" t="s">
        <v>17</v>
      </c>
      <c r="G15" s="42">
        <v>1800</v>
      </c>
    </row>
    <row r="16" spans="2:12" ht="24.9" customHeight="1">
      <c r="B16" s="40" t="s">
        <v>67</v>
      </c>
      <c r="C16" s="41" t="s">
        <v>27</v>
      </c>
      <c r="D16" s="41" t="s">
        <v>28</v>
      </c>
      <c r="E16" s="41" t="s">
        <v>16</v>
      </c>
      <c r="F16" s="41" t="s">
        <v>17</v>
      </c>
      <c r="G16" s="42">
        <v>1000</v>
      </c>
    </row>
    <row r="17" spans="2:7" ht="24.9" customHeight="1">
      <c r="B17" s="40" t="s">
        <v>68</v>
      </c>
      <c r="C17" s="41" t="s">
        <v>29</v>
      </c>
      <c r="D17" s="41" t="s">
        <v>30</v>
      </c>
      <c r="E17" s="41" t="s">
        <v>23</v>
      </c>
      <c r="F17" s="41" t="s">
        <v>17</v>
      </c>
      <c r="G17" s="42">
        <v>1500</v>
      </c>
    </row>
    <row r="18" spans="2:7" ht="24.9" customHeight="1">
      <c r="B18" s="40" t="s">
        <v>69</v>
      </c>
      <c r="C18" s="41" t="s">
        <v>31</v>
      </c>
      <c r="D18" s="41" t="s">
        <v>32</v>
      </c>
      <c r="E18" s="41" t="s">
        <v>16</v>
      </c>
      <c r="F18" s="41" t="s">
        <v>17</v>
      </c>
      <c r="G18" s="42">
        <v>2100</v>
      </c>
    </row>
    <row r="19" spans="2:7" ht="24.9" customHeight="1">
      <c r="B19" s="40" t="s">
        <v>70</v>
      </c>
      <c r="C19" s="41" t="s">
        <v>33</v>
      </c>
      <c r="D19" s="41" t="s">
        <v>34</v>
      </c>
      <c r="E19" s="41" t="s">
        <v>23</v>
      </c>
      <c r="F19" s="41" t="s">
        <v>20</v>
      </c>
      <c r="G19" s="42">
        <v>1800</v>
      </c>
    </row>
    <row r="20" spans="2:7" ht="24.9" customHeight="1">
      <c r="B20" s="40" t="s">
        <v>71</v>
      </c>
      <c r="C20" s="41" t="s">
        <v>35</v>
      </c>
      <c r="D20" s="41" t="s">
        <v>36</v>
      </c>
      <c r="E20" s="41" t="s">
        <v>23</v>
      </c>
      <c r="F20" s="41" t="s">
        <v>17</v>
      </c>
      <c r="G20" s="42">
        <v>1500</v>
      </c>
    </row>
    <row r="21" spans="2:7" ht="24.9" customHeight="1">
      <c r="B21" s="40" t="s">
        <v>72</v>
      </c>
      <c r="C21" s="41" t="s">
        <v>37</v>
      </c>
      <c r="D21" s="41" t="s">
        <v>38</v>
      </c>
      <c r="E21" s="41" t="s">
        <v>16</v>
      </c>
      <c r="F21" s="41" t="s">
        <v>20</v>
      </c>
      <c r="G21" s="42">
        <v>1850</v>
      </c>
    </row>
    <row r="22" spans="2:7" ht="24.9" customHeight="1" thickBot="1">
      <c r="B22" s="43" t="s">
        <v>73</v>
      </c>
      <c r="C22" s="44" t="s">
        <v>39</v>
      </c>
      <c r="D22" s="44" t="s">
        <v>40</v>
      </c>
      <c r="E22" s="44" t="s">
        <v>23</v>
      </c>
      <c r="F22" s="44" t="s">
        <v>17</v>
      </c>
      <c r="G22" s="45">
        <v>2400</v>
      </c>
    </row>
    <row r="37" spans="2:11" s="28" customFormat="1" ht="31.2" customHeight="1">
      <c r="C37" s="105"/>
      <c r="D37" s="105"/>
      <c r="E37" s="105"/>
      <c r="F37" s="105"/>
    </row>
    <row r="39" spans="2:11" s="5" customFormat="1" ht="30" customHeight="1">
      <c r="B39" s="30" t="s">
        <v>7</v>
      </c>
      <c r="C39" s="29" t="s">
        <v>165</v>
      </c>
      <c r="D39" s="9"/>
      <c r="E39" s="10"/>
      <c r="F39" s="10"/>
      <c r="G39" s="11"/>
    </row>
    <row r="42" spans="2:11" ht="24.9" customHeight="1">
      <c r="C42" s="106" t="s">
        <v>41</v>
      </c>
      <c r="D42" s="106"/>
      <c r="E42" s="106"/>
      <c r="F42" s="106"/>
      <c r="G42" s="106"/>
      <c r="H42" s="106"/>
      <c r="I42" s="106"/>
      <c r="J42" s="106"/>
      <c r="K42" s="106"/>
    </row>
    <row r="43" spans="2:11" ht="24.9" customHeight="1" thickBot="1">
      <c r="C43" s="27"/>
      <c r="D43" s="27"/>
      <c r="E43" s="27"/>
      <c r="F43" s="27"/>
      <c r="G43" s="27"/>
      <c r="H43" s="27"/>
      <c r="I43" s="27"/>
      <c r="J43" s="27"/>
      <c r="K43" s="27"/>
    </row>
    <row r="44" spans="2:11" ht="33.6" customHeight="1">
      <c r="C44" s="46" t="s">
        <v>42</v>
      </c>
      <c r="D44" s="47" t="s">
        <v>6</v>
      </c>
      <c r="E44" s="47" t="s">
        <v>43</v>
      </c>
      <c r="F44" s="47" t="s">
        <v>44</v>
      </c>
      <c r="G44" s="47" t="s">
        <v>45</v>
      </c>
      <c r="H44" s="48" t="s">
        <v>46</v>
      </c>
      <c r="I44" s="24"/>
      <c r="J44" s="25"/>
      <c r="K44" s="26"/>
    </row>
    <row r="45" spans="2:11" ht="24.9" customHeight="1">
      <c r="C45" s="49">
        <v>2</v>
      </c>
      <c r="D45" s="50" t="s">
        <v>4</v>
      </c>
      <c r="E45" s="51">
        <v>2</v>
      </c>
      <c r="F45" s="50" t="s">
        <v>49</v>
      </c>
      <c r="G45" s="52">
        <v>38346</v>
      </c>
      <c r="H45" s="53">
        <v>32</v>
      </c>
      <c r="I45" s="24"/>
      <c r="J45" s="24"/>
      <c r="K45" s="24"/>
    </row>
    <row r="46" spans="2:11" ht="24.9" customHeight="1">
      <c r="C46" s="49">
        <v>1</v>
      </c>
      <c r="D46" s="50" t="s">
        <v>47</v>
      </c>
      <c r="E46" s="51">
        <v>12</v>
      </c>
      <c r="F46" s="50" t="s">
        <v>48</v>
      </c>
      <c r="G46" s="52">
        <v>36872</v>
      </c>
      <c r="H46" s="53">
        <v>34</v>
      </c>
      <c r="I46" s="24"/>
      <c r="J46" s="24"/>
      <c r="K46" s="24"/>
    </row>
    <row r="47" spans="2:11" ht="24.9" customHeight="1">
      <c r="C47" s="49">
        <v>5</v>
      </c>
      <c r="D47" s="50" t="s">
        <v>53</v>
      </c>
      <c r="E47" s="51">
        <v>23</v>
      </c>
      <c r="F47" s="50" t="s">
        <v>54</v>
      </c>
      <c r="G47" s="52">
        <v>38316</v>
      </c>
      <c r="H47" s="53">
        <v>67</v>
      </c>
      <c r="I47" s="24"/>
      <c r="J47" s="24"/>
      <c r="K47" s="24"/>
    </row>
    <row r="48" spans="2:11" ht="24.9" customHeight="1">
      <c r="C48" s="49">
        <v>9</v>
      </c>
      <c r="D48" s="50" t="s">
        <v>57</v>
      </c>
      <c r="E48" s="51">
        <v>23</v>
      </c>
      <c r="F48" s="50" t="s">
        <v>48</v>
      </c>
      <c r="G48" s="52">
        <v>36883</v>
      </c>
      <c r="H48" s="53">
        <v>32</v>
      </c>
      <c r="I48" s="24"/>
      <c r="J48" s="24"/>
      <c r="K48" s="24"/>
    </row>
    <row r="49" spans="3:11" ht="24.9" customHeight="1">
      <c r="C49" s="49">
        <v>4</v>
      </c>
      <c r="D49" s="50" t="s">
        <v>52</v>
      </c>
      <c r="E49" s="51">
        <v>34</v>
      </c>
      <c r="F49" s="50" t="s">
        <v>51</v>
      </c>
      <c r="G49" s="52">
        <v>36883</v>
      </c>
      <c r="H49" s="53">
        <v>454</v>
      </c>
      <c r="I49" s="24"/>
      <c r="J49" s="24"/>
      <c r="K49" s="24"/>
    </row>
    <row r="50" spans="3:11" ht="24.9" customHeight="1">
      <c r="C50" s="49">
        <v>10</v>
      </c>
      <c r="D50" s="50" t="s">
        <v>58</v>
      </c>
      <c r="E50" s="51">
        <v>34</v>
      </c>
      <c r="F50" s="50" t="s">
        <v>51</v>
      </c>
      <c r="G50" s="52">
        <v>38316</v>
      </c>
      <c r="H50" s="53">
        <v>45</v>
      </c>
      <c r="I50" s="24"/>
      <c r="J50" s="24"/>
      <c r="K50" s="24"/>
    </row>
    <row r="51" spans="3:11" ht="24.9" customHeight="1">
      <c r="C51" s="49">
        <v>3</v>
      </c>
      <c r="D51" s="50" t="s">
        <v>50</v>
      </c>
      <c r="E51" s="51">
        <v>45</v>
      </c>
      <c r="F51" s="50" t="s">
        <v>51</v>
      </c>
      <c r="G51" s="52">
        <v>36885</v>
      </c>
      <c r="H51" s="53">
        <v>344</v>
      </c>
      <c r="I51" s="24"/>
      <c r="J51" s="24"/>
      <c r="K51" s="24"/>
    </row>
    <row r="52" spans="3:11" ht="24.9" customHeight="1">
      <c r="C52" s="49">
        <v>8</v>
      </c>
      <c r="D52" s="50" t="s">
        <v>5</v>
      </c>
      <c r="E52" s="51">
        <v>45</v>
      </c>
      <c r="F52" s="50" t="s">
        <v>54</v>
      </c>
      <c r="G52" s="52">
        <v>36885</v>
      </c>
      <c r="H52" s="53">
        <v>232</v>
      </c>
      <c r="I52" s="24"/>
      <c r="J52" s="24"/>
      <c r="K52" s="24"/>
    </row>
    <row r="53" spans="3:11" ht="24.9" customHeight="1">
      <c r="C53" s="49">
        <v>11</v>
      </c>
      <c r="D53" s="50" t="s">
        <v>59</v>
      </c>
      <c r="E53" s="51">
        <v>45</v>
      </c>
      <c r="F53" s="50" t="s">
        <v>54</v>
      </c>
      <c r="G53" s="52">
        <v>36887</v>
      </c>
      <c r="H53" s="53">
        <v>232</v>
      </c>
      <c r="I53" s="24"/>
      <c r="J53" s="24"/>
      <c r="K53" s="24"/>
    </row>
    <row r="54" spans="3:11" ht="24.9" customHeight="1">
      <c r="C54" s="49">
        <v>12</v>
      </c>
      <c r="D54" s="50" t="s">
        <v>60</v>
      </c>
      <c r="E54" s="51">
        <v>56</v>
      </c>
      <c r="F54" s="50" t="s">
        <v>54</v>
      </c>
      <c r="G54" s="52">
        <v>37174</v>
      </c>
      <c r="H54" s="53">
        <v>232</v>
      </c>
      <c r="I54" s="24"/>
      <c r="J54" s="24"/>
      <c r="K54" s="24"/>
    </row>
    <row r="55" spans="3:11" ht="24.9" customHeight="1">
      <c r="C55" s="49">
        <v>7</v>
      </c>
      <c r="D55" s="50" t="s">
        <v>56</v>
      </c>
      <c r="E55" s="51">
        <v>234</v>
      </c>
      <c r="F55" s="50" t="s">
        <v>54</v>
      </c>
      <c r="G55" s="52">
        <v>38346</v>
      </c>
      <c r="H55" s="53">
        <v>65</v>
      </c>
      <c r="I55" s="24"/>
      <c r="J55" s="24"/>
      <c r="K55" s="24"/>
    </row>
    <row r="56" spans="3:11" ht="24.9" customHeight="1" thickBot="1">
      <c r="C56" s="54">
        <v>6</v>
      </c>
      <c r="D56" s="55" t="s">
        <v>55</v>
      </c>
      <c r="E56" s="56">
        <v>345</v>
      </c>
      <c r="F56" s="55" t="s">
        <v>54</v>
      </c>
      <c r="G56" s="57">
        <v>36872</v>
      </c>
      <c r="H56" s="58">
        <v>23</v>
      </c>
      <c r="I56" s="24"/>
      <c r="J56" s="24"/>
      <c r="K56" s="24"/>
    </row>
    <row r="57" spans="3:11" ht="24.9" customHeight="1">
      <c r="C57" s="24"/>
      <c r="D57" s="24"/>
      <c r="E57" s="24"/>
      <c r="F57" s="24"/>
      <c r="G57" s="24"/>
      <c r="H57" s="24"/>
      <c r="I57" s="24"/>
      <c r="J57" s="24"/>
      <c r="K57" s="24"/>
    </row>
    <row r="58" spans="3:11" ht="24.9" customHeight="1">
      <c r="C58" s="24"/>
      <c r="D58" s="24"/>
      <c r="E58" s="24"/>
      <c r="F58" s="24"/>
      <c r="G58" s="24"/>
      <c r="H58" s="24"/>
      <c r="I58" s="24"/>
      <c r="J58" s="24"/>
      <c r="K58" s="24"/>
    </row>
    <row r="59" spans="3:11" ht="24.9" customHeight="1">
      <c r="C59" s="24"/>
      <c r="D59" s="24"/>
      <c r="E59" s="24"/>
      <c r="F59" s="24"/>
      <c r="G59" s="24"/>
      <c r="H59" s="24"/>
      <c r="I59" s="24"/>
      <c r="J59" s="24"/>
      <c r="K59" s="24"/>
    </row>
    <row r="60" spans="3:11" ht="24.9" customHeight="1">
      <c r="C60" s="24"/>
      <c r="D60" s="24"/>
      <c r="E60" s="24"/>
      <c r="F60" s="24"/>
      <c r="G60" s="24"/>
      <c r="H60" s="24"/>
      <c r="I60" s="24"/>
      <c r="J60" s="24"/>
      <c r="K60" s="24"/>
    </row>
    <row r="61" spans="3:11" ht="24.9" customHeight="1">
      <c r="C61" s="24"/>
      <c r="D61" s="24"/>
      <c r="E61" s="24"/>
      <c r="F61" s="24"/>
      <c r="G61" s="24"/>
      <c r="H61" s="24"/>
      <c r="I61" s="24"/>
      <c r="J61" s="24"/>
      <c r="K61" s="24"/>
    </row>
    <row r="62" spans="3:11" ht="24.9" customHeight="1">
      <c r="C62" s="24"/>
      <c r="D62" s="24"/>
      <c r="E62" s="24"/>
      <c r="F62" s="24"/>
      <c r="G62" s="24"/>
      <c r="H62" s="24"/>
      <c r="I62" s="24"/>
      <c r="J62" s="24"/>
      <c r="K62" s="24"/>
    </row>
    <row r="63" spans="3:11" ht="24.9" customHeight="1">
      <c r="C63" s="24"/>
      <c r="D63" s="24"/>
      <c r="E63" s="24"/>
      <c r="F63" s="24"/>
      <c r="G63" s="24"/>
      <c r="H63" s="24"/>
      <c r="I63" s="24"/>
      <c r="J63" s="24"/>
      <c r="K63" s="24"/>
    </row>
    <row r="64" spans="3:11" ht="24.9" customHeight="1">
      <c r="C64" s="24"/>
      <c r="D64" s="24"/>
      <c r="E64" s="24"/>
      <c r="F64" s="24"/>
      <c r="G64" s="24"/>
      <c r="H64" s="24"/>
      <c r="I64" s="24"/>
      <c r="J64" s="24"/>
      <c r="K64" s="24"/>
    </row>
    <row r="65" spans="2:11" ht="24.9" customHeight="1">
      <c r="C65" s="24"/>
      <c r="D65" s="24"/>
      <c r="E65" s="24"/>
      <c r="F65" s="24"/>
      <c r="G65" s="24"/>
      <c r="H65" s="24"/>
      <c r="I65" s="24"/>
      <c r="J65" s="24"/>
      <c r="K65" s="24"/>
    </row>
    <row r="66" spans="2:11" ht="24.9" customHeight="1">
      <c r="C66" s="24"/>
      <c r="D66" s="24"/>
      <c r="E66" s="24"/>
      <c r="F66" s="24"/>
      <c r="G66" s="24"/>
      <c r="H66" s="24"/>
      <c r="I66" s="24"/>
      <c r="J66" s="24"/>
      <c r="K66" s="24"/>
    </row>
    <row r="67" spans="2:11" ht="24.9" customHeight="1">
      <c r="C67" s="24"/>
      <c r="D67" s="24"/>
      <c r="E67" s="24"/>
      <c r="F67" s="24"/>
      <c r="G67" s="24"/>
      <c r="H67" s="24"/>
      <c r="I67" s="24"/>
      <c r="J67" s="24"/>
      <c r="K67" s="24"/>
    </row>
    <row r="68" spans="2:11" ht="24.9" customHeight="1">
      <c r="C68" s="24"/>
      <c r="D68" s="24"/>
      <c r="E68" s="24"/>
      <c r="F68" s="24"/>
      <c r="G68" s="24"/>
      <c r="H68" s="24"/>
      <c r="I68" s="24"/>
      <c r="J68" s="24"/>
      <c r="K68" s="24"/>
    </row>
    <row r="69" spans="2:11" ht="24.9" customHeight="1">
      <c r="C69" s="24"/>
      <c r="D69" s="24"/>
      <c r="E69" s="24"/>
      <c r="F69" s="24"/>
      <c r="G69" s="24"/>
      <c r="H69" s="24"/>
      <c r="I69" s="24"/>
      <c r="J69" s="24"/>
      <c r="K69" s="24"/>
    </row>
    <row r="70" spans="2:11" ht="24.9" customHeight="1">
      <c r="C70" s="24"/>
      <c r="D70" s="24"/>
      <c r="E70" s="24"/>
      <c r="F70" s="24"/>
      <c r="G70" s="24"/>
      <c r="H70" s="24"/>
      <c r="I70" s="24"/>
      <c r="J70" s="24"/>
      <c r="K70" s="24"/>
    </row>
    <row r="75" spans="2:11" s="5" customFormat="1" ht="30" customHeight="1">
      <c r="B75" s="30" t="s">
        <v>75</v>
      </c>
      <c r="C75" s="29" t="s">
        <v>80</v>
      </c>
      <c r="D75" s="9"/>
      <c r="E75" s="10"/>
      <c r="F75" s="10"/>
      <c r="G75" s="11"/>
    </row>
    <row r="77" spans="2:11" ht="24.9" customHeight="1" thickBot="1"/>
    <row r="78" spans="2:11" ht="30" customHeight="1">
      <c r="C78" s="59" t="s">
        <v>76</v>
      </c>
      <c r="D78" s="60">
        <v>0.55000000000000004</v>
      </c>
      <c r="E78" s="61">
        <v>0.45</v>
      </c>
    </row>
    <row r="79" spans="2:11" ht="30" customHeight="1">
      <c r="C79" s="62" t="s">
        <v>77</v>
      </c>
      <c r="D79" s="63">
        <v>0.32</v>
      </c>
      <c r="E79" s="64">
        <v>0.55000000000000004</v>
      </c>
    </row>
    <row r="80" spans="2:11" ht="30" customHeight="1" thickBot="1">
      <c r="C80" s="65" t="s">
        <v>79</v>
      </c>
      <c r="D80" s="66">
        <v>1</v>
      </c>
      <c r="E80" s="67">
        <v>0</v>
      </c>
    </row>
    <row r="96" spans="2:7" s="5" customFormat="1" ht="30" customHeight="1">
      <c r="B96" s="30" t="s">
        <v>94</v>
      </c>
      <c r="C96" s="29" t="s">
        <v>93</v>
      </c>
      <c r="D96" s="9"/>
      <c r="E96" s="10"/>
      <c r="F96" s="10"/>
      <c r="G96" s="11"/>
    </row>
    <row r="98" spans="3:4" ht="24.9" customHeight="1" thickBot="1"/>
    <row r="99" spans="3:4" ht="41.4" customHeight="1">
      <c r="C99" s="68" t="s">
        <v>86</v>
      </c>
      <c r="D99" s="69" t="s">
        <v>78</v>
      </c>
    </row>
    <row r="100" spans="3:4" ht="30" customHeight="1">
      <c r="C100" s="70" t="s">
        <v>82</v>
      </c>
      <c r="D100" s="71">
        <v>45690</v>
      </c>
    </row>
    <row r="101" spans="3:4" ht="30" customHeight="1">
      <c r="C101" s="70" t="s">
        <v>83</v>
      </c>
      <c r="D101" s="71">
        <v>45667</v>
      </c>
    </row>
    <row r="102" spans="3:4" ht="30" customHeight="1">
      <c r="C102" s="70" t="s">
        <v>84</v>
      </c>
      <c r="D102" s="71">
        <v>40000</v>
      </c>
    </row>
    <row r="103" spans="3:4" ht="30" customHeight="1">
      <c r="C103" s="70" t="s">
        <v>85</v>
      </c>
      <c r="D103" s="71">
        <v>12590</v>
      </c>
    </row>
    <row r="104" spans="3:4" ht="30" customHeight="1">
      <c r="C104" s="70" t="s">
        <v>86</v>
      </c>
      <c r="D104" s="71">
        <v>53900</v>
      </c>
    </row>
    <row r="105" spans="3:4" ht="30" customHeight="1">
      <c r="C105" s="70" t="s">
        <v>87</v>
      </c>
      <c r="D105" s="71">
        <v>65897</v>
      </c>
    </row>
    <row r="106" spans="3:4" ht="30" customHeight="1">
      <c r="C106" s="70" t="s">
        <v>88</v>
      </c>
      <c r="D106" s="71">
        <v>28530</v>
      </c>
    </row>
    <row r="107" spans="3:4" ht="30" customHeight="1">
      <c r="C107" s="70" t="s">
        <v>89</v>
      </c>
      <c r="D107" s="71">
        <v>78965</v>
      </c>
    </row>
    <row r="108" spans="3:4" ht="30" customHeight="1">
      <c r="C108" s="70" t="s">
        <v>90</v>
      </c>
      <c r="D108" s="71">
        <v>1259</v>
      </c>
    </row>
    <row r="109" spans="3:4" ht="30" customHeight="1">
      <c r="C109" s="70" t="s">
        <v>91</v>
      </c>
      <c r="D109" s="71">
        <v>58946</v>
      </c>
    </row>
    <row r="110" spans="3:4" ht="30" customHeight="1" thickBot="1">
      <c r="C110" s="72" t="s">
        <v>92</v>
      </c>
      <c r="D110" s="73">
        <v>12547</v>
      </c>
    </row>
    <row r="114" spans="2:7" s="5" customFormat="1" ht="30" customHeight="1">
      <c r="B114" s="30" t="s">
        <v>95</v>
      </c>
      <c r="C114" s="29" t="s">
        <v>164</v>
      </c>
      <c r="D114" s="9"/>
      <c r="E114" s="10"/>
      <c r="F114" s="10"/>
      <c r="G114" s="11"/>
    </row>
    <row r="115" spans="2:7" ht="24.9" customHeight="1" thickBot="1"/>
    <row r="116" spans="2:7" ht="39" customHeight="1">
      <c r="C116" s="74" t="s">
        <v>96</v>
      </c>
      <c r="D116" s="75" t="s">
        <v>78</v>
      </c>
    </row>
    <row r="117" spans="2:7" ht="30" customHeight="1">
      <c r="C117" s="76" t="s">
        <v>97</v>
      </c>
      <c r="D117" s="77">
        <v>29946000</v>
      </c>
    </row>
    <row r="118" spans="2:7" ht="30" customHeight="1">
      <c r="C118" s="76" t="s">
        <v>98</v>
      </c>
      <c r="D118" s="77">
        <v>16116975</v>
      </c>
    </row>
    <row r="119" spans="2:7" ht="30" customHeight="1">
      <c r="C119" s="76" t="s">
        <v>99</v>
      </c>
      <c r="D119" s="77">
        <v>12568402</v>
      </c>
    </row>
    <row r="120" spans="2:7" ht="30" customHeight="1">
      <c r="C120" s="76" t="s">
        <v>100</v>
      </c>
      <c r="D120" s="77">
        <v>8912960.0000000037</v>
      </c>
    </row>
    <row r="121" spans="2:7" ht="30" customHeight="1">
      <c r="C121" s="76" t="s">
        <v>101</v>
      </c>
      <c r="D121" s="77">
        <v>8772019.200000003</v>
      </c>
    </row>
    <row r="122" spans="2:7" ht="30" customHeight="1">
      <c r="C122" s="76" t="s">
        <v>102</v>
      </c>
      <c r="D122" s="77">
        <v>8348659.1999999983</v>
      </c>
    </row>
    <row r="123" spans="2:7" ht="30" customHeight="1">
      <c r="C123" s="76" t="s">
        <v>103</v>
      </c>
      <c r="D123" s="77">
        <v>7174112</v>
      </c>
    </row>
    <row r="124" spans="2:7" ht="30" customHeight="1">
      <c r="C124" s="76" t="s">
        <v>104</v>
      </c>
      <c r="D124" s="77">
        <v>6597203.1999999974</v>
      </c>
    </row>
    <row r="125" spans="2:7" ht="30" customHeight="1">
      <c r="C125" s="76" t="s">
        <v>105</v>
      </c>
      <c r="D125" s="77">
        <v>5610136</v>
      </c>
    </row>
    <row r="126" spans="2:7" ht="30" customHeight="1">
      <c r="C126" s="76" t="s">
        <v>106</v>
      </c>
      <c r="D126" s="77">
        <v>3491082</v>
      </c>
    </row>
    <row r="127" spans="2:7" ht="30" customHeight="1">
      <c r="C127" s="76" t="s">
        <v>107</v>
      </c>
      <c r="D127" s="77">
        <v>1678622.4000000001</v>
      </c>
    </row>
    <row r="128" spans="2:7" ht="30" customHeight="1">
      <c r="C128" s="76" t="s">
        <v>108</v>
      </c>
      <c r="D128" s="77">
        <v>363384</v>
      </c>
    </row>
    <row r="129" spans="2:7" ht="30" customHeight="1">
      <c r="C129" s="76" t="s">
        <v>109</v>
      </c>
      <c r="D129" s="77">
        <v>291564</v>
      </c>
    </row>
    <row r="130" spans="2:7" ht="30" customHeight="1" thickBot="1">
      <c r="C130" s="78" t="s">
        <v>110</v>
      </c>
      <c r="D130" s="79">
        <v>151200</v>
      </c>
    </row>
    <row r="134" spans="2:7" s="5" customFormat="1" ht="30" customHeight="1">
      <c r="B134" s="30" t="s">
        <v>121</v>
      </c>
      <c r="C134" s="29" t="s">
        <v>163</v>
      </c>
      <c r="D134" s="9"/>
      <c r="E134" s="10"/>
      <c r="F134" s="10"/>
      <c r="G134" s="11"/>
    </row>
    <row r="135" spans="2:7" ht="24.9" customHeight="1" thickBot="1"/>
    <row r="136" spans="2:7" ht="37.200000000000003" customHeight="1">
      <c r="C136" s="80" t="s">
        <v>61</v>
      </c>
      <c r="D136" s="81" t="s">
        <v>78</v>
      </c>
    </row>
    <row r="137" spans="2:7" ht="30" customHeight="1">
      <c r="C137" s="76" t="s">
        <v>111</v>
      </c>
      <c r="D137" s="77">
        <v>122000544.95999999</v>
      </c>
    </row>
    <row r="138" spans="2:7" ht="30" customHeight="1">
      <c r="C138" s="76" t="s">
        <v>112</v>
      </c>
      <c r="D138" s="77">
        <v>119305751.45999999</v>
      </c>
    </row>
    <row r="139" spans="2:7" ht="30" customHeight="1">
      <c r="C139" s="76" t="s">
        <v>113</v>
      </c>
      <c r="D139" s="77">
        <v>32167607.360000003</v>
      </c>
    </row>
    <row r="140" spans="2:7" ht="30" customHeight="1">
      <c r="C140" s="76" t="s">
        <v>114</v>
      </c>
      <c r="D140" s="77">
        <v>28083309.800000001</v>
      </c>
    </row>
    <row r="141" spans="2:7" ht="30" customHeight="1">
      <c r="C141" s="76" t="s">
        <v>115</v>
      </c>
      <c r="D141" s="77">
        <v>21999530</v>
      </c>
    </row>
    <row r="142" spans="2:7" ht="30" customHeight="1">
      <c r="C142" s="76" t="s">
        <v>116</v>
      </c>
      <c r="D142" s="77">
        <v>21322645.960000005</v>
      </c>
    </row>
    <row r="143" spans="2:7" ht="30" customHeight="1">
      <c r="C143" s="76" t="s">
        <v>117</v>
      </c>
      <c r="D143" s="77">
        <v>11870178.6</v>
      </c>
    </row>
    <row r="144" spans="2:7" ht="30" customHeight="1">
      <c r="C144" s="76" t="s">
        <v>118</v>
      </c>
      <c r="D144" s="77">
        <v>3568572</v>
      </c>
    </row>
    <row r="145" spans="2:7" ht="30" customHeight="1">
      <c r="C145" s="76" t="s">
        <v>119</v>
      </c>
      <c r="D145" s="77">
        <v>1000</v>
      </c>
    </row>
    <row r="146" spans="2:7" ht="30" customHeight="1" thickBot="1">
      <c r="C146" s="78" t="s">
        <v>120</v>
      </c>
      <c r="D146" s="79">
        <v>800</v>
      </c>
    </row>
    <row r="150" spans="2:7" s="5" customFormat="1" ht="30" customHeight="1">
      <c r="B150" s="30" t="s">
        <v>134</v>
      </c>
      <c r="C150" s="29" t="s">
        <v>162</v>
      </c>
      <c r="D150" s="9"/>
      <c r="E150" s="10"/>
      <c r="F150" s="10"/>
      <c r="G150" s="11"/>
    </row>
    <row r="151" spans="2:7" ht="24.9" customHeight="1" thickBot="1"/>
    <row r="152" spans="2:7" ht="40.799999999999997" customHeight="1">
      <c r="C152" s="68" t="s">
        <v>135</v>
      </c>
      <c r="D152" s="69" t="s">
        <v>78</v>
      </c>
      <c r="G152" s="6">
        <v>1</v>
      </c>
    </row>
    <row r="153" spans="2:7" ht="30" customHeight="1">
      <c r="C153" s="82" t="s">
        <v>122</v>
      </c>
      <c r="D153" s="77">
        <v>13971193.74</v>
      </c>
    </row>
    <row r="154" spans="2:7" ht="30" customHeight="1">
      <c r="C154" s="82" t="s">
        <v>123</v>
      </c>
      <c r="D154" s="77">
        <v>7035442.96</v>
      </c>
    </row>
    <row r="155" spans="2:7" ht="30" customHeight="1">
      <c r="C155" s="82" t="s">
        <v>124</v>
      </c>
      <c r="D155" s="77">
        <v>6012458.2000000002</v>
      </c>
    </row>
    <row r="156" spans="2:7" ht="30" customHeight="1">
      <c r="C156" s="82" t="s">
        <v>125</v>
      </c>
      <c r="D156" s="77">
        <v>25026900</v>
      </c>
    </row>
    <row r="157" spans="2:7" ht="30" customHeight="1">
      <c r="C157" s="82" t="s">
        <v>126</v>
      </c>
      <c r="D157" s="77">
        <v>17098128.960000005</v>
      </c>
    </row>
    <row r="158" spans="2:7" ht="30" customHeight="1">
      <c r="C158" s="82" t="s">
        <v>127</v>
      </c>
      <c r="D158" s="77">
        <v>33895880.040000007</v>
      </c>
    </row>
    <row r="159" spans="2:7" ht="30" customHeight="1">
      <c r="C159" s="82" t="s">
        <v>128</v>
      </c>
      <c r="D159" s="77">
        <v>10038799.540000001</v>
      </c>
    </row>
    <row r="160" spans="2:7" ht="30" customHeight="1">
      <c r="C160" s="82" t="s">
        <v>129</v>
      </c>
      <c r="D160" s="77">
        <v>12066104.960000003</v>
      </c>
    </row>
    <row r="161" spans="3:4" ht="30" customHeight="1">
      <c r="C161" s="82" t="s">
        <v>130</v>
      </c>
      <c r="D161" s="77">
        <v>11039384.719999999</v>
      </c>
    </row>
    <row r="162" spans="3:4" ht="30" customHeight="1">
      <c r="C162" s="82" t="s">
        <v>131</v>
      </c>
      <c r="D162" s="77">
        <v>26430140.380000003</v>
      </c>
    </row>
    <row r="163" spans="3:4" ht="30" customHeight="1">
      <c r="C163" s="82" t="s">
        <v>132</v>
      </c>
      <c r="D163" s="77">
        <v>13603099.719999999</v>
      </c>
    </row>
    <row r="164" spans="3:4" ht="30" customHeight="1" thickBot="1">
      <c r="C164" s="83" t="s">
        <v>133</v>
      </c>
      <c r="D164" s="79">
        <v>56256211.199999996</v>
      </c>
    </row>
  </sheetData>
  <sheetProtection formatCells="0" formatColumns="0" formatRows="0" insertColumns="0" insertRows="0" selectLockedCells="1" sort="0" autoFilter="0"/>
  <sortState xmlns:xlrd2="http://schemas.microsoft.com/office/spreadsheetml/2017/richdata2" ref="C45:H56">
    <sortCondition ref="E45:E56"/>
  </sortState>
  <mergeCells count="6">
    <mergeCell ref="D1:E1"/>
    <mergeCell ref="C37:F37"/>
    <mergeCell ref="C42:K42"/>
    <mergeCell ref="C6:G6"/>
    <mergeCell ref="C7:G7"/>
    <mergeCell ref="C8:G8"/>
  </mergeCells>
  <phoneticPr fontId="29" type="noConversion"/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551A-59DF-4753-897C-7A3DB13831FD}">
  <sheetPr>
    <tabColor theme="1"/>
  </sheetPr>
  <dimension ref="B1:H39"/>
  <sheetViews>
    <sheetView showGridLines="0" tabSelected="1" zoomScaleNormal="100" workbookViewId="0">
      <selection activeCell="E10" sqref="E10"/>
    </sheetView>
  </sheetViews>
  <sheetFormatPr baseColWidth="10" defaultRowHeight="13.2"/>
  <cols>
    <col min="2" max="2" width="26.21875" customWidth="1"/>
    <col min="3" max="3" width="36.21875" customWidth="1"/>
    <col min="4" max="4" width="16" customWidth="1"/>
    <col min="5" max="6" width="15.77734375" customWidth="1"/>
  </cols>
  <sheetData>
    <row r="1" spans="2:8" s="33" customFormat="1" ht="31.8" customHeight="1">
      <c r="B1" s="34"/>
      <c r="D1" s="85" t="s">
        <v>74</v>
      </c>
      <c r="E1" s="84"/>
      <c r="F1" s="35"/>
      <c r="G1" s="35"/>
      <c r="H1" s="35"/>
    </row>
    <row r="4" spans="2:8" s="5" customFormat="1" ht="30" customHeight="1">
      <c r="B4" s="30" t="s">
        <v>3</v>
      </c>
      <c r="C4" s="29"/>
      <c r="D4" s="9"/>
      <c r="E4" s="10"/>
      <c r="F4" s="10"/>
    </row>
    <row r="7" spans="2:8" ht="28.8">
      <c r="B7" s="110" t="s">
        <v>79</v>
      </c>
      <c r="C7" s="110"/>
      <c r="D7" s="110"/>
      <c r="E7" s="110"/>
      <c r="F7" s="110"/>
    </row>
    <row r="8" spans="2:8" ht="13.8" thickBot="1"/>
    <row r="9" spans="2:8" ht="30" customHeight="1">
      <c r="B9" s="86" t="s">
        <v>136</v>
      </c>
      <c r="C9" s="87" t="s">
        <v>150</v>
      </c>
      <c r="D9" s="87" t="s">
        <v>137</v>
      </c>
      <c r="E9" s="87" t="s">
        <v>138</v>
      </c>
      <c r="F9" s="88" t="s">
        <v>139</v>
      </c>
    </row>
    <row r="10" spans="2:8" ht="30" customHeight="1">
      <c r="B10" s="89">
        <v>1</v>
      </c>
      <c r="C10" s="90" t="s">
        <v>140</v>
      </c>
      <c r="D10" s="91">
        <v>1542</v>
      </c>
      <c r="E10" s="91">
        <v>750</v>
      </c>
      <c r="F10" s="92">
        <v>4545</v>
      </c>
    </row>
    <row r="11" spans="2:8" ht="30" customHeight="1">
      <c r="B11" s="89">
        <v>2</v>
      </c>
      <c r="C11" s="90" t="s">
        <v>141</v>
      </c>
      <c r="D11" s="91">
        <v>2548</v>
      </c>
      <c r="E11" s="91">
        <v>2145</v>
      </c>
      <c r="F11" s="92">
        <v>5754</v>
      </c>
    </row>
    <row r="12" spans="2:8" ht="30" customHeight="1">
      <c r="B12" s="89">
        <v>3</v>
      </c>
      <c r="C12" s="90" t="s">
        <v>142</v>
      </c>
      <c r="D12" s="91">
        <v>7845</v>
      </c>
      <c r="E12" s="91">
        <v>2563</v>
      </c>
      <c r="F12" s="92">
        <v>5212</v>
      </c>
    </row>
    <row r="13" spans="2:8" ht="30" customHeight="1">
      <c r="B13" s="89">
        <v>4</v>
      </c>
      <c r="C13" s="90" t="s">
        <v>143</v>
      </c>
      <c r="D13" s="91">
        <v>5958</v>
      </c>
      <c r="E13" s="91">
        <v>3654</v>
      </c>
      <c r="F13" s="92">
        <v>2111</v>
      </c>
    </row>
    <row r="14" spans="2:8" ht="30" customHeight="1">
      <c r="B14" s="89">
        <v>5</v>
      </c>
      <c r="C14" s="90" t="s">
        <v>144</v>
      </c>
      <c r="D14" s="91">
        <v>3526</v>
      </c>
      <c r="E14" s="91">
        <v>3589</v>
      </c>
      <c r="F14" s="92">
        <v>1254</v>
      </c>
    </row>
    <row r="15" spans="2:8" ht="30" customHeight="1">
      <c r="B15" s="89">
        <v>6</v>
      </c>
      <c r="C15" s="90" t="s">
        <v>145</v>
      </c>
      <c r="D15" s="91">
        <v>6548</v>
      </c>
      <c r="E15" s="91">
        <v>4562</v>
      </c>
      <c r="F15" s="92">
        <v>950</v>
      </c>
    </row>
    <row r="16" spans="2:8" ht="30" customHeight="1">
      <c r="B16" s="89">
        <v>7</v>
      </c>
      <c r="C16" s="90" t="s">
        <v>146</v>
      </c>
      <c r="D16" s="91">
        <v>2498</v>
      </c>
      <c r="E16" s="91">
        <v>3574</v>
      </c>
      <c r="F16" s="92">
        <v>700</v>
      </c>
    </row>
    <row r="17" spans="2:6" ht="30" customHeight="1">
      <c r="B17" s="89">
        <v>8</v>
      </c>
      <c r="C17" s="90" t="s">
        <v>147</v>
      </c>
      <c r="D17" s="91">
        <v>8351</v>
      </c>
      <c r="E17" s="91">
        <v>8521</v>
      </c>
      <c r="F17" s="92">
        <v>15400</v>
      </c>
    </row>
    <row r="18" spans="2:6" ht="30" customHeight="1">
      <c r="B18" s="89">
        <v>9</v>
      </c>
      <c r="C18" s="90" t="s">
        <v>148</v>
      </c>
      <c r="D18" s="91">
        <v>4548</v>
      </c>
      <c r="E18" s="91">
        <v>4257</v>
      </c>
      <c r="F18" s="92">
        <v>2451</v>
      </c>
    </row>
    <row r="19" spans="2:6" ht="30" customHeight="1" thickBot="1">
      <c r="B19" s="93">
        <v>10</v>
      </c>
      <c r="C19" s="94" t="s">
        <v>149</v>
      </c>
      <c r="D19" s="95">
        <v>4241</v>
      </c>
      <c r="E19" s="95">
        <v>9365</v>
      </c>
      <c r="F19" s="96">
        <v>2424</v>
      </c>
    </row>
    <row r="24" spans="2:6" s="5" customFormat="1" ht="30" customHeight="1">
      <c r="B24" s="30" t="s">
        <v>7</v>
      </c>
      <c r="C24" s="29"/>
      <c r="D24" s="9"/>
      <c r="E24" s="10"/>
      <c r="F24" s="10"/>
    </row>
    <row r="26" spans="2:6" ht="13.8" thickBot="1"/>
    <row r="27" spans="2:6" ht="30" customHeight="1">
      <c r="B27" s="46" t="s">
        <v>135</v>
      </c>
      <c r="C27" s="48" t="s">
        <v>160</v>
      </c>
      <c r="D27" s="31"/>
    </row>
    <row r="28" spans="2:6" ht="30" customHeight="1">
      <c r="B28" s="97" t="s">
        <v>151</v>
      </c>
      <c r="C28" s="98">
        <v>21</v>
      </c>
      <c r="D28" s="32"/>
    </row>
    <row r="29" spans="2:6" ht="30" customHeight="1">
      <c r="B29" s="97" t="s">
        <v>137</v>
      </c>
      <c r="C29" s="98">
        <v>19</v>
      </c>
      <c r="D29" s="32"/>
    </row>
    <row r="30" spans="2:6" ht="30" customHeight="1">
      <c r="B30" s="97" t="s">
        <v>138</v>
      </c>
      <c r="C30" s="98">
        <v>24</v>
      </c>
      <c r="D30" s="32"/>
    </row>
    <row r="31" spans="2:6" ht="30" customHeight="1">
      <c r="B31" s="97" t="s">
        <v>139</v>
      </c>
      <c r="C31" s="98">
        <v>10</v>
      </c>
      <c r="D31" s="32"/>
    </row>
    <row r="32" spans="2:6" ht="30" customHeight="1">
      <c r="B32" s="97" t="s">
        <v>152</v>
      </c>
      <c r="C32" s="98">
        <v>24</v>
      </c>
      <c r="D32" s="32"/>
    </row>
    <row r="33" spans="2:4" ht="30" customHeight="1">
      <c r="B33" s="97" t="s">
        <v>153</v>
      </c>
      <c r="C33" s="98">
        <v>10</v>
      </c>
      <c r="D33" s="32"/>
    </row>
    <row r="34" spans="2:4" ht="30" customHeight="1">
      <c r="B34" s="97" t="s">
        <v>154</v>
      </c>
      <c r="C34" s="98">
        <v>25</v>
      </c>
      <c r="D34" s="32"/>
    </row>
    <row r="35" spans="2:4" ht="30" customHeight="1">
      <c r="B35" s="97" t="s">
        <v>155</v>
      </c>
      <c r="C35" s="98">
        <v>36</v>
      </c>
      <c r="D35" s="32"/>
    </row>
    <row r="36" spans="2:4" ht="30" customHeight="1">
      <c r="B36" s="97" t="s">
        <v>156</v>
      </c>
      <c r="C36" s="98">
        <v>38</v>
      </c>
      <c r="D36" s="32"/>
    </row>
    <row r="37" spans="2:4" ht="30" customHeight="1">
      <c r="B37" s="97" t="s">
        <v>157</v>
      </c>
      <c r="C37" s="98">
        <v>5</v>
      </c>
      <c r="D37" s="32"/>
    </row>
    <row r="38" spans="2:4" ht="30" customHeight="1">
      <c r="B38" s="97" t="s">
        <v>158</v>
      </c>
      <c r="C38" s="98">
        <v>4</v>
      </c>
      <c r="D38" s="32"/>
    </row>
    <row r="39" spans="2:4" ht="30" customHeight="1" thickBot="1">
      <c r="B39" s="99" t="s">
        <v>159</v>
      </c>
      <c r="C39" s="100">
        <v>8</v>
      </c>
      <c r="D39" s="32"/>
    </row>
  </sheetData>
  <mergeCells count="1"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Principal</vt:lpstr>
      <vt:lpstr>Gráficos Estadísticos I</vt:lpstr>
      <vt:lpstr>Gráficos Estadísticos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Ejercicios de Excel</dc:title>
  <dc:subject>Celdas: Tipos- Porcentajes: Extraer, Aumentar, Disminuir, Distribuir</dc:subject>
  <dc:creator/>
  <dc:description>Para uso exclusivo de los alumnos del Autor</dc:description>
  <cp:lastModifiedBy>Nik Denilson Ramirez Bautista</cp:lastModifiedBy>
  <cp:lastPrinted>2008-09-12T20:16:10Z</cp:lastPrinted>
  <dcterms:created xsi:type="dcterms:W3CDTF">1998-03-16T16:48:42Z</dcterms:created>
  <dcterms:modified xsi:type="dcterms:W3CDTF">2025-12-24T22:28:35Z</dcterms:modified>
</cp:coreProperties>
</file>