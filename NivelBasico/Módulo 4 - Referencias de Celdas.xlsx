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b\Nik Denilson\Cursos\EXCEL\NivelBasico\"/>
    </mc:Choice>
  </mc:AlternateContent>
  <xr:revisionPtr revIDLastSave="0" documentId="13_ncr:1_{3A0DFD4B-5DE7-452A-BA0F-80B2E76777E8}" xr6:coauthVersionLast="47" xr6:coauthVersionMax="47" xr10:uidLastSave="{00000000-0000-0000-0000-000000000000}"/>
  <bookViews>
    <workbookView xWindow="-108" yWindow="-108" windowWidth="23256" windowHeight="12456" tabRatio="758" activeTab="5" xr2:uid="{00000000-000D-0000-FFFF-FFFF00000000}"/>
  </bookViews>
  <sheets>
    <sheet name="Principal" sheetId="14" r:id="rId1"/>
    <sheet name="Referencias Relativas" sheetId="20" r:id="rId2"/>
    <sheet name="Referencias Mixtas Columna" sheetId="21" r:id="rId3"/>
    <sheet name="Referencias Mixtas - Fila" sheetId="22" r:id="rId4"/>
    <sheet name="Referencias Mixtas" sheetId="19" r:id="rId5"/>
    <sheet name="Referencas Absolutas" sheetId="2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6" i="28" l="1"/>
  <c r="G88" i="28"/>
  <c r="G89" i="28"/>
  <c r="G90" i="28"/>
  <c r="G91" i="28"/>
  <c r="G92" i="28"/>
  <c r="G87" i="28"/>
  <c r="F96" i="28"/>
  <c r="I45" i="28"/>
  <c r="I44" i="28"/>
  <c r="I46" i="28"/>
  <c r="F50" i="28"/>
  <c r="G50" i="28"/>
  <c r="H50" i="28"/>
  <c r="G45" i="28"/>
  <c r="H45" i="28"/>
  <c r="G46" i="28"/>
  <c r="H46" i="28" s="1"/>
  <c r="H44" i="28"/>
  <c r="G44" i="28"/>
  <c r="G66" i="28"/>
  <c r="I67" i="28"/>
  <c r="I68" i="28"/>
  <c r="F72" i="28"/>
  <c r="G67" i="28"/>
  <c r="H67" i="28"/>
  <c r="G68" i="28"/>
  <c r="H68" i="28" s="1"/>
  <c r="F28" i="28"/>
  <c r="G28" i="28"/>
  <c r="H28" i="28"/>
  <c r="I28" i="28"/>
  <c r="J28" i="28"/>
  <c r="J20" i="28"/>
  <c r="J21" i="28"/>
  <c r="J22" i="28"/>
  <c r="J23" i="28"/>
  <c r="J24" i="28"/>
  <c r="J19" i="28"/>
  <c r="I19" i="28"/>
  <c r="I20" i="28"/>
  <c r="I21" i="28"/>
  <c r="I22" i="28"/>
  <c r="I23" i="28"/>
  <c r="I24" i="28"/>
  <c r="H20" i="28"/>
  <c r="H21" i="28"/>
  <c r="H22" i="28"/>
  <c r="H23" i="28"/>
  <c r="H24" i="28"/>
  <c r="H19" i="28"/>
  <c r="G20" i="28"/>
  <c r="G21" i="28"/>
  <c r="G22" i="28"/>
  <c r="G23" i="28"/>
  <c r="G24" i="28"/>
  <c r="G19" i="28"/>
  <c r="L51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36" i="19"/>
  <c r="K51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36" i="19"/>
  <c r="H40" i="19"/>
  <c r="F37" i="19"/>
  <c r="G37" i="19"/>
  <c r="H37" i="19"/>
  <c r="I37" i="19"/>
  <c r="F38" i="19"/>
  <c r="G38" i="19"/>
  <c r="H38" i="19"/>
  <c r="I38" i="19"/>
  <c r="F39" i="19"/>
  <c r="G39" i="19"/>
  <c r="H39" i="19"/>
  <c r="I39" i="19"/>
  <c r="F40" i="19"/>
  <c r="G40" i="19"/>
  <c r="I40" i="19"/>
  <c r="F41" i="19"/>
  <c r="G41" i="19"/>
  <c r="H41" i="19"/>
  <c r="I41" i="19"/>
  <c r="F42" i="19"/>
  <c r="G42" i="19"/>
  <c r="H42" i="19"/>
  <c r="I42" i="19"/>
  <c r="F43" i="19"/>
  <c r="G43" i="19"/>
  <c r="H43" i="19"/>
  <c r="I43" i="19"/>
  <c r="F44" i="19"/>
  <c r="G44" i="19"/>
  <c r="H44" i="19"/>
  <c r="I44" i="19"/>
  <c r="F45" i="19"/>
  <c r="G45" i="19"/>
  <c r="H45" i="19"/>
  <c r="I45" i="19"/>
  <c r="F46" i="19"/>
  <c r="G46" i="19"/>
  <c r="H46" i="19"/>
  <c r="I46" i="19"/>
  <c r="F47" i="19"/>
  <c r="G47" i="19"/>
  <c r="H47" i="19"/>
  <c r="I47" i="19"/>
  <c r="F48" i="19"/>
  <c r="G48" i="19"/>
  <c r="H48" i="19"/>
  <c r="I48" i="19"/>
  <c r="I36" i="19"/>
  <c r="G36" i="19"/>
  <c r="H36" i="19"/>
  <c r="F36" i="19"/>
  <c r="I22" i="19"/>
  <c r="J24" i="19"/>
  <c r="J17" i="19"/>
  <c r="H17" i="19"/>
  <c r="I12" i="19"/>
  <c r="G13" i="19"/>
  <c r="H13" i="19"/>
  <c r="I13" i="19"/>
  <c r="J13" i="19" s="1"/>
  <c r="G14" i="19"/>
  <c r="J14" i="19" s="1"/>
  <c r="H14" i="19"/>
  <c r="I14" i="19"/>
  <c r="G15" i="19"/>
  <c r="H15" i="19"/>
  <c r="I15" i="19"/>
  <c r="J15" i="19" s="1"/>
  <c r="G16" i="19"/>
  <c r="J16" i="19" s="1"/>
  <c r="H16" i="19"/>
  <c r="I16" i="19"/>
  <c r="G17" i="19"/>
  <c r="I17" i="19"/>
  <c r="G18" i="19"/>
  <c r="J18" i="19" s="1"/>
  <c r="H18" i="19"/>
  <c r="I18" i="19"/>
  <c r="G19" i="19"/>
  <c r="H19" i="19"/>
  <c r="I19" i="19"/>
  <c r="G20" i="19"/>
  <c r="J20" i="19" s="1"/>
  <c r="H20" i="19"/>
  <c r="I20" i="19"/>
  <c r="G21" i="19"/>
  <c r="H21" i="19"/>
  <c r="I21" i="19"/>
  <c r="J21" i="19" s="1"/>
  <c r="G22" i="19"/>
  <c r="J22" i="19" s="1"/>
  <c r="H22" i="19"/>
  <c r="G23" i="19"/>
  <c r="H23" i="19"/>
  <c r="I23" i="19"/>
  <c r="G24" i="19"/>
  <c r="H24" i="19"/>
  <c r="I24" i="19"/>
  <c r="H12" i="19"/>
  <c r="G12" i="19"/>
  <c r="J19" i="19"/>
  <c r="J23" i="19"/>
  <c r="G50" i="22"/>
  <c r="G51" i="22"/>
  <c r="G52" i="22"/>
  <c r="G53" i="22"/>
  <c r="G54" i="22"/>
  <c r="G55" i="22"/>
  <c r="G56" i="22"/>
  <c r="G57" i="22"/>
  <c r="G58" i="22"/>
  <c r="G49" i="22"/>
  <c r="H35" i="22"/>
  <c r="H36" i="22"/>
  <c r="H37" i="22"/>
  <c r="H38" i="22"/>
  <c r="H39" i="22"/>
  <c r="H40" i="22"/>
  <c r="H41" i="22"/>
  <c r="H42" i="22"/>
  <c r="H34" i="22"/>
  <c r="G35" i="22"/>
  <c r="G36" i="22"/>
  <c r="G37" i="22"/>
  <c r="G38" i="22"/>
  <c r="G39" i="22"/>
  <c r="G40" i="22"/>
  <c r="G41" i="22"/>
  <c r="G42" i="22"/>
  <c r="G34" i="22"/>
  <c r="E36" i="22"/>
  <c r="E35" i="22"/>
  <c r="F35" i="22" s="1"/>
  <c r="F36" i="22"/>
  <c r="E37" i="22"/>
  <c r="F37" i="22" s="1"/>
  <c r="E38" i="22"/>
  <c r="E34" i="22"/>
  <c r="F38" i="22"/>
  <c r="F39" i="22"/>
  <c r="F40" i="22"/>
  <c r="F41" i="22"/>
  <c r="F42" i="22"/>
  <c r="F34" i="22"/>
  <c r="E39" i="22"/>
  <c r="E40" i="22"/>
  <c r="E41" i="22"/>
  <c r="E42" i="22"/>
  <c r="G16" i="22"/>
  <c r="G17" i="22"/>
  <c r="G18" i="22"/>
  <c r="G19" i="22"/>
  <c r="G20" i="22"/>
  <c r="G21" i="22"/>
  <c r="G13" i="22"/>
  <c r="G14" i="22"/>
  <c r="G15" i="22"/>
  <c r="G12" i="22"/>
  <c r="F95" i="21"/>
  <c r="G95" i="21"/>
  <c r="H95" i="21"/>
  <c r="E95" i="21"/>
  <c r="F74" i="21"/>
  <c r="G74" i="21"/>
  <c r="H74" i="21"/>
  <c r="E74" i="21"/>
  <c r="F53" i="21"/>
  <c r="G53" i="21"/>
  <c r="H53" i="21"/>
  <c r="E53" i="21"/>
  <c r="F51" i="21"/>
  <c r="G51" i="21"/>
  <c r="H51" i="21"/>
  <c r="E51" i="21"/>
  <c r="H32" i="21"/>
  <c r="F32" i="21"/>
  <c r="G32" i="21"/>
  <c r="E32" i="21"/>
  <c r="H13" i="21"/>
  <c r="F13" i="21"/>
  <c r="G13" i="21"/>
  <c r="E13" i="21"/>
  <c r="M37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23" i="20"/>
  <c r="L37" i="20"/>
  <c r="K24" i="20"/>
  <c r="K37" i="20" s="1"/>
  <c r="K25" i="20"/>
  <c r="K26" i="20"/>
  <c r="K27" i="20"/>
  <c r="K28" i="20"/>
  <c r="K29" i="20"/>
  <c r="K30" i="20"/>
  <c r="K31" i="20"/>
  <c r="K32" i="20"/>
  <c r="K33" i="20"/>
  <c r="K34" i="20"/>
  <c r="K35" i="20"/>
  <c r="K36" i="20"/>
  <c r="K23" i="20"/>
  <c r="J24" i="20"/>
  <c r="J25" i="20"/>
  <c r="J26" i="20"/>
  <c r="J27" i="20"/>
  <c r="J28" i="20"/>
  <c r="J29" i="20"/>
  <c r="J30" i="20"/>
  <c r="J31" i="20"/>
  <c r="J32" i="20"/>
  <c r="J33" i="20"/>
  <c r="J37" i="20" s="1"/>
  <c r="J34" i="20"/>
  <c r="J35" i="20"/>
  <c r="J36" i="20"/>
  <c r="J23" i="20"/>
  <c r="G37" i="20"/>
  <c r="H37" i="20"/>
  <c r="I37" i="20"/>
  <c r="I34" i="20"/>
  <c r="I35" i="20"/>
  <c r="I36" i="20"/>
  <c r="I30" i="20"/>
  <c r="I31" i="20"/>
  <c r="I32" i="20"/>
  <c r="I33" i="20"/>
  <c r="I24" i="20"/>
  <c r="I25" i="20"/>
  <c r="I26" i="20"/>
  <c r="I27" i="20"/>
  <c r="I28" i="20"/>
  <c r="I29" i="20"/>
  <c r="I23" i="20"/>
  <c r="G17" i="20"/>
  <c r="G16" i="20"/>
  <c r="G15" i="20"/>
  <c r="G7" i="20"/>
  <c r="G8" i="20"/>
  <c r="G9" i="20"/>
  <c r="G10" i="20"/>
  <c r="G11" i="20"/>
  <c r="G12" i="20"/>
  <c r="G13" i="20"/>
  <c r="G6" i="20"/>
  <c r="I50" i="28" l="1"/>
  <c r="H66" i="28"/>
  <c r="H72" i="28" s="1"/>
  <c r="I66" i="28"/>
  <c r="I72" i="28" s="1"/>
  <c r="G72" i="28"/>
  <c r="J1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G5" authorId="0" shapeId="0" xr:uid="{00000000-0006-0000-0100-000001000000}">
      <text>
        <r>
          <rPr>
            <b/>
            <sz val="10"/>
            <color indexed="81"/>
            <rFont val="Arial Unicode MS"/>
            <family val="2"/>
          </rPr>
          <t xml:space="preserve">
Importe </t>
        </r>
        <r>
          <rPr>
            <sz val="10"/>
            <color indexed="81"/>
            <rFont val="Arial Unicode MS"/>
            <family val="2"/>
          </rPr>
          <t>= Cantidad por Precio Unitario</t>
        </r>
      </text>
    </comment>
    <comment ref="F15" authorId="0" shapeId="0" xr:uid="{00000000-0006-0000-0100-000002000000}">
      <text>
        <r>
          <rPr>
            <b/>
            <sz val="10"/>
            <color indexed="81"/>
            <rFont val="Arial Unicode MS"/>
            <family val="2"/>
          </rPr>
          <t xml:space="preserve">
SubTotal = </t>
        </r>
        <r>
          <rPr>
            <sz val="10"/>
            <color indexed="81"/>
            <rFont val="Arial Unicode MS"/>
            <family val="2"/>
          </rPr>
          <t>Suma de los Importes.</t>
        </r>
      </text>
    </comment>
    <comment ref="F16" authorId="0" shapeId="0" xr:uid="{00000000-0006-0000-0100-000003000000}">
      <text>
        <r>
          <rPr>
            <b/>
            <sz val="10"/>
            <color indexed="81"/>
            <rFont val="Arial Unicode MS"/>
            <family val="2"/>
          </rPr>
          <t xml:space="preserve">
IGV =</t>
        </r>
        <r>
          <rPr>
            <sz val="10"/>
            <color indexed="81"/>
            <rFont val="Arial Unicode MS"/>
            <family val="2"/>
          </rPr>
          <t xml:space="preserve"> SubTotal * 18%</t>
        </r>
      </text>
    </comment>
    <comment ref="F17" authorId="0" shapeId="0" xr:uid="{00000000-0006-0000-0100-000004000000}">
      <text>
        <r>
          <rPr>
            <b/>
            <sz val="10"/>
            <color indexed="81"/>
            <rFont val="Arial Unicode MS"/>
            <family val="2"/>
          </rPr>
          <t xml:space="preserve">
Total a Pagar </t>
        </r>
        <r>
          <rPr>
            <sz val="10"/>
            <color indexed="81"/>
            <rFont val="Arial Unicode MS"/>
            <family val="2"/>
          </rPr>
          <t xml:space="preserve">= Suma de todo el </t>
        </r>
        <r>
          <rPr>
            <b/>
            <sz val="10"/>
            <color indexed="81"/>
            <rFont val="Arial Unicode MS"/>
            <family val="2"/>
          </rPr>
          <t>importe.</t>
        </r>
      </text>
    </comment>
    <comment ref="I22" authorId="0" shapeId="0" xr:uid="{00000000-0006-0000-0100-000005000000}">
      <text>
        <r>
          <rPr>
            <b/>
            <sz val="10"/>
            <color indexed="81"/>
            <rFont val="Arial Unicode MS"/>
            <family val="2"/>
          </rPr>
          <t xml:space="preserve">
Importe=</t>
        </r>
        <r>
          <rPr>
            <sz val="10"/>
            <color indexed="81"/>
            <rFont val="Arial Unicode MS"/>
            <family val="2"/>
          </rPr>
          <t>Cantidad por Precio.</t>
        </r>
      </text>
    </comment>
    <comment ref="J22" authorId="0" shapeId="0" xr:uid="{00000000-0006-0000-0100-000006000000}">
      <text>
        <r>
          <rPr>
            <b/>
            <sz val="10"/>
            <color indexed="81"/>
            <rFont val="Arial Unicode MS"/>
            <family val="2"/>
          </rPr>
          <t xml:space="preserve">
IGV=</t>
        </r>
        <r>
          <rPr>
            <sz val="10"/>
            <color indexed="81"/>
            <rFont val="Arial Unicode MS"/>
            <family val="2"/>
          </rPr>
          <t>18% del Importe</t>
        </r>
      </text>
    </comment>
    <comment ref="K22" authorId="0" shapeId="0" xr:uid="{00000000-0006-0000-0100-000007000000}">
      <text>
        <r>
          <rPr>
            <b/>
            <sz val="10"/>
            <color indexed="81"/>
            <rFont val="Arial Unicode MS"/>
            <family val="2"/>
          </rPr>
          <t xml:space="preserve">
Flete=</t>
        </r>
        <r>
          <rPr>
            <sz val="10"/>
            <color indexed="81"/>
            <rFont val="Arial Unicode MS"/>
            <family val="2"/>
          </rPr>
          <t>2.5% del Importe</t>
        </r>
      </text>
    </comment>
    <comment ref="L22" authorId="0" shapeId="0" xr:uid="{00000000-0006-0000-0100-000008000000}">
      <text>
        <r>
          <rPr>
            <b/>
            <sz val="10"/>
            <color indexed="81"/>
            <rFont val="Arial Unicode MS"/>
            <family val="2"/>
          </rPr>
          <t xml:space="preserve">
Dscto=</t>
        </r>
        <r>
          <rPr>
            <sz val="10"/>
            <color indexed="81"/>
            <rFont val="Arial Unicode MS"/>
            <family val="2"/>
          </rPr>
          <t>1.45% del Importe</t>
        </r>
      </text>
    </comment>
    <comment ref="M22" authorId="0" shapeId="0" xr:uid="{00000000-0006-0000-0100-000009000000}">
      <text>
        <r>
          <rPr>
            <b/>
            <sz val="10"/>
            <color indexed="81"/>
            <rFont val="Arial Unicode MS"/>
            <family val="2"/>
          </rPr>
          <t xml:space="preserve">
Total = </t>
        </r>
        <r>
          <rPr>
            <sz val="10"/>
            <color indexed="81"/>
            <rFont val="Arial Unicode MS"/>
            <family val="2"/>
          </rPr>
          <t>Importe mas IGV menos el Flete y el Dscto.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D51" authorId="0" shapeId="0" xr:uid="{00000000-0006-0000-0300-000001000000}">
      <text>
        <r>
          <rPr>
            <b/>
            <sz val="10"/>
            <color indexed="81"/>
            <rFont val="Arial Unicode MS"/>
            <family val="2"/>
          </rPr>
          <t xml:space="preserve">
Interes Enero = </t>
        </r>
        <r>
          <rPr>
            <sz val="10"/>
            <color indexed="81"/>
            <rFont val="Arial Unicode MS"/>
            <family val="2"/>
          </rPr>
          <t>Deposito por Interés Mensual.</t>
        </r>
      </text>
    </comment>
    <comment ref="D53" authorId="0" shapeId="0" xr:uid="{00000000-0006-0000-0300-000002000000}">
      <text>
        <r>
          <rPr>
            <b/>
            <sz val="10"/>
            <color indexed="81"/>
            <rFont val="Arial Unicode MS"/>
            <family val="2"/>
          </rPr>
          <t xml:space="preserve">
Salod Enero = </t>
        </r>
        <r>
          <rPr>
            <sz val="10"/>
            <color indexed="81"/>
            <rFont val="Arial Unicode MS"/>
            <family val="2"/>
          </rPr>
          <t>Suma de Deposito e Interés Enero.</t>
        </r>
      </text>
    </comment>
    <comment ref="D74" authorId="0" shapeId="0" xr:uid="{00000000-0006-0000-0300-000003000000}">
      <text>
        <r>
          <rPr>
            <b/>
            <sz val="10"/>
            <color indexed="81"/>
            <rFont val="Arial Unicode MS"/>
            <family val="2"/>
          </rPr>
          <t xml:space="preserve">
Precio de Venta  </t>
        </r>
        <r>
          <rPr>
            <sz val="10"/>
            <color indexed="81"/>
            <rFont val="Arial Unicode MS"/>
            <family val="2"/>
          </rPr>
          <t>es igual al Precio de Costo por el incremento más el Precio de Costo.</t>
        </r>
      </text>
    </comment>
    <comment ref="D95" authorId="0" shapeId="0" xr:uid="{00000000-0006-0000-0300-000004000000}">
      <text>
        <r>
          <rPr>
            <b/>
            <sz val="10"/>
            <color indexed="81"/>
            <rFont val="Arial Unicode MS"/>
            <family val="2"/>
          </rPr>
          <t xml:space="preserve">
Precio de Venta  </t>
        </r>
        <r>
          <rPr>
            <sz val="10"/>
            <color indexed="81"/>
            <rFont val="Arial Unicode MS"/>
            <family val="2"/>
          </rPr>
          <t>es igual a la disminución del Precio de Costo por el porcentaje de disminución.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  <author>DOCENTE</author>
    <author>PROFESOR</author>
  </authors>
  <commentList>
    <comment ref="E33" authorId="0" shapeId="0" xr:uid="{00000000-0006-0000-0500-000001000000}">
      <text>
        <r>
          <rPr>
            <b/>
            <sz val="10"/>
            <color indexed="81"/>
            <rFont val="Arial Unicode MS"/>
            <family val="2"/>
          </rPr>
          <t xml:space="preserve">
Interes Enero = </t>
        </r>
        <r>
          <rPr>
            <sz val="10"/>
            <color indexed="81"/>
            <rFont val="Arial Unicode MS"/>
            <family val="2"/>
          </rPr>
          <t>Deposito por Interés Mensual.</t>
        </r>
      </text>
    </comment>
    <comment ref="F33" authorId="1" shapeId="0" xr:uid="{00000000-0006-0000-0500-000002000000}">
      <text>
        <r>
          <rPr>
            <b/>
            <sz val="10"/>
            <color indexed="81"/>
            <rFont val="Arial Unicode MS"/>
            <family val="2"/>
          </rPr>
          <t xml:space="preserve">
Saldo Enero= </t>
        </r>
        <r>
          <rPr>
            <sz val="10"/>
            <color indexed="81"/>
            <rFont val="Arial Unicode MS"/>
            <family val="2"/>
          </rPr>
          <t>Depósito más Interés Enero</t>
        </r>
      </text>
    </comment>
    <comment ref="G33" authorId="1" shapeId="0" xr:uid="{00000000-0006-0000-0500-000003000000}">
      <text>
        <r>
          <rPr>
            <b/>
            <sz val="10"/>
            <color indexed="81"/>
            <rFont val="Arial Unicode MS"/>
            <family val="2"/>
          </rPr>
          <t xml:space="preserve">
Interés Febrero = </t>
        </r>
        <r>
          <rPr>
            <sz val="10"/>
            <color indexed="81"/>
            <rFont val="Arial Unicode MS"/>
            <family val="2"/>
          </rPr>
          <t>Saldo Enero por el  Interés Mensual</t>
        </r>
      </text>
    </comment>
    <comment ref="H33" authorId="1" shapeId="0" xr:uid="{00000000-0006-0000-0500-000004000000}">
      <text>
        <r>
          <rPr>
            <b/>
            <sz val="10"/>
            <color indexed="81"/>
            <rFont val="Arial Unicode MS"/>
            <family val="2"/>
          </rPr>
          <t xml:space="preserve">
Saldo Febrero =</t>
        </r>
        <r>
          <rPr>
            <sz val="10"/>
            <color indexed="81"/>
            <rFont val="Arial Unicode MS"/>
            <family val="2"/>
          </rPr>
          <t xml:space="preserve"> Saldo Enero más Interés Febrero</t>
        </r>
      </text>
    </comment>
    <comment ref="G48" authorId="2" shapeId="0" xr:uid="{00000000-0006-0000-0500-000005000000}">
      <text>
        <r>
          <rPr>
            <b/>
            <sz val="10"/>
            <color indexed="81"/>
            <rFont val="Arial Unicode MS"/>
            <family val="2"/>
          </rPr>
          <t xml:space="preserve">
Sueldo Total = </t>
        </r>
        <r>
          <rPr>
            <sz val="10"/>
            <color indexed="81"/>
            <rFont val="Arial Unicode MS"/>
            <family val="2"/>
          </rPr>
          <t>Porcentaje de comisión por las ventas mas Sueldo base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PROFESOR</author>
    <author>DOCENTE</author>
    <author xml:space="preserve">pc </author>
  </authors>
  <commentList>
    <comment ref="G7" authorId="0" shapeId="0" xr:uid="{00000000-0006-0000-0700-000001000000}">
      <text>
        <r>
          <rPr>
            <b/>
            <sz val="10"/>
            <color indexed="81"/>
            <rFont val="Arial Unicode MS"/>
            <family val="2"/>
          </rPr>
          <t xml:space="preserve">
Descuento 1 = </t>
        </r>
        <r>
          <rPr>
            <sz val="10"/>
            <color indexed="81"/>
            <rFont val="Arial Unicode MS"/>
            <family val="2"/>
          </rPr>
          <t xml:space="preserve">Porcentaje de cada descuento por </t>
        </r>
        <r>
          <rPr>
            <b/>
            <sz val="10"/>
            <color indexed="81"/>
            <rFont val="Arial Unicode MS"/>
            <family val="2"/>
          </rPr>
          <t xml:space="preserve">Felte por caja </t>
        </r>
        <r>
          <rPr>
            <sz val="10"/>
            <color indexed="81"/>
            <rFont val="Arial Unicode MS"/>
            <family val="2"/>
          </rPr>
          <t xml:space="preserve">y por </t>
        </r>
        <r>
          <rPr>
            <b/>
            <sz val="10"/>
            <color indexed="81"/>
            <rFont val="Arial Unicode MS"/>
            <family val="2"/>
          </rPr>
          <t>Cajas de vino.
Crear una sola fórmula</t>
        </r>
        <r>
          <rPr>
            <sz val="10"/>
            <color indexed="81"/>
            <rFont val="Arial Unicode MS"/>
            <family val="2"/>
          </rPr>
          <t xml:space="preserve"> de tal manera que </t>
        </r>
        <r>
          <rPr>
            <b/>
            <sz val="10"/>
            <color indexed="81"/>
            <rFont val="Arial Unicode MS"/>
            <family val="2"/>
          </rPr>
          <t xml:space="preserve">permita encontrar los 3 descuentos </t>
        </r>
        <r>
          <rPr>
            <sz val="10"/>
            <color indexed="81"/>
            <rFont val="Arial Unicode MS"/>
            <family val="2"/>
          </rPr>
          <t>copiando la fórmula en forma vertical y Horizontal.</t>
        </r>
      </text>
    </comment>
    <comment ref="J7" authorId="1" shapeId="0" xr:uid="{00000000-0006-0000-0700-000002000000}">
      <text>
        <r>
          <rPr>
            <b/>
            <sz val="10"/>
            <color indexed="81"/>
            <rFont val="Arial Unicode MS"/>
            <family val="2"/>
          </rPr>
          <t xml:space="preserve">
Total Descuentos = </t>
        </r>
        <r>
          <rPr>
            <sz val="10"/>
            <color indexed="81"/>
            <rFont val="Arial Unicode MS"/>
            <family val="2"/>
          </rPr>
          <t>Suma de los 3 descuentos</t>
        </r>
      </text>
    </comment>
    <comment ref="J30" authorId="2" shapeId="0" xr:uid="{00000000-0006-0000-0700-000003000000}">
      <text>
        <r>
          <rPr>
            <b/>
            <sz val="10"/>
            <color indexed="81"/>
            <rFont val="Arial Unicode MS"/>
            <family val="2"/>
          </rPr>
          <t xml:space="preserve">
Total Costos = </t>
        </r>
        <r>
          <rPr>
            <sz val="10"/>
            <color indexed="81"/>
            <rFont val="Arial Unicode MS"/>
            <family val="2"/>
          </rPr>
          <t>Suma de todos los costos</t>
        </r>
      </text>
    </comment>
    <comment ref="K30" authorId="2" shapeId="0" xr:uid="{00000000-0006-0000-0700-000004000000}">
      <text>
        <r>
          <rPr>
            <b/>
            <sz val="10"/>
            <color indexed="81"/>
            <rFont val="Arial Unicode MS"/>
            <family val="2"/>
          </rPr>
          <t xml:space="preserve">
Total General = </t>
        </r>
        <r>
          <rPr>
            <sz val="10"/>
            <color indexed="81"/>
            <rFont val="Arial Unicode MS"/>
            <family val="2"/>
          </rPr>
          <t>Precio por Gramo masTotal Costos</t>
        </r>
      </text>
    </comment>
    <comment ref="L30" authorId="0" shapeId="0" xr:uid="{00000000-0006-0000-0700-000005000000}">
      <text>
        <r>
          <rPr>
            <b/>
            <sz val="10"/>
            <color indexed="81"/>
            <rFont val="Arial Unicode MS"/>
            <family val="2"/>
          </rPr>
          <t xml:space="preserve">Que porcentaje le corresponde a cada tipo de Mineral respecto al Total de la producción.
</t>
        </r>
      </text>
    </comment>
    <comment ref="F32" authorId="0" shapeId="0" xr:uid="{00000000-0006-0000-0700-000006000000}">
      <text>
        <r>
          <rPr>
            <b/>
            <sz val="10"/>
            <color indexed="81"/>
            <rFont val="Arial Unicode MS"/>
            <family val="2"/>
          </rPr>
          <t xml:space="preserve">
Flete = </t>
        </r>
        <r>
          <rPr>
            <sz val="10"/>
            <color indexed="81"/>
            <rFont val="Arial Unicode MS"/>
            <family val="2"/>
          </rPr>
          <t>Precio por Gramo por el porcentaje del Flete.</t>
        </r>
        <r>
          <rPr>
            <b/>
            <sz val="10"/>
            <color indexed="81"/>
            <rFont val="Arial Unicode MS"/>
            <family val="2"/>
          </rPr>
          <t xml:space="preserve">
Crear una sola fórmula</t>
        </r>
        <r>
          <rPr>
            <sz val="10"/>
            <color indexed="81"/>
            <rFont val="Arial Unicode MS"/>
            <family val="2"/>
          </rPr>
          <t xml:space="preserve"> de tal manera que </t>
        </r>
        <r>
          <rPr>
            <b/>
            <sz val="10"/>
            <color indexed="81"/>
            <rFont val="Arial Unicode MS"/>
            <family val="2"/>
          </rPr>
          <t xml:space="preserve">permita encontrar los 4 Costos </t>
        </r>
        <r>
          <rPr>
            <sz val="10"/>
            <color indexed="81"/>
            <rFont val="Arial Unicode MS"/>
            <family val="2"/>
          </rPr>
          <t>copiando la fórmula en forma vertical y Horizontal.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G15" authorId="0" shapeId="0" xr:uid="{00000000-0006-0000-0900-000001000000}">
      <text>
        <r>
          <rPr>
            <b/>
            <sz val="10"/>
            <color indexed="81"/>
            <rFont val="Arial Unicode MS"/>
            <family val="2"/>
          </rPr>
          <t xml:space="preserve">
Aumento = </t>
        </r>
        <r>
          <rPr>
            <sz val="10"/>
            <color indexed="81"/>
            <rFont val="Arial Unicode MS"/>
            <family val="2"/>
          </rPr>
          <t>precio por el porcentaje de Aumento.</t>
        </r>
      </text>
    </comment>
    <comment ref="H15" authorId="0" shapeId="0" xr:uid="{00000000-0006-0000-0900-000002000000}">
      <text>
        <r>
          <rPr>
            <b/>
            <sz val="10"/>
            <color indexed="81"/>
            <rFont val="Arial Unicode MS"/>
            <family val="2"/>
          </rPr>
          <t xml:space="preserve">
Precio de Costo = </t>
        </r>
        <r>
          <rPr>
            <sz val="10"/>
            <color indexed="81"/>
            <rFont val="Arial Unicode MS"/>
            <family val="2"/>
          </rPr>
          <t>precio mas Aumento.</t>
        </r>
      </text>
    </comment>
    <comment ref="I15" authorId="0" shapeId="0" xr:uid="{00000000-0006-0000-0900-000003000000}">
      <text>
        <r>
          <rPr>
            <b/>
            <sz val="10"/>
            <color indexed="81"/>
            <rFont val="Arial Unicode MS"/>
            <family val="2"/>
          </rPr>
          <t xml:space="preserve">
IGV = </t>
        </r>
        <r>
          <rPr>
            <sz val="10"/>
            <color indexed="81"/>
            <rFont val="Arial Unicode MS"/>
            <family val="2"/>
          </rPr>
          <t>precio de costo por el porcentaje del IGV..</t>
        </r>
      </text>
    </comment>
    <comment ref="J15" authorId="0" shapeId="0" xr:uid="{00000000-0006-0000-0900-000004000000}">
      <text>
        <r>
          <rPr>
            <b/>
            <sz val="10"/>
            <color indexed="81"/>
            <rFont val="Arial Unicode MS"/>
            <family val="2"/>
          </rPr>
          <t xml:space="preserve">
Precio de Venta = </t>
        </r>
        <r>
          <rPr>
            <sz val="10"/>
            <color indexed="81"/>
            <rFont val="Arial Unicode MS"/>
            <family val="2"/>
          </rPr>
          <t>precio de Costo mas IGV.</t>
        </r>
      </text>
    </comment>
    <comment ref="E28" authorId="0" shapeId="0" xr:uid="{00000000-0006-0000-0900-000005000000}">
      <text>
        <r>
          <rPr>
            <b/>
            <sz val="10"/>
            <color indexed="81"/>
            <rFont val="Arial Unicode MS"/>
            <family val="2"/>
          </rPr>
          <t xml:space="preserve">
Totales = </t>
        </r>
        <r>
          <rPr>
            <sz val="10"/>
            <color indexed="81"/>
            <rFont val="Arial Unicode MS"/>
            <family val="2"/>
          </rPr>
          <t>Aplique la función Suma.</t>
        </r>
      </text>
    </comment>
    <comment ref="G40" authorId="0" shapeId="0" xr:uid="{00000000-0006-0000-0900-000006000000}">
      <text>
        <r>
          <rPr>
            <b/>
            <sz val="10"/>
            <color indexed="81"/>
            <rFont val="Arial Unicode MS"/>
            <family val="2"/>
          </rPr>
          <t xml:space="preserve">
Ventas Febrero: </t>
        </r>
        <r>
          <rPr>
            <sz val="10"/>
            <color indexed="81"/>
            <rFont val="Arial Unicode MS"/>
            <family val="2"/>
          </rPr>
          <t>Ventas de Enero por su porcentaje de incremento.</t>
        </r>
      </text>
    </comment>
    <comment ref="H40" authorId="0" shapeId="0" xr:uid="{00000000-0006-0000-0900-000007000000}">
      <text>
        <r>
          <rPr>
            <b/>
            <sz val="10"/>
            <color indexed="81"/>
            <rFont val="Arial Unicode MS"/>
            <family val="2"/>
          </rPr>
          <t xml:space="preserve">
Ventas Marzo: </t>
        </r>
        <r>
          <rPr>
            <sz val="10"/>
            <color indexed="81"/>
            <rFont val="Arial Unicode MS"/>
            <family val="2"/>
          </rPr>
          <t>Ventas de Febrero por su porcentaje de incremento.</t>
        </r>
      </text>
    </comment>
    <comment ref="I40" authorId="0" shapeId="0" xr:uid="{00000000-0006-0000-0900-000008000000}">
      <text>
        <r>
          <rPr>
            <b/>
            <sz val="10"/>
            <color indexed="81"/>
            <rFont val="Arial Unicode MS"/>
            <family val="2"/>
          </rPr>
          <t xml:space="preserve">
Ventas Febrero: </t>
        </r>
        <r>
          <rPr>
            <sz val="10"/>
            <color indexed="81"/>
            <rFont val="Arial Unicode MS"/>
            <family val="2"/>
          </rPr>
          <t>Suma de los 3 las ventas de los 3 meses.</t>
        </r>
      </text>
    </comment>
    <comment ref="E50" authorId="0" shapeId="0" xr:uid="{00000000-0006-0000-0900-000009000000}">
      <text>
        <r>
          <rPr>
            <b/>
            <sz val="10"/>
            <color indexed="81"/>
            <rFont val="Arial Unicode MS"/>
            <family val="2"/>
          </rPr>
          <t xml:space="preserve">
Totales = </t>
        </r>
        <r>
          <rPr>
            <sz val="10"/>
            <color indexed="81"/>
            <rFont val="Arial Unicode MS"/>
            <family val="2"/>
          </rPr>
          <t>Aplique la función Suma.</t>
        </r>
      </text>
    </comment>
    <comment ref="G62" authorId="0" shapeId="0" xr:uid="{00000000-0006-0000-0900-00000A000000}">
      <text>
        <r>
          <rPr>
            <b/>
            <sz val="10"/>
            <color indexed="81"/>
            <rFont val="Arial Unicode MS"/>
            <family val="2"/>
          </rPr>
          <t xml:space="preserve">
Ventas Febrero: </t>
        </r>
        <r>
          <rPr>
            <sz val="10"/>
            <color indexed="81"/>
            <rFont val="Arial Unicode MS"/>
            <family val="2"/>
          </rPr>
          <t>Ventas de Enero por su porcentaje de disminución..</t>
        </r>
      </text>
    </comment>
    <comment ref="H62" authorId="0" shapeId="0" xr:uid="{00000000-0006-0000-0900-00000B000000}">
      <text>
        <r>
          <rPr>
            <b/>
            <sz val="10"/>
            <color indexed="81"/>
            <rFont val="Arial Unicode MS"/>
            <family val="2"/>
          </rPr>
          <t xml:space="preserve">
Ventas Marzo: </t>
        </r>
        <r>
          <rPr>
            <sz val="10"/>
            <color indexed="81"/>
            <rFont val="Arial Unicode MS"/>
            <family val="2"/>
          </rPr>
          <t>Ventas de Febrero por su porcentaje de disminución.</t>
        </r>
      </text>
    </comment>
    <comment ref="I62" authorId="0" shapeId="0" xr:uid="{00000000-0006-0000-0900-00000C000000}">
      <text>
        <r>
          <rPr>
            <b/>
            <sz val="10"/>
            <color indexed="81"/>
            <rFont val="Arial Unicode MS"/>
            <family val="2"/>
          </rPr>
          <t xml:space="preserve">
Ventas Febrero: </t>
        </r>
        <r>
          <rPr>
            <sz val="10"/>
            <color indexed="81"/>
            <rFont val="Arial Unicode MS"/>
            <family val="2"/>
          </rPr>
          <t>Suma de los 3 las ventas de los 3 meses.</t>
        </r>
      </text>
    </comment>
    <comment ref="E72" authorId="0" shapeId="0" xr:uid="{00000000-0006-0000-0900-00000D000000}">
      <text>
        <r>
          <rPr>
            <b/>
            <sz val="10"/>
            <color indexed="81"/>
            <rFont val="Arial Unicode MS"/>
            <family val="2"/>
          </rPr>
          <t xml:space="preserve">
Totales = </t>
        </r>
        <r>
          <rPr>
            <sz val="10"/>
            <color indexed="81"/>
            <rFont val="Arial Unicode MS"/>
            <family val="2"/>
          </rPr>
          <t>Aplique la función Suma.</t>
        </r>
      </text>
    </comment>
    <comment ref="G83" authorId="0" shapeId="0" xr:uid="{00000000-0006-0000-0900-00000E000000}">
      <text>
        <r>
          <rPr>
            <b/>
            <sz val="10"/>
            <color indexed="81"/>
            <rFont val="Arial Unicode MS"/>
            <family val="2"/>
          </rPr>
          <t xml:space="preserve">
Porcentaje de distribución = </t>
        </r>
        <r>
          <rPr>
            <sz val="10"/>
            <color indexed="81"/>
            <rFont val="Arial Unicode MS"/>
            <family val="2"/>
          </rPr>
          <t>Primer Total entre total respuestas.</t>
        </r>
      </text>
    </comment>
    <comment ref="E96" authorId="0" shapeId="0" xr:uid="{00000000-0006-0000-0900-00000F000000}">
      <text>
        <r>
          <rPr>
            <b/>
            <sz val="10"/>
            <color indexed="81"/>
            <rFont val="Arial Unicode MS"/>
            <family val="2"/>
          </rPr>
          <t xml:space="preserve">
Totales = </t>
        </r>
        <r>
          <rPr>
            <sz val="10"/>
            <color indexed="81"/>
            <rFont val="Arial Unicode MS"/>
            <family val="2"/>
          </rPr>
          <t>Aplique la función Suma para calcular el Total Respuestas.</t>
        </r>
      </text>
    </comment>
  </commentList>
</comments>
</file>

<file path=xl/sharedStrings.xml><?xml version="1.0" encoding="utf-8"?>
<sst xmlns="http://schemas.openxmlformats.org/spreadsheetml/2006/main" count="306" uniqueCount="212">
  <si>
    <t>Prof. José Huangal Castillo</t>
  </si>
  <si>
    <t>Cantidad</t>
  </si>
  <si>
    <t>Total</t>
  </si>
  <si>
    <t>Precio</t>
  </si>
  <si>
    <t>Cliente</t>
  </si>
  <si>
    <t>Depósito</t>
  </si>
  <si>
    <t>Interés 
Enero</t>
  </si>
  <si>
    <t>País</t>
  </si>
  <si>
    <t>Argentina</t>
  </si>
  <si>
    <t>Colombia</t>
  </si>
  <si>
    <t>Chile</t>
  </si>
  <si>
    <t>Ecuador</t>
  </si>
  <si>
    <t>Bolivia</t>
  </si>
  <si>
    <t>Paraguay</t>
  </si>
  <si>
    <t>Uruguay</t>
  </si>
  <si>
    <t>Venezuela</t>
  </si>
  <si>
    <t>Mexico</t>
  </si>
  <si>
    <t>Guatemala</t>
  </si>
  <si>
    <t>EEUU</t>
  </si>
  <si>
    <t>Canada</t>
  </si>
  <si>
    <t>Puerto Rico</t>
  </si>
  <si>
    <t>Interés
Febrero</t>
  </si>
  <si>
    <t>Saldo
Febrero</t>
  </si>
  <si>
    <t>Saldo
Enero</t>
  </si>
  <si>
    <t>Descuento 1</t>
  </si>
  <si>
    <t>Descuento 2</t>
  </si>
  <si>
    <t>Descuento 3</t>
  </si>
  <si>
    <t>huangaljose@yahoo.es</t>
  </si>
  <si>
    <t>Incremento</t>
  </si>
  <si>
    <t>IGV</t>
  </si>
  <si>
    <t>Impresora</t>
  </si>
  <si>
    <t>Mouse</t>
  </si>
  <si>
    <t>Teclado</t>
  </si>
  <si>
    <t>SubTotal</t>
  </si>
  <si>
    <t>Importe</t>
  </si>
  <si>
    <t>IGV(18%)</t>
  </si>
  <si>
    <t>Vendedor</t>
  </si>
  <si>
    <t>Ventas</t>
  </si>
  <si>
    <t>Sueldo Base</t>
  </si>
  <si>
    <t>Sueldo Total</t>
  </si>
  <si>
    <t>Totales</t>
  </si>
  <si>
    <t>Disminución</t>
  </si>
  <si>
    <t>PRIMER TRIMESTRE</t>
  </si>
  <si>
    <t>Mineral</t>
  </si>
  <si>
    <t>COSTOS</t>
  </si>
  <si>
    <t>Total
Costos</t>
  </si>
  <si>
    <t>Total 
General</t>
  </si>
  <si>
    <t>%</t>
  </si>
  <si>
    <t>Flete</t>
  </si>
  <si>
    <t>Pagos</t>
  </si>
  <si>
    <t>Otros</t>
  </si>
  <si>
    <t>Alquiler</t>
  </si>
  <si>
    <t>Oro</t>
  </si>
  <si>
    <t>Plata</t>
  </si>
  <si>
    <t>Cobre</t>
  </si>
  <si>
    <t>Zinc</t>
  </si>
  <si>
    <t>Bronce</t>
  </si>
  <si>
    <t>Fósforo</t>
  </si>
  <si>
    <t>Hierro</t>
  </si>
  <si>
    <t>Plomo</t>
  </si>
  <si>
    <t>Fierro</t>
  </si>
  <si>
    <t>Potasio</t>
  </si>
  <si>
    <t>Manganeso</t>
  </si>
  <si>
    <t>Cobalto</t>
  </si>
  <si>
    <t>Magnesio</t>
  </si>
  <si>
    <t>Precio por Gramo.</t>
  </si>
  <si>
    <t>Total Producción</t>
  </si>
  <si>
    <t>Producto</t>
  </si>
  <si>
    <t>Referencias Relativas</t>
  </si>
  <si>
    <t>Referencias Mixtas - Columna</t>
  </si>
  <si>
    <t>Referencias Mixtas - Fila</t>
  </si>
  <si>
    <t>Ejercicio 1:</t>
  </si>
  <si>
    <t>Campera de cuero</t>
  </si>
  <si>
    <t>Parka azul</t>
  </si>
  <si>
    <t>Total a Pagar</t>
  </si>
  <si>
    <t>Descripción</t>
  </si>
  <si>
    <t>Precio Unitario</t>
  </si>
  <si>
    <t>Camisa de vestir</t>
  </si>
  <si>
    <t>Camisa sport</t>
  </si>
  <si>
    <t>Corbata de ceda</t>
  </si>
  <si>
    <t>Pantalon jean</t>
  </si>
  <si>
    <t>Pantalon de vestir</t>
  </si>
  <si>
    <t>Saco sport</t>
  </si>
  <si>
    <t>Ejercicio 2:</t>
  </si>
  <si>
    <t>Codigo</t>
  </si>
  <si>
    <t>Clientes</t>
  </si>
  <si>
    <t>Dscto</t>
  </si>
  <si>
    <t>100-01</t>
  </si>
  <si>
    <t>Lectora LG</t>
  </si>
  <si>
    <t>100-02</t>
  </si>
  <si>
    <t>100-03</t>
  </si>
  <si>
    <t>100-04</t>
  </si>
  <si>
    <t>Monitor LCD</t>
  </si>
  <si>
    <t>100-05</t>
  </si>
  <si>
    <t>Case</t>
  </si>
  <si>
    <t>100-06</t>
  </si>
  <si>
    <t>Fuente ATX</t>
  </si>
  <si>
    <t>100-07</t>
  </si>
  <si>
    <t>Cooler</t>
  </si>
  <si>
    <t>100-08</t>
  </si>
  <si>
    <t>USB 8 GB</t>
  </si>
  <si>
    <t>100-09</t>
  </si>
  <si>
    <t>USB 4 GB</t>
  </si>
  <si>
    <t>100-10</t>
  </si>
  <si>
    <t>Parlantes</t>
  </si>
  <si>
    <t>100-11</t>
  </si>
  <si>
    <t>100-12</t>
  </si>
  <si>
    <t>Scanner</t>
  </si>
  <si>
    <t>100-13</t>
  </si>
  <si>
    <t>Memoria RAM</t>
  </si>
  <si>
    <t>100-14</t>
  </si>
  <si>
    <t>Disco Duro 500 GB</t>
  </si>
  <si>
    <t>TOTALES:</t>
  </si>
  <si>
    <t>BECERRA CRUZADO, Tania</t>
  </si>
  <si>
    <t>MENDOZA PEREYRA, Rosa</t>
  </si>
  <si>
    <t>ODAR BARRIENTE, Karina</t>
  </si>
  <si>
    <t>ALVARADO TIRADO, Patricia</t>
  </si>
  <si>
    <t>CRUZ BRICEÑO, Yolanda</t>
  </si>
  <si>
    <t>HILARIO CANOVA, Corina</t>
  </si>
  <si>
    <t>BEJAR PILLACA, Marlene</t>
  </si>
  <si>
    <t>ALLCCARIMA CRISOSTOMO, Eliana</t>
  </si>
  <si>
    <t>FLORES PEREZ, Lourdes</t>
  </si>
  <si>
    <t>MONAGO ROBLES, Hilda</t>
  </si>
  <si>
    <t>PAREDES TAPIA, Elena</t>
  </si>
  <si>
    <t>VASQUEZ CRESPIN, Carlos</t>
  </si>
  <si>
    <t>CRUCES PALOMINO, Armando</t>
  </si>
  <si>
    <t>LAHUNA PAREDES, Luisa</t>
  </si>
  <si>
    <t>Ingresar la fórmulas en el siguiente cuadro.</t>
  </si>
  <si>
    <t>Prestamo en Dolares</t>
  </si>
  <si>
    <t>Equivalencia en soles</t>
  </si>
  <si>
    <t>Tipo de Cambio</t>
  </si>
  <si>
    <t>Prestamo en Soles</t>
  </si>
  <si>
    <t>Equivalencia en Dolares</t>
  </si>
  <si>
    <t>Ejercicio 3:</t>
  </si>
  <si>
    <t>Deposito</t>
  </si>
  <si>
    <t>Interes Enero</t>
  </si>
  <si>
    <t>Saldo Enero</t>
  </si>
  <si>
    <t>Interés Mensual</t>
  </si>
  <si>
    <t>Ejercicio 4:</t>
  </si>
  <si>
    <t>Precio Costo</t>
  </si>
  <si>
    <t>Precio Venta</t>
  </si>
  <si>
    <t>Procesador</t>
  </si>
  <si>
    <t>Ejercicio 5:</t>
  </si>
  <si>
    <t>Disco Duro externo</t>
  </si>
  <si>
    <t>USB DE 32 GB</t>
  </si>
  <si>
    <t>Tarjeta de RED</t>
  </si>
  <si>
    <t>Placa Intel</t>
  </si>
  <si>
    <t>Prestamo en
Soles</t>
  </si>
  <si>
    <t>Préstamo en
Dolares</t>
  </si>
  <si>
    <t xml:space="preserve">Financiera ABC </t>
  </si>
  <si>
    <t>Comisión</t>
  </si>
  <si>
    <t>Precio de Venta</t>
  </si>
  <si>
    <t>Flete por Caja</t>
  </si>
  <si>
    <t>Cajas de Vino</t>
  </si>
  <si>
    <t>Total Descuentos</t>
  </si>
  <si>
    <t>Calcular los Descuentos y el Total descuento en el siguiente cuadro.</t>
  </si>
  <si>
    <t>GASTOS DE PRODUCCION MINERAL</t>
  </si>
  <si>
    <t>Ejemplo 1:</t>
  </si>
  <si>
    <t>2. Incrementar Porcentajes</t>
  </si>
  <si>
    <t>Fórmula</t>
  </si>
  <si>
    <t xml:space="preserve"> =(1 + n%)*Valor</t>
  </si>
  <si>
    <t>1. Extraer Porcentajes</t>
  </si>
  <si>
    <t xml:space="preserve"> =Valor*n%</t>
  </si>
  <si>
    <t>Descripción del Producto</t>
  </si>
  <si>
    <t>Aumento</t>
  </si>
  <si>
    <t>Precio de Costo</t>
  </si>
  <si>
    <t xml:space="preserve">IGV </t>
  </si>
  <si>
    <t>Producto1</t>
  </si>
  <si>
    <t>Producto2</t>
  </si>
  <si>
    <t>Producto3</t>
  </si>
  <si>
    <t>Producto4</t>
  </si>
  <si>
    <t>Producto5</t>
  </si>
  <si>
    <t>Producto6</t>
  </si>
  <si>
    <t>Resuelva el siguiente cuadro.</t>
  </si>
  <si>
    <t>Ventas Enero</t>
  </si>
  <si>
    <t>Ventas Febrero</t>
  </si>
  <si>
    <t>Ventas Marzo</t>
  </si>
  <si>
    <t>Total Trimestre</t>
  </si>
  <si>
    <t>Televisor</t>
  </si>
  <si>
    <t>Licuadora</t>
  </si>
  <si>
    <t>Ventilador</t>
  </si>
  <si>
    <t>3. Reducir Porcentajes</t>
  </si>
  <si>
    <t xml:space="preserve"> =(1 - n%)*Valor</t>
  </si>
  <si>
    <t>4. Distribución de Porcentajes</t>
  </si>
  <si>
    <t>Encuesta sobre preferencias</t>
  </si>
  <si>
    <t>Bebida Gaseosa</t>
  </si>
  <si>
    <t>Total respuestas</t>
  </si>
  <si>
    <t>Porcentaje de Distribución.</t>
  </si>
  <si>
    <t>Pepsi</t>
  </si>
  <si>
    <t>Inka Cola</t>
  </si>
  <si>
    <t>Coca Cola</t>
  </si>
  <si>
    <t>Fanta</t>
  </si>
  <si>
    <t>Crush</t>
  </si>
  <si>
    <t>Guarana</t>
  </si>
  <si>
    <t xml:space="preserve"> =El primer total/Total General</t>
  </si>
  <si>
    <t>Referencias Absolutas</t>
  </si>
  <si>
    <t>Referencias Mixtas</t>
  </si>
  <si>
    <t>Referencias de Celdas</t>
  </si>
  <si>
    <r>
      <t xml:space="preserve">Calcular la equivalencia de </t>
    </r>
    <r>
      <rPr>
        <b/>
        <sz val="12"/>
        <color theme="1"/>
        <rFont val="Arial Unicode MS"/>
        <family val="2"/>
      </rPr>
      <t>Soles a Dolares</t>
    </r>
  </si>
  <si>
    <r>
      <t xml:space="preserve">Calcular la equivalencia de </t>
    </r>
    <r>
      <rPr>
        <b/>
        <sz val="12"/>
        <color theme="1"/>
        <rFont val="Arial Unicode MS"/>
        <family val="2"/>
      </rPr>
      <t>Dolares a Soles</t>
    </r>
  </si>
  <si>
    <r>
      <t xml:space="preserve">Calcular el </t>
    </r>
    <r>
      <rPr>
        <b/>
        <sz val="12"/>
        <color theme="1"/>
        <rFont val="Arial Unicode MS"/>
        <family val="2"/>
      </rPr>
      <t xml:space="preserve">precio de venta </t>
    </r>
    <r>
      <rPr>
        <sz val="12"/>
        <color theme="1"/>
        <rFont val="Arial Unicode MS"/>
        <family val="2"/>
      </rPr>
      <t>de cada uno de los productos</t>
    </r>
  </si>
  <si>
    <r>
      <t xml:space="preserve">Calcular el </t>
    </r>
    <r>
      <rPr>
        <b/>
        <sz val="12"/>
        <color theme="1"/>
        <rFont val="Arial Unicode MS"/>
        <family val="2"/>
      </rPr>
      <t>precio de venta</t>
    </r>
    <r>
      <rPr>
        <sz val="12"/>
        <color theme="1"/>
        <rFont val="Arial Unicode MS"/>
        <family val="2"/>
      </rPr>
      <t xml:space="preserve"> de cada uno de los productos</t>
    </r>
  </si>
  <si>
    <r>
      <t>Ingresar la fórmulas en la siguiente Factura, donde los</t>
    </r>
    <r>
      <rPr>
        <b/>
        <sz val="12"/>
        <color rgb="FF002060"/>
        <rFont val="Arial Unicode MS"/>
        <family val="2"/>
      </rPr>
      <t xml:space="preserve"> precios tienen incluido el IGV.</t>
    </r>
  </si>
  <si>
    <r>
      <t xml:space="preserve">Calcular la equivalencia de </t>
    </r>
    <r>
      <rPr>
        <b/>
        <sz val="12"/>
        <color rgb="FF002060"/>
        <rFont val="Arial Unicode MS"/>
        <family val="2"/>
      </rPr>
      <t>Soles a Dolares</t>
    </r>
  </si>
  <si>
    <r>
      <t xml:space="preserve">Calcular los </t>
    </r>
    <r>
      <rPr>
        <b/>
        <sz val="12"/>
        <color rgb="FF002060"/>
        <rFont val="Arial Unicode MS"/>
        <family val="2"/>
      </rPr>
      <t xml:space="preserve">Intereses </t>
    </r>
    <r>
      <rPr>
        <sz val="12"/>
        <color rgb="FF002060"/>
        <rFont val="Arial Unicode MS"/>
        <family val="2"/>
      </rPr>
      <t xml:space="preserve">y los </t>
    </r>
    <r>
      <rPr>
        <b/>
        <sz val="12"/>
        <color rgb="FF002060"/>
        <rFont val="Arial Unicode MS"/>
        <family val="2"/>
      </rPr>
      <t>Saldos</t>
    </r>
    <r>
      <rPr>
        <sz val="12"/>
        <color rgb="FF002060"/>
        <rFont val="Arial Unicode MS"/>
        <family val="2"/>
      </rPr>
      <t xml:space="preserve"> de la Financiera ABC.</t>
    </r>
  </si>
  <si>
    <r>
      <t xml:space="preserve">Calcular el </t>
    </r>
    <r>
      <rPr>
        <b/>
        <sz val="12"/>
        <color rgb="FF002060"/>
        <rFont val="Arial Unicode MS"/>
        <family val="2"/>
      </rPr>
      <t>sueldo total</t>
    </r>
    <r>
      <rPr>
        <sz val="12"/>
        <color rgb="FF002060"/>
        <rFont val="Arial Unicode MS"/>
        <family val="2"/>
      </rPr>
      <t xml:space="preserve"> de cada uno de los </t>
    </r>
    <r>
      <rPr>
        <b/>
        <sz val="12"/>
        <color rgb="FF002060"/>
        <rFont val="Arial Unicode MS"/>
        <family val="2"/>
      </rPr>
      <t>vendedores.</t>
    </r>
  </si>
  <si>
    <r>
      <t>Calcular los</t>
    </r>
    <r>
      <rPr>
        <b/>
        <sz val="14"/>
        <color rgb="FF002060"/>
        <rFont val="Arial Unicode MS"/>
        <family val="2"/>
      </rPr>
      <t xml:space="preserve"> gastos de producción mineral</t>
    </r>
    <r>
      <rPr>
        <sz val="14"/>
        <color rgb="FF002060"/>
        <rFont val="Arial Unicode MS"/>
        <family val="2"/>
      </rPr>
      <t xml:space="preserve"> en el siguiente cuadro.</t>
    </r>
  </si>
  <si>
    <r>
      <t xml:space="preserve">Se pide determinar la </t>
    </r>
    <r>
      <rPr>
        <b/>
        <sz val="12"/>
        <color rgb="FF002060"/>
        <rFont val="Arial Unicode MS"/>
        <family val="2"/>
      </rPr>
      <t>Proyección ventas</t>
    </r>
    <r>
      <rPr>
        <sz val="12"/>
        <color rgb="FF002060"/>
        <rFont val="Arial Unicode MS"/>
        <family val="2"/>
      </rPr>
      <t xml:space="preserve"> para los meses de </t>
    </r>
    <r>
      <rPr>
        <b/>
        <sz val="12"/>
        <color rgb="FF002060"/>
        <rFont val="Arial Unicode MS"/>
        <family val="2"/>
      </rPr>
      <t xml:space="preserve">Febrero y Marzo </t>
    </r>
    <r>
      <rPr>
        <sz val="12"/>
        <color rgb="FF002060"/>
        <rFont val="Arial Unicode MS"/>
        <family val="2"/>
      </rPr>
      <t xml:space="preserve">tomando como base las ventas realizadas en el mes de Enero al que se le aplicará  el % de incremento </t>
    </r>
  </si>
  <si>
    <r>
      <t xml:space="preserve">Por liquidación la empresa realiza un porcentaje de descuento en todos sus productos para los meses de </t>
    </r>
    <r>
      <rPr>
        <b/>
        <sz val="12"/>
        <color rgb="FF002060"/>
        <rFont val="Arial Unicode MS"/>
        <family val="2"/>
      </rPr>
      <t xml:space="preserve">Febrero y Marzo </t>
    </r>
    <r>
      <rPr>
        <sz val="12"/>
        <color rgb="FF002060"/>
        <rFont val="Arial Unicode MS"/>
        <family val="2"/>
      </rPr>
      <t>tomando como base las ventas realizadas en el mes de Enero.</t>
    </r>
  </si>
  <si>
    <t>Calcular el interés mensual</t>
  </si>
  <si>
    <r>
      <t xml:space="preserve">Cálculos de </t>
    </r>
    <r>
      <rPr>
        <b/>
        <sz val="12"/>
        <color rgb="FF002060"/>
        <rFont val="Arial Unicode MS"/>
        <family val="2"/>
      </rPr>
      <t>porcentajes utilizando referencias de Celdas.</t>
    </r>
  </si>
  <si>
    <t>Encuesta sobre preferencia de bedibas: Determinar el porcentaje de distribución equivalente a las respuestas obtenidas para cada bebida.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</si>
</sst>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 &quot;S/.&quot;\ * #,##0.00_ ;_ &quot;S/.&quot;\ * \-#,##0.00_ ;_ &quot;S/.&quot;\ * &quot;-&quot;??_ ;_ @_ "/>
    <numFmt numFmtId="165" formatCode="&quot;S/.&quot;\ #,##0.00"/>
    <numFmt numFmtId="166" formatCode="0.0%"/>
    <numFmt numFmtId="167" formatCode="_-[$€]* #,##0.00_-;\-[$€]* #,##0.00_-;_-[$€]* &quot;-&quot;??_-;_-@_-"/>
    <numFmt numFmtId="168" formatCode="&quot;S/.&quot;\ #,##0.00;[Red]&quot;S/.&quot;\ #,##0.00"/>
    <numFmt numFmtId="169" formatCode="[$$-440A]#,##0.00"/>
    <numFmt numFmtId="170" formatCode="[$$-340A]\ #,##0.00"/>
    <numFmt numFmtId="171" formatCode="_-[$$-45C]* #,##0_ ;_-[$$-45C]* \-#,##0\ ;_-[$$-45C]* &quot;-&quot;_ ;_-@_ "/>
    <numFmt numFmtId="172" formatCode="[$$-2C0A]\ #,##0"/>
    <numFmt numFmtId="173" formatCode="_ [$S/.-280A]\ * #,##0.00_ ;_ [$S/.-280A]\ * \-#,##0.00_ ;_ [$S/.-280A]\ * &quot;-&quot;??_ ;_ @_ "/>
    <numFmt numFmtId="174" formatCode="[$$-2C0A]\ #,##0.00"/>
    <numFmt numFmtId="175" formatCode="[$$-240A]#,##0.00"/>
    <numFmt numFmtId="176" formatCode="_-&quot;S/.&quot;* #,##0.00_-;\-&quot;S/.&quot;* #,##0.00_-;_-&quot;S/.&quot;* &quot;-&quot;??_-;_-@_-"/>
    <numFmt numFmtId="177" formatCode="&quot;S/&quot;#,##0.00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2060"/>
      <name val="Bookman Old Style"/>
      <family val="1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Bookman Old Style"/>
      <family val="1"/>
    </font>
    <font>
      <b/>
      <sz val="10"/>
      <color indexed="81"/>
      <name val="Arial Unicode MS"/>
      <family val="2"/>
    </font>
    <font>
      <b/>
      <sz val="14"/>
      <color rgb="FF002060"/>
      <name val="Arial Unicode MS"/>
      <family val="2"/>
    </font>
    <font>
      <b/>
      <sz val="11"/>
      <color theme="0"/>
      <name val="Arial Unicode MS"/>
      <family val="2"/>
    </font>
    <font>
      <sz val="10"/>
      <color rgb="FF002060"/>
      <name val="Arial Unicode MS"/>
      <family val="2"/>
    </font>
    <font>
      <b/>
      <sz val="10"/>
      <color rgb="FF002060"/>
      <name val="Arial Unicode MS"/>
      <family val="2"/>
    </font>
    <font>
      <b/>
      <sz val="12"/>
      <color rgb="FF002060"/>
      <name val="Arial Unicode MS"/>
      <family val="2"/>
    </font>
    <font>
      <b/>
      <sz val="12"/>
      <color theme="0"/>
      <name val="Arial Unicode MS"/>
      <family val="2"/>
    </font>
    <font>
      <sz val="11"/>
      <color rgb="FF002060"/>
      <name val="Arial Unicode MS"/>
      <family val="2"/>
    </font>
    <font>
      <sz val="10"/>
      <name val="Bookman Old Style"/>
      <family val="1"/>
    </font>
    <font>
      <sz val="12"/>
      <color rgb="FF002060"/>
      <name val="Bookman Old Style"/>
      <family val="1"/>
    </font>
    <font>
      <b/>
      <sz val="10"/>
      <color theme="0"/>
      <name val="Arial Unicode MS"/>
      <family val="2"/>
    </font>
    <font>
      <sz val="10"/>
      <color indexed="81"/>
      <name val="Arial Unicode MS"/>
      <family val="2"/>
    </font>
    <font>
      <b/>
      <u/>
      <sz val="10"/>
      <color rgb="FF002060"/>
      <name val="Arial Unicode MS"/>
      <family val="2"/>
    </font>
    <font>
      <sz val="10"/>
      <color rgb="FF002060"/>
      <name val="Bookman Old Style"/>
      <family val="1"/>
    </font>
    <font>
      <b/>
      <sz val="10"/>
      <name val="Bookman Old Style"/>
      <family val="1"/>
    </font>
    <font>
      <sz val="10"/>
      <name val="Arial Unicode MS"/>
      <family val="2"/>
    </font>
    <font>
      <b/>
      <sz val="14"/>
      <color rgb="FF002060"/>
      <name val="Arial"/>
      <family val="2"/>
    </font>
    <font>
      <sz val="18"/>
      <name val="Bookman Old Style"/>
      <family val="1"/>
    </font>
    <font>
      <b/>
      <sz val="18"/>
      <color indexed="12"/>
      <name val="Bookman Old Style"/>
      <family val="1"/>
    </font>
    <font>
      <b/>
      <sz val="18"/>
      <color theme="0"/>
      <name val="Arial Unicode MS"/>
      <family val="2"/>
    </font>
    <font>
      <b/>
      <sz val="14"/>
      <color rgb="FF002060"/>
      <name val="Arial Unicode MS"/>
    </font>
    <font>
      <b/>
      <sz val="12"/>
      <color rgb="FF002060"/>
      <name val="Arial Unicode MS"/>
    </font>
    <font>
      <b/>
      <sz val="18"/>
      <color theme="0"/>
      <name val="Gilroy ExtraBold"/>
      <family val="3"/>
    </font>
    <font>
      <b/>
      <sz val="20"/>
      <color theme="0"/>
      <name val="Gilroy ExtraBold"/>
      <family val="3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2"/>
      <color theme="1"/>
      <name val="Arial Unicode MS"/>
    </font>
    <font>
      <sz val="20"/>
      <name val="Gilroy ExtraBold"/>
      <family val="3"/>
    </font>
    <font>
      <b/>
      <sz val="20"/>
      <color indexed="12"/>
      <name val="Gilroy ExtraBold"/>
      <family val="3"/>
    </font>
    <font>
      <sz val="11"/>
      <color theme="1"/>
      <name val="Arial Unicode MS"/>
      <family val="2"/>
    </font>
    <font>
      <sz val="10"/>
      <color theme="1"/>
      <name val="Bookman Old Style"/>
      <family val="1"/>
    </font>
    <font>
      <b/>
      <sz val="12"/>
      <name val="Bookman Old Style"/>
      <family val="1"/>
    </font>
    <font>
      <sz val="12"/>
      <color rgb="FF002060"/>
      <name val="Arial Unicode MS"/>
      <family val="2"/>
    </font>
    <font>
      <sz val="12"/>
      <color rgb="FF002060"/>
      <name val="Arial Unicode MS"/>
    </font>
    <font>
      <b/>
      <sz val="16"/>
      <color rgb="FF002060"/>
      <name val="Arial Unicode MS"/>
    </font>
    <font>
      <sz val="11"/>
      <color rgb="FF002060"/>
      <name val="Arial Unicode MS"/>
    </font>
    <font>
      <b/>
      <sz val="12"/>
      <color theme="0"/>
      <name val="Arial Unicode MS"/>
    </font>
    <font>
      <sz val="14"/>
      <color rgb="FF002060"/>
      <name val="Arial Unicode MS"/>
      <family val="2"/>
    </font>
    <font>
      <b/>
      <sz val="12"/>
      <color rgb="FFC00000"/>
      <name val="Arial Unicode MS"/>
      <family val="2"/>
    </font>
    <font>
      <b/>
      <sz val="16"/>
      <color rgb="FF002060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theme="6" tint="-0.249977111117893"/>
      </patternFill>
    </fill>
    <fill>
      <patternFill patternType="solid">
        <fgColor theme="0"/>
        <bgColor theme="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 style="hair">
        <color rgb="FF0070C0"/>
      </left>
      <right/>
      <top/>
      <bottom/>
      <diagonal/>
    </border>
    <border>
      <left/>
      <right style="hair">
        <color rgb="FF0070C0"/>
      </right>
      <top/>
      <bottom/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theme="0" tint="-0.14996795556505021"/>
      </right>
      <top style="hair">
        <color rgb="FF0070C0"/>
      </top>
      <bottom style="hair">
        <color rgb="FF0070C0"/>
      </bottom>
      <diagonal/>
    </border>
    <border>
      <left/>
      <right style="hair">
        <color theme="0" tint="-0.14996795556505021"/>
      </right>
      <top/>
      <bottom/>
      <diagonal/>
    </border>
    <border>
      <left style="medium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  <border>
      <left style="medium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medium">
        <color theme="1"/>
      </right>
      <top/>
      <bottom style="hair">
        <color theme="1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hair">
        <color rgb="FF0070C0"/>
      </bottom>
      <diagonal/>
    </border>
  </borders>
  <cellStyleXfs count="2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1" fillId="0" borderId="0"/>
    <xf numFmtId="0" fontId="5" fillId="0" borderId="0"/>
    <xf numFmtId="0" fontId="5" fillId="0" borderId="0"/>
    <xf numFmtId="176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249">
    <xf numFmtId="0" fontId="0" fillId="0" borderId="0" xfId="0"/>
    <xf numFmtId="0" fontId="8" fillId="2" borderId="0" xfId="0" applyFont="1" applyFill="1" applyProtection="1">
      <protection locked="0"/>
    </xf>
    <xf numFmtId="0" fontId="3" fillId="2" borderId="0" xfId="16" applyFont="1" applyFill="1" applyAlignment="1" applyProtection="1">
      <alignment vertical="center"/>
      <protection locked="0"/>
    </xf>
    <xf numFmtId="164" fontId="3" fillId="2" borderId="0" xfId="16" applyNumberFormat="1" applyFont="1" applyFill="1" applyAlignment="1" applyProtection="1">
      <alignment vertical="center"/>
      <protection locked="0"/>
    </xf>
    <xf numFmtId="0" fontId="12" fillId="2" borderId="0" xfId="17" applyFont="1" applyFill="1" applyProtection="1">
      <protection locked="0"/>
    </xf>
    <xf numFmtId="0" fontId="16" fillId="2" borderId="0" xfId="17" applyFont="1" applyFill="1" applyProtection="1">
      <protection locked="0"/>
    </xf>
    <xf numFmtId="0" fontId="17" fillId="2" borderId="0" xfId="0" applyFont="1" applyFill="1" applyProtection="1">
      <protection locked="0"/>
    </xf>
    <xf numFmtId="0" fontId="18" fillId="2" borderId="7" xfId="18" applyFont="1" applyFill="1" applyBorder="1" applyProtection="1">
      <protection locked="0"/>
    </xf>
    <xf numFmtId="0" fontId="18" fillId="2" borderId="6" xfId="18" applyFont="1" applyFill="1" applyBorder="1" applyProtection="1">
      <protection locked="0"/>
    </xf>
    <xf numFmtId="0" fontId="13" fillId="2" borderId="0" xfId="0" applyFont="1" applyFill="1" applyAlignment="1">
      <alignment horizontal="center" vertical="center"/>
    </xf>
    <xf numFmtId="0" fontId="22" fillId="2" borderId="0" xfId="0" applyFont="1" applyFill="1" applyProtection="1">
      <protection locked="0"/>
    </xf>
    <xf numFmtId="0" fontId="13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164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23" fillId="2" borderId="0" xfId="0" applyFont="1" applyFill="1" applyAlignment="1" applyProtection="1">
      <alignment horizontal="left"/>
      <protection locked="0"/>
    </xf>
    <xf numFmtId="164" fontId="12" fillId="2" borderId="3" xfId="0" applyNumberFormat="1" applyFont="1" applyFill="1" applyBorder="1" applyAlignment="1">
      <alignment horizontal="center" vertical="center"/>
    </xf>
    <xf numFmtId="164" fontId="17" fillId="2" borderId="0" xfId="0" applyNumberFormat="1" applyFont="1" applyFill="1" applyProtection="1">
      <protection locked="0"/>
    </xf>
    <xf numFmtId="0" fontId="12" fillId="2" borderId="0" xfId="16" applyFont="1" applyFill="1" applyAlignment="1" applyProtection="1">
      <alignment horizontal="center" vertical="center"/>
      <protection locked="0"/>
    </xf>
    <xf numFmtId="171" fontId="12" fillId="2" borderId="0" xfId="16" applyNumberFormat="1" applyFont="1" applyFill="1" applyAlignment="1" applyProtection="1">
      <alignment horizontal="center" vertical="center"/>
      <protection locked="0"/>
    </xf>
    <xf numFmtId="164" fontId="12" fillId="2" borderId="0" xfId="16" applyNumberFormat="1" applyFont="1" applyFill="1" applyAlignment="1">
      <alignment horizontal="center" vertical="center"/>
    </xf>
    <xf numFmtId="10" fontId="17" fillId="2" borderId="0" xfId="14" applyNumberFormat="1" applyFont="1" applyFill="1" applyProtection="1">
      <protection locked="0"/>
    </xf>
    <xf numFmtId="2" fontId="17" fillId="2" borderId="0" xfId="0" applyNumberFormat="1" applyFont="1" applyFill="1" applyProtection="1">
      <protection locked="0"/>
    </xf>
    <xf numFmtId="0" fontId="8" fillId="2" borderId="6" xfId="0" applyFont="1" applyFill="1" applyBorder="1" applyProtection="1">
      <protection locked="0"/>
    </xf>
    <xf numFmtId="0" fontId="10" fillId="2" borderId="0" xfId="17" applyFont="1" applyFill="1" applyProtection="1">
      <protection locked="0"/>
    </xf>
    <xf numFmtId="0" fontId="12" fillId="9" borderId="0" xfId="17" applyFont="1" applyFill="1" applyProtection="1">
      <protection locked="0"/>
    </xf>
    <xf numFmtId="0" fontId="26" fillId="9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0" fontId="28" fillId="9" borderId="0" xfId="0" applyFont="1" applyFill="1" applyAlignment="1" applyProtection="1">
      <alignment vertical="center"/>
      <protection locked="0"/>
    </xf>
    <xf numFmtId="0" fontId="33" fillId="2" borderId="5" xfId="18" applyFont="1" applyFill="1" applyBorder="1" applyAlignment="1" applyProtection="1">
      <alignment horizontal="left" vertical="center"/>
      <protection locked="0"/>
    </xf>
    <xf numFmtId="0" fontId="15" fillId="9" borderId="10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/>
    </xf>
    <xf numFmtId="172" fontId="35" fillId="2" borderId="10" xfId="0" applyNumberFormat="1" applyFont="1" applyFill="1" applyBorder="1" applyAlignment="1">
      <alignment horizontal="center" vertical="center"/>
    </xf>
    <xf numFmtId="9" fontId="35" fillId="2" borderId="13" xfId="14" applyFont="1" applyFill="1" applyBorder="1" applyAlignment="1">
      <alignment horizontal="center" vertical="center"/>
    </xf>
    <xf numFmtId="172" fontId="35" fillId="2" borderId="16" xfId="0" applyNumberFormat="1" applyFont="1" applyFill="1" applyBorder="1" applyAlignment="1">
      <alignment horizontal="center" vertical="center"/>
    </xf>
    <xf numFmtId="177" fontId="29" fillId="2" borderId="17" xfId="0" applyNumberFormat="1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0" fontId="36" fillId="9" borderId="0" xfId="0" applyFont="1" applyFill="1" applyProtection="1">
      <protection locked="0"/>
    </xf>
    <xf numFmtId="0" fontId="37" fillId="9" borderId="0" xfId="0" applyFont="1" applyFill="1" applyAlignment="1" applyProtection="1">
      <alignment horizontal="left"/>
      <protection locked="0"/>
    </xf>
    <xf numFmtId="0" fontId="32" fillId="9" borderId="0" xfId="0" applyFont="1" applyFill="1" applyAlignment="1" applyProtection="1">
      <alignment vertical="center"/>
      <protection locked="0"/>
    </xf>
    <xf numFmtId="0" fontId="19" fillId="9" borderId="2" xfId="0" applyFont="1" applyFill="1" applyBorder="1" applyAlignment="1">
      <alignment horizontal="left" vertical="center"/>
    </xf>
    <xf numFmtId="0" fontId="17" fillId="9" borderId="0" xfId="0" applyFont="1" applyFill="1" applyProtection="1">
      <protection locked="0"/>
    </xf>
    <xf numFmtId="0" fontId="13" fillId="9" borderId="0" xfId="0" applyFont="1" applyFill="1" applyAlignment="1">
      <alignment horizontal="left" vertical="center"/>
    </xf>
    <xf numFmtId="0" fontId="22" fillId="9" borderId="0" xfId="0" applyFont="1" applyFill="1" applyProtection="1">
      <protection locked="0"/>
    </xf>
    <xf numFmtId="0" fontId="13" fillId="9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/>
    </xf>
    <xf numFmtId="0" fontId="23" fillId="9" borderId="0" xfId="0" applyFont="1" applyFill="1" applyAlignment="1" applyProtection="1">
      <alignment horizontal="left"/>
      <protection locked="0"/>
    </xf>
    <xf numFmtId="0" fontId="12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vertical="center"/>
    </xf>
    <xf numFmtId="0" fontId="15" fillId="9" borderId="2" xfId="0" applyFont="1" applyFill="1" applyBorder="1" applyAlignment="1">
      <alignment horizontal="left" vertical="center"/>
    </xf>
    <xf numFmtId="0" fontId="34" fillId="2" borderId="1" xfId="0" applyFont="1" applyFill="1" applyBorder="1" applyAlignment="1">
      <alignment horizontal="left" vertical="center"/>
    </xf>
    <xf numFmtId="0" fontId="38" fillId="2" borderId="8" xfId="0" applyFont="1" applyFill="1" applyBorder="1" applyAlignment="1">
      <alignment horizontal="left" vertical="center"/>
    </xf>
    <xf numFmtId="164" fontId="12" fillId="9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40" fillId="2" borderId="0" xfId="0" applyFont="1" applyFill="1" applyAlignment="1" applyProtection="1">
      <alignment horizontal="left"/>
      <protection locked="0"/>
    </xf>
    <xf numFmtId="0" fontId="39" fillId="9" borderId="0" xfId="0" applyFont="1" applyFill="1" applyProtection="1">
      <protection locked="0"/>
    </xf>
    <xf numFmtId="0" fontId="15" fillId="9" borderId="10" xfId="0" applyFont="1" applyFill="1" applyBorder="1" applyAlignment="1" applyProtection="1">
      <alignment horizontal="center" vertical="center"/>
      <protection locked="0"/>
    </xf>
    <xf numFmtId="0" fontId="15" fillId="9" borderId="11" xfId="0" applyFont="1" applyFill="1" applyBorder="1" applyAlignment="1" applyProtection="1">
      <alignment horizontal="center" vertical="center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12" xfId="0" applyFont="1" applyFill="1" applyBorder="1" applyAlignment="1" applyProtection="1">
      <alignment horizontal="center" vertical="center" wrapText="1"/>
      <protection locked="0"/>
    </xf>
    <xf numFmtId="0" fontId="11" fillId="9" borderId="1" xfId="9" applyFont="1" applyFill="1" applyBorder="1" applyAlignment="1" applyProtection="1">
      <alignment horizontal="center" vertical="center"/>
      <protection locked="0"/>
    </xf>
    <xf numFmtId="0" fontId="24" fillId="2" borderId="11" xfId="9" applyFont="1" applyFill="1" applyBorder="1" applyProtection="1">
      <protection locked="0"/>
    </xf>
    <xf numFmtId="0" fontId="24" fillId="2" borderId="12" xfId="9" applyFont="1" applyFill="1" applyBorder="1" applyProtection="1">
      <protection locked="0"/>
    </xf>
    <xf numFmtId="0" fontId="13" fillId="2" borderId="13" xfId="9" applyFont="1" applyFill="1" applyBorder="1" applyAlignment="1" applyProtection="1">
      <alignment vertical="center"/>
      <protection locked="0"/>
    </xf>
    <xf numFmtId="9" fontId="13" fillId="2" borderId="14" xfId="9" applyNumberFormat="1" applyFont="1" applyFill="1" applyBorder="1" applyAlignment="1" applyProtection="1">
      <alignment vertical="center"/>
      <protection locked="0"/>
    </xf>
    <xf numFmtId="0" fontId="24" fillId="2" borderId="14" xfId="9" applyFont="1" applyFill="1" applyBorder="1" applyProtection="1">
      <protection locked="0"/>
    </xf>
    <xf numFmtId="0" fontId="24" fillId="2" borderId="15" xfId="9" applyFont="1" applyFill="1" applyBorder="1" applyProtection="1">
      <protection locked="0"/>
    </xf>
    <xf numFmtId="0" fontId="11" fillId="9" borderId="13" xfId="9" applyFont="1" applyFill="1" applyBorder="1" applyAlignment="1" applyProtection="1">
      <alignment horizontal="center" vertical="center"/>
      <protection locked="0"/>
    </xf>
    <xf numFmtId="0" fontId="11" fillId="9" borderId="14" xfId="9" applyFont="1" applyFill="1" applyBorder="1" applyAlignment="1" applyProtection="1">
      <alignment horizontal="center" vertical="center"/>
      <protection locked="0"/>
    </xf>
    <xf numFmtId="0" fontId="11" fillId="9" borderId="15" xfId="9" applyFont="1" applyFill="1" applyBorder="1" applyAlignment="1" applyProtection="1">
      <alignment horizontal="center" vertical="center"/>
      <protection locked="0"/>
    </xf>
    <xf numFmtId="0" fontId="17" fillId="2" borderId="13" xfId="0" applyFont="1" applyFill="1" applyBorder="1" applyProtection="1">
      <protection locked="0"/>
    </xf>
    <xf numFmtId="0" fontId="17" fillId="2" borderId="14" xfId="0" applyFont="1" applyFill="1" applyBorder="1" applyProtection="1">
      <protection locked="0"/>
    </xf>
    <xf numFmtId="0" fontId="17" fillId="2" borderId="15" xfId="0" applyFont="1" applyFill="1" applyBorder="1" applyProtection="1">
      <protection locked="0"/>
    </xf>
    <xf numFmtId="0" fontId="17" fillId="4" borderId="13" xfId="0" applyFont="1" applyFill="1" applyBorder="1" applyProtection="1">
      <protection locked="0"/>
    </xf>
    <xf numFmtId="0" fontId="17" fillId="4" borderId="14" xfId="0" applyFont="1" applyFill="1" applyBorder="1" applyProtection="1">
      <protection locked="0"/>
    </xf>
    <xf numFmtId="0" fontId="17" fillId="4" borderId="15" xfId="0" applyFont="1" applyFill="1" applyBorder="1" applyProtection="1">
      <protection locked="0"/>
    </xf>
    <xf numFmtId="0" fontId="17" fillId="5" borderId="13" xfId="0" applyFont="1" applyFill="1" applyBorder="1" applyProtection="1">
      <protection locked="0"/>
    </xf>
    <xf numFmtId="0" fontId="17" fillId="5" borderId="14" xfId="0" applyFont="1" applyFill="1" applyBorder="1" applyProtection="1">
      <protection locked="0"/>
    </xf>
    <xf numFmtId="0" fontId="17" fillId="5" borderId="15" xfId="0" applyFont="1" applyFill="1" applyBorder="1" applyProtection="1">
      <protection locked="0"/>
    </xf>
    <xf numFmtId="0" fontId="15" fillId="9" borderId="14" xfId="16" applyFont="1" applyFill="1" applyBorder="1" applyAlignment="1" applyProtection="1">
      <alignment horizontal="center" vertical="center"/>
      <protection locked="0"/>
    </xf>
    <xf numFmtId="166" fontId="15" fillId="9" borderId="14" xfId="16" applyNumberFormat="1" applyFont="1" applyFill="1" applyBorder="1" applyAlignment="1" applyProtection="1">
      <alignment horizontal="center" vertical="center"/>
      <protection locked="0"/>
    </xf>
    <xf numFmtId="0" fontId="19" fillId="11" borderId="0" xfId="9" applyFont="1" applyFill="1" applyAlignment="1" applyProtection="1">
      <alignment horizontal="center" vertical="center"/>
      <protection locked="0"/>
    </xf>
    <xf numFmtId="0" fontId="11" fillId="9" borderId="1" xfId="9" applyFont="1" applyFill="1" applyBorder="1" applyAlignment="1" applyProtection="1">
      <alignment horizontal="center" vertical="center" wrapText="1"/>
      <protection locked="0"/>
    </xf>
    <xf numFmtId="0" fontId="19" fillId="9" borderId="1" xfId="9" applyFont="1" applyFill="1" applyBorder="1" applyAlignment="1">
      <alignment horizontal="center" vertical="center"/>
    </xf>
    <xf numFmtId="0" fontId="11" fillId="9" borderId="1" xfId="9" applyFont="1" applyFill="1" applyBorder="1" applyAlignment="1">
      <alignment horizontal="center" vertical="center"/>
    </xf>
    <xf numFmtId="0" fontId="11" fillId="9" borderId="1" xfId="9" applyFont="1" applyFill="1" applyBorder="1" applyAlignment="1">
      <alignment horizontal="center" vertical="center" wrapText="1"/>
    </xf>
    <xf numFmtId="0" fontId="41" fillId="2" borderId="5" xfId="18" applyFont="1" applyFill="1" applyBorder="1" applyAlignment="1" applyProtection="1">
      <alignment horizontal="left" vertical="center"/>
      <protection locked="0"/>
    </xf>
    <xf numFmtId="0" fontId="42" fillId="2" borderId="13" xfId="0" applyFont="1" applyFill="1" applyBorder="1" applyAlignment="1">
      <alignment horizontal="center" vertical="center"/>
    </xf>
    <xf numFmtId="0" fontId="42" fillId="2" borderId="14" xfId="0" applyFont="1" applyFill="1" applyBorder="1" applyAlignment="1">
      <alignment vertical="center"/>
    </xf>
    <xf numFmtId="164" fontId="42" fillId="2" borderId="14" xfId="0" applyNumberFormat="1" applyFont="1" applyFill="1" applyBorder="1" applyAlignment="1">
      <alignment horizontal="center" vertical="center"/>
    </xf>
    <xf numFmtId="0" fontId="42" fillId="2" borderId="16" xfId="0" applyFont="1" applyFill="1" applyBorder="1" applyAlignment="1">
      <alignment horizontal="center" vertical="center"/>
    </xf>
    <xf numFmtId="0" fontId="42" fillId="2" borderId="17" xfId="0" applyFont="1" applyFill="1" applyBorder="1" applyAlignment="1">
      <alignment vertical="center"/>
    </xf>
    <xf numFmtId="164" fontId="42" fillId="2" borderId="17" xfId="0" applyNumberFormat="1" applyFont="1" applyFill="1" applyBorder="1" applyAlignment="1">
      <alignment horizontal="center" vertical="center"/>
    </xf>
    <xf numFmtId="164" fontId="42" fillId="2" borderId="18" xfId="0" applyNumberFormat="1" applyFont="1" applyFill="1" applyBorder="1" applyAlignment="1">
      <alignment horizontal="center" vertical="center"/>
    </xf>
    <xf numFmtId="0" fontId="42" fillId="6" borderId="13" xfId="0" applyFont="1" applyFill="1" applyBorder="1" applyAlignment="1">
      <alignment vertical="center"/>
    </xf>
    <xf numFmtId="0" fontId="42" fillId="2" borderId="14" xfId="0" applyFont="1" applyFill="1" applyBorder="1" applyAlignment="1">
      <alignment horizontal="left" vertical="center"/>
    </xf>
    <xf numFmtId="0" fontId="42" fillId="6" borderId="14" xfId="0" applyFont="1" applyFill="1" applyBorder="1" applyAlignment="1">
      <alignment vertical="center"/>
    </xf>
    <xf numFmtId="0" fontId="42" fillId="6" borderId="14" xfId="0" applyFont="1" applyFill="1" applyBorder="1" applyAlignment="1">
      <alignment horizontal="center" vertical="center"/>
    </xf>
    <xf numFmtId="173" fontId="42" fillId="6" borderId="14" xfId="0" applyNumberFormat="1" applyFont="1" applyFill="1" applyBorder="1" applyAlignment="1">
      <alignment vertical="center"/>
    </xf>
    <xf numFmtId="0" fontId="42" fillId="7" borderId="13" xfId="0" applyFont="1" applyFill="1" applyBorder="1" applyAlignment="1">
      <alignment vertical="center"/>
    </xf>
    <xf numFmtId="0" fontId="42" fillId="7" borderId="14" xfId="0" applyFont="1" applyFill="1" applyBorder="1" applyAlignment="1">
      <alignment vertical="center"/>
    </xf>
    <xf numFmtId="0" fontId="42" fillId="7" borderId="14" xfId="0" applyFont="1" applyFill="1" applyBorder="1" applyAlignment="1">
      <alignment horizontal="center" vertical="center"/>
    </xf>
    <xf numFmtId="173" fontId="42" fillId="7" borderId="14" xfId="0" applyNumberFormat="1" applyFont="1" applyFill="1" applyBorder="1" applyAlignment="1">
      <alignment vertical="center"/>
    </xf>
    <xf numFmtId="0" fontId="14" fillId="2" borderId="17" xfId="0" applyFont="1" applyFill="1" applyBorder="1" applyAlignment="1">
      <alignment horizontal="right" vertical="center"/>
    </xf>
    <xf numFmtId="0" fontId="16" fillId="2" borderId="8" xfId="0" applyFont="1" applyFill="1" applyBorder="1" applyAlignment="1">
      <alignment horizontal="left" vertical="center"/>
    </xf>
    <xf numFmtId="0" fontId="18" fillId="2" borderId="0" xfId="0" applyFont="1" applyFill="1" applyProtection="1">
      <protection locked="0"/>
    </xf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8" fillId="9" borderId="0" xfId="0" applyFont="1" applyFill="1" applyProtection="1">
      <protection locked="0"/>
    </xf>
    <xf numFmtId="0" fontId="14" fillId="9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 vertical="center"/>
    </xf>
    <xf numFmtId="170" fontId="41" fillId="2" borderId="9" xfId="0" applyNumberFormat="1" applyFont="1" applyFill="1" applyBorder="1" applyAlignment="1">
      <alignment horizontal="center" vertical="center"/>
    </xf>
    <xf numFmtId="0" fontId="41" fillId="4" borderId="0" xfId="0" applyFont="1" applyFill="1" applyAlignment="1">
      <alignment vertical="center"/>
    </xf>
    <xf numFmtId="164" fontId="41" fillId="4" borderId="0" xfId="0" applyNumberFormat="1" applyFont="1" applyFill="1" applyAlignment="1">
      <alignment horizontal="center" vertical="center"/>
    </xf>
    <xf numFmtId="0" fontId="18" fillId="4" borderId="0" xfId="0" applyFont="1" applyFill="1" applyProtection="1">
      <protection locked="0"/>
    </xf>
    <xf numFmtId="165" fontId="41" fillId="2" borderId="1" xfId="0" applyNumberFormat="1" applyFont="1" applyFill="1" applyBorder="1" applyAlignment="1">
      <alignment horizontal="center" vertical="center"/>
    </xf>
    <xf numFmtId="165" fontId="41" fillId="2" borderId="9" xfId="0" applyNumberFormat="1" applyFont="1" applyFill="1" applyBorder="1" applyAlignment="1">
      <alignment horizontal="center" vertical="center"/>
    </xf>
    <xf numFmtId="10" fontId="41" fillId="2" borderId="1" xfId="0" applyNumberFormat="1" applyFont="1" applyFill="1" applyBorder="1" applyAlignment="1">
      <alignment horizontal="center" vertical="center"/>
    </xf>
    <xf numFmtId="0" fontId="22" fillId="4" borderId="0" xfId="0" applyFont="1" applyFill="1" applyProtection="1">
      <protection locked="0"/>
    </xf>
    <xf numFmtId="164" fontId="43" fillId="2" borderId="15" xfId="0" applyNumberFormat="1" applyFont="1" applyFill="1" applyBorder="1" applyAlignment="1">
      <alignment horizontal="center" vertical="center"/>
    </xf>
    <xf numFmtId="173" fontId="43" fillId="2" borderId="12" xfId="0" applyNumberFormat="1" applyFont="1" applyFill="1" applyBorder="1" applyAlignment="1">
      <alignment horizontal="center" vertical="center"/>
    </xf>
    <xf numFmtId="173" fontId="43" fillId="2" borderId="15" xfId="0" applyNumberFormat="1" applyFont="1" applyFill="1" applyBorder="1" applyAlignment="1">
      <alignment horizontal="center" vertical="center"/>
    </xf>
    <xf numFmtId="173" fontId="43" fillId="2" borderId="18" xfId="0" applyNumberFormat="1" applyFont="1" applyFill="1" applyBorder="1" applyAlignment="1">
      <alignment horizontal="center" vertical="center"/>
    </xf>
    <xf numFmtId="173" fontId="43" fillId="6" borderId="14" xfId="0" applyNumberFormat="1" applyFont="1" applyFill="1" applyBorder="1" applyAlignment="1">
      <alignment vertical="center"/>
    </xf>
    <xf numFmtId="173" fontId="43" fillId="6" borderId="15" xfId="0" applyNumberFormat="1" applyFont="1" applyFill="1" applyBorder="1" applyAlignment="1">
      <alignment vertical="center"/>
    </xf>
    <xf numFmtId="0" fontId="42" fillId="2" borderId="13" xfId="0" applyFont="1" applyFill="1" applyBorder="1" applyAlignment="1" applyProtection="1">
      <alignment horizontal="center"/>
      <protection locked="0"/>
    </xf>
    <xf numFmtId="165" fontId="42" fillId="2" borderId="14" xfId="0" applyNumberFormat="1" applyFont="1" applyFill="1" applyBorder="1" applyAlignment="1" applyProtection="1">
      <alignment horizontal="center" vertical="center"/>
      <protection locked="0"/>
    </xf>
    <xf numFmtId="0" fontId="42" fillId="2" borderId="16" xfId="0" applyFont="1" applyFill="1" applyBorder="1" applyAlignment="1" applyProtection="1">
      <alignment horizontal="center"/>
      <protection locked="0"/>
    </xf>
    <xf numFmtId="0" fontId="42" fillId="2" borderId="17" xfId="0" applyFont="1" applyFill="1" applyBorder="1" applyAlignment="1">
      <alignment horizontal="left" vertical="center"/>
    </xf>
    <xf numFmtId="165" fontId="42" fillId="2" borderId="17" xfId="0" applyNumberFormat="1" applyFont="1" applyFill="1" applyBorder="1" applyAlignment="1" applyProtection="1">
      <alignment horizontal="center" vertical="center"/>
      <protection locked="0"/>
    </xf>
    <xf numFmtId="0" fontId="30" fillId="2" borderId="10" xfId="0" applyFont="1" applyFill="1" applyBorder="1" applyAlignment="1" applyProtection="1">
      <alignment horizontal="center" vertical="center"/>
      <protection locked="0"/>
    </xf>
    <xf numFmtId="10" fontId="30" fillId="2" borderId="11" xfId="0" applyNumberFormat="1" applyFont="1" applyFill="1" applyBorder="1" applyAlignment="1" applyProtection="1">
      <alignment horizontal="center" vertical="center"/>
      <protection locked="0"/>
    </xf>
    <xf numFmtId="165" fontId="42" fillId="2" borderId="13" xfId="0" applyNumberFormat="1" applyFont="1" applyFill="1" applyBorder="1" applyAlignment="1" applyProtection="1">
      <alignment horizontal="center" vertical="center"/>
      <protection locked="0"/>
    </xf>
    <xf numFmtId="165" fontId="42" fillId="2" borderId="16" xfId="0" applyNumberFormat="1" applyFont="1" applyFill="1" applyBorder="1" applyAlignment="1" applyProtection="1">
      <alignment horizontal="center" vertical="center"/>
      <protection locked="0"/>
    </xf>
    <xf numFmtId="0" fontId="45" fillId="9" borderId="13" xfId="0" applyFont="1" applyFill="1" applyBorder="1" applyAlignment="1" applyProtection="1">
      <alignment horizontal="center" vertical="center"/>
      <protection locked="0"/>
    </xf>
    <xf numFmtId="0" fontId="45" fillId="9" borderId="14" xfId="0" applyFont="1" applyFill="1" applyBorder="1" applyAlignment="1" applyProtection="1">
      <alignment horizontal="center" vertical="center" wrapText="1"/>
      <protection locked="0"/>
    </xf>
    <xf numFmtId="0" fontId="45" fillId="9" borderId="15" xfId="0" applyFont="1" applyFill="1" applyBorder="1" applyAlignment="1" applyProtection="1">
      <alignment horizontal="center" vertical="center" wrapText="1"/>
      <protection locked="0"/>
    </xf>
    <xf numFmtId="164" fontId="42" fillId="2" borderId="14" xfId="9" applyNumberFormat="1" applyFont="1" applyFill="1" applyBorder="1" applyAlignment="1" applyProtection="1">
      <alignment horizontal="center" vertical="center"/>
      <protection locked="0"/>
    </xf>
    <xf numFmtId="164" fontId="42" fillId="2" borderId="14" xfId="14" applyNumberFormat="1" applyFont="1" applyFill="1" applyBorder="1" applyAlignment="1" applyProtection="1">
      <alignment horizontal="center" vertical="center"/>
      <protection locked="0"/>
    </xf>
    <xf numFmtId="0" fontId="42" fillId="2" borderId="13" xfId="0" applyFont="1" applyFill="1" applyBorder="1" applyAlignment="1">
      <alignment horizontal="left" vertical="center"/>
    </xf>
    <xf numFmtId="0" fontId="42" fillId="2" borderId="16" xfId="0" applyFont="1" applyFill="1" applyBorder="1" applyAlignment="1">
      <alignment horizontal="left" vertical="center"/>
    </xf>
    <xf numFmtId="164" fontId="42" fillId="2" borderId="17" xfId="9" applyNumberFormat="1" applyFont="1" applyFill="1" applyBorder="1" applyAlignment="1" applyProtection="1">
      <alignment horizontal="center" vertical="center"/>
      <protection locked="0"/>
    </xf>
    <xf numFmtId="0" fontId="14" fillId="2" borderId="10" xfId="9" applyFont="1" applyFill="1" applyBorder="1" applyAlignment="1" applyProtection="1">
      <alignment horizontal="center" vertical="center"/>
      <protection locked="0"/>
    </xf>
    <xf numFmtId="10" fontId="14" fillId="2" borderId="11" xfId="9" applyNumberFormat="1" applyFont="1" applyFill="1" applyBorder="1" applyAlignment="1" applyProtection="1">
      <alignment horizontal="center" vertical="center"/>
      <protection locked="0"/>
    </xf>
    <xf numFmtId="0" fontId="42" fillId="2" borderId="5" xfId="18" applyFont="1" applyFill="1" applyBorder="1" applyAlignment="1" applyProtection="1">
      <alignment horizontal="left" vertical="center"/>
      <protection locked="0"/>
    </xf>
    <xf numFmtId="0" fontId="42" fillId="2" borderId="13" xfId="0" applyFont="1" applyFill="1" applyBorder="1" applyAlignment="1" applyProtection="1">
      <alignment horizontal="left" vertical="center"/>
      <protection locked="0"/>
    </xf>
    <xf numFmtId="169" fontId="42" fillId="2" borderId="14" xfId="0" applyNumberFormat="1" applyFont="1" applyFill="1" applyBorder="1" applyAlignment="1" applyProtection="1">
      <alignment horizontal="center" vertical="center"/>
      <protection locked="0"/>
    </xf>
    <xf numFmtId="0" fontId="42" fillId="2" borderId="14" xfId="0" applyFont="1" applyFill="1" applyBorder="1" applyAlignment="1" applyProtection="1">
      <alignment horizontal="center" vertical="center"/>
      <protection locked="0"/>
    </xf>
    <xf numFmtId="0" fontId="42" fillId="2" borderId="16" xfId="0" applyFont="1" applyFill="1" applyBorder="1" applyAlignment="1" applyProtection="1">
      <alignment horizontal="left" vertical="center"/>
      <protection locked="0"/>
    </xf>
    <xf numFmtId="169" fontId="42" fillId="2" borderId="17" xfId="0" applyNumberFormat="1" applyFont="1" applyFill="1" applyBorder="1" applyAlignment="1" applyProtection="1">
      <alignment horizontal="center" vertical="center"/>
      <protection locked="0"/>
    </xf>
    <xf numFmtId="0" fontId="42" fillId="2" borderId="17" xfId="0" applyFont="1" applyFill="1" applyBorder="1" applyAlignment="1" applyProtection="1">
      <alignment horizontal="center" vertical="center"/>
      <protection locked="0"/>
    </xf>
    <xf numFmtId="9" fontId="14" fillId="2" borderId="14" xfId="0" applyNumberFormat="1" applyFont="1" applyFill="1" applyBorder="1" applyAlignment="1" applyProtection="1">
      <alignment horizontal="center" vertical="center" wrapText="1"/>
      <protection locked="0"/>
    </xf>
    <xf numFmtId="10" fontId="14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46" fillId="2" borderId="5" xfId="18" applyFont="1" applyFill="1" applyBorder="1" applyAlignment="1" applyProtection="1">
      <alignment horizontal="left" vertical="center"/>
      <protection locked="0"/>
    </xf>
    <xf numFmtId="0" fontId="44" fillId="2" borderId="13" xfId="16" applyFont="1" applyFill="1" applyBorder="1" applyAlignment="1" applyProtection="1">
      <alignment horizontal="center" vertical="center"/>
      <protection locked="0"/>
    </xf>
    <xf numFmtId="174" fontId="44" fillId="2" borderId="14" xfId="16" applyNumberFormat="1" applyFont="1" applyFill="1" applyBorder="1" applyAlignment="1" applyProtection="1">
      <alignment horizontal="center" vertical="center"/>
      <protection locked="0"/>
    </xf>
    <xf numFmtId="0" fontId="44" fillId="2" borderId="16" xfId="16" applyFont="1" applyFill="1" applyBorder="1" applyAlignment="1" applyProtection="1">
      <alignment horizontal="center" vertical="center"/>
      <protection locked="0"/>
    </xf>
    <xf numFmtId="174" fontId="44" fillId="2" borderId="17" xfId="16" applyNumberFormat="1" applyFont="1" applyFill="1" applyBorder="1" applyAlignment="1" applyProtection="1">
      <alignment horizontal="center" vertical="center"/>
      <protection locked="0"/>
    </xf>
    <xf numFmtId="0" fontId="14" fillId="2" borderId="6" xfId="9" applyFont="1" applyFill="1" applyBorder="1" applyAlignment="1" applyProtection="1">
      <alignment horizontal="center" vertical="center"/>
      <protection locked="0"/>
    </xf>
    <xf numFmtId="0" fontId="14" fillId="2" borderId="1" xfId="9" applyFont="1" applyFill="1" applyBorder="1" applyAlignment="1" applyProtection="1">
      <alignment horizontal="center" vertical="center"/>
      <protection locked="0"/>
    </xf>
    <xf numFmtId="10" fontId="41" fillId="2" borderId="1" xfId="0" applyNumberFormat="1" applyFont="1" applyFill="1" applyBorder="1" applyAlignment="1" applyProtection="1">
      <alignment horizontal="center" vertical="center"/>
      <protection locked="0"/>
    </xf>
    <xf numFmtId="0" fontId="41" fillId="2" borderId="1" xfId="9" applyFont="1" applyFill="1" applyBorder="1" applyAlignment="1" applyProtection="1">
      <alignment horizontal="center" vertical="center"/>
      <protection locked="0"/>
    </xf>
    <xf numFmtId="165" fontId="41" fillId="2" borderId="1" xfId="9" applyNumberFormat="1" applyFont="1" applyFill="1" applyBorder="1" applyAlignment="1" applyProtection="1">
      <alignment horizontal="center" vertical="center"/>
      <protection locked="0"/>
    </xf>
    <xf numFmtId="165" fontId="30" fillId="2" borderId="1" xfId="9" applyNumberFormat="1" applyFont="1" applyFill="1" applyBorder="1" applyAlignment="1" applyProtection="1">
      <alignment horizontal="center" vertical="center"/>
      <protection locked="0"/>
    </xf>
    <xf numFmtId="165" fontId="18" fillId="2" borderId="0" xfId="0" applyNumberFormat="1" applyFont="1" applyFill="1" applyProtection="1">
      <protection locked="0"/>
    </xf>
    <xf numFmtId="165" fontId="18" fillId="2" borderId="0" xfId="0" applyNumberFormat="1" applyFont="1" applyFill="1" applyAlignment="1" applyProtection="1">
      <alignment horizontal="center" vertical="center"/>
      <protection locked="0"/>
    </xf>
    <xf numFmtId="165" fontId="18" fillId="9" borderId="0" xfId="0" applyNumberFormat="1" applyFont="1" applyFill="1" applyProtection="1">
      <protection locked="0"/>
    </xf>
    <xf numFmtId="165" fontId="18" fillId="9" borderId="0" xfId="0" applyNumberFormat="1" applyFont="1" applyFill="1" applyAlignment="1" applyProtection="1">
      <alignment horizontal="center" vertical="center"/>
      <protection locked="0"/>
    </xf>
    <xf numFmtId="165" fontId="30" fillId="2" borderId="1" xfId="9" applyNumberFormat="1" applyFont="1" applyFill="1" applyBorder="1" applyAlignment="1">
      <alignment horizontal="center" vertical="center"/>
    </xf>
    <xf numFmtId="0" fontId="18" fillId="2" borderId="0" xfId="0" applyFont="1" applyFill="1" applyAlignment="1" applyProtection="1">
      <alignment horizontal="center" vertical="center"/>
      <protection locked="0"/>
    </xf>
    <xf numFmtId="0" fontId="18" fillId="9" borderId="0" xfId="0" applyFont="1" applyFill="1" applyAlignment="1" applyProtection="1">
      <alignment horizontal="center" vertical="center"/>
      <protection locked="0"/>
    </xf>
    <xf numFmtId="0" fontId="41" fillId="2" borderId="1" xfId="9" applyFont="1" applyFill="1" applyBorder="1" applyAlignment="1">
      <alignment horizontal="left" vertical="center"/>
    </xf>
    <xf numFmtId="0" fontId="41" fillId="2" borderId="1" xfId="9" applyFont="1" applyFill="1" applyBorder="1" applyAlignment="1">
      <alignment horizontal="center" vertical="center"/>
    </xf>
    <xf numFmtId="0" fontId="14" fillId="2" borderId="1" xfId="9" applyFont="1" applyFill="1" applyBorder="1" applyAlignment="1">
      <alignment horizontal="center" vertical="center"/>
    </xf>
    <xf numFmtId="0" fontId="11" fillId="12" borderId="0" xfId="18" applyFont="1" applyFill="1" applyAlignment="1" applyProtection="1">
      <alignment vertical="center"/>
      <protection locked="0"/>
    </xf>
    <xf numFmtId="0" fontId="11" fillId="12" borderId="1" xfId="0" applyFont="1" applyFill="1" applyBorder="1" applyAlignment="1" applyProtection="1">
      <alignment horizontal="center" vertical="center"/>
      <protection locked="0"/>
    </xf>
    <xf numFmtId="0" fontId="15" fillId="12" borderId="0" xfId="18" applyFont="1" applyFill="1" applyAlignment="1" applyProtection="1">
      <alignment vertical="center"/>
      <protection locked="0"/>
    </xf>
    <xf numFmtId="0" fontId="15" fillId="12" borderId="1" xfId="0" applyFont="1" applyFill="1" applyBorder="1" applyAlignment="1" applyProtection="1">
      <alignment horizontal="center" vertical="center"/>
      <protection locked="0"/>
    </xf>
    <xf numFmtId="0" fontId="19" fillId="12" borderId="1" xfId="0" applyFont="1" applyFill="1" applyBorder="1" applyAlignment="1" applyProtection="1">
      <alignment horizontal="center" vertical="center"/>
      <protection locked="0"/>
    </xf>
    <xf numFmtId="170" fontId="43" fillId="2" borderId="14" xfId="0" applyNumberFormat="1" applyFont="1" applyFill="1" applyBorder="1" applyAlignment="1">
      <alignment horizontal="center" vertical="center"/>
    </xf>
    <xf numFmtId="174" fontId="43" fillId="2" borderId="14" xfId="16" applyNumberFormat="1" applyFont="1" applyFill="1" applyBorder="1" applyAlignment="1">
      <alignment horizontal="center" vertical="center"/>
    </xf>
    <xf numFmtId="165" fontId="43" fillId="2" borderId="9" xfId="0" applyNumberFormat="1" applyFont="1" applyFill="1" applyBorder="1" applyAlignment="1">
      <alignment horizontal="center" vertical="center"/>
    </xf>
    <xf numFmtId="174" fontId="43" fillId="2" borderId="9" xfId="0" applyNumberFormat="1" applyFont="1" applyFill="1" applyBorder="1" applyAlignment="1">
      <alignment horizontal="center" vertical="center"/>
    </xf>
    <xf numFmtId="165" fontId="43" fillId="2" borderId="1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 applyProtection="1">
      <alignment horizontal="center" vertical="center"/>
      <protection locked="0"/>
    </xf>
    <xf numFmtId="175" fontId="43" fillId="2" borderId="15" xfId="0" applyNumberFormat="1" applyFont="1" applyFill="1" applyBorder="1" applyAlignment="1">
      <alignment horizontal="center" vertical="center"/>
    </xf>
    <xf numFmtId="165" fontId="43" fillId="2" borderId="14" xfId="0" applyNumberFormat="1" applyFont="1" applyFill="1" applyBorder="1" applyAlignment="1">
      <alignment horizontal="center" vertical="center"/>
    </xf>
    <xf numFmtId="165" fontId="43" fillId="2" borderId="15" xfId="0" applyNumberFormat="1" applyFont="1" applyFill="1" applyBorder="1" applyAlignment="1">
      <alignment horizontal="center" vertical="center"/>
    </xf>
    <xf numFmtId="164" fontId="43" fillId="2" borderId="15" xfId="9" applyNumberFormat="1" applyFont="1" applyFill="1" applyBorder="1" applyAlignment="1">
      <alignment horizontal="center" vertical="center"/>
    </xf>
    <xf numFmtId="170" fontId="43" fillId="2" borderId="15" xfId="0" applyNumberFormat="1" applyFont="1" applyFill="1" applyBorder="1" applyAlignment="1">
      <alignment horizontal="center" vertical="center"/>
    </xf>
    <xf numFmtId="164" fontId="48" fillId="2" borderId="23" xfId="16" applyNumberFormat="1" applyFont="1" applyFill="1" applyBorder="1" applyAlignment="1">
      <alignment vertical="center"/>
    </xf>
    <xf numFmtId="10" fontId="43" fillId="2" borderId="15" xfId="14" applyNumberFormat="1" applyFont="1" applyFill="1" applyBorder="1" applyAlignment="1" applyProtection="1">
      <alignment horizontal="center" vertical="center"/>
    </xf>
    <xf numFmtId="10" fontId="48" fillId="2" borderId="24" xfId="14" applyNumberFormat="1" applyFont="1" applyFill="1" applyBorder="1" applyAlignment="1" applyProtection="1">
      <alignment vertical="center"/>
    </xf>
    <xf numFmtId="165" fontId="43" fillId="2" borderId="1" xfId="9" applyNumberFormat="1" applyFont="1" applyFill="1" applyBorder="1" applyAlignment="1" applyProtection="1">
      <alignment horizontal="center" vertical="center"/>
      <protection locked="0"/>
    </xf>
    <xf numFmtId="165" fontId="43" fillId="2" borderId="1" xfId="12" applyNumberFormat="1" applyFont="1" applyFill="1" applyBorder="1" applyAlignment="1" applyProtection="1">
      <alignment horizontal="center" vertical="center"/>
      <protection locked="0"/>
    </xf>
    <xf numFmtId="0" fontId="10" fillId="2" borderId="6" xfId="9" applyFont="1" applyFill="1" applyBorder="1" applyAlignment="1" applyProtection="1">
      <alignment horizontal="center" vertical="center"/>
      <protection locked="0"/>
    </xf>
    <xf numFmtId="165" fontId="43" fillId="2" borderId="1" xfId="9" applyNumberFormat="1" applyFont="1" applyFill="1" applyBorder="1" applyAlignment="1">
      <alignment horizontal="center" vertical="center"/>
    </xf>
    <xf numFmtId="10" fontId="43" fillId="2" borderId="1" xfId="14" applyNumberFormat="1" applyFont="1" applyFill="1" applyBorder="1" applyAlignment="1">
      <alignment horizontal="center" vertical="center"/>
    </xf>
    <xf numFmtId="0" fontId="48" fillId="2" borderId="1" xfId="9" applyFont="1" applyFill="1" applyBorder="1" applyAlignment="1">
      <alignment horizontal="center" vertical="center"/>
    </xf>
    <xf numFmtId="0" fontId="15" fillId="12" borderId="0" xfId="9" applyFont="1" applyFill="1" applyAlignment="1" applyProtection="1">
      <alignment vertical="center"/>
      <protection locked="0"/>
    </xf>
    <xf numFmtId="165" fontId="48" fillId="2" borderId="1" xfId="9" applyNumberFormat="1" applyFont="1" applyFill="1" applyBorder="1" applyAlignment="1" applyProtection="1">
      <alignment horizontal="center" vertical="center"/>
      <protection locked="0"/>
    </xf>
    <xf numFmtId="0" fontId="25" fillId="8" borderId="0" xfId="1" applyFont="1" applyFill="1" applyAlignment="1" applyProtection="1">
      <alignment horizontal="center" vertical="center"/>
      <protection locked="0"/>
    </xf>
    <xf numFmtId="0" fontId="25" fillId="8" borderId="0" xfId="1" applyFont="1" applyFill="1" applyAlignment="1" applyProtection="1">
      <alignment horizontal="center" vertical="center" wrapText="1"/>
      <protection locked="0"/>
    </xf>
    <xf numFmtId="0" fontId="25" fillId="2" borderId="0" xfId="1" applyFont="1" applyFill="1" applyAlignment="1" applyProtection="1">
      <alignment horizontal="center" vertical="center" wrapText="1"/>
      <protection locked="0"/>
    </xf>
    <xf numFmtId="0" fontId="11" fillId="12" borderId="0" xfId="18" applyFont="1" applyFill="1" applyAlignment="1" applyProtection="1">
      <alignment horizontal="center" vertical="center"/>
      <protection locked="0"/>
    </xf>
    <xf numFmtId="0" fontId="11" fillId="12" borderId="4" xfId="18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2" fillId="9" borderId="0" xfId="0" applyFont="1" applyFill="1" applyAlignment="1" applyProtection="1">
      <alignment horizontal="center" vertical="center"/>
      <protection locked="0"/>
    </xf>
    <xf numFmtId="0" fontId="30" fillId="2" borderId="11" xfId="0" applyFont="1" applyFill="1" applyBorder="1" applyAlignment="1" applyProtection="1">
      <alignment horizontal="center" vertical="center"/>
      <protection locked="0"/>
    </xf>
    <xf numFmtId="0" fontId="30" fillId="2" borderId="12" xfId="0" applyFont="1" applyFill="1" applyBorder="1" applyAlignment="1" applyProtection="1">
      <alignment horizontal="center" vertical="center"/>
      <protection locked="0"/>
    </xf>
    <xf numFmtId="0" fontId="15" fillId="12" borderId="0" xfId="18" applyFont="1" applyFill="1" applyAlignment="1" applyProtection="1">
      <alignment horizontal="center" vertical="center"/>
      <protection locked="0"/>
    </xf>
    <xf numFmtId="0" fontId="15" fillId="12" borderId="4" xfId="18" applyFont="1" applyFill="1" applyBorder="1" applyAlignment="1" applyProtection="1">
      <alignment horizontal="center" vertical="center"/>
      <protection locked="0"/>
    </xf>
    <xf numFmtId="0" fontId="31" fillId="9" borderId="0" xfId="0" applyFont="1" applyFill="1" applyAlignment="1" applyProtection="1">
      <alignment horizontal="center" vertical="center"/>
      <protection locked="0"/>
    </xf>
    <xf numFmtId="0" fontId="15" fillId="9" borderId="10" xfId="0" applyFont="1" applyFill="1" applyBorder="1" applyAlignment="1" applyProtection="1">
      <alignment horizontal="center" vertical="center"/>
      <protection locked="0"/>
    </xf>
    <xf numFmtId="0" fontId="15" fillId="9" borderId="13" xfId="0" applyFont="1" applyFill="1" applyBorder="1" applyAlignment="1" applyProtection="1">
      <alignment horizontal="center" vertical="center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14" xfId="0" applyFont="1" applyFill="1" applyBorder="1" applyAlignment="1" applyProtection="1">
      <alignment horizontal="center" vertical="center" wrapText="1"/>
      <protection locked="0"/>
    </xf>
    <xf numFmtId="3" fontId="15" fillId="9" borderId="19" xfId="16" applyNumberFormat="1" applyFont="1" applyFill="1" applyBorder="1" applyAlignment="1" applyProtection="1">
      <alignment horizontal="center" vertical="center"/>
      <protection locked="0"/>
    </xf>
    <xf numFmtId="3" fontId="15" fillId="9" borderId="13" xfId="16" applyNumberFormat="1" applyFont="1" applyFill="1" applyBorder="1" applyAlignment="1" applyProtection="1">
      <alignment horizontal="center" vertical="center"/>
      <protection locked="0"/>
    </xf>
    <xf numFmtId="0" fontId="15" fillId="9" borderId="20" xfId="16" applyFont="1" applyFill="1" applyBorder="1" applyAlignment="1" applyProtection="1">
      <alignment horizontal="center" vertical="center" wrapText="1"/>
      <protection locked="0"/>
    </xf>
    <xf numFmtId="0" fontId="15" fillId="9" borderId="14" xfId="16" applyFont="1" applyFill="1" applyBorder="1" applyAlignment="1" applyProtection="1">
      <alignment horizontal="center" vertical="center" wrapText="1"/>
      <protection locked="0"/>
    </xf>
    <xf numFmtId="3" fontId="15" fillId="9" borderId="21" xfId="16" applyNumberFormat="1" applyFont="1" applyFill="1" applyBorder="1" applyAlignment="1" applyProtection="1">
      <alignment horizontal="center" vertical="center"/>
      <protection locked="0"/>
    </xf>
    <xf numFmtId="3" fontId="15" fillId="9" borderId="15" xfId="16" applyNumberFormat="1" applyFont="1" applyFill="1" applyBorder="1" applyAlignment="1" applyProtection="1">
      <alignment horizontal="center" vertical="center"/>
      <protection locked="0"/>
    </xf>
    <xf numFmtId="164" fontId="14" fillId="2" borderId="22" xfId="16" applyNumberFormat="1" applyFont="1" applyFill="1" applyBorder="1" applyAlignment="1" applyProtection="1">
      <alignment horizontal="center" vertical="center"/>
      <protection locked="0"/>
    </xf>
    <xf numFmtId="164" fontId="14" fillId="2" borderId="23" xfId="16" applyNumberFormat="1" applyFont="1" applyFill="1" applyBorder="1" applyAlignment="1" applyProtection="1">
      <alignment horizontal="center" vertical="center"/>
      <protection locked="0"/>
    </xf>
    <xf numFmtId="0" fontId="47" fillId="2" borderId="0" xfId="16" applyFont="1" applyFill="1" applyAlignment="1" applyProtection="1">
      <alignment horizontal="center" vertical="center"/>
      <protection locked="0"/>
    </xf>
    <xf numFmtId="0" fontId="15" fillId="9" borderId="12" xfId="0" applyFont="1" applyFill="1" applyBorder="1" applyAlignment="1" applyProtection="1">
      <alignment horizontal="center" vertical="center" wrapText="1"/>
      <protection locked="0"/>
    </xf>
    <xf numFmtId="0" fontId="15" fillId="9" borderId="15" xfId="0" applyFont="1" applyFill="1" applyBorder="1" applyAlignment="1" applyProtection="1">
      <alignment horizontal="center" vertical="center" wrapText="1"/>
      <protection locked="0"/>
    </xf>
    <xf numFmtId="0" fontId="15" fillId="9" borderId="20" xfId="16" applyFont="1" applyFill="1" applyBorder="1" applyAlignment="1" applyProtection="1">
      <alignment horizontal="center" vertical="center"/>
      <protection locked="0"/>
    </xf>
    <xf numFmtId="0" fontId="15" fillId="9" borderId="14" xfId="16" applyFont="1" applyFill="1" applyBorder="1" applyAlignment="1" applyProtection="1">
      <alignment horizontal="center" vertical="center"/>
      <protection locked="0"/>
    </xf>
    <xf numFmtId="0" fontId="15" fillId="12" borderId="5" xfId="9" applyFont="1" applyFill="1" applyBorder="1" applyAlignment="1" applyProtection="1">
      <alignment horizontal="left" vertical="center" wrapText="1"/>
      <protection locked="0"/>
    </xf>
    <xf numFmtId="0" fontId="15" fillId="12" borderId="7" xfId="9" applyFont="1" applyFill="1" applyBorder="1" applyAlignment="1" applyProtection="1">
      <alignment horizontal="left" vertical="center" wrapText="1"/>
      <protection locked="0"/>
    </xf>
    <xf numFmtId="0" fontId="15" fillId="12" borderId="6" xfId="9" applyFont="1" applyFill="1" applyBorder="1" applyAlignment="1" applyProtection="1">
      <alignment horizontal="left" vertical="center" wrapText="1"/>
      <protection locked="0"/>
    </xf>
    <xf numFmtId="0" fontId="41" fillId="2" borderId="5" xfId="18" applyFont="1" applyFill="1" applyBorder="1" applyAlignment="1" applyProtection="1">
      <alignment horizontal="left" vertical="center" wrapText="1"/>
      <protection locked="0"/>
    </xf>
    <xf numFmtId="0" fontId="41" fillId="2" borderId="7" xfId="18" applyFont="1" applyFill="1" applyBorder="1" applyAlignment="1" applyProtection="1">
      <alignment horizontal="left" vertical="center" wrapText="1"/>
      <protection locked="0"/>
    </xf>
    <xf numFmtId="0" fontId="41" fillId="2" borderId="6" xfId="18" applyFont="1" applyFill="1" applyBorder="1" applyAlignment="1" applyProtection="1">
      <alignment horizontal="left" vertical="center" wrapText="1"/>
      <protection locked="0"/>
    </xf>
    <xf numFmtId="0" fontId="15" fillId="12" borderId="25" xfId="9" applyFont="1" applyFill="1" applyBorder="1" applyAlignment="1" applyProtection="1">
      <alignment horizontal="left" vertical="center"/>
      <protection locked="0"/>
    </xf>
    <xf numFmtId="0" fontId="21" fillId="3" borderId="0" xfId="1" applyFont="1" applyFill="1" applyAlignment="1" applyProtection="1">
      <alignment horizontal="center" vertical="top"/>
      <protection locked="0"/>
    </xf>
    <xf numFmtId="0" fontId="14" fillId="2" borderId="7" xfId="9" applyFont="1" applyFill="1" applyBorder="1" applyAlignment="1" applyProtection="1">
      <alignment horizontal="center" vertical="center"/>
      <protection locked="0"/>
    </xf>
    <xf numFmtId="0" fontId="14" fillId="2" borderId="6" xfId="9" applyFont="1" applyFill="1" applyBorder="1" applyAlignment="1" applyProtection="1">
      <alignment horizontal="center" vertical="center"/>
      <protection locked="0"/>
    </xf>
    <xf numFmtId="0" fontId="34" fillId="2" borderId="1" xfId="9" applyFont="1" applyFill="1" applyBorder="1" applyAlignment="1">
      <alignment horizontal="center" vertical="center"/>
    </xf>
    <xf numFmtId="0" fontId="13" fillId="3" borderId="0" xfId="0" applyFont="1" applyFill="1" applyAlignment="1" applyProtection="1">
      <alignment horizontal="center"/>
      <protection locked="0"/>
    </xf>
  </cellXfs>
  <cellStyles count="22">
    <cellStyle name="Euro" xfId="2" xr:uid="{00000000-0005-0000-0000-000000000000}"/>
    <cellStyle name="Hipervínculo" xfId="1" builtinId="8"/>
    <cellStyle name="Hipervínculo 2" xfId="13" xr:uid="{00000000-0005-0000-0000-000002000000}"/>
    <cellStyle name="Millares [0] 2" xfId="3" xr:uid="{00000000-0005-0000-0000-000003000000}"/>
    <cellStyle name="Millares [0] 3" xfId="21" xr:uid="{00000000-0005-0000-0000-000004000000}"/>
    <cellStyle name="Millares 2" xfId="4" xr:uid="{00000000-0005-0000-0000-000005000000}"/>
    <cellStyle name="Millares 3" xfId="5" xr:uid="{00000000-0005-0000-0000-000006000000}"/>
    <cellStyle name="Millares 4" xfId="6" xr:uid="{00000000-0005-0000-0000-000007000000}"/>
    <cellStyle name="Millares 5" xfId="12" xr:uid="{00000000-0005-0000-0000-000008000000}"/>
    <cellStyle name="Moneda 2" xfId="7" xr:uid="{00000000-0005-0000-0000-000009000000}"/>
    <cellStyle name="Moneda 3" xfId="8" xr:uid="{00000000-0005-0000-0000-00000A000000}"/>
    <cellStyle name="Moneda 4" xfId="20" xr:uid="{00000000-0005-0000-0000-00000B000000}"/>
    <cellStyle name="Normal" xfId="0" builtinId="0"/>
    <cellStyle name="Normal 2" xfId="9" xr:uid="{00000000-0005-0000-0000-00000D000000}"/>
    <cellStyle name="Normal 2 2" xfId="16" xr:uid="{00000000-0005-0000-0000-00000E000000}"/>
    <cellStyle name="Normal 2 2 2" xfId="19" xr:uid="{00000000-0005-0000-0000-00000F000000}"/>
    <cellStyle name="Normal 3" xfId="10" xr:uid="{00000000-0005-0000-0000-000010000000}"/>
    <cellStyle name="Normal 3 2" xfId="18" xr:uid="{00000000-0005-0000-0000-000011000000}"/>
    <cellStyle name="Normal 4" xfId="17" xr:uid="{00000000-0005-0000-0000-000012000000}"/>
    <cellStyle name="Porcentaje" xfId="14" builtinId="5"/>
    <cellStyle name="Porcentaje 2" xfId="15" xr:uid="{00000000-0005-0000-0000-000014000000}"/>
    <cellStyle name="Porcentual 2" xfId="11" xr:uid="{00000000-0005-0000-0000-000015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102394</xdr:colOff>
      <xdr:row>1</xdr:row>
      <xdr:rowOff>100011</xdr:rowOff>
    </xdr:from>
    <xdr:to>
      <xdr:col>21</xdr:col>
      <xdr:colOff>1002507</xdr:colOff>
      <xdr:row>19</xdr:row>
      <xdr:rowOff>59389</xdr:rowOff>
    </xdr:to>
    <xdr:pic>
      <xdr:nvPicPr>
        <xdr:cNvPr id="8" name="Imagen 7" descr="Resultado de imagen para referencias de celdas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3644" y="785811"/>
          <a:ext cx="6367463" cy="3348038"/>
        </a:xfrm>
        <a:prstGeom prst="rect">
          <a:avLst/>
        </a:prstGeom>
        <a:ln w="38100" cap="sq">
          <a:solidFill>
            <a:srgbClr val="FFC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3228</xdr:colOff>
      <xdr:row>2</xdr:row>
      <xdr:rowOff>90207</xdr:rowOff>
    </xdr:from>
    <xdr:ext cx="7900625" cy="1034899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60AEA551-FCAD-4908-AEF5-F8D939FFDD15}"/>
            </a:ext>
          </a:extLst>
        </xdr:cNvPr>
        <xdr:cNvSpPr/>
      </xdr:nvSpPr>
      <xdr:spPr>
        <a:xfrm>
          <a:off x="926593" y="430866"/>
          <a:ext cx="7900625" cy="10348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6000" b="1" i="0" cap="none" spc="0" baseline="0">
              <a:ln w="9525">
                <a:noFill/>
                <a:prstDash val="solid"/>
              </a:ln>
              <a:solidFill>
                <a:schemeClr val="tx1"/>
              </a:solidFill>
              <a:effectLst/>
              <a:latin typeface="Gilroy ExtraBold" panose="00000900000000000000" pitchFamily="50" charset="0"/>
            </a:rPr>
            <a:t>Referencia de Celdas</a:t>
          </a:r>
          <a:endParaRPr lang="es-ES" sz="6000" b="1" i="0" cap="none" spc="0">
            <a:ln w="9525">
              <a:noFill/>
              <a:prstDash val="solid"/>
            </a:ln>
            <a:solidFill>
              <a:schemeClr val="tx1"/>
            </a:solidFill>
            <a:effectLst/>
            <a:latin typeface="Gilroy ExtraBold" panose="00000900000000000000" pitchFamily="50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huangaljose@yahoo.es" TargetMode="Externa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V337"/>
  <sheetViews>
    <sheetView zoomScale="85" zoomScaleNormal="85" workbookViewId="0">
      <selection activeCell="C11" sqref="C11:E11"/>
    </sheetView>
  </sheetViews>
  <sheetFormatPr baseColWidth="10" defaultColWidth="0" defaultRowHeight="13.2" zeroHeight="1"/>
  <cols>
    <col min="1" max="1" width="2" style="4" customWidth="1"/>
    <col min="2" max="2" width="11.44140625" style="4" customWidth="1"/>
    <col min="3" max="3" width="8.109375" style="4" customWidth="1"/>
    <col min="4" max="4" width="15.33203125" style="4" customWidth="1"/>
    <col min="5" max="5" width="15.5546875" style="4" customWidth="1"/>
    <col min="6" max="6" width="0.77734375" style="4" customWidth="1"/>
    <col min="7" max="7" width="11.44140625" style="4" customWidth="1"/>
    <col min="8" max="8" width="13" style="4" customWidth="1"/>
    <col min="9" max="9" width="14.33203125" style="4" customWidth="1"/>
    <col min="10" max="10" width="0.88671875" style="4" customWidth="1"/>
    <col min="11" max="11" width="11.44140625" style="4" customWidth="1"/>
    <col min="12" max="12" width="14.109375" style="4" customWidth="1"/>
    <col min="13" max="13" width="17.33203125" style="4" customWidth="1"/>
    <col min="14" max="21" width="11.44140625" style="4" customWidth="1"/>
    <col min="22" max="22" width="16.44140625" style="4" customWidth="1"/>
    <col min="23" max="16384" width="11.44140625" style="4" hidden="1"/>
  </cols>
  <sheetData>
    <row r="1" spans="2:17"/>
    <row r="2" spans="2:17"/>
    <row r="3" spans="2:17"/>
    <row r="4" spans="2:17"/>
    <row r="5" spans="2:17"/>
    <row r="6" spans="2:17"/>
    <row r="7" spans="2:17"/>
    <row r="8" spans="2:17"/>
    <row r="9" spans="2:17" ht="2.1" customHeight="1"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2:17" ht="2.1" customHeight="1"/>
    <row r="11" spans="2:17" ht="49.8" customHeight="1">
      <c r="C11" s="207" t="s">
        <v>68</v>
      </c>
      <c r="D11" s="207"/>
      <c r="E11" s="207"/>
      <c r="F11" s="25"/>
      <c r="G11" s="207" t="s">
        <v>69</v>
      </c>
      <c r="H11" s="207"/>
      <c r="I11" s="207"/>
      <c r="J11" s="25"/>
      <c r="K11" s="207" t="s">
        <v>70</v>
      </c>
      <c r="L11" s="207"/>
      <c r="M11" s="207"/>
      <c r="Q11"/>
    </row>
    <row r="12" spans="2:17" ht="4.95" customHeight="1"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2:17" ht="50.1" customHeight="1">
      <c r="C13" s="208" t="s">
        <v>196</v>
      </c>
      <c r="D13" s="208"/>
      <c r="E13" s="208"/>
      <c r="F13" s="25"/>
      <c r="G13" s="208" t="s">
        <v>195</v>
      </c>
      <c r="H13" s="208"/>
      <c r="I13" s="208"/>
      <c r="J13" s="25"/>
      <c r="K13" s="209"/>
      <c r="L13" s="209"/>
      <c r="M13" s="209"/>
    </row>
    <row r="14" spans="2:17" ht="2.1" customHeight="1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2:17" ht="2.1" customHeight="1"/>
    <row r="16" spans="2:17" ht="2.1" customHeight="1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ht="2.1" customHeight="1"/>
    <row r="18" ht="30" customHeight="1"/>
    <row r="19" ht="30" customHeight="1"/>
    <row r="20" ht="30" customHeight="1"/>
    <row r="335"/>
    <row r="336"/>
    <row r="337"/>
  </sheetData>
  <sheetProtection selectLockedCells="1"/>
  <mergeCells count="6">
    <mergeCell ref="C11:E11"/>
    <mergeCell ref="G11:I11"/>
    <mergeCell ref="K11:M11"/>
    <mergeCell ref="C13:E13"/>
    <mergeCell ref="G13:I13"/>
    <mergeCell ref="K13:M13"/>
  </mergeCells>
  <hyperlinks>
    <hyperlink ref="G11:I11" location="'Referencias Mixtas Columna'!A1" display="Referencias Mixtas - Columna" xr:uid="{00000000-0004-0000-0000-000001000000}"/>
    <hyperlink ref="K11:M11" location="'Referencias Mixtas - Fila'!A1" display="Referencias Mixtas - Fila" xr:uid="{00000000-0004-0000-0000-000002000000}"/>
    <hyperlink ref="C13:E13" location="'Referencias Mixtas'!A1" display="Referencias Mixtas - Columna Fila" xr:uid="{00000000-0004-0000-0000-000003000000}"/>
    <hyperlink ref="C11:E11" location="'Referencias Relativas'!A1" display="Referencias Relativas" xr:uid="{00000000-0004-0000-0000-000004000000}"/>
    <hyperlink ref="G13:I13" location="'Referencas Absolutas'!A1" display="Referencias Absolutas" xr:uid="{00000000-0004-0000-0000-000005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Q37"/>
  <sheetViews>
    <sheetView showGridLines="0" topLeftCell="E1" zoomScaleNormal="100" workbookViewId="0">
      <pane ySplit="1" topLeftCell="A29" activePane="bottomLeft" state="frozen"/>
      <selection pane="bottomLeft" activeCell="M38" sqref="M38"/>
    </sheetView>
  </sheetViews>
  <sheetFormatPr baseColWidth="10" defaultColWidth="11.44140625" defaultRowHeight="20.100000000000001" customHeight="1"/>
  <cols>
    <col min="1" max="1" width="3.109375" style="6" customWidth="1"/>
    <col min="2" max="2" width="14.88671875" style="6" customWidth="1"/>
    <col min="3" max="3" width="9.109375" style="6" customWidth="1"/>
    <col min="4" max="4" width="16.6640625" style="6" customWidth="1"/>
    <col min="5" max="5" width="36.44140625" style="6" customWidth="1"/>
    <col min="6" max="6" width="18.44140625" style="6" customWidth="1"/>
    <col min="7" max="7" width="20.33203125" style="6" customWidth="1"/>
    <col min="8" max="8" width="19" style="6" customWidth="1"/>
    <col min="9" max="9" width="21.21875" style="6" bestFit="1" customWidth="1"/>
    <col min="10" max="10" width="19.5546875" style="6" bestFit="1" customWidth="1"/>
    <col min="11" max="12" width="17" style="6" bestFit="1" customWidth="1"/>
    <col min="13" max="13" width="21.21875" style="6" bestFit="1" customWidth="1"/>
    <col min="14" max="16384" width="11.44140625" style="6"/>
  </cols>
  <sheetData>
    <row r="1" spans="2:17" s="27" customFormat="1" ht="33.6" customHeight="1">
      <c r="C1" s="28"/>
      <c r="D1" s="29"/>
      <c r="E1" s="214" t="s">
        <v>197</v>
      </c>
      <c r="F1" s="214"/>
      <c r="G1" s="214"/>
      <c r="H1" s="214"/>
      <c r="I1" s="29"/>
      <c r="J1" s="29"/>
      <c r="K1" s="29"/>
      <c r="L1" s="29"/>
      <c r="M1" s="29"/>
      <c r="N1" s="29"/>
      <c r="O1" s="29"/>
      <c r="P1" s="29"/>
      <c r="Q1" s="29"/>
    </row>
    <row r="2" spans="2:17" ht="12.75" customHeight="1"/>
    <row r="3" spans="2:17" ht="30" customHeight="1">
      <c r="B3" s="210" t="s">
        <v>71</v>
      </c>
      <c r="C3" s="211"/>
      <c r="D3" s="92" t="s">
        <v>202</v>
      </c>
      <c r="E3" s="7"/>
      <c r="F3" s="7"/>
      <c r="G3" s="7"/>
      <c r="H3" s="24"/>
      <c r="I3" s="1"/>
      <c r="J3" s="1"/>
      <c r="K3" s="1"/>
      <c r="L3" s="1"/>
    </row>
    <row r="4" spans="2:17" ht="18.75" customHeight="1" thickBot="1"/>
    <row r="5" spans="2:17" ht="37.5" customHeight="1">
      <c r="D5" s="31" t="s">
        <v>1</v>
      </c>
      <c r="E5" s="32" t="s">
        <v>75</v>
      </c>
      <c r="F5" s="33" t="s">
        <v>76</v>
      </c>
      <c r="G5" s="34" t="s">
        <v>34</v>
      </c>
    </row>
    <row r="6" spans="2:17" ht="30" customHeight="1">
      <c r="D6" s="93">
        <v>3</v>
      </c>
      <c r="E6" s="94" t="s">
        <v>77</v>
      </c>
      <c r="F6" s="95">
        <v>200</v>
      </c>
      <c r="G6" s="125">
        <f>PRODUCT(D6,F6)</f>
        <v>600</v>
      </c>
    </row>
    <row r="7" spans="2:17" ht="30" customHeight="1">
      <c r="D7" s="93">
        <v>4</v>
      </c>
      <c r="E7" s="94" t="s">
        <v>78</v>
      </c>
      <c r="F7" s="95">
        <v>100</v>
      </c>
      <c r="G7" s="125">
        <f t="shared" ref="G7:G13" si="0">PRODUCT(D7,F7)</f>
        <v>400</v>
      </c>
    </row>
    <row r="8" spans="2:17" ht="30" customHeight="1">
      <c r="D8" s="93">
        <v>2</v>
      </c>
      <c r="E8" s="94" t="s">
        <v>79</v>
      </c>
      <c r="F8" s="95">
        <v>60</v>
      </c>
      <c r="G8" s="125">
        <f t="shared" si="0"/>
        <v>120</v>
      </c>
    </row>
    <row r="9" spans="2:17" ht="30" customHeight="1">
      <c r="D9" s="93">
        <v>3</v>
      </c>
      <c r="E9" s="94" t="s">
        <v>80</v>
      </c>
      <c r="F9" s="95">
        <v>200</v>
      </c>
      <c r="G9" s="125">
        <f t="shared" si="0"/>
        <v>600</v>
      </c>
    </row>
    <row r="10" spans="2:17" ht="30" customHeight="1">
      <c r="D10" s="93">
        <v>2</v>
      </c>
      <c r="E10" s="94" t="s">
        <v>81</v>
      </c>
      <c r="F10" s="95">
        <v>350</v>
      </c>
      <c r="G10" s="125">
        <f t="shared" si="0"/>
        <v>700</v>
      </c>
    </row>
    <row r="11" spans="2:17" ht="30" customHeight="1">
      <c r="D11" s="93">
        <v>1</v>
      </c>
      <c r="E11" s="94" t="s">
        <v>72</v>
      </c>
      <c r="F11" s="95">
        <v>2000</v>
      </c>
      <c r="G11" s="125">
        <f t="shared" si="0"/>
        <v>2000</v>
      </c>
    </row>
    <row r="12" spans="2:17" ht="30" customHeight="1">
      <c r="D12" s="93">
        <v>1</v>
      </c>
      <c r="E12" s="94" t="s">
        <v>73</v>
      </c>
      <c r="F12" s="95">
        <v>650</v>
      </c>
      <c r="G12" s="125">
        <f t="shared" si="0"/>
        <v>650</v>
      </c>
    </row>
    <row r="13" spans="2:17" ht="30" customHeight="1">
      <c r="D13" s="93">
        <v>1</v>
      </c>
      <c r="E13" s="94" t="s">
        <v>82</v>
      </c>
      <c r="F13" s="95">
        <v>300</v>
      </c>
      <c r="G13" s="125">
        <f t="shared" si="0"/>
        <v>300</v>
      </c>
    </row>
    <row r="14" spans="2:17" ht="30" customHeight="1" thickBot="1">
      <c r="D14" s="96"/>
      <c r="E14" s="97"/>
      <c r="F14" s="98"/>
      <c r="G14" s="99"/>
    </row>
    <row r="15" spans="2:17" ht="30" customHeight="1">
      <c r="F15" s="35" t="s">
        <v>33</v>
      </c>
      <c r="G15" s="126">
        <f>SUM(G6:G14)</f>
        <v>5370</v>
      </c>
    </row>
    <row r="16" spans="2:17" ht="30" customHeight="1">
      <c r="F16" s="36" t="s">
        <v>35</v>
      </c>
      <c r="G16" s="127">
        <f>G15*0.18</f>
        <v>966.59999999999991</v>
      </c>
    </row>
    <row r="17" spans="2:13" ht="30" customHeight="1" thickBot="1">
      <c r="F17" s="37" t="s">
        <v>74</v>
      </c>
      <c r="G17" s="128">
        <f>SUM(G15:G16)</f>
        <v>6336.6</v>
      </c>
    </row>
    <row r="20" spans="2:13" ht="30" customHeight="1">
      <c r="B20" s="210" t="s">
        <v>83</v>
      </c>
      <c r="C20" s="211"/>
      <c r="D20" s="92" t="s">
        <v>127</v>
      </c>
      <c r="E20" s="7"/>
      <c r="F20" s="7"/>
      <c r="G20" s="8"/>
    </row>
    <row r="21" spans="2:13" ht="20.100000000000001" customHeight="1" thickBot="1"/>
    <row r="22" spans="2:13" ht="30" customHeight="1">
      <c r="D22" s="39" t="s">
        <v>84</v>
      </c>
      <c r="E22" s="40" t="s">
        <v>85</v>
      </c>
      <c r="F22" s="40" t="s">
        <v>67</v>
      </c>
      <c r="G22" s="40" t="s">
        <v>1</v>
      </c>
      <c r="H22" s="40" t="s">
        <v>3</v>
      </c>
      <c r="I22" s="40" t="s">
        <v>34</v>
      </c>
      <c r="J22" s="40" t="s">
        <v>29</v>
      </c>
      <c r="K22" s="40" t="s">
        <v>48</v>
      </c>
      <c r="L22" s="40" t="s">
        <v>86</v>
      </c>
      <c r="M22" s="41" t="s">
        <v>2</v>
      </c>
    </row>
    <row r="23" spans="2:13" ht="30" customHeight="1">
      <c r="D23" s="100" t="s">
        <v>87</v>
      </c>
      <c r="E23" s="101" t="s">
        <v>113</v>
      </c>
      <c r="F23" s="102" t="s">
        <v>88</v>
      </c>
      <c r="G23" s="103">
        <v>10</v>
      </c>
      <c r="H23" s="104">
        <v>80</v>
      </c>
      <c r="I23" s="129">
        <f>H23*G23</f>
        <v>800</v>
      </c>
      <c r="J23" s="129">
        <f>I23*0.18</f>
        <v>144</v>
      </c>
      <c r="K23" s="129">
        <f>I23*0.025</f>
        <v>20</v>
      </c>
      <c r="L23" s="129">
        <f>I23*0.0145</f>
        <v>11.600000000000001</v>
      </c>
      <c r="M23" s="130">
        <f>I23+J23-K23-L23</f>
        <v>912.4</v>
      </c>
    </row>
    <row r="24" spans="2:13" ht="30" customHeight="1">
      <c r="D24" s="105" t="s">
        <v>89</v>
      </c>
      <c r="E24" s="101" t="s">
        <v>114</v>
      </c>
      <c r="F24" s="106" t="s">
        <v>31</v>
      </c>
      <c r="G24" s="107">
        <v>30</v>
      </c>
      <c r="H24" s="108">
        <v>25</v>
      </c>
      <c r="I24" s="129">
        <f t="shared" ref="I24:I36" si="1">H24*G24</f>
        <v>750</v>
      </c>
      <c r="J24" s="129">
        <f t="shared" ref="J24:J36" si="2">I24*0.18</f>
        <v>135</v>
      </c>
      <c r="K24" s="129">
        <f t="shared" ref="K24:K36" si="3">I24*0.025</f>
        <v>18.75</v>
      </c>
      <c r="L24" s="129">
        <f t="shared" ref="L24:L36" si="4">I24*0.0145</f>
        <v>10.875</v>
      </c>
      <c r="M24" s="130">
        <f t="shared" ref="M24:M36" si="5">I24+J24-K24-L24</f>
        <v>855.375</v>
      </c>
    </row>
    <row r="25" spans="2:13" ht="30" customHeight="1">
      <c r="D25" s="100" t="s">
        <v>90</v>
      </c>
      <c r="E25" s="101" t="s">
        <v>115</v>
      </c>
      <c r="F25" s="102" t="s">
        <v>32</v>
      </c>
      <c r="G25" s="103">
        <v>5</v>
      </c>
      <c r="H25" s="104">
        <v>55</v>
      </c>
      <c r="I25" s="129">
        <f t="shared" si="1"/>
        <v>275</v>
      </c>
      <c r="J25" s="129">
        <f t="shared" si="2"/>
        <v>49.5</v>
      </c>
      <c r="K25" s="129">
        <f t="shared" si="3"/>
        <v>6.875</v>
      </c>
      <c r="L25" s="129">
        <f t="shared" si="4"/>
        <v>3.9875000000000003</v>
      </c>
      <c r="M25" s="130">
        <f t="shared" si="5"/>
        <v>313.63749999999999</v>
      </c>
    </row>
    <row r="26" spans="2:13" ht="30" customHeight="1">
      <c r="D26" s="105" t="s">
        <v>91</v>
      </c>
      <c r="E26" s="101" t="s">
        <v>116</v>
      </c>
      <c r="F26" s="106" t="s">
        <v>92</v>
      </c>
      <c r="G26" s="107">
        <v>20</v>
      </c>
      <c r="H26" s="108">
        <v>550</v>
      </c>
      <c r="I26" s="129">
        <f t="shared" si="1"/>
        <v>11000</v>
      </c>
      <c r="J26" s="129">
        <f t="shared" si="2"/>
        <v>1980</v>
      </c>
      <c r="K26" s="129">
        <f t="shared" si="3"/>
        <v>275</v>
      </c>
      <c r="L26" s="129">
        <f t="shared" si="4"/>
        <v>159.5</v>
      </c>
      <c r="M26" s="130">
        <f t="shared" si="5"/>
        <v>12545.5</v>
      </c>
    </row>
    <row r="27" spans="2:13" ht="30" customHeight="1">
      <c r="D27" s="100" t="s">
        <v>93</v>
      </c>
      <c r="E27" s="101" t="s">
        <v>122</v>
      </c>
      <c r="F27" s="102" t="s">
        <v>94</v>
      </c>
      <c r="G27" s="103">
        <v>10</v>
      </c>
      <c r="H27" s="104">
        <v>120</v>
      </c>
      <c r="I27" s="129">
        <f t="shared" si="1"/>
        <v>1200</v>
      </c>
      <c r="J27" s="129">
        <f t="shared" si="2"/>
        <v>216</v>
      </c>
      <c r="K27" s="129">
        <f t="shared" si="3"/>
        <v>30</v>
      </c>
      <c r="L27" s="129">
        <f t="shared" si="4"/>
        <v>17.400000000000002</v>
      </c>
      <c r="M27" s="130">
        <f t="shared" si="5"/>
        <v>1368.6</v>
      </c>
    </row>
    <row r="28" spans="2:13" ht="30" customHeight="1">
      <c r="D28" s="105" t="s">
        <v>95</v>
      </c>
      <c r="E28" s="101" t="s">
        <v>117</v>
      </c>
      <c r="F28" s="106" t="s">
        <v>96</v>
      </c>
      <c r="G28" s="107">
        <v>6</v>
      </c>
      <c r="H28" s="108">
        <v>120</v>
      </c>
      <c r="I28" s="129">
        <f t="shared" si="1"/>
        <v>720</v>
      </c>
      <c r="J28" s="129">
        <f t="shared" si="2"/>
        <v>129.6</v>
      </c>
      <c r="K28" s="129">
        <f t="shared" si="3"/>
        <v>18</v>
      </c>
      <c r="L28" s="129">
        <f t="shared" si="4"/>
        <v>10.440000000000001</v>
      </c>
      <c r="M28" s="130">
        <f t="shared" si="5"/>
        <v>821.16</v>
      </c>
    </row>
    <row r="29" spans="2:13" ht="30" customHeight="1">
      <c r="D29" s="100" t="s">
        <v>97</v>
      </c>
      <c r="E29" s="101" t="s">
        <v>118</v>
      </c>
      <c r="F29" s="102" t="s">
        <v>98</v>
      </c>
      <c r="G29" s="103">
        <v>16</v>
      </c>
      <c r="H29" s="104">
        <v>50</v>
      </c>
      <c r="I29" s="129">
        <f t="shared" si="1"/>
        <v>800</v>
      </c>
      <c r="J29" s="129">
        <f t="shared" si="2"/>
        <v>144</v>
      </c>
      <c r="K29" s="129">
        <f t="shared" si="3"/>
        <v>20</v>
      </c>
      <c r="L29" s="129">
        <f t="shared" si="4"/>
        <v>11.600000000000001</v>
      </c>
      <c r="M29" s="130">
        <f t="shared" si="5"/>
        <v>912.4</v>
      </c>
    </row>
    <row r="30" spans="2:13" ht="30" customHeight="1">
      <c r="D30" s="105" t="s">
        <v>99</v>
      </c>
      <c r="E30" s="101" t="s">
        <v>119</v>
      </c>
      <c r="F30" s="106" t="s">
        <v>100</v>
      </c>
      <c r="G30" s="107">
        <v>13</v>
      </c>
      <c r="H30" s="108">
        <v>75</v>
      </c>
      <c r="I30" s="129">
        <f>H30*G30</f>
        <v>975</v>
      </c>
      <c r="J30" s="129">
        <f t="shared" si="2"/>
        <v>175.5</v>
      </c>
      <c r="K30" s="129">
        <f t="shared" si="3"/>
        <v>24.375</v>
      </c>
      <c r="L30" s="129">
        <f t="shared" si="4"/>
        <v>14.137500000000001</v>
      </c>
      <c r="M30" s="130">
        <f t="shared" si="5"/>
        <v>1111.9875</v>
      </c>
    </row>
    <row r="31" spans="2:13" ht="30" customHeight="1">
      <c r="D31" s="100" t="s">
        <v>101</v>
      </c>
      <c r="E31" s="101" t="s">
        <v>120</v>
      </c>
      <c r="F31" s="102" t="s">
        <v>102</v>
      </c>
      <c r="G31" s="103">
        <v>13</v>
      </c>
      <c r="H31" s="104">
        <v>42</v>
      </c>
      <c r="I31" s="129">
        <f t="shared" si="1"/>
        <v>546</v>
      </c>
      <c r="J31" s="129">
        <f t="shared" si="2"/>
        <v>98.28</v>
      </c>
      <c r="K31" s="129">
        <f t="shared" si="3"/>
        <v>13.65</v>
      </c>
      <c r="L31" s="129">
        <f t="shared" si="4"/>
        <v>7.9170000000000007</v>
      </c>
      <c r="M31" s="130">
        <f t="shared" si="5"/>
        <v>622.71299999999997</v>
      </c>
    </row>
    <row r="32" spans="2:13" ht="30" customHeight="1">
      <c r="D32" s="105" t="s">
        <v>103</v>
      </c>
      <c r="E32" s="101" t="s">
        <v>121</v>
      </c>
      <c r="F32" s="106" t="s">
        <v>104</v>
      </c>
      <c r="G32" s="107">
        <v>10</v>
      </c>
      <c r="H32" s="108">
        <v>200</v>
      </c>
      <c r="I32" s="129">
        <f t="shared" si="1"/>
        <v>2000</v>
      </c>
      <c r="J32" s="129">
        <f t="shared" si="2"/>
        <v>360</v>
      </c>
      <c r="K32" s="129">
        <f t="shared" si="3"/>
        <v>50</v>
      </c>
      <c r="L32" s="129">
        <f t="shared" si="4"/>
        <v>29</v>
      </c>
      <c r="M32" s="130">
        <f t="shared" si="5"/>
        <v>2281</v>
      </c>
    </row>
    <row r="33" spans="4:13" ht="30" customHeight="1">
      <c r="D33" s="100" t="s">
        <v>105</v>
      </c>
      <c r="E33" s="102" t="s">
        <v>123</v>
      </c>
      <c r="F33" s="102" t="s">
        <v>30</v>
      </c>
      <c r="G33" s="103">
        <v>14</v>
      </c>
      <c r="H33" s="104">
        <v>350</v>
      </c>
      <c r="I33" s="129">
        <f t="shared" si="1"/>
        <v>4900</v>
      </c>
      <c r="J33" s="129">
        <f t="shared" si="2"/>
        <v>882</v>
      </c>
      <c r="K33" s="129">
        <f t="shared" si="3"/>
        <v>122.5</v>
      </c>
      <c r="L33" s="129">
        <f t="shared" si="4"/>
        <v>71.05</v>
      </c>
      <c r="M33" s="130">
        <f t="shared" si="5"/>
        <v>5588.45</v>
      </c>
    </row>
    <row r="34" spans="4:13" ht="30" customHeight="1">
      <c r="D34" s="105" t="s">
        <v>106</v>
      </c>
      <c r="E34" s="106" t="s">
        <v>124</v>
      </c>
      <c r="F34" s="106" t="s">
        <v>107</v>
      </c>
      <c r="G34" s="107">
        <v>12</v>
      </c>
      <c r="H34" s="108">
        <v>180</v>
      </c>
      <c r="I34" s="129">
        <f>H34*G34</f>
        <v>2160</v>
      </c>
      <c r="J34" s="129">
        <f t="shared" si="2"/>
        <v>388.8</v>
      </c>
      <c r="K34" s="129">
        <f t="shared" si="3"/>
        <v>54</v>
      </c>
      <c r="L34" s="129">
        <f t="shared" si="4"/>
        <v>31.32</v>
      </c>
      <c r="M34" s="130">
        <f t="shared" si="5"/>
        <v>2463.48</v>
      </c>
    </row>
    <row r="35" spans="4:13" ht="30" customHeight="1">
      <c r="D35" s="100" t="s">
        <v>108</v>
      </c>
      <c r="E35" s="102" t="s">
        <v>125</v>
      </c>
      <c r="F35" s="102" t="s">
        <v>109</v>
      </c>
      <c r="G35" s="103">
        <v>3</v>
      </c>
      <c r="H35" s="104">
        <v>100</v>
      </c>
      <c r="I35" s="129">
        <f t="shared" si="1"/>
        <v>300</v>
      </c>
      <c r="J35" s="129">
        <f t="shared" si="2"/>
        <v>54</v>
      </c>
      <c r="K35" s="129">
        <f t="shared" si="3"/>
        <v>7.5</v>
      </c>
      <c r="L35" s="129">
        <f t="shared" si="4"/>
        <v>4.3500000000000005</v>
      </c>
      <c r="M35" s="130">
        <f t="shared" si="5"/>
        <v>342.15</v>
      </c>
    </row>
    <row r="36" spans="4:13" ht="30" customHeight="1">
      <c r="D36" s="105" t="s">
        <v>110</v>
      </c>
      <c r="E36" s="106" t="s">
        <v>126</v>
      </c>
      <c r="F36" s="106" t="s">
        <v>111</v>
      </c>
      <c r="G36" s="107">
        <v>2</v>
      </c>
      <c r="H36" s="108">
        <v>600</v>
      </c>
      <c r="I36" s="129">
        <f t="shared" si="1"/>
        <v>1200</v>
      </c>
      <c r="J36" s="129">
        <f t="shared" si="2"/>
        <v>216</v>
      </c>
      <c r="K36" s="129">
        <f t="shared" si="3"/>
        <v>30</v>
      </c>
      <c r="L36" s="129">
        <f t="shared" si="4"/>
        <v>17.400000000000002</v>
      </c>
      <c r="M36" s="130">
        <f t="shared" si="5"/>
        <v>1368.6</v>
      </c>
    </row>
    <row r="37" spans="4:13" ht="30" customHeight="1" thickBot="1">
      <c r="D37" s="212"/>
      <c r="E37" s="213"/>
      <c r="F37" s="109" t="s">
        <v>112</v>
      </c>
      <c r="G37" s="38">
        <f t="shared" ref="G37:L37" si="6">SUM(G23:G36)</f>
        <v>164</v>
      </c>
      <c r="H37" s="38">
        <f t="shared" si="6"/>
        <v>2547</v>
      </c>
      <c r="I37" s="129">
        <f t="shared" si="6"/>
        <v>27626</v>
      </c>
      <c r="J37" s="129">
        <f t="shared" si="6"/>
        <v>4972.68</v>
      </c>
      <c r="K37" s="129">
        <f t="shared" si="6"/>
        <v>690.65</v>
      </c>
      <c r="L37" s="129">
        <f t="shared" si="6"/>
        <v>400.577</v>
      </c>
      <c r="M37" s="130">
        <f>SUM(M23:M36)</f>
        <v>31507.453000000001</v>
      </c>
    </row>
  </sheetData>
  <sheetProtection selectLockedCells="1"/>
  <mergeCells count="4">
    <mergeCell ref="B3:C3"/>
    <mergeCell ref="B20:C20"/>
    <mergeCell ref="D37:E37"/>
    <mergeCell ref="E1:H1"/>
  </mergeCells>
  <pageMargins left="0.75" right="0.75" top="1" bottom="1" header="0" footer="0"/>
  <pageSetup orientation="portrait" horizontalDpi="300" verticalDpi="1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B1:Q102"/>
  <sheetViews>
    <sheetView showGridLines="0" topLeftCell="D73" zoomScale="115" zoomScaleNormal="115" workbookViewId="0">
      <selection activeCell="H99" sqref="H99"/>
    </sheetView>
  </sheetViews>
  <sheetFormatPr baseColWidth="10" defaultColWidth="11.44140625" defaultRowHeight="20.100000000000001" customHeight="1"/>
  <cols>
    <col min="1" max="1" width="3.109375" style="6" customWidth="1"/>
    <col min="2" max="2" width="14.88671875" style="6" customWidth="1"/>
    <col min="3" max="3" width="9.109375" style="6" customWidth="1"/>
    <col min="4" max="4" width="28" style="6" customWidth="1"/>
    <col min="5" max="5" width="28.6640625" style="6" customWidth="1"/>
    <col min="6" max="6" width="29.44140625" style="6" customWidth="1"/>
    <col min="7" max="7" width="29.5546875" style="6" customWidth="1"/>
    <col min="8" max="8" width="31.33203125" style="6" customWidth="1"/>
    <col min="9" max="9" width="13.6640625" style="6" customWidth="1"/>
    <col min="10" max="10" width="15" style="6" customWidth="1"/>
    <col min="11" max="11" width="13.5546875" style="6" customWidth="1"/>
    <col min="12" max="12" width="15.109375" style="6" customWidth="1"/>
    <col min="13" max="13" width="15.44140625" style="6" customWidth="1"/>
    <col min="14" max="16384" width="11.44140625" style="6"/>
  </cols>
  <sheetData>
    <row r="1" spans="2:17" s="42" customFormat="1" ht="38.4" customHeight="1">
      <c r="C1" s="43"/>
      <c r="D1" s="44"/>
      <c r="E1" s="214" t="s">
        <v>197</v>
      </c>
      <c r="F1" s="21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2:17" ht="12.75" customHeight="1"/>
    <row r="3" spans="2:17" ht="30" customHeight="1">
      <c r="B3" s="210" t="s">
        <v>71</v>
      </c>
      <c r="C3" s="211"/>
      <c r="D3" s="30" t="s">
        <v>199</v>
      </c>
      <c r="E3" s="7"/>
      <c r="F3" s="7"/>
      <c r="G3" s="8"/>
      <c r="H3" s="1"/>
      <c r="I3" s="1"/>
      <c r="J3" s="1"/>
      <c r="K3" s="1"/>
      <c r="L3" s="1"/>
    </row>
    <row r="4" spans="2:17" ht="18.75" customHeight="1"/>
    <row r="5" spans="2:17" ht="2.1" customHeight="1">
      <c r="D5" s="46"/>
      <c r="E5" s="46"/>
      <c r="F5" s="46"/>
      <c r="G5" s="46"/>
      <c r="H5" s="46"/>
    </row>
    <row r="6" spans="2:17" ht="2.1" customHeight="1"/>
    <row r="7" spans="2:17" ht="30" customHeight="1">
      <c r="D7" s="54" t="s">
        <v>4</v>
      </c>
      <c r="E7" s="110" t="s">
        <v>113</v>
      </c>
      <c r="F7" s="110" t="s">
        <v>114</v>
      </c>
      <c r="G7" s="110" t="s">
        <v>115</v>
      </c>
      <c r="H7" s="110" t="s">
        <v>116</v>
      </c>
    </row>
    <row r="8" spans="2:17" ht="2.1" customHeight="1">
      <c r="D8" s="15"/>
      <c r="E8" s="111"/>
      <c r="F8" s="112"/>
      <c r="G8" s="113"/>
      <c r="H8" s="111"/>
    </row>
    <row r="9" spans="2:17" ht="2.1" customHeight="1">
      <c r="D9" s="47"/>
      <c r="E9" s="114"/>
      <c r="F9" s="115"/>
      <c r="G9" s="116"/>
      <c r="H9" s="114"/>
    </row>
    <row r="10" spans="2:17" ht="2.1" customHeight="1">
      <c r="D10" s="15"/>
      <c r="E10" s="111"/>
      <c r="F10" s="112"/>
      <c r="G10" s="113"/>
      <c r="H10" s="111"/>
    </row>
    <row r="11" spans="2:17" ht="30" customHeight="1">
      <c r="D11" s="54" t="s">
        <v>128</v>
      </c>
      <c r="E11" s="117">
        <v>1250</v>
      </c>
      <c r="F11" s="117">
        <v>3652</v>
      </c>
      <c r="G11" s="117">
        <v>1542</v>
      </c>
      <c r="H11" s="117">
        <v>1000</v>
      </c>
    </row>
    <row r="12" spans="2:17" ht="2.1" customHeight="1">
      <c r="D12" s="15"/>
      <c r="E12" s="118"/>
      <c r="F12" s="119"/>
      <c r="G12" s="119"/>
      <c r="H12" s="120"/>
    </row>
    <row r="13" spans="2:17" ht="30" customHeight="1">
      <c r="D13" s="54" t="s">
        <v>129</v>
      </c>
      <c r="E13" s="187">
        <f>E11*$E17</f>
        <v>4625</v>
      </c>
      <c r="F13" s="187">
        <f t="shared" ref="F13:G13" si="0">F11*$E17</f>
        <v>13512.400000000001</v>
      </c>
      <c r="G13" s="187">
        <f t="shared" si="0"/>
        <v>5705.4000000000005</v>
      </c>
      <c r="H13" s="187">
        <f>H11*$E17</f>
        <v>3700</v>
      </c>
    </row>
    <row r="14" spans="2:17" ht="2.1" customHeight="1">
      <c r="D14" s="16"/>
    </row>
    <row r="15" spans="2:17" ht="2.1" customHeight="1">
      <c r="D15" s="51"/>
      <c r="E15" s="46"/>
      <c r="F15" s="46"/>
      <c r="G15" s="46"/>
      <c r="H15" s="46"/>
    </row>
    <row r="16" spans="2:17" ht="2.1" customHeight="1">
      <c r="D16" s="16"/>
    </row>
    <row r="17" spans="2:8" ht="30" customHeight="1">
      <c r="D17" s="55" t="s">
        <v>130</v>
      </c>
      <c r="E17" s="121">
        <v>3.7</v>
      </c>
      <c r="F17" s="17"/>
      <c r="G17" s="13"/>
    </row>
    <row r="18" spans="2:8" ht="2.1" customHeight="1">
      <c r="D18" s="14"/>
      <c r="E18" s="12"/>
      <c r="F18" s="13"/>
      <c r="G18" s="13"/>
    </row>
    <row r="19" spans="2:8" ht="2.1" customHeight="1">
      <c r="D19" s="52"/>
      <c r="E19" s="53"/>
      <c r="F19" s="13"/>
      <c r="G19" s="13"/>
    </row>
    <row r="20" spans="2:8" ht="2.1" customHeight="1">
      <c r="D20" s="14"/>
      <c r="E20" s="12"/>
      <c r="F20" s="13"/>
      <c r="G20" s="13"/>
    </row>
    <row r="21" spans="2:8" ht="30" customHeight="1">
      <c r="D21" s="14"/>
      <c r="E21" s="12"/>
      <c r="F21" s="13"/>
      <c r="G21" s="13"/>
    </row>
    <row r="22" spans="2:8" ht="30" customHeight="1">
      <c r="B22" s="210" t="s">
        <v>83</v>
      </c>
      <c r="C22" s="211"/>
      <c r="D22" s="30" t="s">
        <v>198</v>
      </c>
      <c r="E22" s="7"/>
      <c r="F22" s="7"/>
      <c r="G22" s="8"/>
      <c r="H22" s="1"/>
    </row>
    <row r="23" spans="2:8" ht="2.1" customHeight="1"/>
    <row r="24" spans="2:8" ht="2.1" customHeight="1">
      <c r="D24" s="46"/>
      <c r="E24" s="46"/>
      <c r="F24" s="46"/>
      <c r="G24" s="46"/>
      <c r="H24" s="46"/>
    </row>
    <row r="25" spans="2:8" ht="2.1" customHeight="1"/>
    <row r="26" spans="2:8" ht="30" customHeight="1">
      <c r="D26" s="54" t="s">
        <v>4</v>
      </c>
      <c r="E26" s="110" t="s">
        <v>113</v>
      </c>
      <c r="F26" s="110" t="s">
        <v>114</v>
      </c>
      <c r="G26" s="110" t="s">
        <v>115</v>
      </c>
      <c r="H26" s="110" t="s">
        <v>116</v>
      </c>
    </row>
    <row r="27" spans="2:8" ht="2.1" customHeight="1">
      <c r="D27" s="58"/>
      <c r="E27" s="10"/>
      <c r="F27" s="11"/>
      <c r="G27" s="9"/>
      <c r="H27" s="10"/>
    </row>
    <row r="28" spans="2:8" ht="2.1" customHeight="1">
      <c r="D28" s="59"/>
      <c r="E28" s="48"/>
      <c r="F28" s="49"/>
      <c r="G28" s="50"/>
      <c r="H28" s="48"/>
    </row>
    <row r="29" spans="2:8" ht="2.1" customHeight="1">
      <c r="D29" s="58"/>
      <c r="E29" s="10"/>
      <c r="F29" s="11"/>
      <c r="G29" s="9"/>
      <c r="H29" s="10"/>
    </row>
    <row r="30" spans="2:8" ht="30" customHeight="1">
      <c r="D30" s="54" t="s">
        <v>131</v>
      </c>
      <c r="E30" s="122">
        <v>2698</v>
      </c>
      <c r="F30" s="122">
        <v>589256</v>
      </c>
      <c r="G30" s="122">
        <v>12855854</v>
      </c>
      <c r="H30" s="122">
        <v>15256</v>
      </c>
    </row>
    <row r="31" spans="2:8" ht="2.1" customHeight="1">
      <c r="D31" s="58"/>
      <c r="E31" s="118"/>
      <c r="F31" s="119"/>
      <c r="G31" s="119"/>
      <c r="H31" s="120"/>
    </row>
    <row r="32" spans="2:8" ht="30" customHeight="1">
      <c r="D32" s="54" t="s">
        <v>132</v>
      </c>
      <c r="E32" s="188">
        <f>E30/$E36</f>
        <v>729.18918918918916</v>
      </c>
      <c r="F32" s="188">
        <f t="shared" ref="F32:G32" si="1">F30/$E36</f>
        <v>159258.37837837837</v>
      </c>
      <c r="G32" s="188">
        <f t="shared" si="1"/>
        <v>3474555.1351351351</v>
      </c>
      <c r="H32" s="188">
        <f>H30/$E36</f>
        <v>4123.2432432432433</v>
      </c>
    </row>
    <row r="33" spans="2:8" ht="2.1" customHeight="1">
      <c r="D33" s="16"/>
    </row>
    <row r="34" spans="2:8" ht="2.1" customHeight="1">
      <c r="D34" s="51"/>
      <c r="E34" s="46"/>
      <c r="F34" s="46"/>
      <c r="G34" s="46"/>
      <c r="H34" s="46"/>
    </row>
    <row r="35" spans="2:8" ht="2.1" customHeight="1">
      <c r="D35" s="16"/>
    </row>
    <row r="36" spans="2:8" ht="30" customHeight="1">
      <c r="D36" s="55" t="s">
        <v>130</v>
      </c>
      <c r="E36" s="121">
        <v>3.7</v>
      </c>
      <c r="F36" s="17"/>
      <c r="G36" s="13"/>
    </row>
    <row r="37" spans="2:8" ht="2.1" customHeight="1">
      <c r="D37" s="14"/>
      <c r="E37" s="12"/>
      <c r="F37" s="13"/>
      <c r="G37" s="13"/>
    </row>
    <row r="38" spans="2:8" ht="2.1" customHeight="1">
      <c r="D38" s="52"/>
      <c r="E38" s="53"/>
      <c r="F38" s="13"/>
      <c r="G38" s="13"/>
    </row>
    <row r="39" spans="2:8" ht="2.1" customHeight="1"/>
    <row r="40" spans="2:8" ht="30" customHeight="1"/>
    <row r="41" spans="2:8" ht="30" customHeight="1">
      <c r="B41" s="210" t="s">
        <v>133</v>
      </c>
      <c r="C41" s="211"/>
      <c r="D41" s="30" t="s">
        <v>209</v>
      </c>
      <c r="E41" s="7"/>
      <c r="F41" s="7"/>
      <c r="G41" s="8"/>
      <c r="H41" s="1"/>
    </row>
    <row r="42" spans="2:8" ht="2.1" customHeight="1"/>
    <row r="43" spans="2:8" ht="2.1" customHeight="1">
      <c r="D43" s="46"/>
      <c r="E43" s="46"/>
      <c r="F43" s="46"/>
      <c r="G43" s="46"/>
      <c r="H43" s="46"/>
    </row>
    <row r="44" spans="2:8" ht="2.1" customHeight="1"/>
    <row r="45" spans="2:8" ht="30" customHeight="1">
      <c r="D45" s="54" t="s">
        <v>4</v>
      </c>
      <c r="E45" s="110" t="s">
        <v>113</v>
      </c>
      <c r="F45" s="110" t="s">
        <v>114</v>
      </c>
      <c r="G45" s="110" t="s">
        <v>115</v>
      </c>
      <c r="H45" s="110" t="s">
        <v>116</v>
      </c>
    </row>
    <row r="46" spans="2:8" ht="2.1" customHeight="1">
      <c r="D46" s="58"/>
      <c r="E46" s="10"/>
      <c r="F46" s="11"/>
      <c r="G46" s="9"/>
      <c r="H46" s="10"/>
    </row>
    <row r="47" spans="2:8" ht="2.1" customHeight="1">
      <c r="D47" s="59"/>
      <c r="E47" s="48"/>
      <c r="F47" s="49"/>
      <c r="G47" s="50"/>
      <c r="H47" s="48"/>
    </row>
    <row r="48" spans="2:8" ht="2.1" customHeight="1">
      <c r="D48" s="58"/>
      <c r="E48" s="10"/>
      <c r="F48" s="11"/>
      <c r="G48" s="9"/>
      <c r="H48" s="10"/>
    </row>
    <row r="49" spans="2:8" ht="30" customHeight="1">
      <c r="D49" s="54" t="s">
        <v>134</v>
      </c>
      <c r="E49" s="122">
        <v>1698</v>
      </c>
      <c r="F49" s="122">
        <v>2563</v>
      </c>
      <c r="G49" s="122">
        <v>7895</v>
      </c>
      <c r="H49" s="122">
        <v>1249</v>
      </c>
    </row>
    <row r="50" spans="2:8" ht="2.1" customHeight="1">
      <c r="D50" s="58"/>
      <c r="E50" s="118"/>
      <c r="F50" s="119"/>
      <c r="G50" s="119"/>
      <c r="H50" s="120"/>
    </row>
    <row r="51" spans="2:8" ht="30" customHeight="1">
      <c r="D51" s="54" t="s">
        <v>135</v>
      </c>
      <c r="E51" s="187">
        <f>E49*$E57</f>
        <v>258.43560000000002</v>
      </c>
      <c r="F51" s="187">
        <f t="shared" ref="F51:H51" si="2">F49*$E57</f>
        <v>390.08859999999999</v>
      </c>
      <c r="G51" s="187">
        <f t="shared" si="2"/>
        <v>1201.6189999999999</v>
      </c>
      <c r="H51" s="187">
        <f t="shared" si="2"/>
        <v>190.09780000000001</v>
      </c>
    </row>
    <row r="52" spans="2:8" ht="2.1" customHeight="1">
      <c r="D52" s="60"/>
      <c r="E52" s="120"/>
      <c r="F52" s="120"/>
      <c r="G52" s="120"/>
      <c r="H52" s="120"/>
    </row>
    <row r="53" spans="2:8" ht="30" customHeight="1">
      <c r="D53" s="54" t="s">
        <v>136</v>
      </c>
      <c r="E53" s="187">
        <f>SUM(E49:E52)</f>
        <v>1956.4356</v>
      </c>
      <c r="F53" s="187">
        <f t="shared" ref="F53:H53" si="3">SUM(F49:F52)</f>
        <v>2953.0886</v>
      </c>
      <c r="G53" s="187">
        <f t="shared" si="3"/>
        <v>9096.6190000000006</v>
      </c>
      <c r="H53" s="187">
        <f t="shared" si="3"/>
        <v>1439.0978</v>
      </c>
    </row>
    <row r="54" spans="2:8" ht="2.1" customHeight="1">
      <c r="D54" s="14"/>
      <c r="E54" s="12"/>
      <c r="F54" s="13"/>
      <c r="G54" s="13"/>
    </row>
    <row r="55" spans="2:8" ht="2.1" customHeight="1">
      <c r="D55" s="52"/>
      <c r="E55" s="53"/>
      <c r="F55" s="57"/>
      <c r="G55" s="57"/>
      <c r="H55" s="46"/>
    </row>
    <row r="56" spans="2:8" ht="2.1" customHeight="1"/>
    <row r="57" spans="2:8" ht="30" customHeight="1">
      <c r="D57" s="55" t="s">
        <v>137</v>
      </c>
      <c r="E57" s="123">
        <v>0.1522</v>
      </c>
    </row>
    <row r="58" spans="2:8" ht="2.1" customHeight="1"/>
    <row r="59" spans="2:8" ht="2.1" customHeight="1">
      <c r="D59" s="46"/>
      <c r="E59" s="46"/>
    </row>
    <row r="60" spans="2:8" ht="2.1" customHeight="1"/>
    <row r="62" spans="2:8" ht="30" customHeight="1">
      <c r="B62" s="210" t="s">
        <v>138</v>
      </c>
      <c r="C62" s="211"/>
      <c r="D62" s="30" t="s">
        <v>200</v>
      </c>
      <c r="E62" s="7"/>
      <c r="F62" s="7"/>
      <c r="G62" s="8"/>
      <c r="H62" s="1"/>
    </row>
    <row r="63" spans="2:8" ht="2.1" customHeight="1"/>
    <row r="64" spans="2:8" ht="2.1" customHeight="1">
      <c r="D64" s="46"/>
      <c r="E64" s="46"/>
      <c r="F64" s="46"/>
      <c r="G64" s="46"/>
      <c r="H64" s="46"/>
    </row>
    <row r="65" spans="4:8" ht="2.1" customHeight="1"/>
    <row r="66" spans="4:8" ht="30" customHeight="1">
      <c r="D66" s="54" t="s">
        <v>4</v>
      </c>
      <c r="E66" s="110" t="s">
        <v>113</v>
      </c>
      <c r="F66" s="110" t="s">
        <v>114</v>
      </c>
      <c r="G66" s="110" t="s">
        <v>115</v>
      </c>
      <c r="H66" s="110" t="s">
        <v>116</v>
      </c>
    </row>
    <row r="67" spans="4:8" ht="2.1" customHeight="1">
      <c r="D67" s="58"/>
      <c r="E67" s="10"/>
      <c r="F67" s="11"/>
      <c r="G67" s="9"/>
    </row>
    <row r="68" spans="4:8" ht="2.1" customHeight="1">
      <c r="D68" s="59"/>
      <c r="E68" s="48"/>
      <c r="F68" s="49"/>
      <c r="G68" s="50"/>
      <c r="H68" s="46"/>
    </row>
    <row r="69" spans="4:8" ht="2.1" customHeight="1">
      <c r="D69" s="58"/>
      <c r="E69" s="10"/>
      <c r="F69" s="11"/>
      <c r="G69" s="9"/>
    </row>
    <row r="70" spans="4:8" ht="30" customHeight="1">
      <c r="D70" s="54" t="s">
        <v>67</v>
      </c>
      <c r="E70" s="122" t="s">
        <v>30</v>
      </c>
      <c r="F70" s="122" t="s">
        <v>32</v>
      </c>
      <c r="G70" s="122" t="s">
        <v>31</v>
      </c>
      <c r="H70" s="122" t="s">
        <v>141</v>
      </c>
    </row>
    <row r="71" spans="4:8" ht="2.1" customHeight="1">
      <c r="D71" s="58"/>
      <c r="E71" s="118"/>
      <c r="F71" s="119"/>
      <c r="G71" s="119"/>
      <c r="H71" s="120"/>
    </row>
    <row r="72" spans="4:8" ht="30" customHeight="1">
      <c r="D72" s="54" t="s">
        <v>139</v>
      </c>
      <c r="E72" s="122">
        <v>320</v>
      </c>
      <c r="F72" s="122">
        <v>120</v>
      </c>
      <c r="G72" s="122">
        <v>50</v>
      </c>
      <c r="H72" s="122">
        <v>670</v>
      </c>
    </row>
    <row r="73" spans="4:8" ht="2.1" customHeight="1">
      <c r="D73" s="60"/>
      <c r="E73" s="124"/>
      <c r="F73" s="124"/>
      <c r="G73" s="124"/>
      <c r="H73" s="124"/>
    </row>
    <row r="74" spans="4:8" ht="30" customHeight="1">
      <c r="D74" s="54" t="s">
        <v>140</v>
      </c>
      <c r="E74" s="187">
        <f>E72+E72*$E78</f>
        <v>362.30399999999997</v>
      </c>
      <c r="F74" s="187">
        <f t="shared" ref="F74:H74" si="4">F72+F72*$E78</f>
        <v>135.864</v>
      </c>
      <c r="G74" s="187">
        <f t="shared" si="4"/>
        <v>56.61</v>
      </c>
      <c r="H74" s="187">
        <f t="shared" si="4"/>
        <v>758.57400000000007</v>
      </c>
    </row>
    <row r="75" spans="4:8" ht="2.1" customHeight="1">
      <c r="D75" s="14"/>
      <c r="E75" s="12"/>
      <c r="F75" s="13"/>
      <c r="G75" s="13"/>
    </row>
    <row r="76" spans="4:8" ht="2.1" customHeight="1">
      <c r="D76" s="52"/>
      <c r="E76" s="53"/>
      <c r="F76" s="57"/>
      <c r="G76" s="57"/>
      <c r="H76" s="46"/>
    </row>
    <row r="77" spans="4:8" ht="2.1" customHeight="1"/>
    <row r="78" spans="4:8" ht="30" customHeight="1">
      <c r="D78" s="55" t="s">
        <v>28</v>
      </c>
      <c r="E78" s="123">
        <v>0.13220000000000001</v>
      </c>
    </row>
    <row r="79" spans="4:8" ht="2.1" customHeight="1"/>
    <row r="80" spans="4:8" ht="2.1" customHeight="1">
      <c r="D80" s="46"/>
      <c r="E80" s="46"/>
    </row>
    <row r="81" spans="2:8" ht="2.1" customHeight="1"/>
    <row r="82" spans="2:8" ht="30" customHeight="1"/>
    <row r="83" spans="2:8" ht="30" customHeight="1">
      <c r="B83" s="210" t="s">
        <v>142</v>
      </c>
      <c r="C83" s="211"/>
      <c r="D83" s="30" t="s">
        <v>201</v>
      </c>
      <c r="E83" s="7"/>
      <c r="F83" s="7"/>
      <c r="G83" s="8"/>
      <c r="H83" s="1"/>
    </row>
    <row r="84" spans="2:8" ht="2.1" customHeight="1"/>
    <row r="85" spans="2:8" ht="2.1" customHeight="1">
      <c r="D85" s="46"/>
      <c r="E85" s="46"/>
      <c r="F85" s="46"/>
      <c r="G85" s="46"/>
      <c r="H85" s="46"/>
    </row>
    <row r="86" spans="2:8" ht="2.1" customHeight="1"/>
    <row r="87" spans="2:8" ht="30" customHeight="1">
      <c r="D87" s="45" t="s">
        <v>4</v>
      </c>
      <c r="E87" s="56" t="s">
        <v>113</v>
      </c>
      <c r="F87" s="56" t="s">
        <v>114</v>
      </c>
      <c r="G87" s="56" t="s">
        <v>115</v>
      </c>
      <c r="H87" s="56" t="s">
        <v>116</v>
      </c>
    </row>
    <row r="88" spans="2:8" ht="2.1" customHeight="1">
      <c r="D88" s="15"/>
      <c r="E88" s="10"/>
      <c r="F88" s="11"/>
      <c r="G88" s="9"/>
    </row>
    <row r="89" spans="2:8" ht="2.1" customHeight="1">
      <c r="D89" s="47"/>
      <c r="E89" s="48"/>
      <c r="F89" s="49"/>
      <c r="G89" s="50"/>
      <c r="H89" s="46"/>
    </row>
    <row r="90" spans="2:8" ht="2.1" customHeight="1">
      <c r="D90" s="15"/>
      <c r="E90" s="10"/>
      <c r="F90" s="11"/>
      <c r="G90" s="9"/>
    </row>
    <row r="91" spans="2:8" ht="30" customHeight="1">
      <c r="D91" s="45" t="s">
        <v>67</v>
      </c>
      <c r="E91" s="122" t="s">
        <v>143</v>
      </c>
      <c r="F91" s="122" t="s">
        <v>144</v>
      </c>
      <c r="G91" s="122" t="s">
        <v>145</v>
      </c>
      <c r="H91" s="122" t="s">
        <v>146</v>
      </c>
    </row>
    <row r="92" spans="2:8" ht="2.1" customHeight="1">
      <c r="D92" s="15"/>
      <c r="E92" s="118"/>
      <c r="F92" s="119"/>
      <c r="G92" s="119"/>
      <c r="H92" s="120"/>
    </row>
    <row r="93" spans="2:8" ht="30" customHeight="1">
      <c r="D93" s="45" t="s">
        <v>139</v>
      </c>
      <c r="E93" s="122">
        <v>230</v>
      </c>
      <c r="F93" s="122">
        <v>66.989999999999995</v>
      </c>
      <c r="G93" s="122">
        <v>220</v>
      </c>
      <c r="H93" s="122">
        <v>560</v>
      </c>
    </row>
    <row r="94" spans="2:8" ht="2.1" customHeight="1">
      <c r="D94" s="16"/>
      <c r="E94" s="120"/>
      <c r="F94" s="120"/>
      <c r="G94" s="120"/>
      <c r="H94" s="120"/>
    </row>
    <row r="95" spans="2:8" ht="30" customHeight="1">
      <c r="D95" s="45" t="s">
        <v>140</v>
      </c>
      <c r="E95" s="187">
        <f>E93-E93*$E99</f>
        <v>199.59399999999999</v>
      </c>
      <c r="F95" s="187">
        <f t="shared" ref="F95:H95" si="5">F93-F93*$E99</f>
        <v>58.133921999999998</v>
      </c>
      <c r="G95" s="187">
        <f t="shared" si="5"/>
        <v>190.916</v>
      </c>
      <c r="H95" s="187">
        <f t="shared" si="5"/>
        <v>485.96799999999996</v>
      </c>
    </row>
    <row r="96" spans="2:8" ht="2.1" customHeight="1">
      <c r="D96" s="14"/>
      <c r="E96" s="12"/>
      <c r="F96" s="13"/>
      <c r="G96" s="13"/>
    </row>
    <row r="97" spans="4:8" ht="2.1" customHeight="1">
      <c r="D97" s="52"/>
      <c r="E97" s="53"/>
      <c r="F97" s="57"/>
      <c r="G97" s="57"/>
      <c r="H97" s="46"/>
    </row>
    <row r="98" spans="4:8" ht="2.1" customHeight="1"/>
    <row r="99" spans="4:8" ht="30" customHeight="1">
      <c r="D99" s="55" t="s">
        <v>41</v>
      </c>
      <c r="E99" s="123">
        <v>0.13220000000000001</v>
      </c>
    </row>
    <row r="100" spans="4:8" ht="2.1" customHeight="1"/>
    <row r="101" spans="4:8" ht="2.1" customHeight="1">
      <c r="D101" s="61"/>
      <c r="E101" s="61"/>
    </row>
    <row r="102" spans="4:8" ht="2.1" customHeight="1"/>
  </sheetData>
  <sheetProtection selectLockedCells="1"/>
  <mergeCells count="6">
    <mergeCell ref="E1:F1"/>
    <mergeCell ref="B83:C83"/>
    <mergeCell ref="B3:C3"/>
    <mergeCell ref="B22:C22"/>
    <mergeCell ref="B41:C41"/>
    <mergeCell ref="B62:C62"/>
  </mergeCells>
  <pageMargins left="0.75" right="0.75" top="1" bottom="1" header="0" footer="0"/>
  <pageSetup orientation="portrait" horizontalDpi="300" verticalDpi="1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B1:Q60"/>
  <sheetViews>
    <sheetView showGridLines="0" topLeftCell="D46" zoomScale="115" zoomScaleNormal="115" workbookViewId="0">
      <selection activeCell="H52" sqref="H52"/>
    </sheetView>
  </sheetViews>
  <sheetFormatPr baseColWidth="10" defaultColWidth="11.44140625" defaultRowHeight="20.100000000000001" customHeight="1"/>
  <cols>
    <col min="1" max="1" width="3.109375" style="6" customWidth="1"/>
    <col min="2" max="2" width="14.88671875" style="6" customWidth="1"/>
    <col min="3" max="3" width="9.109375" style="6" customWidth="1"/>
    <col min="4" max="4" width="35.109375" style="6" customWidth="1"/>
    <col min="5" max="5" width="38.6640625" style="6" bestFit="1" customWidth="1"/>
    <col min="6" max="6" width="29.44140625" style="6" customWidth="1"/>
    <col min="7" max="7" width="32.109375" style="6" customWidth="1"/>
    <col min="8" max="8" width="31.33203125" style="6" customWidth="1"/>
    <col min="9" max="9" width="13.6640625" style="6" customWidth="1"/>
    <col min="10" max="10" width="15" style="6" customWidth="1"/>
    <col min="11" max="11" width="13.5546875" style="6" customWidth="1"/>
    <col min="12" max="12" width="15.109375" style="6" customWidth="1"/>
    <col min="13" max="13" width="15.44140625" style="6" customWidth="1"/>
    <col min="14" max="16384" width="11.44140625" style="6"/>
  </cols>
  <sheetData>
    <row r="1" spans="2:17" s="27" customFormat="1" ht="38.4" customHeight="1">
      <c r="C1" s="28"/>
      <c r="D1" s="214" t="s">
        <v>197</v>
      </c>
      <c r="E1" s="214"/>
      <c r="F1" s="214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2:17" ht="12.75" customHeight="1"/>
    <row r="3" spans="2:17" ht="30" customHeight="1">
      <c r="B3" s="210" t="s">
        <v>71</v>
      </c>
      <c r="C3" s="211"/>
      <c r="D3" s="92" t="s">
        <v>203</v>
      </c>
      <c r="E3" s="7"/>
      <c r="F3" s="7"/>
      <c r="G3" s="8"/>
      <c r="H3" s="1"/>
      <c r="I3" s="1"/>
      <c r="J3" s="1"/>
      <c r="K3" s="1"/>
      <c r="L3" s="1"/>
    </row>
    <row r="4" spans="2:17" ht="18.75" customHeight="1"/>
    <row r="5" spans="2:17" ht="2.1" customHeight="1"/>
    <row r="6" spans="2:17" ht="2.1" customHeight="1"/>
    <row r="7" spans="2:17" ht="30" customHeight="1">
      <c r="D7" s="190" t="s">
        <v>130</v>
      </c>
      <c r="E7" s="189">
        <v>3.7</v>
      </c>
    </row>
    <row r="8" spans="2:17" ht="2.1" customHeight="1"/>
    <row r="9" spans="2:17" ht="2.1" customHeight="1"/>
    <row r="10" spans="2:17" ht="2.1" customHeight="1" thickBot="1"/>
    <row r="11" spans="2:17" ht="37.5" customHeight="1">
      <c r="D11" s="62" t="s">
        <v>84</v>
      </c>
      <c r="E11" s="63" t="s">
        <v>4</v>
      </c>
      <c r="F11" s="64" t="s">
        <v>147</v>
      </c>
      <c r="G11" s="65" t="s">
        <v>148</v>
      </c>
    </row>
    <row r="12" spans="2:17" ht="30" customHeight="1">
      <c r="D12" s="131">
        <v>10025325642</v>
      </c>
      <c r="E12" s="101" t="s">
        <v>113</v>
      </c>
      <c r="F12" s="132">
        <v>15963</v>
      </c>
      <c r="G12" s="191">
        <f>F12/E$7</f>
        <v>4314.3243243243242</v>
      </c>
      <c r="H12" s="111"/>
    </row>
    <row r="13" spans="2:17" ht="30" customHeight="1">
      <c r="D13" s="131">
        <v>10025325643</v>
      </c>
      <c r="E13" s="101" t="s">
        <v>114</v>
      </c>
      <c r="F13" s="132">
        <v>259314</v>
      </c>
      <c r="G13" s="191">
        <f t="shared" ref="G13:G21" si="0">F13/E$7</f>
        <v>70084.864864864867</v>
      </c>
      <c r="H13" s="111"/>
    </row>
    <row r="14" spans="2:17" ht="30" customHeight="1">
      <c r="D14" s="131">
        <v>10025325644</v>
      </c>
      <c r="E14" s="101" t="s">
        <v>115</v>
      </c>
      <c r="F14" s="132">
        <v>2563178</v>
      </c>
      <c r="G14" s="191">
        <f t="shared" si="0"/>
        <v>692750.81081081077</v>
      </c>
      <c r="H14" s="111"/>
    </row>
    <row r="15" spans="2:17" ht="30" customHeight="1">
      <c r="D15" s="131">
        <v>10025325645</v>
      </c>
      <c r="E15" s="101" t="s">
        <v>116</v>
      </c>
      <c r="F15" s="132">
        <v>652522</v>
      </c>
      <c r="G15" s="191">
        <f t="shared" si="0"/>
        <v>176357.29729729728</v>
      </c>
      <c r="H15" s="111"/>
    </row>
    <row r="16" spans="2:17" ht="30" customHeight="1">
      <c r="D16" s="131">
        <v>10025325646</v>
      </c>
      <c r="E16" s="101" t="s">
        <v>122</v>
      </c>
      <c r="F16" s="132">
        <v>932522</v>
      </c>
      <c r="G16" s="191">
        <f t="shared" si="0"/>
        <v>252032.97297297296</v>
      </c>
      <c r="H16" s="111"/>
    </row>
    <row r="17" spans="2:8" ht="30" customHeight="1">
      <c r="D17" s="131">
        <v>10025325647</v>
      </c>
      <c r="E17" s="101" t="s">
        <v>117</v>
      </c>
      <c r="F17" s="132">
        <v>25963</v>
      </c>
      <c r="G17" s="191">
        <f t="shared" si="0"/>
        <v>7017.0270270270266</v>
      </c>
      <c r="H17" s="111"/>
    </row>
    <row r="18" spans="2:8" ht="30" customHeight="1">
      <c r="D18" s="131">
        <v>10025325648</v>
      </c>
      <c r="E18" s="101" t="s">
        <v>118</v>
      </c>
      <c r="F18" s="132">
        <v>248569</v>
      </c>
      <c r="G18" s="191">
        <f t="shared" si="0"/>
        <v>67180.810810810814</v>
      </c>
      <c r="H18" s="111"/>
    </row>
    <row r="19" spans="2:8" ht="30" customHeight="1">
      <c r="D19" s="131">
        <v>10025325649</v>
      </c>
      <c r="E19" s="101" t="s">
        <v>119</v>
      </c>
      <c r="F19" s="132">
        <v>23154</v>
      </c>
      <c r="G19" s="191">
        <f t="shared" si="0"/>
        <v>6257.8378378378375</v>
      </c>
      <c r="H19" s="111"/>
    </row>
    <row r="20" spans="2:8" ht="30" customHeight="1">
      <c r="D20" s="131">
        <v>10025325650</v>
      </c>
      <c r="E20" s="101" t="s">
        <v>120</v>
      </c>
      <c r="F20" s="132">
        <v>36547</v>
      </c>
      <c r="G20" s="191">
        <f t="shared" si="0"/>
        <v>9877.5675675675666</v>
      </c>
      <c r="H20" s="111"/>
    </row>
    <row r="21" spans="2:8" ht="30" customHeight="1" thickBot="1">
      <c r="D21" s="133">
        <v>10025325651</v>
      </c>
      <c r="E21" s="134" t="s">
        <v>121</v>
      </c>
      <c r="F21" s="135">
        <v>65893</v>
      </c>
      <c r="G21" s="191">
        <f t="shared" si="0"/>
        <v>17808.918918918916</v>
      </c>
      <c r="H21" s="111"/>
    </row>
    <row r="22" spans="2:8" ht="2.1" customHeight="1">
      <c r="D22" s="111"/>
      <c r="E22" s="111"/>
      <c r="F22" s="111"/>
      <c r="G22" s="111"/>
      <c r="H22" s="111"/>
    </row>
    <row r="23" spans="2:8" ht="2.1" customHeight="1">
      <c r="D23" s="111"/>
      <c r="E23" s="111"/>
      <c r="F23" s="111"/>
      <c r="G23" s="111"/>
      <c r="H23" s="111"/>
    </row>
    <row r="24" spans="2:8" ht="2.1" customHeight="1">
      <c r="D24" s="111"/>
      <c r="E24" s="111"/>
      <c r="F24" s="111"/>
      <c r="G24" s="111"/>
      <c r="H24" s="111"/>
    </row>
    <row r="25" spans="2:8" ht="30" customHeight="1">
      <c r="D25" s="111"/>
      <c r="E25" s="111"/>
      <c r="F25" s="111"/>
      <c r="G25" s="111"/>
      <c r="H25" s="111"/>
    </row>
    <row r="26" spans="2:8" ht="2.1" customHeight="1">
      <c r="D26" s="111"/>
      <c r="E26" s="111"/>
      <c r="F26" s="111"/>
      <c r="G26" s="111"/>
      <c r="H26" s="111"/>
    </row>
    <row r="27" spans="2:8" ht="2.1" customHeight="1">
      <c r="D27" s="111"/>
      <c r="E27" s="111"/>
      <c r="F27" s="111"/>
      <c r="G27" s="111"/>
      <c r="H27" s="111"/>
    </row>
    <row r="28" spans="2:8" ht="2.1" customHeight="1">
      <c r="D28" s="111"/>
      <c r="E28" s="111"/>
      <c r="F28" s="111"/>
      <c r="G28" s="111"/>
      <c r="H28" s="111"/>
    </row>
    <row r="29" spans="2:8" ht="30" customHeight="1">
      <c r="B29" s="217" t="s">
        <v>83</v>
      </c>
      <c r="C29" s="218"/>
      <c r="D29" s="92" t="s">
        <v>204</v>
      </c>
      <c r="E29" s="7"/>
      <c r="F29" s="7"/>
      <c r="G29" s="8"/>
      <c r="H29" s="111"/>
    </row>
    <row r="30" spans="2:8" ht="2.1" customHeight="1">
      <c r="D30" s="111"/>
      <c r="E30" s="111"/>
      <c r="F30" s="111"/>
      <c r="G30" s="111"/>
      <c r="H30" s="111"/>
    </row>
    <row r="31" spans="2:8" ht="30" customHeight="1" thickBot="1">
      <c r="D31" s="111"/>
      <c r="E31" s="111"/>
      <c r="F31" s="111"/>
      <c r="G31" s="111"/>
      <c r="H31" s="111"/>
    </row>
    <row r="32" spans="2:8" ht="30" customHeight="1">
      <c r="D32" s="136" t="s">
        <v>137</v>
      </c>
      <c r="E32" s="137">
        <v>0.25590000000000002</v>
      </c>
      <c r="F32" s="215" t="s">
        <v>149</v>
      </c>
      <c r="G32" s="215"/>
      <c r="H32" s="216"/>
    </row>
    <row r="33" spans="2:8" ht="38.25" customHeight="1">
      <c r="D33" s="140" t="s">
        <v>5</v>
      </c>
      <c r="E33" s="141" t="s">
        <v>6</v>
      </c>
      <c r="F33" s="141" t="s">
        <v>23</v>
      </c>
      <c r="G33" s="141" t="s">
        <v>21</v>
      </c>
      <c r="H33" s="142" t="s">
        <v>22</v>
      </c>
    </row>
    <row r="34" spans="2:8" ht="30" customHeight="1">
      <c r="D34" s="138">
        <v>7000</v>
      </c>
      <c r="E34" s="192">
        <f>D34*E$32</f>
        <v>1791.3000000000002</v>
      </c>
      <c r="F34" s="192">
        <f>D34+E34</f>
        <v>8791.2999999999993</v>
      </c>
      <c r="G34" s="192">
        <f>F34*E$32</f>
        <v>2249.6936700000001</v>
      </c>
      <c r="H34" s="193">
        <f>F34+G34</f>
        <v>11040.99367</v>
      </c>
    </row>
    <row r="35" spans="2:8" ht="30" customHeight="1">
      <c r="D35" s="138">
        <v>6500</v>
      </c>
      <c r="E35" s="192">
        <f t="shared" ref="E35:E38" si="1">D35*E$32</f>
        <v>1663.3500000000001</v>
      </c>
      <c r="F35" s="192">
        <f t="shared" ref="F35:F42" si="2">D35+E35</f>
        <v>8163.35</v>
      </c>
      <c r="G35" s="192">
        <f t="shared" ref="G35:G42" si="3">F35*E$32</f>
        <v>2089.0012650000003</v>
      </c>
      <c r="H35" s="193">
        <f t="shared" ref="H35:H42" si="4">F35+G35</f>
        <v>10252.351265000001</v>
      </c>
    </row>
    <row r="36" spans="2:8" ht="30" customHeight="1">
      <c r="D36" s="138">
        <v>8000</v>
      </c>
      <c r="E36" s="192">
        <f>D36*E$32</f>
        <v>2047.2</v>
      </c>
      <c r="F36" s="192">
        <f t="shared" si="2"/>
        <v>10047.200000000001</v>
      </c>
      <c r="G36" s="192">
        <f t="shared" si="3"/>
        <v>2571.0784800000001</v>
      </c>
      <c r="H36" s="193">
        <f t="shared" si="4"/>
        <v>12618.278480000001</v>
      </c>
    </row>
    <row r="37" spans="2:8" ht="30" customHeight="1">
      <c r="D37" s="138">
        <v>5500</v>
      </c>
      <c r="E37" s="192">
        <f t="shared" si="1"/>
        <v>1407.45</v>
      </c>
      <c r="F37" s="192">
        <f t="shared" si="2"/>
        <v>6907.45</v>
      </c>
      <c r="G37" s="192">
        <f t="shared" si="3"/>
        <v>1767.6164550000001</v>
      </c>
      <c r="H37" s="193">
        <f t="shared" si="4"/>
        <v>8675.0664550000001</v>
      </c>
    </row>
    <row r="38" spans="2:8" ht="30" customHeight="1">
      <c r="D38" s="138">
        <v>5000</v>
      </c>
      <c r="E38" s="192">
        <f t="shared" si="1"/>
        <v>1279.5</v>
      </c>
      <c r="F38" s="192">
        <f t="shared" si="2"/>
        <v>6279.5</v>
      </c>
      <c r="G38" s="192">
        <f t="shared" si="3"/>
        <v>1606.9240500000001</v>
      </c>
      <c r="H38" s="193">
        <f t="shared" si="4"/>
        <v>7886.4240499999996</v>
      </c>
    </row>
    <row r="39" spans="2:8" ht="30" customHeight="1">
      <c r="D39" s="138">
        <v>3500</v>
      </c>
      <c r="E39" s="192">
        <f t="shared" ref="E39:E42" si="5">D39*E$32</f>
        <v>895.65000000000009</v>
      </c>
      <c r="F39" s="192">
        <f t="shared" si="2"/>
        <v>4395.6499999999996</v>
      </c>
      <c r="G39" s="192">
        <f t="shared" si="3"/>
        <v>1124.8468350000001</v>
      </c>
      <c r="H39" s="193">
        <f t="shared" si="4"/>
        <v>5520.4968349999999</v>
      </c>
    </row>
    <row r="40" spans="2:8" ht="30" customHeight="1">
      <c r="D40" s="138">
        <v>7500</v>
      </c>
      <c r="E40" s="192">
        <f t="shared" si="5"/>
        <v>1919.2500000000002</v>
      </c>
      <c r="F40" s="192">
        <f t="shared" si="2"/>
        <v>9419.25</v>
      </c>
      <c r="G40" s="192">
        <f t="shared" si="3"/>
        <v>2410.3860750000003</v>
      </c>
      <c r="H40" s="193">
        <f t="shared" si="4"/>
        <v>11829.636075</v>
      </c>
    </row>
    <row r="41" spans="2:8" ht="30" customHeight="1">
      <c r="D41" s="138">
        <v>6000</v>
      </c>
      <c r="E41" s="192">
        <f t="shared" si="5"/>
        <v>1535.4</v>
      </c>
      <c r="F41" s="192">
        <f t="shared" si="2"/>
        <v>7535.4</v>
      </c>
      <c r="G41" s="192">
        <f t="shared" si="3"/>
        <v>1928.3088600000001</v>
      </c>
      <c r="H41" s="193">
        <f t="shared" si="4"/>
        <v>9463.7088599999988</v>
      </c>
    </row>
    <row r="42" spans="2:8" ht="30" customHeight="1" thickBot="1">
      <c r="D42" s="139">
        <v>5000</v>
      </c>
      <c r="E42" s="192">
        <f t="shared" si="5"/>
        <v>1279.5</v>
      </c>
      <c r="F42" s="192">
        <f t="shared" si="2"/>
        <v>6279.5</v>
      </c>
      <c r="G42" s="192">
        <f t="shared" si="3"/>
        <v>1606.9240500000001</v>
      </c>
      <c r="H42" s="193">
        <f t="shared" si="4"/>
        <v>7886.4240499999996</v>
      </c>
    </row>
    <row r="43" spans="2:8" ht="30" customHeight="1"/>
    <row r="44" spans="2:8" ht="30" customHeight="1">
      <c r="B44" s="210" t="s">
        <v>133</v>
      </c>
      <c r="C44" s="211"/>
      <c r="D44" s="92" t="s">
        <v>205</v>
      </c>
      <c r="E44" s="7"/>
      <c r="F44" s="7"/>
      <c r="G44" s="8"/>
    </row>
    <row r="45" spans="2:8" ht="18.75" customHeight="1" thickBot="1"/>
    <row r="46" spans="2:8" ht="30" customHeight="1">
      <c r="D46" s="148" t="s">
        <v>150</v>
      </c>
      <c r="E46" s="149">
        <v>5.6899999999999999E-2</v>
      </c>
      <c r="F46" s="67"/>
      <c r="G46" s="68"/>
    </row>
    <row r="47" spans="2:8" ht="3" customHeight="1">
      <c r="D47" s="69"/>
      <c r="E47" s="70"/>
      <c r="F47" s="71"/>
      <c r="G47" s="72"/>
    </row>
    <row r="48" spans="2:8" ht="30" customHeight="1">
      <c r="D48" s="73" t="s">
        <v>36</v>
      </c>
      <c r="E48" s="74" t="s">
        <v>37</v>
      </c>
      <c r="F48" s="74" t="s">
        <v>38</v>
      </c>
      <c r="G48" s="75" t="s">
        <v>39</v>
      </c>
    </row>
    <row r="49" spans="4:8" ht="30" customHeight="1">
      <c r="D49" s="100" t="s">
        <v>123</v>
      </c>
      <c r="E49" s="143">
        <v>12456</v>
      </c>
      <c r="F49" s="143">
        <v>1500</v>
      </c>
      <c r="G49" s="194">
        <f>E$46*E49+F49</f>
        <v>2208.7464</v>
      </c>
      <c r="H49" s="18"/>
    </row>
    <row r="50" spans="4:8" ht="30" customHeight="1">
      <c r="D50" s="105" t="s">
        <v>124</v>
      </c>
      <c r="E50" s="143">
        <v>23546</v>
      </c>
      <c r="F50" s="143">
        <v>1250</v>
      </c>
      <c r="G50" s="194">
        <f t="shared" ref="G50:G58" si="6">E$46*E50+F50</f>
        <v>2589.7673999999997</v>
      </c>
    </row>
    <row r="51" spans="4:8" ht="30" customHeight="1">
      <c r="D51" s="100" t="s">
        <v>125</v>
      </c>
      <c r="E51" s="144">
        <v>13689</v>
      </c>
      <c r="F51" s="143">
        <v>1400</v>
      </c>
      <c r="G51" s="194">
        <f t="shared" si="6"/>
        <v>2178.9040999999997</v>
      </c>
    </row>
    <row r="52" spans="4:8" ht="30" customHeight="1">
      <c r="D52" s="105" t="s">
        <v>126</v>
      </c>
      <c r="E52" s="143">
        <v>15342</v>
      </c>
      <c r="F52" s="143">
        <v>1380</v>
      </c>
      <c r="G52" s="194">
        <f t="shared" si="6"/>
        <v>2252.9598000000001</v>
      </c>
    </row>
    <row r="53" spans="4:8" ht="30" customHeight="1">
      <c r="D53" s="145" t="s">
        <v>122</v>
      </c>
      <c r="E53" s="143">
        <v>16734</v>
      </c>
      <c r="F53" s="143">
        <v>1435</v>
      </c>
      <c r="G53" s="194">
        <f t="shared" si="6"/>
        <v>2387.1646000000001</v>
      </c>
    </row>
    <row r="54" spans="4:8" ht="30" customHeight="1">
      <c r="D54" s="145" t="s">
        <v>117</v>
      </c>
      <c r="E54" s="143">
        <v>2546</v>
      </c>
      <c r="F54" s="143">
        <v>1534</v>
      </c>
      <c r="G54" s="194">
        <f t="shared" si="6"/>
        <v>1678.8674000000001</v>
      </c>
    </row>
    <row r="55" spans="4:8" ht="30" customHeight="1">
      <c r="D55" s="145" t="s">
        <v>118</v>
      </c>
      <c r="E55" s="143">
        <v>3256</v>
      </c>
      <c r="F55" s="143">
        <v>1258</v>
      </c>
      <c r="G55" s="194">
        <f t="shared" si="6"/>
        <v>1443.2664</v>
      </c>
    </row>
    <row r="56" spans="4:8" ht="30" customHeight="1">
      <c r="D56" s="145" t="s">
        <v>119</v>
      </c>
      <c r="E56" s="143">
        <v>3265</v>
      </c>
      <c r="F56" s="143">
        <v>1365</v>
      </c>
      <c r="G56" s="194">
        <f t="shared" si="6"/>
        <v>1550.7784999999999</v>
      </c>
    </row>
    <row r="57" spans="4:8" ht="30" customHeight="1">
      <c r="D57" s="145" t="s">
        <v>120</v>
      </c>
      <c r="E57" s="143">
        <v>2589</v>
      </c>
      <c r="F57" s="143">
        <v>1218</v>
      </c>
      <c r="G57" s="194">
        <f t="shared" si="6"/>
        <v>1365.3141000000001</v>
      </c>
    </row>
    <row r="58" spans="4:8" ht="30" customHeight="1" thickBot="1">
      <c r="D58" s="146" t="s">
        <v>121</v>
      </c>
      <c r="E58" s="147">
        <v>3257</v>
      </c>
      <c r="F58" s="147">
        <v>1475</v>
      </c>
      <c r="G58" s="194">
        <f t="shared" si="6"/>
        <v>1660.3233</v>
      </c>
    </row>
    <row r="59" spans="4:8" ht="2.1" customHeight="1"/>
    <row r="60" spans="4:8" ht="30" customHeight="1"/>
  </sheetData>
  <sheetProtection selectLockedCells="1"/>
  <mergeCells count="5">
    <mergeCell ref="D1:F1"/>
    <mergeCell ref="F32:H32"/>
    <mergeCell ref="B44:C44"/>
    <mergeCell ref="B3:C3"/>
    <mergeCell ref="B29:C29"/>
  </mergeCells>
  <pageMargins left="0.75" right="0.75" top="1" bottom="1" header="0" footer="0"/>
  <pageSetup orientation="portrait" horizontalDpi="300" verticalDpi="1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B1:Q91"/>
  <sheetViews>
    <sheetView showGridLines="0" topLeftCell="E37" zoomScale="115" zoomScaleNormal="115" workbookViewId="0">
      <selection activeCell="M48" sqref="M48"/>
    </sheetView>
  </sheetViews>
  <sheetFormatPr baseColWidth="10" defaultColWidth="11.44140625" defaultRowHeight="20.100000000000001" customHeight="1"/>
  <cols>
    <col min="1" max="1" width="3.109375" style="6" customWidth="1"/>
    <col min="2" max="2" width="14.88671875" style="6" customWidth="1"/>
    <col min="3" max="3" width="9.109375" style="6" customWidth="1"/>
    <col min="4" max="4" width="20.6640625" style="6" customWidth="1"/>
    <col min="5" max="5" width="24.33203125" style="6" customWidth="1"/>
    <col min="6" max="6" width="20.109375" style="6" customWidth="1"/>
    <col min="7" max="7" width="22.44140625" style="6" customWidth="1"/>
    <col min="8" max="8" width="23.33203125" style="6" customWidth="1"/>
    <col min="9" max="9" width="23.109375" style="6" customWidth="1"/>
    <col min="10" max="10" width="23.6640625" style="6" customWidth="1"/>
    <col min="11" max="11" width="19.5546875" style="6" bestFit="1" customWidth="1"/>
    <col min="12" max="12" width="15.109375" style="6" customWidth="1"/>
    <col min="13" max="13" width="15.44140625" style="6" customWidth="1"/>
    <col min="14" max="16384" width="11.44140625" style="6"/>
  </cols>
  <sheetData>
    <row r="1" spans="2:17" s="27" customFormat="1" ht="34.200000000000003" customHeight="1">
      <c r="C1" s="28"/>
      <c r="D1" s="29"/>
      <c r="E1" s="219" t="s">
        <v>197</v>
      </c>
      <c r="F1" s="219"/>
      <c r="G1" s="219"/>
      <c r="H1" s="219"/>
      <c r="I1" s="29"/>
      <c r="J1" s="29"/>
      <c r="K1" s="29"/>
      <c r="L1" s="29"/>
      <c r="M1" s="29"/>
      <c r="N1" s="29"/>
      <c r="O1" s="29"/>
      <c r="P1" s="29"/>
      <c r="Q1" s="29"/>
    </row>
    <row r="2" spans="2:17" ht="12.75" customHeight="1"/>
    <row r="3" spans="2:17" ht="30" customHeight="1">
      <c r="B3" s="210" t="s">
        <v>71</v>
      </c>
      <c r="C3" s="211"/>
      <c r="D3" s="150" t="s">
        <v>155</v>
      </c>
      <c r="E3" s="7"/>
      <c r="F3" s="7"/>
      <c r="G3" s="8"/>
      <c r="H3" s="1"/>
      <c r="I3" s="1"/>
      <c r="J3" s="1"/>
      <c r="K3" s="1"/>
      <c r="L3" s="1"/>
    </row>
    <row r="4" spans="2:17" ht="18.75" customHeight="1"/>
    <row r="5" spans="2:17" ht="2.1" customHeight="1"/>
    <row r="6" spans="2:17" ht="2.1" customHeight="1" thickBot="1"/>
    <row r="7" spans="2:17" ht="30" customHeight="1">
      <c r="D7" s="220" t="s">
        <v>7</v>
      </c>
      <c r="E7" s="222" t="s">
        <v>152</v>
      </c>
      <c r="F7" s="222" t="s">
        <v>153</v>
      </c>
      <c r="G7" s="64" t="s">
        <v>24</v>
      </c>
      <c r="H7" s="64" t="s">
        <v>25</v>
      </c>
      <c r="I7" s="64" t="s">
        <v>26</v>
      </c>
      <c r="J7" s="233" t="s">
        <v>154</v>
      </c>
    </row>
    <row r="8" spans="2:17" ht="30" customHeight="1">
      <c r="D8" s="221"/>
      <c r="E8" s="223"/>
      <c r="F8" s="223"/>
      <c r="G8" s="157">
        <v>0.02</v>
      </c>
      <c r="H8" s="157">
        <v>0.03</v>
      </c>
      <c r="I8" s="158">
        <v>4.4999999999999998E-2</v>
      </c>
      <c r="J8" s="234"/>
    </row>
    <row r="9" spans="2:17" ht="2.1" customHeight="1">
      <c r="D9" s="76"/>
      <c r="E9" s="77"/>
      <c r="F9" s="77"/>
      <c r="G9" s="77"/>
      <c r="H9" s="77"/>
      <c r="I9" s="77"/>
      <c r="J9" s="78"/>
    </row>
    <row r="10" spans="2:17" ht="2.1" customHeight="1">
      <c r="D10" s="79"/>
      <c r="E10" s="80"/>
      <c r="F10" s="80"/>
      <c r="G10" s="80"/>
      <c r="H10" s="80"/>
      <c r="I10" s="80"/>
      <c r="J10" s="81"/>
    </row>
    <row r="11" spans="2:17" ht="2.1" customHeight="1">
      <c r="D11" s="76"/>
      <c r="E11" s="77"/>
      <c r="F11" s="77"/>
      <c r="G11" s="77"/>
      <c r="H11" s="77"/>
      <c r="I11" s="77"/>
      <c r="J11" s="78"/>
    </row>
    <row r="12" spans="2:17" ht="30" customHeight="1">
      <c r="D12" s="151" t="s">
        <v>8</v>
      </c>
      <c r="E12" s="152">
        <v>25.36</v>
      </c>
      <c r="F12" s="153">
        <v>256</v>
      </c>
      <c r="G12" s="185">
        <f>G$8*$E12*$F12</f>
        <v>129.8432</v>
      </c>
      <c r="H12" s="185">
        <f t="shared" ref="H12:I24" si="0">H$8*$E12*$F12</f>
        <v>194.76479999999998</v>
      </c>
      <c r="I12" s="185">
        <f>I$8*$E12*$F12</f>
        <v>292.1472</v>
      </c>
      <c r="J12" s="195">
        <f>SUM(G12:I12)</f>
        <v>616.75519999999995</v>
      </c>
    </row>
    <row r="13" spans="2:17" ht="30" customHeight="1">
      <c r="D13" s="151" t="s">
        <v>9</v>
      </c>
      <c r="E13" s="152">
        <v>29.99</v>
      </c>
      <c r="F13" s="153">
        <v>365</v>
      </c>
      <c r="G13" s="185">
        <f t="shared" ref="G13:G24" si="1">G$8*$E13*$F13</f>
        <v>218.92699999999999</v>
      </c>
      <c r="H13" s="185">
        <f t="shared" si="0"/>
        <v>328.39049999999997</v>
      </c>
      <c r="I13" s="185">
        <f t="shared" si="0"/>
        <v>492.5857499999999</v>
      </c>
      <c r="J13" s="195">
        <f t="shared" ref="J13:J24" si="2">SUM(G13:I13)</f>
        <v>1039.9032499999998</v>
      </c>
    </row>
    <row r="14" spans="2:17" ht="30" customHeight="1">
      <c r="D14" s="151" t="s">
        <v>10</v>
      </c>
      <c r="E14" s="152">
        <v>36.25</v>
      </c>
      <c r="F14" s="153">
        <v>248</v>
      </c>
      <c r="G14" s="185">
        <f t="shared" si="1"/>
        <v>179.79999999999998</v>
      </c>
      <c r="H14" s="185">
        <f t="shared" si="0"/>
        <v>269.7</v>
      </c>
      <c r="I14" s="185">
        <f t="shared" si="0"/>
        <v>404.54999999999995</v>
      </c>
      <c r="J14" s="195">
        <f t="shared" si="2"/>
        <v>854.05</v>
      </c>
    </row>
    <row r="15" spans="2:17" ht="30" customHeight="1">
      <c r="D15" s="151" t="s">
        <v>11</v>
      </c>
      <c r="E15" s="152">
        <v>36.14</v>
      </c>
      <c r="F15" s="153">
        <v>269</v>
      </c>
      <c r="G15" s="185">
        <f t="shared" si="1"/>
        <v>194.4332</v>
      </c>
      <c r="H15" s="185">
        <f t="shared" si="0"/>
        <v>291.64980000000003</v>
      </c>
      <c r="I15" s="185">
        <f t="shared" si="0"/>
        <v>437.47469999999998</v>
      </c>
      <c r="J15" s="195">
        <f t="shared" si="2"/>
        <v>923.55770000000007</v>
      </c>
    </row>
    <row r="16" spans="2:17" ht="30" customHeight="1">
      <c r="D16" s="151" t="s">
        <v>12</v>
      </c>
      <c r="E16" s="152">
        <v>45.25</v>
      </c>
      <c r="F16" s="153">
        <v>315</v>
      </c>
      <c r="G16" s="185">
        <f t="shared" si="1"/>
        <v>285.07499999999999</v>
      </c>
      <c r="H16" s="185">
        <f t="shared" si="0"/>
        <v>427.61249999999995</v>
      </c>
      <c r="I16" s="185">
        <f t="shared" si="0"/>
        <v>641.41874999999993</v>
      </c>
      <c r="J16" s="195">
        <f t="shared" si="2"/>
        <v>1354.1062499999998</v>
      </c>
    </row>
    <row r="17" spans="2:12" ht="30" customHeight="1">
      <c r="D17" s="151" t="s">
        <v>13</v>
      </c>
      <c r="E17" s="152">
        <v>26.35</v>
      </c>
      <c r="F17" s="153">
        <v>263</v>
      </c>
      <c r="G17" s="185">
        <f t="shared" si="1"/>
        <v>138.601</v>
      </c>
      <c r="H17" s="185">
        <f>H$8*$E17*$F17</f>
        <v>207.9015</v>
      </c>
      <c r="I17" s="185">
        <f t="shared" si="0"/>
        <v>311.85225000000003</v>
      </c>
      <c r="J17" s="195">
        <f>SUM(G17:I17)</f>
        <v>658.35474999999997</v>
      </c>
    </row>
    <row r="18" spans="2:12" ht="30" customHeight="1">
      <c r="D18" s="151" t="s">
        <v>14</v>
      </c>
      <c r="E18" s="152">
        <v>36.25</v>
      </c>
      <c r="F18" s="153">
        <v>298</v>
      </c>
      <c r="G18" s="185">
        <f t="shared" si="1"/>
        <v>216.04999999999998</v>
      </c>
      <c r="H18" s="185">
        <f t="shared" si="0"/>
        <v>324.07499999999999</v>
      </c>
      <c r="I18" s="185">
        <f t="shared" si="0"/>
        <v>486.11249999999995</v>
      </c>
      <c r="J18" s="195">
        <f t="shared" si="2"/>
        <v>1026.2375</v>
      </c>
    </row>
    <row r="19" spans="2:12" ht="30" customHeight="1">
      <c r="D19" s="151" t="s">
        <v>15</v>
      </c>
      <c r="E19" s="152">
        <v>45.33</v>
      </c>
      <c r="F19" s="153">
        <v>364</v>
      </c>
      <c r="G19" s="185">
        <f t="shared" si="1"/>
        <v>330.00239999999997</v>
      </c>
      <c r="H19" s="185">
        <f t="shared" si="0"/>
        <v>495.00359999999995</v>
      </c>
      <c r="I19" s="185">
        <f t="shared" si="0"/>
        <v>742.50540000000001</v>
      </c>
      <c r="J19" s="195">
        <f t="shared" si="2"/>
        <v>1567.5113999999999</v>
      </c>
    </row>
    <row r="20" spans="2:12" ht="30" customHeight="1">
      <c r="D20" s="151" t="s">
        <v>16</v>
      </c>
      <c r="E20" s="152">
        <v>89.99</v>
      </c>
      <c r="F20" s="153">
        <v>589</v>
      </c>
      <c r="G20" s="185">
        <f t="shared" si="1"/>
        <v>1060.0821999999998</v>
      </c>
      <c r="H20" s="185">
        <f t="shared" si="0"/>
        <v>1590.1232999999997</v>
      </c>
      <c r="I20" s="185">
        <f t="shared" si="0"/>
        <v>2385.1849499999998</v>
      </c>
      <c r="J20" s="195">
        <f t="shared" si="2"/>
        <v>5035.390449999999</v>
      </c>
    </row>
    <row r="21" spans="2:12" ht="30" customHeight="1">
      <c r="D21" s="151" t="s">
        <v>17</v>
      </c>
      <c r="E21" s="152">
        <v>86.25</v>
      </c>
      <c r="F21" s="153">
        <v>145</v>
      </c>
      <c r="G21" s="185">
        <f t="shared" si="1"/>
        <v>250.125</v>
      </c>
      <c r="H21" s="185">
        <f t="shared" si="0"/>
        <v>375.1875</v>
      </c>
      <c r="I21" s="185">
        <f t="shared" si="0"/>
        <v>562.78125</v>
      </c>
      <c r="J21" s="195">
        <f t="shared" si="2"/>
        <v>1188.09375</v>
      </c>
    </row>
    <row r="22" spans="2:12" ht="30" customHeight="1">
      <c r="D22" s="151" t="s">
        <v>18</v>
      </c>
      <c r="E22" s="152">
        <v>101.23</v>
      </c>
      <c r="F22" s="153">
        <v>899</v>
      </c>
      <c r="G22" s="185">
        <f t="shared" si="1"/>
        <v>1820.1153999999999</v>
      </c>
      <c r="H22" s="185">
        <f t="shared" si="0"/>
        <v>2730.1731</v>
      </c>
      <c r="I22" s="185">
        <f>I$8*$E22*$F22</f>
        <v>4095.25965</v>
      </c>
      <c r="J22" s="195">
        <f t="shared" si="2"/>
        <v>8645.5481499999987</v>
      </c>
    </row>
    <row r="23" spans="2:12" ht="30" customHeight="1">
      <c r="D23" s="151" t="s">
        <v>19</v>
      </c>
      <c r="E23" s="152">
        <v>125.22</v>
      </c>
      <c r="F23" s="153">
        <v>452</v>
      </c>
      <c r="G23" s="185">
        <f t="shared" si="1"/>
        <v>1131.9888000000001</v>
      </c>
      <c r="H23" s="185">
        <f t="shared" si="0"/>
        <v>1697.9831999999999</v>
      </c>
      <c r="I23" s="185">
        <f t="shared" si="0"/>
        <v>2546.9748</v>
      </c>
      <c r="J23" s="195">
        <f t="shared" si="2"/>
        <v>5376.9467999999997</v>
      </c>
    </row>
    <row r="24" spans="2:12" ht="30" customHeight="1" thickBot="1">
      <c r="D24" s="154" t="s">
        <v>20</v>
      </c>
      <c r="E24" s="155">
        <v>77.36</v>
      </c>
      <c r="F24" s="156">
        <v>292</v>
      </c>
      <c r="G24" s="185">
        <f t="shared" si="1"/>
        <v>451.78240000000005</v>
      </c>
      <c r="H24" s="185">
        <f t="shared" si="0"/>
        <v>677.67359999999996</v>
      </c>
      <c r="I24" s="185">
        <f t="shared" si="0"/>
        <v>1016.5104</v>
      </c>
      <c r="J24" s="195">
        <f>SUM(G24:I24)</f>
        <v>2145.9664000000002</v>
      </c>
    </row>
    <row r="25" spans="2:12" ht="30" customHeight="1"/>
    <row r="26" spans="2:12" ht="30" customHeight="1">
      <c r="B26" s="210" t="s">
        <v>83</v>
      </c>
      <c r="C26" s="211"/>
      <c r="D26" s="159" t="s">
        <v>206</v>
      </c>
      <c r="E26" s="7"/>
      <c r="F26" s="7"/>
      <c r="G26" s="8"/>
    </row>
    <row r="27" spans="2:12" ht="30" customHeight="1"/>
    <row r="28" spans="2:12" ht="30" customHeight="1">
      <c r="D28" s="232" t="s">
        <v>156</v>
      </c>
      <c r="E28" s="232"/>
      <c r="F28" s="232"/>
      <c r="G28" s="232"/>
      <c r="H28" s="232"/>
      <c r="I28" s="232"/>
      <c r="J28" s="232"/>
      <c r="K28" s="232"/>
      <c r="L28" s="232"/>
    </row>
    <row r="29" spans="2:12" ht="30" customHeight="1">
      <c r="D29" s="232" t="s">
        <v>42</v>
      </c>
      <c r="E29" s="232"/>
      <c r="F29" s="232"/>
      <c r="G29" s="232"/>
      <c r="H29" s="232"/>
      <c r="I29" s="232"/>
      <c r="J29" s="232"/>
      <c r="K29" s="232"/>
      <c r="L29" s="232"/>
    </row>
    <row r="30" spans="2:12" ht="30" customHeight="1">
      <c r="D30" s="224" t="s">
        <v>43</v>
      </c>
      <c r="E30" s="226" t="s">
        <v>65</v>
      </c>
      <c r="F30" s="235" t="s">
        <v>44</v>
      </c>
      <c r="G30" s="235"/>
      <c r="H30" s="235"/>
      <c r="I30" s="235"/>
      <c r="J30" s="226" t="s">
        <v>45</v>
      </c>
      <c r="K30" s="226" t="s">
        <v>46</v>
      </c>
      <c r="L30" s="228" t="s">
        <v>47</v>
      </c>
    </row>
    <row r="31" spans="2:12" ht="30" customHeight="1">
      <c r="D31" s="225"/>
      <c r="E31" s="227"/>
      <c r="F31" s="85" t="s">
        <v>48</v>
      </c>
      <c r="G31" s="85" t="s">
        <v>49</v>
      </c>
      <c r="H31" s="85" t="s">
        <v>50</v>
      </c>
      <c r="I31" s="85" t="s">
        <v>51</v>
      </c>
      <c r="J31" s="236"/>
      <c r="K31" s="227"/>
      <c r="L31" s="229"/>
    </row>
    <row r="32" spans="2:12" ht="30" customHeight="1">
      <c r="D32" s="225"/>
      <c r="E32" s="227"/>
      <c r="F32" s="86">
        <v>2.5000000000000001E-2</v>
      </c>
      <c r="G32" s="86">
        <v>3.3000000000000002E-2</v>
      </c>
      <c r="H32" s="86">
        <v>2.8000000000000001E-2</v>
      </c>
      <c r="I32" s="86">
        <v>2.4E-2</v>
      </c>
      <c r="J32" s="236"/>
      <c r="K32" s="227"/>
      <c r="L32" s="229"/>
    </row>
    <row r="33" spans="4:12" ht="2.1" customHeight="1">
      <c r="D33" s="76"/>
      <c r="E33" s="77"/>
      <c r="F33" s="77"/>
      <c r="G33" s="77"/>
      <c r="H33" s="77"/>
      <c r="I33" s="77"/>
      <c r="J33" s="77"/>
      <c r="K33" s="77"/>
      <c r="L33" s="78"/>
    </row>
    <row r="34" spans="4:12" ht="2.1" customHeight="1">
      <c r="D34" s="82"/>
      <c r="E34" s="83"/>
      <c r="F34" s="83"/>
      <c r="G34" s="83"/>
      <c r="H34" s="83"/>
      <c r="I34" s="83"/>
      <c r="J34" s="83"/>
      <c r="K34" s="83"/>
      <c r="L34" s="84"/>
    </row>
    <row r="35" spans="4:12" ht="2.1" customHeight="1">
      <c r="D35" s="76"/>
      <c r="E35" s="77"/>
      <c r="F35" s="77"/>
      <c r="G35" s="77"/>
      <c r="H35" s="77"/>
      <c r="I35" s="77"/>
      <c r="J35" s="77"/>
      <c r="K35" s="77"/>
      <c r="L35" s="78"/>
    </row>
    <row r="36" spans="4:12" ht="30" customHeight="1">
      <c r="D36" s="160" t="s">
        <v>52</v>
      </c>
      <c r="E36" s="161">
        <v>225</v>
      </c>
      <c r="F36" s="186">
        <f>F$32*$E36</f>
        <v>5.625</v>
      </c>
      <c r="G36" s="186">
        <f t="shared" ref="G36:I48" si="3">G$32*$E36</f>
        <v>7.4250000000000007</v>
      </c>
      <c r="H36" s="186">
        <f t="shared" si="3"/>
        <v>6.3</v>
      </c>
      <c r="I36" s="186">
        <f>I$32*$E36</f>
        <v>5.4</v>
      </c>
      <c r="J36" s="186">
        <f>SUM(F36:I36)</f>
        <v>24.75</v>
      </c>
      <c r="K36" s="186">
        <f>E36+F36</f>
        <v>230.625</v>
      </c>
      <c r="L36" s="197">
        <f>K36/K$51</f>
        <v>0.13043478260869568</v>
      </c>
    </row>
    <row r="37" spans="4:12" ht="30" customHeight="1">
      <c r="D37" s="160" t="s">
        <v>53</v>
      </c>
      <c r="E37" s="161">
        <v>199</v>
      </c>
      <c r="F37" s="186">
        <f t="shared" ref="F37:F48" si="4">F$32*$E37</f>
        <v>4.9750000000000005</v>
      </c>
      <c r="G37" s="186">
        <f t="shared" si="3"/>
        <v>6.5670000000000002</v>
      </c>
      <c r="H37" s="186">
        <f t="shared" si="3"/>
        <v>5.5720000000000001</v>
      </c>
      <c r="I37" s="186">
        <f t="shared" si="3"/>
        <v>4.7759999999999998</v>
      </c>
      <c r="J37" s="186">
        <f t="shared" ref="J37:J48" si="5">SUM(F37:I37)</f>
        <v>21.89</v>
      </c>
      <c r="K37" s="186">
        <f t="shared" ref="K37:K48" si="6">E37+F37</f>
        <v>203.97499999999999</v>
      </c>
      <c r="L37" s="197">
        <f t="shared" ref="L37:L48" si="7">K37/K$51</f>
        <v>0.11536231884057974</v>
      </c>
    </row>
    <row r="38" spans="4:12" ht="30" customHeight="1">
      <c r="D38" s="160" t="s">
        <v>54</v>
      </c>
      <c r="E38" s="161">
        <v>175</v>
      </c>
      <c r="F38" s="186">
        <f t="shared" si="4"/>
        <v>4.375</v>
      </c>
      <c r="G38" s="186">
        <f t="shared" si="3"/>
        <v>5.7750000000000004</v>
      </c>
      <c r="H38" s="186">
        <f t="shared" si="3"/>
        <v>4.9000000000000004</v>
      </c>
      <c r="I38" s="186">
        <f t="shared" si="3"/>
        <v>4.2</v>
      </c>
      <c r="J38" s="186">
        <f t="shared" si="5"/>
        <v>19.25</v>
      </c>
      <c r="K38" s="186">
        <f t="shared" si="6"/>
        <v>179.375</v>
      </c>
      <c r="L38" s="197">
        <f t="shared" si="7"/>
        <v>0.10144927536231886</v>
      </c>
    </row>
    <row r="39" spans="4:12" ht="30" customHeight="1">
      <c r="D39" s="160" t="s">
        <v>55</v>
      </c>
      <c r="E39" s="161">
        <v>166</v>
      </c>
      <c r="F39" s="186">
        <f t="shared" si="4"/>
        <v>4.1500000000000004</v>
      </c>
      <c r="G39" s="186">
        <f t="shared" si="3"/>
        <v>5.4780000000000006</v>
      </c>
      <c r="H39" s="186">
        <f t="shared" si="3"/>
        <v>4.6479999999999997</v>
      </c>
      <c r="I39" s="186">
        <f t="shared" si="3"/>
        <v>3.984</v>
      </c>
      <c r="J39" s="186">
        <f t="shared" si="5"/>
        <v>18.259999999999998</v>
      </c>
      <c r="K39" s="186">
        <f t="shared" si="6"/>
        <v>170.15</v>
      </c>
      <c r="L39" s="197">
        <f t="shared" si="7"/>
        <v>9.6231884057971048E-2</v>
      </c>
    </row>
    <row r="40" spans="4:12" ht="30" customHeight="1">
      <c r="D40" s="160" t="s">
        <v>56</v>
      </c>
      <c r="E40" s="161">
        <v>125</v>
      </c>
      <c r="F40" s="186">
        <f t="shared" si="4"/>
        <v>3.125</v>
      </c>
      <c r="G40" s="186">
        <f t="shared" si="3"/>
        <v>4.125</v>
      </c>
      <c r="H40" s="186">
        <f>H$32*$E40</f>
        <v>3.5</v>
      </c>
      <c r="I40" s="186">
        <f t="shared" si="3"/>
        <v>3</v>
      </c>
      <c r="J40" s="186">
        <f t="shared" si="5"/>
        <v>13.75</v>
      </c>
      <c r="K40" s="186">
        <f t="shared" si="6"/>
        <v>128.125</v>
      </c>
      <c r="L40" s="197">
        <f t="shared" si="7"/>
        <v>7.2463768115942045E-2</v>
      </c>
    </row>
    <row r="41" spans="4:12" ht="30" customHeight="1">
      <c r="D41" s="160" t="s">
        <v>57</v>
      </c>
      <c r="E41" s="161">
        <v>120</v>
      </c>
      <c r="F41" s="186">
        <f t="shared" si="4"/>
        <v>3</v>
      </c>
      <c r="G41" s="186">
        <f t="shared" si="3"/>
        <v>3.96</v>
      </c>
      <c r="H41" s="186">
        <f t="shared" si="3"/>
        <v>3.36</v>
      </c>
      <c r="I41" s="186">
        <f t="shared" si="3"/>
        <v>2.88</v>
      </c>
      <c r="J41" s="186">
        <f t="shared" si="5"/>
        <v>13.2</v>
      </c>
      <c r="K41" s="186">
        <f t="shared" si="6"/>
        <v>123</v>
      </c>
      <c r="L41" s="197">
        <f t="shared" si="7"/>
        <v>6.9565217391304363E-2</v>
      </c>
    </row>
    <row r="42" spans="4:12" ht="30" customHeight="1">
      <c r="D42" s="160" t="s">
        <v>58</v>
      </c>
      <c r="E42" s="161">
        <v>119</v>
      </c>
      <c r="F42" s="186">
        <f t="shared" si="4"/>
        <v>2.9750000000000001</v>
      </c>
      <c r="G42" s="186">
        <f t="shared" si="3"/>
        <v>3.927</v>
      </c>
      <c r="H42" s="186">
        <f t="shared" si="3"/>
        <v>3.3319999999999999</v>
      </c>
      <c r="I42" s="186">
        <f t="shared" si="3"/>
        <v>2.8559999999999999</v>
      </c>
      <c r="J42" s="186">
        <f t="shared" si="5"/>
        <v>13.09</v>
      </c>
      <c r="K42" s="186">
        <f t="shared" si="6"/>
        <v>121.97499999999999</v>
      </c>
      <c r="L42" s="197">
        <f t="shared" si="7"/>
        <v>6.8985507246376823E-2</v>
      </c>
    </row>
    <row r="43" spans="4:12" ht="30" customHeight="1">
      <c r="D43" s="160" t="s">
        <v>59</v>
      </c>
      <c r="E43" s="161">
        <v>115</v>
      </c>
      <c r="F43" s="186">
        <f t="shared" si="4"/>
        <v>2.875</v>
      </c>
      <c r="G43" s="186">
        <f t="shared" si="3"/>
        <v>3.7950000000000004</v>
      </c>
      <c r="H43" s="186">
        <f t="shared" si="3"/>
        <v>3.22</v>
      </c>
      <c r="I43" s="186">
        <f t="shared" si="3"/>
        <v>2.7600000000000002</v>
      </c>
      <c r="J43" s="186">
        <f t="shared" si="5"/>
        <v>12.65</v>
      </c>
      <c r="K43" s="186">
        <f t="shared" si="6"/>
        <v>117.875</v>
      </c>
      <c r="L43" s="197">
        <f t="shared" si="7"/>
        <v>6.666666666666668E-2</v>
      </c>
    </row>
    <row r="44" spans="4:12" ht="30" customHeight="1">
      <c r="D44" s="160" t="s">
        <v>60</v>
      </c>
      <c r="E44" s="161">
        <v>109</v>
      </c>
      <c r="F44" s="186">
        <f t="shared" si="4"/>
        <v>2.7250000000000001</v>
      </c>
      <c r="G44" s="186">
        <f t="shared" si="3"/>
        <v>3.597</v>
      </c>
      <c r="H44" s="186">
        <f t="shared" si="3"/>
        <v>3.052</v>
      </c>
      <c r="I44" s="186">
        <f t="shared" si="3"/>
        <v>2.6160000000000001</v>
      </c>
      <c r="J44" s="186">
        <f t="shared" si="5"/>
        <v>11.99</v>
      </c>
      <c r="K44" s="186">
        <f t="shared" si="6"/>
        <v>111.72499999999999</v>
      </c>
      <c r="L44" s="197">
        <f t="shared" si="7"/>
        <v>6.3188405797101457E-2</v>
      </c>
    </row>
    <row r="45" spans="4:12" ht="30" customHeight="1">
      <c r="D45" s="160" t="s">
        <v>61</v>
      </c>
      <c r="E45" s="161">
        <v>107</v>
      </c>
      <c r="F45" s="186">
        <f t="shared" si="4"/>
        <v>2.6750000000000003</v>
      </c>
      <c r="G45" s="186">
        <f t="shared" si="3"/>
        <v>3.5310000000000001</v>
      </c>
      <c r="H45" s="186">
        <f t="shared" si="3"/>
        <v>2.996</v>
      </c>
      <c r="I45" s="186">
        <f t="shared" si="3"/>
        <v>2.5680000000000001</v>
      </c>
      <c r="J45" s="186">
        <f t="shared" si="5"/>
        <v>11.77</v>
      </c>
      <c r="K45" s="186">
        <f t="shared" si="6"/>
        <v>109.675</v>
      </c>
      <c r="L45" s="197">
        <f t="shared" si="7"/>
        <v>6.2028985507246392E-2</v>
      </c>
    </row>
    <row r="46" spans="4:12" ht="30" customHeight="1">
      <c r="D46" s="160" t="s">
        <v>62</v>
      </c>
      <c r="E46" s="161">
        <v>99</v>
      </c>
      <c r="F46" s="186">
        <f t="shared" si="4"/>
        <v>2.4750000000000001</v>
      </c>
      <c r="G46" s="186">
        <f t="shared" si="3"/>
        <v>3.2670000000000003</v>
      </c>
      <c r="H46" s="186">
        <f t="shared" si="3"/>
        <v>2.7720000000000002</v>
      </c>
      <c r="I46" s="186">
        <f t="shared" si="3"/>
        <v>2.3759999999999999</v>
      </c>
      <c r="J46" s="186">
        <f t="shared" si="5"/>
        <v>10.89</v>
      </c>
      <c r="K46" s="186">
        <f t="shared" si="6"/>
        <v>101.47499999999999</v>
      </c>
      <c r="L46" s="197">
        <f t="shared" si="7"/>
        <v>5.7391304347826098E-2</v>
      </c>
    </row>
    <row r="47" spans="4:12" ht="30" customHeight="1">
      <c r="D47" s="160" t="s">
        <v>63</v>
      </c>
      <c r="E47" s="161">
        <v>89</v>
      </c>
      <c r="F47" s="186">
        <f t="shared" si="4"/>
        <v>2.2250000000000001</v>
      </c>
      <c r="G47" s="186">
        <f t="shared" si="3"/>
        <v>2.9370000000000003</v>
      </c>
      <c r="H47" s="186">
        <f t="shared" si="3"/>
        <v>2.492</v>
      </c>
      <c r="I47" s="186">
        <f t="shared" si="3"/>
        <v>2.1360000000000001</v>
      </c>
      <c r="J47" s="186">
        <f t="shared" si="5"/>
        <v>9.7900000000000009</v>
      </c>
      <c r="K47" s="186">
        <f t="shared" si="6"/>
        <v>91.224999999999994</v>
      </c>
      <c r="L47" s="197">
        <f t="shared" si="7"/>
        <v>5.1594202898550733E-2</v>
      </c>
    </row>
    <row r="48" spans="4:12" ht="30" customHeight="1" thickBot="1">
      <c r="D48" s="162" t="s">
        <v>64</v>
      </c>
      <c r="E48" s="163">
        <v>77</v>
      </c>
      <c r="F48" s="186">
        <f t="shared" si="4"/>
        <v>1.925</v>
      </c>
      <c r="G48" s="186">
        <f t="shared" si="3"/>
        <v>2.5409999999999999</v>
      </c>
      <c r="H48" s="186">
        <f t="shared" si="3"/>
        <v>2.1560000000000001</v>
      </c>
      <c r="I48" s="186">
        <f t="shared" si="3"/>
        <v>1.8480000000000001</v>
      </c>
      <c r="J48" s="186">
        <f t="shared" si="5"/>
        <v>8.4700000000000006</v>
      </c>
      <c r="K48" s="186">
        <f t="shared" si="6"/>
        <v>78.924999999999997</v>
      </c>
      <c r="L48" s="197">
        <f t="shared" si="7"/>
        <v>4.4637681159420302E-2</v>
      </c>
    </row>
    <row r="49" spans="4:12" ht="2.1" customHeight="1">
      <c r="D49" s="19"/>
      <c r="E49" s="20"/>
      <c r="F49" s="21"/>
      <c r="G49" s="21"/>
      <c r="L49" s="22"/>
    </row>
    <row r="50" spans="4:12" ht="2.1" customHeight="1" thickBot="1">
      <c r="D50" s="19"/>
      <c r="E50" s="20"/>
      <c r="F50" s="21"/>
      <c r="G50" s="21"/>
      <c r="L50" s="22"/>
    </row>
    <row r="51" spans="4:12" ht="30" customHeight="1" thickBot="1">
      <c r="D51" s="2"/>
      <c r="E51" s="2"/>
      <c r="F51" s="3"/>
      <c r="G51" s="3"/>
      <c r="H51" s="3"/>
      <c r="I51" s="230" t="s">
        <v>66</v>
      </c>
      <c r="J51" s="231"/>
      <c r="K51" s="196">
        <f>SUM(K36:K50)</f>
        <v>1768.1249999999995</v>
      </c>
      <c r="L51" s="198">
        <f>SUM(L36:L50)</f>
        <v>1.0000000000000004</v>
      </c>
    </row>
    <row r="52" spans="4:12" ht="2.1" customHeight="1"/>
    <row r="53" spans="4:12" ht="2.1" customHeight="1"/>
    <row r="54" spans="4:12" ht="30" customHeight="1"/>
    <row r="55" spans="4:12" ht="30" customHeight="1"/>
    <row r="56" spans="4:12" ht="30" customHeight="1"/>
    <row r="57" spans="4:12" ht="30" customHeight="1"/>
    <row r="58" spans="4:12" ht="30" customHeight="1"/>
    <row r="59" spans="4:12" ht="30" customHeight="1"/>
    <row r="60" spans="4:12" ht="30" customHeight="1"/>
    <row r="61" spans="4:12" ht="30" customHeight="1"/>
    <row r="62" spans="4:12" ht="30" customHeight="1"/>
    <row r="63" spans="4:12" ht="30" customHeight="1"/>
    <row r="64" spans="4:12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</sheetData>
  <sheetProtection selectLockedCells="1"/>
  <mergeCells count="16">
    <mergeCell ref="K30:K32"/>
    <mergeCell ref="L30:L32"/>
    <mergeCell ref="I51:J51"/>
    <mergeCell ref="B26:C26"/>
    <mergeCell ref="B3:C3"/>
    <mergeCell ref="D28:L28"/>
    <mergeCell ref="D29:L29"/>
    <mergeCell ref="F7:F8"/>
    <mergeCell ref="J7:J8"/>
    <mergeCell ref="F30:I30"/>
    <mergeCell ref="J30:J32"/>
    <mergeCell ref="E1:H1"/>
    <mergeCell ref="D7:D8"/>
    <mergeCell ref="E7:E8"/>
    <mergeCell ref="D30:D32"/>
    <mergeCell ref="E30:E32"/>
  </mergeCells>
  <pageMargins left="0.75" right="0.75" top="1" bottom="1" header="0" footer="0"/>
  <pageSetup orientation="portrait" horizontalDpi="300" verticalDpi="12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B1:Q122"/>
  <sheetViews>
    <sheetView showGridLines="0" tabSelected="1" topLeftCell="C1" zoomScale="115" zoomScaleNormal="115" workbookViewId="0">
      <selection activeCell="H95" sqref="H95"/>
    </sheetView>
  </sheetViews>
  <sheetFormatPr baseColWidth="10" defaultColWidth="11.44140625" defaultRowHeight="20.100000000000001" customHeight="1"/>
  <cols>
    <col min="1" max="1" width="3.109375" style="6" customWidth="1"/>
    <col min="2" max="2" width="14.88671875" style="6" customWidth="1"/>
    <col min="3" max="3" width="9.109375" style="6" customWidth="1"/>
    <col min="4" max="4" width="26.6640625" style="6" customWidth="1"/>
    <col min="5" max="5" width="20.44140625" style="6" customWidth="1"/>
    <col min="6" max="6" width="20.109375" style="6" customWidth="1"/>
    <col min="7" max="7" width="22.44140625" style="6" customWidth="1"/>
    <col min="8" max="8" width="23.33203125" style="6" customWidth="1"/>
    <col min="9" max="9" width="20" style="6" customWidth="1"/>
    <col min="10" max="10" width="19.5546875" style="6" bestFit="1" customWidth="1"/>
    <col min="11" max="11" width="18.44140625" style="6" bestFit="1" customWidth="1"/>
    <col min="12" max="12" width="15.109375" style="6" customWidth="1"/>
    <col min="13" max="13" width="15.44140625" style="6" customWidth="1"/>
    <col min="14" max="16384" width="11.44140625" style="6"/>
  </cols>
  <sheetData>
    <row r="1" spans="2:17" s="27" customFormat="1" ht="32.4" customHeight="1">
      <c r="C1" s="28"/>
      <c r="D1" s="29"/>
      <c r="E1" s="219" t="s">
        <v>197</v>
      </c>
      <c r="F1" s="219"/>
      <c r="G1" s="219"/>
      <c r="H1" s="219"/>
      <c r="I1" s="29"/>
      <c r="J1" s="29"/>
      <c r="K1" s="29"/>
      <c r="L1" s="29"/>
      <c r="M1" s="29"/>
      <c r="N1" s="29"/>
      <c r="O1" s="29"/>
      <c r="P1" s="29"/>
      <c r="Q1" s="29"/>
    </row>
    <row r="2" spans="2:17" ht="12.75" customHeight="1"/>
    <row r="3" spans="2:17" ht="30" customHeight="1">
      <c r="B3" s="210" t="s">
        <v>71</v>
      </c>
      <c r="C3" s="211"/>
      <c r="D3" s="92" t="s">
        <v>210</v>
      </c>
      <c r="E3" s="7"/>
      <c r="F3" s="7"/>
      <c r="G3" s="8"/>
      <c r="H3" s="1"/>
      <c r="I3" s="1"/>
      <c r="J3" s="1"/>
      <c r="K3" s="1"/>
      <c r="L3" s="1"/>
    </row>
    <row r="4" spans="2:17" ht="18.75" customHeight="1"/>
    <row r="5" spans="2:17" ht="2.1" customHeight="1"/>
    <row r="6" spans="2:17" ht="2.1" customHeight="1"/>
    <row r="7" spans="2:17" ht="30" customHeight="1">
      <c r="D7" s="205" t="s">
        <v>161</v>
      </c>
      <c r="E7" s="87"/>
    </row>
    <row r="8" spans="2:17" ht="30" customHeight="1">
      <c r="D8" s="165" t="s">
        <v>159</v>
      </c>
      <c r="E8" s="201" t="s">
        <v>162</v>
      </c>
    </row>
    <row r="9" spans="2:17" ht="30" customHeight="1"/>
    <row r="10" spans="2:17" ht="30" customHeight="1">
      <c r="E10" s="180" t="s">
        <v>157</v>
      </c>
      <c r="F10" s="92" t="s">
        <v>173</v>
      </c>
      <c r="G10" s="7"/>
      <c r="H10" s="7"/>
      <c r="I10" s="8"/>
    </row>
    <row r="11" spans="2:17" ht="15" customHeight="1"/>
    <row r="12" spans="2:17" ht="30" customHeight="1">
      <c r="E12" s="181" t="s">
        <v>164</v>
      </c>
      <c r="F12" s="166">
        <v>0.1</v>
      </c>
    </row>
    <row r="13" spans="2:17" ht="30" customHeight="1">
      <c r="E13" s="181" t="s">
        <v>29</v>
      </c>
      <c r="F13" s="166">
        <v>0.18</v>
      </c>
    </row>
    <row r="14" spans="2:17" ht="12.75" customHeight="1"/>
    <row r="15" spans="2:17" ht="37.5" customHeight="1">
      <c r="E15" s="88" t="s">
        <v>163</v>
      </c>
      <c r="F15" s="66" t="s">
        <v>3</v>
      </c>
      <c r="G15" s="66" t="s">
        <v>164</v>
      </c>
      <c r="H15" s="66" t="s">
        <v>165</v>
      </c>
      <c r="I15" s="66" t="s">
        <v>166</v>
      </c>
      <c r="J15" s="66" t="s">
        <v>151</v>
      </c>
    </row>
    <row r="16" spans="2:17" ht="2.1" customHeight="1"/>
    <row r="17" spans="5:10" ht="2.1" customHeight="1">
      <c r="E17" s="46"/>
      <c r="F17" s="46"/>
      <c r="G17" s="46"/>
      <c r="H17" s="46"/>
      <c r="I17" s="46"/>
      <c r="J17" s="46"/>
    </row>
    <row r="18" spans="5:10" ht="2.1" customHeight="1"/>
    <row r="19" spans="5:10" ht="30" customHeight="1">
      <c r="E19" s="167" t="s">
        <v>167</v>
      </c>
      <c r="F19" s="168">
        <v>2563.9899999999998</v>
      </c>
      <c r="G19" s="199">
        <f>$F19*$F$12</f>
        <v>256.399</v>
      </c>
      <c r="H19" s="199">
        <f>F19+G19</f>
        <v>2820.3889999999997</v>
      </c>
      <c r="I19" s="199">
        <f>H19*$F$13</f>
        <v>507.67001999999991</v>
      </c>
      <c r="J19" s="200">
        <f>H19+I19</f>
        <v>3328.0590199999997</v>
      </c>
    </row>
    <row r="20" spans="5:10" ht="30" customHeight="1">
      <c r="E20" s="167" t="s">
        <v>168</v>
      </c>
      <c r="F20" s="168">
        <v>1485.22</v>
      </c>
      <c r="G20" s="199">
        <f t="shared" ref="G20:H24" si="0">$F20*$F$12</f>
        <v>148.52200000000002</v>
      </c>
      <c r="H20" s="199">
        <f t="shared" ref="H20:H24" si="1">F20+G20</f>
        <v>1633.742</v>
      </c>
      <c r="I20" s="199">
        <f t="shared" ref="I20:I24" si="2">H20*$F$13</f>
        <v>294.07355999999999</v>
      </c>
      <c r="J20" s="200">
        <f t="shared" ref="J20:J24" si="3">H20+I20</f>
        <v>1927.81556</v>
      </c>
    </row>
    <row r="21" spans="5:10" ht="30" customHeight="1">
      <c r="E21" s="167" t="s">
        <v>169</v>
      </c>
      <c r="F21" s="168">
        <v>3258.88</v>
      </c>
      <c r="G21" s="199">
        <f t="shared" si="0"/>
        <v>325.88800000000003</v>
      </c>
      <c r="H21" s="199">
        <f t="shared" si="1"/>
        <v>3584.768</v>
      </c>
      <c r="I21" s="199">
        <f t="shared" si="2"/>
        <v>645.25824</v>
      </c>
      <c r="J21" s="200">
        <f t="shared" si="3"/>
        <v>4230.0262400000001</v>
      </c>
    </row>
    <row r="22" spans="5:10" ht="30" customHeight="1">
      <c r="E22" s="167" t="s">
        <v>170</v>
      </c>
      <c r="F22" s="168">
        <v>2596.9899999999998</v>
      </c>
      <c r="G22" s="199">
        <f t="shared" si="0"/>
        <v>259.69900000000001</v>
      </c>
      <c r="H22" s="199">
        <f t="shared" si="1"/>
        <v>2856.6889999999999</v>
      </c>
      <c r="I22" s="199">
        <f t="shared" si="2"/>
        <v>514.2040199999999</v>
      </c>
      <c r="J22" s="200">
        <f t="shared" si="3"/>
        <v>3370.8930199999995</v>
      </c>
    </row>
    <row r="23" spans="5:10" ht="30" customHeight="1">
      <c r="E23" s="167" t="s">
        <v>171</v>
      </c>
      <c r="F23" s="168">
        <v>1999.66</v>
      </c>
      <c r="G23" s="199">
        <f t="shared" si="0"/>
        <v>199.96600000000001</v>
      </c>
      <c r="H23" s="199">
        <f t="shared" si="1"/>
        <v>2199.6260000000002</v>
      </c>
      <c r="I23" s="199">
        <f t="shared" si="2"/>
        <v>395.93268</v>
      </c>
      <c r="J23" s="200">
        <f t="shared" si="3"/>
        <v>2595.5586800000001</v>
      </c>
    </row>
    <row r="24" spans="5:10" ht="30" customHeight="1">
      <c r="E24" s="167" t="s">
        <v>172</v>
      </c>
      <c r="F24" s="168">
        <v>1758.99</v>
      </c>
      <c r="G24" s="199">
        <f t="shared" si="0"/>
        <v>175.899</v>
      </c>
      <c r="H24" s="199">
        <f t="shared" si="1"/>
        <v>1934.8890000000001</v>
      </c>
      <c r="I24" s="199">
        <f t="shared" si="2"/>
        <v>348.28002000000004</v>
      </c>
      <c r="J24" s="200">
        <f t="shared" si="3"/>
        <v>2283.1690200000003</v>
      </c>
    </row>
    <row r="25" spans="5:10" ht="2.1" customHeight="1">
      <c r="E25" s="111"/>
      <c r="F25" s="170"/>
      <c r="G25" s="171"/>
      <c r="H25" s="169"/>
      <c r="I25" s="171"/>
      <c r="J25" s="171"/>
    </row>
    <row r="26" spans="5:10" ht="2.1" customHeight="1">
      <c r="E26" s="114"/>
      <c r="F26" s="172"/>
      <c r="G26" s="173"/>
      <c r="H26" s="173"/>
      <c r="I26" s="173"/>
      <c r="J26" s="173"/>
    </row>
    <row r="27" spans="5:10" ht="2.1" customHeight="1">
      <c r="E27" s="111"/>
      <c r="F27" s="170"/>
      <c r="G27" s="171"/>
      <c r="H27" s="171"/>
      <c r="I27" s="171"/>
      <c r="J27" s="171"/>
    </row>
    <row r="28" spans="5:10" ht="30" customHeight="1">
      <c r="E28" s="164" t="s">
        <v>40</v>
      </c>
      <c r="F28" s="206">
        <f t="shared" ref="F28:J28" si="4">SUM(F19:F27)</f>
        <v>13663.73</v>
      </c>
      <c r="G28" s="206">
        <f t="shared" si="4"/>
        <v>1366.373</v>
      </c>
      <c r="H28" s="206">
        <f t="shared" si="4"/>
        <v>15030.102999999999</v>
      </c>
      <c r="I28" s="206">
        <f t="shared" si="4"/>
        <v>2705.4185400000001</v>
      </c>
      <c r="J28" s="206">
        <f t="shared" si="4"/>
        <v>17735.521539999998</v>
      </c>
    </row>
    <row r="29" spans="5:10" ht="2.1" customHeight="1"/>
    <row r="30" spans="5:10" ht="2.1" customHeight="1">
      <c r="E30" s="46"/>
      <c r="F30" s="46"/>
      <c r="G30" s="46"/>
      <c r="H30" s="46"/>
      <c r="I30" s="46"/>
      <c r="J30" s="46"/>
    </row>
    <row r="31" spans="5:10" ht="2.1" customHeight="1"/>
    <row r="32" spans="5:10" ht="30" customHeight="1"/>
    <row r="33" spans="4:9" ht="30" customHeight="1">
      <c r="D33" s="243" t="s">
        <v>158</v>
      </c>
      <c r="E33" s="243"/>
    </row>
    <row r="34" spans="4:9" ht="30" customHeight="1">
      <c r="D34" s="165" t="s">
        <v>159</v>
      </c>
      <c r="E34" s="201" t="s">
        <v>160</v>
      </c>
    </row>
    <row r="35" spans="4:9" ht="15" customHeight="1"/>
    <row r="36" spans="4:9" ht="46.2" customHeight="1">
      <c r="E36" s="180" t="s">
        <v>157</v>
      </c>
      <c r="F36" s="240" t="s">
        <v>207</v>
      </c>
      <c r="G36" s="241"/>
      <c r="H36" s="241"/>
      <c r="I36" s="242"/>
    </row>
    <row r="37" spans="4:9" ht="16.5" customHeight="1"/>
    <row r="38" spans="4:9" ht="30" customHeight="1">
      <c r="E38" s="184" t="s">
        <v>28</v>
      </c>
      <c r="F38" s="166">
        <v>0.08</v>
      </c>
    </row>
    <row r="39" spans="4:9" ht="18.75" customHeight="1"/>
    <row r="40" spans="4:9" ht="30" customHeight="1">
      <c r="E40" s="89" t="s">
        <v>67</v>
      </c>
      <c r="F40" s="89" t="s">
        <v>174</v>
      </c>
      <c r="G40" s="89" t="s">
        <v>175</v>
      </c>
      <c r="H40" s="89" t="s">
        <v>176</v>
      </c>
      <c r="I40" s="89" t="s">
        <v>177</v>
      </c>
    </row>
    <row r="41" spans="4:9" ht="2.1" customHeight="1">
      <c r="E41" s="46"/>
      <c r="F41" s="46"/>
      <c r="G41" s="46"/>
      <c r="H41" s="46"/>
      <c r="I41" s="46"/>
    </row>
    <row r="42" spans="4:9" ht="2.1" customHeight="1"/>
    <row r="43" spans="4:9" ht="2.1" customHeight="1"/>
    <row r="44" spans="4:9" ht="30" customHeight="1">
      <c r="E44" s="167" t="s">
        <v>178</v>
      </c>
      <c r="F44" s="168">
        <v>1999.99</v>
      </c>
      <c r="G44" s="202">
        <f>(1+$F$38)*F44</f>
        <v>2159.9892</v>
      </c>
      <c r="H44" s="202">
        <f>(1+$F$38)*G44</f>
        <v>2332.7883360000001</v>
      </c>
      <c r="I44" s="202">
        <f t="shared" ref="I44:I46" si="5">SUM(F44:H44)</f>
        <v>6492.7675359999994</v>
      </c>
    </row>
    <row r="45" spans="4:9" ht="30" customHeight="1">
      <c r="E45" s="167" t="s">
        <v>179</v>
      </c>
      <c r="F45" s="168">
        <v>269.14</v>
      </c>
      <c r="G45" s="202">
        <f t="shared" ref="G45:H45" si="6">(1+$F$38)*F45</f>
        <v>290.6712</v>
      </c>
      <c r="H45" s="202">
        <f t="shared" si="6"/>
        <v>313.92489600000005</v>
      </c>
      <c r="I45" s="202">
        <f>SUM(F45:H45)</f>
        <v>873.73609600000009</v>
      </c>
    </row>
    <row r="46" spans="4:9" ht="30" customHeight="1">
      <c r="E46" s="167" t="s">
        <v>180</v>
      </c>
      <c r="F46" s="168">
        <v>99.99</v>
      </c>
      <c r="G46" s="202">
        <f t="shared" ref="G46:H46" si="7">(1+$F$38)*F46</f>
        <v>107.9892</v>
      </c>
      <c r="H46" s="202">
        <f t="shared" si="7"/>
        <v>116.628336</v>
      </c>
      <c r="I46" s="202">
        <f t="shared" si="5"/>
        <v>324.60753599999998</v>
      </c>
    </row>
    <row r="47" spans="4:9" ht="2.1" customHeight="1">
      <c r="E47" s="175"/>
      <c r="F47" s="171"/>
      <c r="G47" s="170"/>
      <c r="H47" s="174"/>
      <c r="I47" s="170"/>
    </row>
    <row r="48" spans="4:9" ht="2.1" customHeight="1">
      <c r="E48" s="176"/>
      <c r="F48" s="173"/>
      <c r="G48" s="172"/>
      <c r="H48" s="172"/>
      <c r="I48" s="172"/>
    </row>
    <row r="49" spans="4:9" ht="2.1" customHeight="1">
      <c r="E49" s="175"/>
      <c r="F49" s="171"/>
      <c r="G49" s="170"/>
      <c r="H49" s="170"/>
      <c r="I49" s="170"/>
    </row>
    <row r="50" spans="4:9" ht="30" customHeight="1">
      <c r="E50" s="164" t="s">
        <v>40</v>
      </c>
      <c r="F50" s="199">
        <f t="shared" ref="F50:I50" si="8">SUM(F44:F49)</f>
        <v>2369.12</v>
      </c>
      <c r="G50" s="199">
        <f t="shared" si="8"/>
        <v>2558.6495999999997</v>
      </c>
      <c r="H50" s="199">
        <f t="shared" si="8"/>
        <v>2763.3415680000003</v>
      </c>
      <c r="I50" s="199">
        <f t="shared" si="8"/>
        <v>7691.1111679999995</v>
      </c>
    </row>
    <row r="51" spans="4:9" ht="2.1" customHeight="1"/>
    <row r="52" spans="4:9" ht="2.1" customHeight="1">
      <c r="E52" s="46"/>
      <c r="F52" s="46"/>
      <c r="G52" s="46"/>
      <c r="H52" s="46"/>
      <c r="I52" s="46"/>
    </row>
    <row r="53" spans="4:9" ht="2.1" customHeight="1"/>
    <row r="54" spans="4:9" ht="30" customHeight="1"/>
    <row r="55" spans="4:9" ht="30" customHeight="1">
      <c r="D55" s="243" t="s">
        <v>181</v>
      </c>
      <c r="E55" s="243"/>
    </row>
    <row r="56" spans="4:9" ht="30" customHeight="1">
      <c r="D56" s="165" t="s">
        <v>159</v>
      </c>
      <c r="E56" s="201" t="s">
        <v>182</v>
      </c>
    </row>
    <row r="57" spans="4:9" ht="30" customHeight="1"/>
    <row r="58" spans="4:9" ht="41.25" customHeight="1">
      <c r="E58" s="182" t="s">
        <v>157</v>
      </c>
      <c r="F58" s="240" t="s">
        <v>208</v>
      </c>
      <c r="G58" s="241"/>
      <c r="H58" s="241"/>
      <c r="I58" s="242"/>
    </row>
    <row r="59" spans="4:9" ht="12" customHeight="1"/>
    <row r="60" spans="4:9" ht="30" customHeight="1">
      <c r="E60" s="183" t="s">
        <v>41</v>
      </c>
      <c r="F60" s="166">
        <v>5.5500000000000001E-2</v>
      </c>
    </row>
    <row r="61" spans="4:9" ht="15" customHeight="1"/>
    <row r="62" spans="4:9" ht="30" customHeight="1">
      <c r="E62" s="90" t="s">
        <v>67</v>
      </c>
      <c r="F62" s="90" t="s">
        <v>174</v>
      </c>
      <c r="G62" s="90" t="s">
        <v>175</v>
      </c>
      <c r="H62" s="90" t="s">
        <v>176</v>
      </c>
      <c r="I62" s="90" t="s">
        <v>177</v>
      </c>
    </row>
    <row r="63" spans="4:9" ht="2.1" customHeight="1"/>
    <row r="64" spans="4:9" ht="2.1" customHeight="1">
      <c r="E64" s="46"/>
      <c r="F64" s="46"/>
      <c r="G64" s="46"/>
      <c r="H64" s="46"/>
      <c r="I64" s="46"/>
    </row>
    <row r="65" spans="4:9" ht="2.1" customHeight="1"/>
    <row r="66" spans="4:9" ht="30" customHeight="1">
      <c r="E66" s="167" t="s">
        <v>178</v>
      </c>
      <c r="F66" s="168">
        <v>1999.99</v>
      </c>
      <c r="G66" s="202">
        <f>(1-$F$60)*F66</f>
        <v>1888.9905550000001</v>
      </c>
      <c r="H66" s="202">
        <f t="shared" ref="H66:I66" si="9">(1-$F$60)*G66</f>
        <v>1784.1515791975</v>
      </c>
      <c r="I66" s="202">
        <f>SUM(F66:H66)</f>
        <v>5673.1321341974999</v>
      </c>
    </row>
    <row r="67" spans="4:9" ht="30" customHeight="1">
      <c r="E67" s="167" t="s">
        <v>179</v>
      </c>
      <c r="F67" s="168">
        <v>269.14</v>
      </c>
      <c r="G67" s="202">
        <f t="shared" ref="G67:I67" si="10">(1-$F$60)*F67</f>
        <v>254.20273</v>
      </c>
      <c r="H67" s="202">
        <f t="shared" si="10"/>
        <v>240.094478485</v>
      </c>
      <c r="I67" s="202">
        <f t="shared" ref="I66:I68" si="11">SUM(F67:H67)</f>
        <v>763.43720848499993</v>
      </c>
    </row>
    <row r="68" spans="4:9" ht="30" customHeight="1">
      <c r="E68" s="167" t="s">
        <v>180</v>
      </c>
      <c r="F68" s="168">
        <v>99.99</v>
      </c>
      <c r="G68" s="202">
        <f t="shared" ref="G68:I68" si="12">(1-$F$60)*F68</f>
        <v>94.440554999999989</v>
      </c>
      <c r="H68" s="202">
        <f t="shared" si="12"/>
        <v>89.199104197499992</v>
      </c>
      <c r="I68" s="202">
        <f t="shared" si="11"/>
        <v>283.62965919749996</v>
      </c>
    </row>
    <row r="69" spans="4:9" ht="2.1" customHeight="1">
      <c r="E69" s="175"/>
      <c r="F69" s="171"/>
      <c r="G69" s="170"/>
      <c r="H69" s="170"/>
      <c r="I69" s="170"/>
    </row>
    <row r="70" spans="4:9" ht="2.1" customHeight="1">
      <c r="E70" s="176"/>
      <c r="F70" s="173"/>
      <c r="G70" s="172"/>
      <c r="H70" s="172"/>
      <c r="I70" s="172"/>
    </row>
    <row r="71" spans="4:9" ht="2.1" customHeight="1">
      <c r="E71" s="175"/>
      <c r="F71" s="171"/>
      <c r="G71" s="170"/>
      <c r="H71" s="170"/>
      <c r="I71" s="170"/>
    </row>
    <row r="72" spans="4:9" ht="30" customHeight="1">
      <c r="E72" s="164" t="s">
        <v>40</v>
      </c>
      <c r="F72" s="199">
        <f t="shared" ref="F72:I72" si="13">SUM(F66:F71)</f>
        <v>2369.12</v>
      </c>
      <c r="G72" s="199">
        <f t="shared" si="13"/>
        <v>2237.6338400000004</v>
      </c>
      <c r="H72" s="199">
        <f>SUM(H66:H71)</f>
        <v>2113.4451618800003</v>
      </c>
      <c r="I72" s="199">
        <f>SUM(I66:I71)</f>
        <v>6720.1990018799997</v>
      </c>
    </row>
    <row r="73" spans="4:9" ht="2.1" customHeight="1"/>
    <row r="74" spans="4:9" ht="2.1" customHeight="1">
      <c r="E74" s="46"/>
      <c r="F74" s="46"/>
      <c r="G74" s="46"/>
      <c r="H74" s="46"/>
      <c r="I74" s="46"/>
    </row>
    <row r="75" spans="4:9" ht="2.1" customHeight="1"/>
    <row r="76" spans="4:9" ht="30" customHeight="1"/>
    <row r="77" spans="4:9" ht="30" customHeight="1">
      <c r="D77" s="237" t="s">
        <v>183</v>
      </c>
      <c r="E77" s="238"/>
      <c r="F77" s="239"/>
    </row>
    <row r="78" spans="4:9" ht="30" customHeight="1">
      <c r="D78" s="165" t="s">
        <v>159</v>
      </c>
      <c r="E78" s="245" t="s">
        <v>194</v>
      </c>
      <c r="F78" s="246"/>
    </row>
    <row r="79" spans="4:9" ht="30" customHeight="1"/>
    <row r="80" spans="4:9" ht="48.6" customHeight="1">
      <c r="E80" s="180" t="s">
        <v>157</v>
      </c>
      <c r="F80" s="240" t="s">
        <v>211</v>
      </c>
      <c r="G80" s="241"/>
      <c r="H80" s="241"/>
      <c r="I80" s="242"/>
    </row>
    <row r="81" spans="5:7" ht="30" customHeight="1"/>
    <row r="82" spans="5:7" ht="30" customHeight="1">
      <c r="E82" s="247" t="s">
        <v>184</v>
      </c>
      <c r="F82" s="247"/>
      <c r="G82" s="247"/>
    </row>
    <row r="83" spans="5:7" ht="33.6" customHeight="1">
      <c r="E83" s="90" t="s">
        <v>185</v>
      </c>
      <c r="F83" s="90" t="s">
        <v>186</v>
      </c>
      <c r="G83" s="91" t="s">
        <v>187</v>
      </c>
    </row>
    <row r="84" spans="5:7" ht="2.1" customHeight="1"/>
    <row r="85" spans="5:7" ht="2.1" customHeight="1">
      <c r="E85" s="46"/>
      <c r="F85" s="46"/>
      <c r="G85" s="46"/>
    </row>
    <row r="86" spans="5:7" ht="2.1" customHeight="1"/>
    <row r="87" spans="5:7" ht="30" customHeight="1">
      <c r="E87" s="177" t="s">
        <v>190</v>
      </c>
      <c r="F87" s="178">
        <v>896</v>
      </c>
      <c r="G87" s="203">
        <f>F87/$F$96</f>
        <v>0.19385547382085677</v>
      </c>
    </row>
    <row r="88" spans="5:7" ht="30" customHeight="1">
      <c r="E88" s="177" t="s">
        <v>188</v>
      </c>
      <c r="F88" s="178">
        <v>823</v>
      </c>
      <c r="G88" s="203">
        <f t="shared" ref="G88:G92" si="14">F88/$F$96</f>
        <v>0.17806144526179143</v>
      </c>
    </row>
    <row r="89" spans="5:7" ht="30" customHeight="1">
      <c r="E89" s="177" t="s">
        <v>189</v>
      </c>
      <c r="F89" s="178">
        <v>923</v>
      </c>
      <c r="G89" s="203">
        <f t="shared" si="14"/>
        <v>0.19969710082215492</v>
      </c>
    </row>
    <row r="90" spans="5:7" ht="30" customHeight="1">
      <c r="E90" s="177" t="s">
        <v>191</v>
      </c>
      <c r="F90" s="178">
        <v>725</v>
      </c>
      <c r="G90" s="203">
        <f t="shared" si="14"/>
        <v>0.15685850281263522</v>
      </c>
    </row>
    <row r="91" spans="5:7" ht="30" customHeight="1">
      <c r="E91" s="177" t="s">
        <v>192</v>
      </c>
      <c r="F91" s="178">
        <v>689</v>
      </c>
      <c r="G91" s="203">
        <f t="shared" si="14"/>
        <v>0.14906966681090436</v>
      </c>
    </row>
    <row r="92" spans="5:7" ht="30" customHeight="1">
      <c r="E92" s="177" t="s">
        <v>193</v>
      </c>
      <c r="F92" s="178">
        <v>566</v>
      </c>
      <c r="G92" s="203">
        <f t="shared" si="14"/>
        <v>0.1224578104716573</v>
      </c>
    </row>
    <row r="93" spans="5:7" ht="2.1" customHeight="1">
      <c r="E93" s="111"/>
      <c r="F93" s="111"/>
      <c r="G93" s="203"/>
    </row>
    <row r="94" spans="5:7" ht="2.1" customHeight="1">
      <c r="E94" s="114"/>
      <c r="F94" s="114"/>
      <c r="G94" s="203"/>
    </row>
    <row r="95" spans="5:7" ht="2.1" customHeight="1">
      <c r="E95" s="111"/>
      <c r="F95" s="111"/>
      <c r="G95" s="203"/>
    </row>
    <row r="96" spans="5:7" ht="30" customHeight="1">
      <c r="E96" s="179" t="s">
        <v>40</v>
      </c>
      <c r="F96" s="204">
        <f>SUM(F87:F95)</f>
        <v>4622</v>
      </c>
      <c r="G96" s="203">
        <f>SUM(G87:G95)</f>
        <v>1.0000000000000002</v>
      </c>
    </row>
    <row r="97" spans="7:7" ht="30" customHeight="1">
      <c r="G97" s="23"/>
    </row>
    <row r="98" spans="7:7" ht="30" customHeight="1"/>
    <row r="99" spans="7:7" ht="30" customHeight="1"/>
    <row r="100" spans="7:7" ht="30" customHeight="1"/>
    <row r="101" spans="7:7" ht="30" customHeight="1"/>
    <row r="102" spans="7:7" ht="30" customHeight="1"/>
    <row r="103" spans="7:7" ht="30" customHeight="1"/>
    <row r="104" spans="7:7" ht="30" customHeight="1"/>
    <row r="105" spans="7:7" ht="30" customHeight="1"/>
    <row r="106" spans="7:7" ht="30" customHeight="1"/>
    <row r="107" spans="7:7" ht="30" customHeight="1"/>
    <row r="108" spans="7:7" ht="30" customHeight="1"/>
    <row r="109" spans="7:7" ht="30" customHeight="1"/>
    <row r="110" spans="7:7" ht="30" customHeight="1"/>
    <row r="111" spans="7:7" ht="30" customHeight="1"/>
    <row r="112" spans="7:7" ht="30" customHeight="1"/>
    <row r="113" spans="4:5" ht="30" customHeight="1"/>
    <row r="114" spans="4:5" ht="30" customHeight="1"/>
    <row r="115" spans="4:5" ht="30" customHeight="1"/>
    <row r="116" spans="4:5" ht="30" customHeight="1"/>
    <row r="117" spans="4:5" ht="30" customHeight="1"/>
    <row r="118" spans="4:5" ht="30" customHeight="1"/>
    <row r="119" spans="4:5" ht="30" customHeight="1"/>
    <row r="121" spans="4:5" ht="30" customHeight="1">
      <c r="D121" s="248" t="s">
        <v>0</v>
      </c>
      <c r="E121" s="248"/>
    </row>
    <row r="122" spans="4:5" ht="30" customHeight="1">
      <c r="D122" s="244" t="s">
        <v>27</v>
      </c>
      <c r="E122" s="244"/>
    </row>
  </sheetData>
  <sheetProtection selectLockedCells="1"/>
  <mergeCells count="12">
    <mergeCell ref="D122:E122"/>
    <mergeCell ref="E78:F78"/>
    <mergeCell ref="F80:I80"/>
    <mergeCell ref="E82:G82"/>
    <mergeCell ref="D121:E121"/>
    <mergeCell ref="D77:F77"/>
    <mergeCell ref="B3:C3"/>
    <mergeCell ref="F36:I36"/>
    <mergeCell ref="F58:I58"/>
    <mergeCell ref="E1:H1"/>
    <mergeCell ref="D33:E33"/>
    <mergeCell ref="D55:E55"/>
  </mergeCells>
  <hyperlinks>
    <hyperlink ref="D122" r:id="rId1" xr:uid="{00000000-0004-0000-0900-000000000000}"/>
  </hyperlinks>
  <pageMargins left="0.75" right="0.75" top="1" bottom="1" header="0" footer="0"/>
  <pageSetup orientation="portrait" horizontalDpi="300" verticalDpi="1200" r:id="rId2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Principal</vt:lpstr>
      <vt:lpstr>Referencias Relativas</vt:lpstr>
      <vt:lpstr>Referencias Mixtas Columna</vt:lpstr>
      <vt:lpstr>Referencias Mixtas - Fila</vt:lpstr>
      <vt:lpstr>Referencias Mixtas</vt:lpstr>
      <vt:lpstr>Referencas Absolutas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 Denilson Ramirez Bautista</cp:lastModifiedBy>
  <dcterms:created xsi:type="dcterms:W3CDTF">2013-04-03T20:01:23Z</dcterms:created>
  <dcterms:modified xsi:type="dcterms:W3CDTF">2025-12-23T21:14:42Z</dcterms:modified>
</cp:coreProperties>
</file>