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ED2B00C7-F56E-4AC1-9907-2271EDF9D17E}" xr6:coauthVersionLast="47" xr6:coauthVersionMax="47" xr10:uidLastSave="{00000000-0000-0000-0000-000000000000}"/>
  <bookViews>
    <workbookView xWindow="-108" yWindow="-108" windowWidth="23256" windowHeight="12456" tabRatio="955" activeTab="1" xr2:uid="{4095A849-1050-497B-9B86-5ED960BEFAE6}"/>
  </bookViews>
  <sheets>
    <sheet name="Prueba 01" sheetId="6" r:id="rId1"/>
    <sheet name="Prueba 02" sheetId="1" r:id="rId2"/>
    <sheet name="Prueba 03" sheetId="3" r:id="rId3"/>
    <sheet name="Prueba 04" sheetId="10" r:id="rId4"/>
  </sheets>
  <definedNames>
    <definedName name="Ho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0" l="1"/>
  <c r="H42" i="10"/>
  <c r="H41" i="10"/>
  <c r="G31" i="10"/>
  <c r="G32" i="10"/>
  <c r="G33" i="10"/>
  <c r="G34" i="10"/>
  <c r="G35" i="10"/>
  <c r="G36" i="10"/>
  <c r="G37" i="10"/>
  <c r="G38" i="10"/>
  <c r="G39" i="10"/>
  <c r="G30" i="10"/>
  <c r="D21" i="10"/>
  <c r="E21" i="10"/>
  <c r="F21" i="10"/>
  <c r="G21" i="10"/>
  <c r="H21" i="10"/>
  <c r="C21" i="10"/>
  <c r="C18" i="10"/>
  <c r="D18" i="10"/>
  <c r="E18" i="10"/>
  <c r="F18" i="10"/>
  <c r="G18" i="10"/>
  <c r="H18" i="10"/>
  <c r="D13" i="10"/>
  <c r="E13" i="10"/>
  <c r="F13" i="10"/>
  <c r="G13" i="10"/>
  <c r="H13" i="10"/>
  <c r="C13" i="10"/>
  <c r="D12" i="10"/>
  <c r="E12" i="10"/>
  <c r="F12" i="10"/>
  <c r="G12" i="10"/>
  <c r="H12" i="10"/>
  <c r="C12" i="10"/>
  <c r="D11" i="10"/>
  <c r="E11" i="10"/>
  <c r="F11" i="10"/>
  <c r="G11" i="10"/>
  <c r="H11" i="10"/>
  <c r="C11" i="10"/>
  <c r="D9" i="3"/>
  <c r="D10" i="3"/>
  <c r="D11" i="3"/>
  <c r="D12" i="3"/>
  <c r="D13" i="3"/>
  <c r="D14" i="3"/>
  <c r="D15" i="3"/>
  <c r="D16" i="3"/>
  <c r="D17" i="3"/>
  <c r="D18" i="3"/>
  <c r="D19" i="3"/>
  <c r="D20" i="3"/>
  <c r="D8" i="3"/>
  <c r="J9" i="1"/>
  <c r="J10" i="1"/>
  <c r="J11" i="1"/>
  <c r="J12" i="1"/>
  <c r="J13" i="1"/>
  <c r="J14" i="1"/>
  <c r="J15" i="1"/>
  <c r="J16" i="1"/>
  <c r="J17" i="1"/>
  <c r="J8" i="1"/>
  <c r="I9" i="1"/>
  <c r="I10" i="1"/>
  <c r="I11" i="1"/>
  <c r="I12" i="1"/>
  <c r="I13" i="1"/>
  <c r="I14" i="1"/>
  <c r="I15" i="1"/>
  <c r="I16" i="1"/>
  <c r="I17" i="1"/>
  <c r="I8" i="1"/>
  <c r="H9" i="1"/>
  <c r="H10" i="1"/>
  <c r="H11" i="1"/>
  <c r="H12" i="1"/>
  <c r="H13" i="1"/>
  <c r="H14" i="1"/>
  <c r="H15" i="1"/>
  <c r="H16" i="1"/>
  <c r="H17" i="1"/>
  <c r="H8" i="1"/>
  <c r="G9" i="1"/>
  <c r="G10" i="1"/>
  <c r="G11" i="1"/>
  <c r="G12" i="1"/>
  <c r="G13" i="1"/>
  <c r="G14" i="1"/>
  <c r="G15" i="1"/>
  <c r="G16" i="1"/>
  <c r="G17" i="1"/>
  <c r="G8" i="1"/>
  <c r="F57" i="6"/>
  <c r="G57" i="6"/>
  <c r="H57" i="6"/>
  <c r="E57" i="6"/>
  <c r="H23" i="6"/>
  <c r="F56" i="6"/>
  <c r="G56" i="6"/>
  <c r="H56" i="6"/>
  <c r="E56" i="6"/>
  <c r="F54" i="6"/>
  <c r="G54" i="6"/>
  <c r="H54" i="6"/>
  <c r="E54" i="6"/>
  <c r="E53" i="6"/>
  <c r="F53" i="6"/>
  <c r="G53" i="6"/>
  <c r="H53" i="6"/>
  <c r="I53" i="6"/>
  <c r="I51" i="6"/>
  <c r="I52" i="6"/>
  <c r="I50" i="6"/>
  <c r="H39" i="6"/>
  <c r="H40" i="6"/>
  <c r="H41" i="6"/>
  <c r="H42" i="6"/>
  <c r="H38" i="6"/>
  <c r="H29" i="6"/>
  <c r="H24" i="6"/>
  <c r="H25" i="6"/>
  <c r="H26" i="6"/>
  <c r="H27" i="6"/>
  <c r="H28" i="6"/>
  <c r="C39" i="6"/>
  <c r="C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Director Cesar</author>
    <author>Ysabel Peralta</author>
    <author>Ysabel</author>
    <author>Chalo</author>
  </authors>
  <commentList>
    <comment ref="H23" authorId="0" shapeId="0" xr:uid="{EC18269D-12D7-4FC6-957F-E61499FB5AFC}">
      <text>
        <r>
          <rPr>
            <b/>
            <sz val="9"/>
            <color indexed="81"/>
            <rFont val="Tahoma"/>
            <family val="2"/>
          </rPr>
          <t>Indicación:
Debes sumar: azucar, trigo y arroz</t>
        </r>
      </text>
    </comment>
    <comment ref="H38" authorId="0" shapeId="0" xr:uid="{88B0BD68-7E75-4AC6-BBE3-96AFF8B43E40}">
      <text>
        <r>
          <rPr>
            <sz val="9"/>
            <color indexed="81"/>
            <rFont val="Tahoma"/>
            <family val="2"/>
          </rPr>
          <t>Calcula el promedio de la nota1, nota2 y notaa3</t>
        </r>
      </text>
    </comment>
    <comment ref="I50" authorId="1" shapeId="0" xr:uid="{D8B77D94-08A0-4333-8B60-A9FD2546BBB8}">
      <text>
        <r>
          <rPr>
            <sz val="8"/>
            <color indexed="81"/>
            <rFont val="Tahoma"/>
            <family val="2"/>
          </rPr>
          <t>Aquí se suman los 4 trimestres de cada producto. :-)</t>
        </r>
      </text>
    </comment>
    <comment ref="I51" authorId="1" shapeId="0" xr:uid="{CB8475E9-5491-4EEF-82BF-D95594CFC854}">
      <text>
        <r>
          <rPr>
            <sz val="8"/>
            <color indexed="81"/>
            <rFont val="Tahoma"/>
            <family val="2"/>
          </rPr>
          <t>Aquí se suman los 4 trimestres de cada producto. :-)</t>
        </r>
      </text>
    </comment>
    <comment ref="I52" authorId="1" shapeId="0" xr:uid="{73234B64-19A5-4B84-9386-7DB86B68A9A3}">
      <text>
        <r>
          <rPr>
            <sz val="8"/>
            <color indexed="81"/>
            <rFont val="Tahoma"/>
            <family val="2"/>
          </rPr>
          <t xml:space="preserve">
Aquí se suman los 4 trimestres de cada producto. :-)</t>
        </r>
      </text>
    </comment>
    <comment ref="E53" authorId="1" shapeId="0" xr:uid="{BF24EC1F-6841-4437-B3A0-B68C3D8AC5FA}">
      <text>
        <r>
          <rPr>
            <sz val="8"/>
            <color indexed="81"/>
            <rFont val="Tahoma"/>
            <family val="2"/>
          </rPr>
          <t xml:space="preserve">
Aquí debes sumar el total de ingresos obtenidos en el 1° trimestre por los  3 productos</t>
        </r>
      </text>
    </comment>
    <comment ref="F53" authorId="1" shapeId="0" xr:uid="{7A9F21C6-583E-46BB-9EA3-DA62DAB0BBC6}">
      <text>
        <r>
          <rPr>
            <sz val="8"/>
            <color indexed="81"/>
            <rFont val="Tahoma"/>
            <family val="2"/>
          </rPr>
          <t xml:space="preserve">
Aquí debes sumar el total de ingresos obtenidos en el 2° trimestre por los  3 productos</t>
        </r>
      </text>
    </comment>
    <comment ref="G53" authorId="1" shapeId="0" xr:uid="{C4ABE8D8-FA72-494A-88BA-90A3BCFDEC65}">
      <text>
        <r>
          <rPr>
            <sz val="8"/>
            <color indexed="81"/>
            <rFont val="Tahoma"/>
            <family val="2"/>
          </rPr>
          <t xml:space="preserve">
Aquí debes sumar el total de ingresos obtenidos en el 3° trimestre por los  3 productos</t>
        </r>
      </text>
    </comment>
    <comment ref="H53" authorId="1" shapeId="0" xr:uid="{1AE95FFE-53BF-4634-B523-22C5EB9C430F}">
      <text>
        <r>
          <rPr>
            <sz val="8"/>
            <color indexed="81"/>
            <rFont val="Tahoma"/>
            <family val="2"/>
          </rPr>
          <t xml:space="preserve">
Aquí debes sumar el total de ingresos obtenidos en el 4° trimestre por los  3 productos</t>
        </r>
      </text>
    </comment>
    <comment ref="I53" authorId="1" shapeId="0" xr:uid="{168BEF4B-1321-46D7-8DE5-C992C5B48C72}">
      <text>
        <r>
          <rPr>
            <sz val="8"/>
            <color indexed="81"/>
            <rFont val="Tahoma"/>
            <family val="2"/>
          </rPr>
          <t xml:space="preserve">
Aquí debe ir la suma total</t>
        </r>
      </text>
    </comment>
    <comment ref="E54" authorId="2" shapeId="0" xr:uid="{35B34026-8705-44A7-94D3-7AD9CBC7B569}">
      <text>
        <r>
          <rPr>
            <b/>
            <sz val="8"/>
            <color indexed="81"/>
            <rFont val="Tahoma"/>
            <family val="2"/>
          </rPr>
          <t>Aquí debes obtener el 10% del total de ingresos del 1° trimestre</t>
        </r>
      </text>
    </comment>
    <comment ref="G54" authorId="2" shapeId="0" xr:uid="{7FB9C95A-612B-486A-85FD-C05448957F70}">
      <text>
        <r>
          <rPr>
            <b/>
            <sz val="8"/>
            <color indexed="81"/>
            <rFont val="Tahoma"/>
            <family val="2"/>
          </rPr>
          <t>Ysabel:</t>
        </r>
        <r>
          <rPr>
            <sz val="8"/>
            <color indexed="81"/>
            <rFont val="Tahoma"/>
            <family val="2"/>
          </rPr>
          <t xml:space="preserve">
Aquí debes obtener el 10% del total de ingresos del 3° trimestre</t>
        </r>
      </text>
    </comment>
    <comment ref="H54" authorId="2" shapeId="0" xr:uid="{9ADD68B2-CA6B-4DF8-A43F-F069EFD02DAC}">
      <text>
        <r>
          <rPr>
            <sz val="8"/>
            <color indexed="81"/>
            <rFont val="Tahoma"/>
            <family val="2"/>
          </rPr>
          <t xml:space="preserve">
Aquí debes obtener el 10% del total de ingresos del 4° trimestre</t>
        </r>
      </text>
    </comment>
    <comment ref="E56" authorId="2" shapeId="0" xr:uid="{85827EC3-2878-4533-9422-CDCE22423C09}">
      <text>
        <r>
          <rPr>
            <sz val="8"/>
            <color indexed="81"/>
            <rFont val="Tahoma"/>
            <family val="2"/>
          </rPr>
          <t xml:space="preserve">
Debes sumarr los gastos administrativos y los gastos varios. :-)</t>
        </r>
      </text>
    </comment>
    <comment ref="F56" authorId="2" shapeId="0" xr:uid="{39960303-EAAA-4827-B136-B523F81FE7BF}">
      <text>
        <r>
          <rPr>
            <sz val="8"/>
            <color indexed="81"/>
            <rFont val="Tahoma"/>
            <family val="2"/>
          </rPr>
          <t xml:space="preserve">
Debes sumarr los gastos administrativos y los gastos varios. :-)</t>
        </r>
      </text>
    </comment>
    <comment ref="G56" authorId="2" shapeId="0" xr:uid="{FDA135D5-F452-4847-A054-197F6640B696}">
      <text>
        <r>
          <rPr>
            <sz val="8"/>
            <color indexed="81"/>
            <rFont val="Tahoma"/>
            <family val="2"/>
          </rPr>
          <t xml:space="preserve">
Debes sumarr los gastos administrativos y los gastos varios. :-)</t>
        </r>
      </text>
    </comment>
    <comment ref="H56" authorId="2" shapeId="0" xr:uid="{B5D0E742-C37F-46FE-84A1-3792083109AE}">
      <text>
        <r>
          <rPr>
            <sz val="8"/>
            <color indexed="81"/>
            <rFont val="Tahoma"/>
            <family val="2"/>
          </rPr>
          <t xml:space="preserve">
Debes sumarr los gastos administrativos y los gastos varios. :-)</t>
        </r>
      </text>
    </comment>
    <comment ref="E57" authorId="3" shapeId="0" xr:uid="{564F5605-C182-4E25-8D88-43DE792C621D}">
      <text>
        <r>
          <rPr>
            <b/>
            <sz val="9"/>
            <color indexed="81"/>
            <rFont val="Tahoma"/>
            <family val="2"/>
          </rPr>
          <t>Chalo:</t>
        </r>
        <r>
          <rPr>
            <sz val="9"/>
            <color indexed="81"/>
            <rFont val="Tahoma"/>
            <family val="2"/>
          </rPr>
          <t xml:space="preserve">
Restar total ingresos - total egresos
</t>
        </r>
      </text>
    </comment>
    <comment ref="F57" authorId="3" shapeId="0" xr:uid="{C0A99F1A-D077-44D9-A60C-5C8CA1E9C6F2}">
      <text>
        <r>
          <rPr>
            <b/>
            <sz val="9"/>
            <color indexed="81"/>
            <rFont val="Tahoma"/>
            <family val="2"/>
          </rPr>
          <t>Chalo:</t>
        </r>
        <r>
          <rPr>
            <sz val="9"/>
            <color indexed="81"/>
            <rFont val="Tahoma"/>
            <family val="2"/>
          </rPr>
          <t xml:space="preserve">
Restar total ingresos - total egresos
</t>
        </r>
      </text>
    </comment>
    <comment ref="G57" authorId="3" shapeId="0" xr:uid="{BAA21188-722E-4ACA-8188-B71F39602650}">
      <text>
        <r>
          <rPr>
            <b/>
            <sz val="9"/>
            <color indexed="81"/>
            <rFont val="Tahoma"/>
            <family val="2"/>
          </rPr>
          <t>Chalo:</t>
        </r>
        <r>
          <rPr>
            <sz val="9"/>
            <color indexed="81"/>
            <rFont val="Tahoma"/>
            <family val="2"/>
          </rPr>
          <t xml:space="preserve">
Restar total ingresos - total egresos
</t>
        </r>
      </text>
    </comment>
    <comment ref="H57" authorId="3" shapeId="0" xr:uid="{6B8FD391-C0FE-4102-AB9F-4B3D8E3D6E48}">
      <text>
        <r>
          <rPr>
            <b/>
            <sz val="9"/>
            <color indexed="81"/>
            <rFont val="Tahoma"/>
            <family val="2"/>
          </rPr>
          <t>Chalo:</t>
        </r>
        <r>
          <rPr>
            <sz val="9"/>
            <color indexed="81"/>
            <rFont val="Tahoma"/>
            <family val="2"/>
          </rPr>
          <t xml:space="preserve">
Restar total ingresos - total egresos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Director Cesar</author>
  </authors>
  <commentList>
    <comment ref="D8" authorId="0" shapeId="0" xr:uid="{066CF75A-60A7-43F3-820B-A53E1A0A09EF}">
      <text>
        <r>
          <rPr>
            <b/>
            <sz val="9"/>
            <color indexed="81"/>
            <rFont val="Tahoma"/>
            <family val="2"/>
          </rPr>
          <t>PC Director Cesar:</t>
        </r>
        <r>
          <rPr>
            <sz val="9"/>
            <color indexed="81"/>
            <rFont val="Tahoma"/>
            <family val="2"/>
          </rPr>
          <t xml:space="preserve">
Dividir el importe en soles con el tipo de cambio en dolares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Estimado Cliente</author>
  </authors>
  <commentList>
    <comment ref="C11" authorId="0" shapeId="0" xr:uid="{826497D1-CC1D-4001-966D-30CF15D5712A}">
      <text>
        <r>
          <rPr>
            <b/>
            <sz val="8"/>
            <color indexed="81"/>
            <rFont val="Tahoma"/>
            <family val="2"/>
          </rPr>
          <t>Precio unitario*Unidades vendidas</t>
        </r>
      </text>
    </comment>
    <comment ref="C12" authorId="0" shapeId="0" xr:uid="{72662BBF-A995-44CD-9640-7E540CF89553}">
      <text>
        <r>
          <rPr>
            <b/>
            <sz val="8"/>
            <color indexed="81"/>
            <rFont val="Tahoma"/>
            <family val="2"/>
          </rPr>
          <t>Total ventas*Tasa del Tipo</t>
        </r>
      </text>
    </comment>
    <comment ref="C13" authorId="0" shapeId="0" xr:uid="{F820D7EB-6733-46BD-9A0B-BD56A72A9C16}">
      <text>
        <r>
          <rPr>
            <b/>
            <sz val="8"/>
            <color indexed="81"/>
            <rFont val="Tahoma"/>
            <family val="2"/>
          </rPr>
          <t>Total ventas+IGV</t>
        </r>
      </text>
    </comment>
    <comment ref="C18" authorId="0" shapeId="0" xr:uid="{625D56AC-5A57-44E3-A94E-562C8E2DC33E}">
      <text>
        <r>
          <rPr>
            <b/>
            <sz val="8"/>
            <color indexed="81"/>
            <rFont val="Tahoma"/>
            <family val="2"/>
          </rPr>
          <t>Materias Primas+Costos ventas+Gastos Operativos</t>
        </r>
      </text>
    </comment>
    <comment ref="C21" authorId="0" shapeId="0" xr:uid="{B0DE8D72-9B4E-4C15-8666-139A7D98D9EA}">
      <text>
        <r>
          <rPr>
            <b/>
            <sz val="8"/>
            <color indexed="81"/>
            <rFont val="Tahoma"/>
            <family val="2"/>
          </rPr>
          <t xml:space="preserve">Saldo inicial del mes+Total ingresos-Total egresos
</t>
        </r>
      </text>
    </comment>
    <comment ref="G30" authorId="0" shapeId="0" xr:uid="{0DB4F17B-A64E-4F6C-92CA-9A61643A0CC7}">
      <text>
        <r>
          <rPr>
            <b/>
            <sz val="8"/>
            <color indexed="81"/>
            <rFont val="Tahoma"/>
            <family val="2"/>
          </rPr>
          <t>Promedio de Nota1,Nota2,Nota3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41" authorId="0" shapeId="0" xr:uid="{CC156066-3ADB-4CA3-82BA-FC06BBA90ADB}">
      <text>
        <r>
          <rPr>
            <b/>
            <sz val="8"/>
            <color indexed="81"/>
            <rFont val="Tahoma"/>
            <family val="2"/>
          </rPr>
          <t>Máximo valor de todas las notas</t>
        </r>
      </text>
    </comment>
    <comment ref="H42" authorId="0" shapeId="0" xr:uid="{4B90FAD0-A4CB-476F-9A3E-1B34D8ACAB13}">
      <text>
        <r>
          <rPr>
            <b/>
            <sz val="8"/>
            <color indexed="81"/>
            <rFont val="Tahoma"/>
            <family val="2"/>
          </rPr>
          <t>Mínimo valor de todas las notas</t>
        </r>
      </text>
    </comment>
    <comment ref="H43" authorId="0" shapeId="0" xr:uid="{F6D420FE-CF2E-491D-86EC-2FD431CAF30D}">
      <text>
        <r>
          <rPr>
            <b/>
            <sz val="8"/>
            <color indexed="81"/>
            <rFont val="Tahoma"/>
            <family val="2"/>
          </rPr>
          <t>Promedio de todas las notas</t>
        </r>
      </text>
    </comment>
  </commentList>
</comments>
</file>

<file path=xl/sharedStrings.xml><?xml version="1.0" encoding="utf-8"?>
<sst xmlns="http://schemas.openxmlformats.org/spreadsheetml/2006/main" count="177" uniqueCount="168">
  <si>
    <t>PRESUPUESTO ANUAL</t>
  </si>
  <si>
    <t>Prod. 1</t>
  </si>
  <si>
    <t>Prod. 2</t>
  </si>
  <si>
    <t>Prod. 3</t>
  </si>
  <si>
    <t>TRIM 1</t>
  </si>
  <si>
    <t>TRIM 2</t>
  </si>
  <si>
    <t>TRIM 3</t>
  </si>
  <si>
    <t>TOTAL</t>
  </si>
  <si>
    <t>Gastos Adm. 10%</t>
  </si>
  <si>
    <t>Gastos Varios</t>
  </si>
  <si>
    <t>Total Egresos</t>
  </si>
  <si>
    <t>Utilidad</t>
  </si>
  <si>
    <t>TRIM 4</t>
  </si>
  <si>
    <t>DISTRIBUIDORA UNIVERSAL</t>
  </si>
  <si>
    <t>CUENTAS POR COBRAR</t>
  </si>
  <si>
    <t>CODIGO CLIENTE</t>
  </si>
  <si>
    <t>NOMBRE CLIENTE ACEPTANTE</t>
  </si>
  <si>
    <t>UO002</t>
  </si>
  <si>
    <t>UO003</t>
  </si>
  <si>
    <t>UO004</t>
  </si>
  <si>
    <t>UO005</t>
  </si>
  <si>
    <t>UO007</t>
  </si>
  <si>
    <t>UO001</t>
  </si>
  <si>
    <t>N°</t>
  </si>
  <si>
    <t>NOTA 1</t>
  </si>
  <si>
    <t>NOTA 2</t>
  </si>
  <si>
    <t>NOTA 3</t>
  </si>
  <si>
    <t>Luis Miguel</t>
  </si>
  <si>
    <t>Victor Manuel</t>
  </si>
  <si>
    <t>Instrucciones:</t>
  </si>
  <si>
    <t>Carlos Celestino</t>
  </si>
  <si>
    <t>César Augusto</t>
  </si>
  <si>
    <t>Juan Carlos</t>
  </si>
  <si>
    <t>Juan Daniel</t>
  </si>
  <si>
    <t>José Miguel</t>
  </si>
  <si>
    <t>Mario Catalino</t>
  </si>
  <si>
    <t>Mariano Cruz</t>
  </si>
  <si>
    <t>Victor Alfonso</t>
  </si>
  <si>
    <t>Juan Alberto</t>
  </si>
  <si>
    <t>Alberto Blas</t>
  </si>
  <si>
    <t>REPORTE DE EXPORTACIÓN 2005</t>
  </si>
  <si>
    <t>MES</t>
  </si>
  <si>
    <t>AZÚCAR</t>
  </si>
  <si>
    <t>TRIGO</t>
  </si>
  <si>
    <t>ARROZ</t>
  </si>
  <si>
    <t>ENERO</t>
  </si>
  <si>
    <t>FEBRERO</t>
  </si>
  <si>
    <t>MARZO</t>
  </si>
  <si>
    <t>ABRIL</t>
  </si>
  <si>
    <t>MAYO</t>
  </si>
  <si>
    <t>JUNIO</t>
  </si>
  <si>
    <t>JULIO</t>
  </si>
  <si>
    <t>PROMEDIO  DE  NOTAS</t>
  </si>
  <si>
    <t>APELLIDOS Y NOMBRES</t>
  </si>
  <si>
    <t>PROMEDIO</t>
  </si>
  <si>
    <t>ALVITEZ VALDIVIEZO REYNILDA</t>
  </si>
  <si>
    <t>BOBADILLA RUBIO DEISSI</t>
  </si>
  <si>
    <t>CARBAJAL SALCEDO ARICZA</t>
  </si>
  <si>
    <t>CARRANZA CHAVEZ JENNY</t>
  </si>
  <si>
    <t>CARRANZA SANCHEZ MARCIA</t>
  </si>
  <si>
    <t>OPERADORES MATEMÁTICOS</t>
  </si>
  <si>
    <t>3+3</t>
  </si>
  <si>
    <t>SUMA</t>
  </si>
  <si>
    <t>SIGNO MAS +</t>
  </si>
  <si>
    <t>3-1</t>
  </si>
  <si>
    <t>RESTA O NEGACIÓN</t>
  </si>
  <si>
    <t>SIGNO MENOS -</t>
  </si>
  <si>
    <t>3*3</t>
  </si>
  <si>
    <t>MULTIPLICACIÓN</t>
  </si>
  <si>
    <t>* ASTERISCO</t>
  </si>
  <si>
    <t>3/5</t>
  </si>
  <si>
    <t>DIVISIÓN</t>
  </si>
  <si>
    <t>/ BARRA OBLICUA</t>
  </si>
  <si>
    <t>20%</t>
  </si>
  <si>
    <t>PORCENTAJE</t>
  </si>
  <si>
    <t>% SIGNO DE PORCENTAJE</t>
  </si>
  <si>
    <t>3^2</t>
  </si>
  <si>
    <t>EXPONENTE</t>
  </si>
  <si>
    <t>^ ACENTO CIRCUNFLEJO</t>
  </si>
  <si>
    <t>SALARIOS</t>
  </si>
  <si>
    <t>EMPRESA DE ESPARRAGOS DE LA LIBERTAD</t>
  </si>
  <si>
    <t>Nombres y Apellidos</t>
  </si>
  <si>
    <t>edades</t>
  </si>
  <si>
    <t>dias</t>
  </si>
  <si>
    <t>jornal</t>
  </si>
  <si>
    <t>salario</t>
  </si>
  <si>
    <t>Bonific.</t>
  </si>
  <si>
    <t>DSCTO</t>
  </si>
  <si>
    <t>SUELDO NETO</t>
  </si>
  <si>
    <t>Marilú Caycho</t>
  </si>
  <si>
    <t>Alex Santivañez</t>
  </si>
  <si>
    <t>Manuel Quevedo</t>
  </si>
  <si>
    <t>Zoraida Buendía</t>
  </si>
  <si>
    <t>Carlos Altamirano</t>
  </si>
  <si>
    <t>Bartola Gloria</t>
  </si>
  <si>
    <t>András Calamaro</t>
  </si>
  <si>
    <t>Fito Paez</t>
  </si>
  <si>
    <t>Oscar Santisteban</t>
  </si>
  <si>
    <t>Carlos Durand</t>
  </si>
  <si>
    <t>1. El salario es la multiplicación de los dias por el jornal</t>
  </si>
  <si>
    <t>2. La bonificación es el 20% del salario</t>
  </si>
  <si>
    <t>3. El descuento es del 5% aplicado al salario</t>
  </si>
  <si>
    <t>4. El sueldo neto es …</t>
  </si>
  <si>
    <t xml:space="preserve"> </t>
  </si>
  <si>
    <t>DÓLAR</t>
  </si>
  <si>
    <t>Tasa del Tipo:</t>
  </si>
  <si>
    <t>Enero</t>
  </si>
  <si>
    <t>Febrero</t>
  </si>
  <si>
    <t>Marzo</t>
  </si>
  <si>
    <t>Abril</t>
  </si>
  <si>
    <t>Mayo</t>
  </si>
  <si>
    <t>Junio</t>
  </si>
  <si>
    <t>Unidades Vendidas:</t>
  </si>
  <si>
    <t>Precio unitario:</t>
  </si>
  <si>
    <t>Total ventas:</t>
  </si>
  <si>
    <t>IGV:</t>
  </si>
  <si>
    <t>Total ingresos:</t>
  </si>
  <si>
    <t>Materias Primas:</t>
  </si>
  <si>
    <t>Costo x Ventas:</t>
  </si>
  <si>
    <t>Gastos Operativos:</t>
  </si>
  <si>
    <t>Total egresos:</t>
  </si>
  <si>
    <t>Saldo inicial del mes:</t>
  </si>
  <si>
    <t>Saldo final del mes:</t>
  </si>
  <si>
    <t>Alumno</t>
  </si>
  <si>
    <t>Notas</t>
  </si>
  <si>
    <t>Total</t>
  </si>
  <si>
    <t>Reporte</t>
  </si>
  <si>
    <t>Carnet</t>
  </si>
  <si>
    <t>Apellidos y Nombre</t>
  </si>
  <si>
    <t>Nota1</t>
  </si>
  <si>
    <t>Nota2</t>
  </si>
  <si>
    <t>Nota3</t>
  </si>
  <si>
    <t>Faltas</t>
  </si>
  <si>
    <t>Promedio</t>
  </si>
  <si>
    <t>00001</t>
  </si>
  <si>
    <t>Rodriguez Izquierdo Carlos</t>
  </si>
  <si>
    <t>00002</t>
  </si>
  <si>
    <t>Goicochea Iturry José</t>
  </si>
  <si>
    <t>00003</t>
  </si>
  <si>
    <t>Caballero Mendez Rocío</t>
  </si>
  <si>
    <t>00004</t>
  </si>
  <si>
    <t>Loyaga Cisneros El[ias</t>
  </si>
  <si>
    <t>00005</t>
  </si>
  <si>
    <t>LaTorre Ugarte Laura</t>
  </si>
  <si>
    <t>00006</t>
  </si>
  <si>
    <t>Aviles Torres Jorge</t>
  </si>
  <si>
    <t>00007</t>
  </si>
  <si>
    <t>Haro Zea Miguel</t>
  </si>
  <si>
    <t>00008</t>
  </si>
  <si>
    <t>Guzman Francis Sandra</t>
  </si>
  <si>
    <t>00009</t>
  </si>
  <si>
    <t>Icochea Bayón Sonia</t>
  </si>
  <si>
    <t>00010</t>
  </si>
  <si>
    <t>Fernández Trelles Cecilia</t>
  </si>
  <si>
    <t>Nota mas alta:</t>
  </si>
  <si>
    <t>Nota mas baja:</t>
  </si>
  <si>
    <t>Promedio del aula:</t>
  </si>
  <si>
    <t>Promedio(a1,a2)</t>
  </si>
  <si>
    <t>Producción</t>
  </si>
  <si>
    <t>Total Ingresos</t>
  </si>
  <si>
    <t>CARBONIFERA "SAN ANTONIO S.R.L"</t>
  </si>
  <si>
    <t>COLEGIO "SAN JOSE OBRERO" -Reporte de notas</t>
  </si>
  <si>
    <t>Apellidos y nombres:</t>
  </si>
  <si>
    <t>Arturo Mendoza</t>
  </si>
  <si>
    <t>Importe en soles S/</t>
  </si>
  <si>
    <t>EXAMEN NIVEL BÁSICO - CCE</t>
  </si>
  <si>
    <t>Convertir en Dolar.</t>
  </si>
  <si>
    <t>NIK DENILSON RAMIREZ BAUTISTA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</si>
</sst>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4"/>
      <color indexed="51"/>
      <name val="Arial"/>
      <family val="2"/>
    </font>
    <font>
      <sz val="9"/>
      <color indexed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4"/>
      <color indexed="9"/>
      <name val="Arial"/>
      <family val="2"/>
    </font>
    <font>
      <b/>
      <sz val="11"/>
      <color indexed="18"/>
      <name val="Arial"/>
      <family val="2"/>
    </font>
    <font>
      <i/>
      <sz val="10"/>
      <name val="Arial"/>
      <family val="2"/>
    </font>
    <font>
      <sz val="10"/>
      <color indexed="42"/>
      <name val="Arial"/>
      <family val="2"/>
    </font>
    <font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sz val="14"/>
      <color theme="0"/>
      <name val="Arial"/>
      <family val="2"/>
    </font>
    <font>
      <i/>
      <sz val="10"/>
      <color theme="0"/>
      <name val="Arial"/>
      <family val="2"/>
    </font>
    <font>
      <b/>
      <sz val="11"/>
      <color theme="0"/>
      <name val="Arial"/>
      <family val="2"/>
    </font>
    <font>
      <b/>
      <sz val="26"/>
      <color theme="0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17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distributed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9" fontId="0" fillId="0" borderId="0" xfId="0" applyNumberFormat="1"/>
    <xf numFmtId="0" fontId="1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/>
    <xf numFmtId="2" fontId="0" fillId="0" borderId="0" xfId="0" applyNumberFormat="1" applyAlignment="1">
      <alignment horizontal="center"/>
    </xf>
    <xf numFmtId="0" fontId="18" fillId="0" borderId="0" xfId="0" applyFont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19" fillId="0" borderId="0" xfId="0" applyFont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6" xfId="0" applyFont="1" applyBorder="1"/>
    <xf numFmtId="164" fontId="19" fillId="7" borderId="7" xfId="0" applyNumberFormat="1" applyFont="1" applyFill="1" applyBorder="1"/>
    <xf numFmtId="0" fontId="22" fillId="7" borderId="1" xfId="0" applyFont="1" applyFill="1" applyBorder="1" applyAlignment="1">
      <alignment horizontal="centerContinuous"/>
    </xf>
    <xf numFmtId="0" fontId="22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left"/>
    </xf>
    <xf numFmtId="0" fontId="23" fillId="7" borderId="8" xfId="0" applyFont="1" applyFill="1" applyBorder="1" applyAlignment="1">
      <alignment horizontal="right"/>
    </xf>
    <xf numFmtId="0" fontId="23" fillId="7" borderId="9" xfId="0" applyFont="1" applyFill="1" applyBorder="1" applyAlignment="1">
      <alignment horizontal="right"/>
    </xf>
    <xf numFmtId="0" fontId="23" fillId="7" borderId="10" xfId="0" applyFont="1" applyFill="1" applyBorder="1" applyAlignment="1">
      <alignment horizontal="right"/>
    </xf>
    <xf numFmtId="0" fontId="23" fillId="7" borderId="8" xfId="0" applyFont="1" applyFill="1" applyBorder="1" applyAlignment="1">
      <alignment horizontal="left"/>
    </xf>
    <xf numFmtId="0" fontId="23" fillId="7" borderId="10" xfId="0" applyFont="1" applyFill="1" applyBorder="1" applyAlignment="1">
      <alignment horizontal="left" wrapText="1"/>
    </xf>
    <xf numFmtId="0" fontId="22" fillId="7" borderId="11" xfId="0" applyFont="1" applyFill="1" applyBorder="1" applyAlignment="1">
      <alignment horizontal="center"/>
    </xf>
    <xf numFmtId="0" fontId="22" fillId="7" borderId="12" xfId="0" applyFont="1" applyFill="1" applyBorder="1" applyAlignment="1">
      <alignment horizontal="center"/>
    </xf>
    <xf numFmtId="9" fontId="22" fillId="7" borderId="7" xfId="0" applyNumberFormat="1" applyFont="1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22" xfId="0" quotePrefix="1" applyBorder="1" applyAlignment="1">
      <alignment horizontal="center"/>
    </xf>
    <xf numFmtId="0" fontId="24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19" fillId="0" borderId="0" xfId="0" applyFont="1" applyAlignment="1">
      <alignment horizontal="center"/>
    </xf>
    <xf numFmtId="0" fontId="25" fillId="7" borderId="0" xfId="0" applyFont="1" applyFill="1"/>
    <xf numFmtId="0" fontId="22" fillId="7" borderId="0" xfId="0" applyFont="1" applyFill="1"/>
    <xf numFmtId="0" fontId="22" fillId="7" borderId="23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Border="1"/>
    <xf numFmtId="0" fontId="3" fillId="0" borderId="34" xfId="0" applyFont="1" applyBorder="1"/>
    <xf numFmtId="0" fontId="26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justify"/>
    </xf>
    <xf numFmtId="0" fontId="1" fillId="0" borderId="35" xfId="0" applyFont="1" applyBorder="1"/>
    <xf numFmtId="0" fontId="0" fillId="0" borderId="35" xfId="0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164" fontId="0" fillId="4" borderId="35" xfId="0" applyNumberFormat="1" applyFill="1" applyBorder="1" applyAlignment="1">
      <alignment horizontal="center"/>
    </xf>
    <xf numFmtId="164" fontId="0" fillId="5" borderId="35" xfId="0" applyNumberFormat="1" applyFill="1" applyBorder="1" applyAlignment="1">
      <alignment horizontal="center"/>
    </xf>
    <xf numFmtId="49" fontId="16" fillId="0" borderId="35" xfId="0" applyNumberFormat="1" applyFont="1" applyBorder="1" applyAlignment="1">
      <alignment horizontal="center"/>
    </xf>
    <xf numFmtId="0" fontId="26" fillId="7" borderId="35" xfId="0" applyFont="1" applyFill="1" applyBorder="1" applyAlignment="1">
      <alignment horizontal="center"/>
    </xf>
    <xf numFmtId="2" fontId="9" fillId="0" borderId="35" xfId="0" applyNumberFormat="1" applyFont="1" applyBorder="1" applyAlignment="1">
      <alignment horizontal="center"/>
    </xf>
    <xf numFmtId="2" fontId="10" fillId="6" borderId="35" xfId="0" applyNumberFormat="1" applyFont="1" applyFill="1" applyBorder="1" applyAlignment="1">
      <alignment horizontal="right"/>
    </xf>
    <xf numFmtId="0" fontId="3" fillId="0" borderId="35" xfId="0" applyFont="1" applyBorder="1" applyAlignment="1">
      <alignment horizontal="center"/>
    </xf>
    <xf numFmtId="0" fontId="12" fillId="0" borderId="35" xfId="0" applyFont="1" applyBorder="1"/>
    <xf numFmtId="0" fontId="13" fillId="0" borderId="35" xfId="0" applyFont="1" applyBorder="1" applyAlignment="1">
      <alignment horizontal="center"/>
    </xf>
    <xf numFmtId="1" fontId="8" fillId="9" borderId="35" xfId="0" applyNumberFormat="1" applyFont="1" applyFill="1" applyBorder="1" applyAlignment="1">
      <alignment horizontal="center"/>
    </xf>
    <xf numFmtId="0" fontId="26" fillId="7" borderId="36" xfId="0" applyFont="1" applyFill="1" applyBorder="1"/>
    <xf numFmtId="0" fontId="26" fillId="7" borderId="37" xfId="0" applyFont="1" applyFill="1" applyBorder="1" applyAlignment="1">
      <alignment horizontal="center"/>
    </xf>
    <xf numFmtId="0" fontId="26" fillId="7" borderId="38" xfId="0" applyFont="1" applyFill="1" applyBorder="1" applyAlignment="1">
      <alignment horizontal="center"/>
    </xf>
    <xf numFmtId="0" fontId="1" fillId="0" borderId="39" xfId="0" applyFont="1" applyBorder="1"/>
    <xf numFmtId="2" fontId="1" fillId="9" borderId="40" xfId="0" applyNumberFormat="1" applyFont="1" applyFill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0" fontId="1" fillId="0" borderId="41" xfId="0" applyFont="1" applyBorder="1"/>
    <xf numFmtId="0" fontId="0" fillId="0" borderId="42" xfId="0" applyBorder="1" applyAlignment="1">
      <alignment horizontal="center"/>
    </xf>
    <xf numFmtId="2" fontId="0" fillId="0" borderId="42" xfId="0" applyNumberFormat="1" applyBorder="1" applyAlignment="1">
      <alignment horizontal="center"/>
    </xf>
    <xf numFmtId="2" fontId="1" fillId="9" borderId="43" xfId="0" applyNumberFormat="1" applyFont="1" applyFill="1" applyBorder="1" applyAlignment="1">
      <alignment horizontal="center"/>
    </xf>
    <xf numFmtId="2" fontId="0" fillId="9" borderId="43" xfId="0" applyNumberFormat="1" applyFill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15" fillId="7" borderId="0" xfId="0" applyFont="1" applyFill="1" applyAlignment="1">
      <alignment horizontal="center"/>
    </xf>
    <xf numFmtId="0" fontId="1" fillId="0" borderId="35" xfId="0" applyFont="1" applyBorder="1" applyAlignment="1">
      <alignment horizontal="center"/>
    </xf>
    <xf numFmtId="49" fontId="7" fillId="0" borderId="35" xfId="0" applyNumberFormat="1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26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/>
    </xf>
    <xf numFmtId="0" fontId="15" fillId="7" borderId="0" xfId="0" applyFont="1" applyFill="1" applyAlignment="1">
      <alignment horizontal="center" vertical="center"/>
    </xf>
    <xf numFmtId="0" fontId="26" fillId="7" borderId="24" xfId="0" applyFont="1" applyFill="1" applyBorder="1" applyAlignment="1">
      <alignment horizontal="center"/>
    </xf>
    <xf numFmtId="0" fontId="26" fillId="7" borderId="25" xfId="0" applyFont="1" applyFill="1" applyBorder="1" applyAlignment="1">
      <alignment horizontal="center"/>
    </xf>
    <xf numFmtId="0" fontId="26" fillId="7" borderId="26" xfId="0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7" fillId="0" borderId="4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28" fillId="7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29" fillId="7" borderId="46" xfId="0" applyFont="1" applyFill="1" applyBorder="1" applyAlignment="1">
      <alignment horizontal="center" vertical="center"/>
    </xf>
    <xf numFmtId="0" fontId="29" fillId="7" borderId="47" xfId="0" applyFont="1" applyFill="1" applyBorder="1" applyAlignment="1">
      <alignment horizontal="center" vertical="center"/>
    </xf>
    <xf numFmtId="0" fontId="29" fillId="7" borderId="48" xfId="0" applyFont="1" applyFill="1" applyBorder="1" applyAlignment="1">
      <alignment horizontal="center" vertical="center"/>
    </xf>
    <xf numFmtId="0" fontId="28" fillId="7" borderId="30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30" fillId="7" borderId="34" xfId="0" applyFont="1" applyFill="1" applyBorder="1" applyAlignment="1">
      <alignment horizontal="center" vertical="center" wrapText="1"/>
    </xf>
    <xf numFmtId="0" fontId="31" fillId="7" borderId="34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31" xfId="0" applyFont="1" applyBorder="1" applyAlignment="1">
      <alignment horizontal="center"/>
    </xf>
    <xf numFmtId="0" fontId="22" fillId="7" borderId="6" xfId="0" applyFont="1" applyFill="1" applyBorder="1" applyAlignment="1">
      <alignment horizontal="center"/>
    </xf>
    <xf numFmtId="0" fontId="22" fillId="7" borderId="15" xfId="0" applyFont="1" applyFill="1" applyBorder="1" applyAlignment="1">
      <alignment horizontal="center"/>
    </xf>
    <xf numFmtId="0" fontId="22" fillId="7" borderId="32" xfId="0" applyFont="1" applyFill="1" applyBorder="1" applyAlignment="1">
      <alignment horizontal="center"/>
    </xf>
    <xf numFmtId="0" fontId="22" fillId="7" borderId="33" xfId="0" applyFont="1" applyFill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4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19050</xdr:rowOff>
    </xdr:from>
    <xdr:to>
      <xdr:col>2</xdr:col>
      <xdr:colOff>1905</xdr:colOff>
      <xdr:row>4</xdr:row>
      <xdr:rowOff>152400</xdr:rowOff>
    </xdr:to>
    <xdr:pic>
      <xdr:nvPicPr>
        <xdr:cNvPr id="6288" name="Imagen 2" descr="Microsoft Excel Logo - símbolo, significado logotipo, historia, PNG">
          <a:extLst>
            <a:ext uri="{FF2B5EF4-FFF2-40B4-BE49-F238E27FC236}">
              <a16:creationId xmlns:a16="http://schemas.microsoft.com/office/drawing/2014/main" id="{FCF03990-A94A-C7AA-939B-9A17D440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9050"/>
          <a:ext cx="11715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5</xdr:row>
      <xdr:rowOff>0</xdr:rowOff>
    </xdr:from>
    <xdr:to>
      <xdr:col>7</xdr:col>
      <xdr:colOff>3819</xdr:colOff>
      <xdr:row>6</xdr:row>
      <xdr:rowOff>22860</xdr:rowOff>
    </xdr:to>
    <xdr:sp macro="" textlink="">
      <xdr:nvSpPr>
        <xdr:cNvPr id="3" name="Texto 6">
          <a:extLst>
            <a:ext uri="{FF2B5EF4-FFF2-40B4-BE49-F238E27FC236}">
              <a16:creationId xmlns:a16="http://schemas.microsoft.com/office/drawing/2014/main" id="{642F4A03-D75E-9B47-B3BC-1FE05031AE9E}"/>
            </a:ext>
          </a:extLst>
        </xdr:cNvPr>
        <xdr:cNvSpPr txBox="1">
          <a:spLocks noChangeArrowheads="1"/>
        </xdr:cNvSpPr>
      </xdr:nvSpPr>
      <xdr:spPr bwMode="auto">
        <a:xfrm>
          <a:off x="2438400" y="685800"/>
          <a:ext cx="3695700" cy="180975"/>
        </a:xfrm>
        <a:prstGeom prst="rect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u="none" strike="noStrike" baseline="0">
              <a:solidFill>
                <a:schemeClr val="bg1"/>
              </a:solidFill>
              <a:latin typeface="Arial"/>
              <a:cs typeface="Arial"/>
            </a:rPr>
            <a:t>Flujo de Caja para el primer semestre del año 1996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F852-01A0-4DB2-88F6-5FC6BF2C24DD}">
  <sheetPr>
    <tabColor rgb="FF92D050"/>
  </sheetPr>
  <dimension ref="B1:I59"/>
  <sheetViews>
    <sheetView showGridLines="0" topLeftCell="A43" workbookViewId="0">
      <selection activeCell="H38" sqref="H38"/>
    </sheetView>
  </sheetViews>
  <sheetFormatPr baseColWidth="10" defaultRowHeight="13.2" x14ac:dyDescent="0.25"/>
  <cols>
    <col min="1" max="1" width="5.6640625" customWidth="1"/>
    <col min="2" max="2" width="21.109375" customWidth="1"/>
    <col min="3" max="3" width="17.44140625" bestFit="1" customWidth="1"/>
    <col min="4" max="4" width="25.88671875" customWidth="1"/>
    <col min="5" max="5" width="15.6640625" customWidth="1"/>
    <col min="7" max="7" width="14.6640625" customWidth="1"/>
    <col min="8" max="8" width="13.5546875" customWidth="1"/>
  </cols>
  <sheetData>
    <row r="1" spans="2:9" ht="12.75" customHeight="1" x14ac:dyDescent="0.25">
      <c r="B1" s="108" t="s">
        <v>165</v>
      </c>
      <c r="C1" s="108"/>
      <c r="D1" s="108"/>
      <c r="E1" s="108"/>
      <c r="F1" s="108"/>
      <c r="G1" s="108"/>
      <c r="H1" s="108"/>
      <c r="I1" s="108"/>
    </row>
    <row r="2" spans="2:9" ht="12.75" customHeight="1" x14ac:dyDescent="0.25">
      <c r="B2" s="108"/>
      <c r="C2" s="108"/>
      <c r="D2" s="108"/>
      <c r="E2" s="108"/>
      <c r="F2" s="108"/>
      <c r="G2" s="108"/>
      <c r="H2" s="108"/>
      <c r="I2" s="108"/>
    </row>
    <row r="3" spans="2:9" ht="12.75" customHeight="1" x14ac:dyDescent="0.25">
      <c r="B3" s="108"/>
      <c r="C3" s="108"/>
      <c r="D3" s="108"/>
      <c r="E3" s="108"/>
      <c r="F3" s="108"/>
      <c r="G3" s="108"/>
      <c r="H3" s="108"/>
      <c r="I3" s="108"/>
    </row>
    <row r="4" spans="2:9" ht="33.75" customHeight="1" x14ac:dyDescent="0.25">
      <c r="B4" s="108"/>
      <c r="C4" s="108"/>
      <c r="D4" s="108"/>
      <c r="E4" s="108"/>
      <c r="F4" s="108"/>
      <c r="G4" s="108"/>
      <c r="H4" s="108"/>
      <c r="I4" s="108"/>
    </row>
    <row r="5" spans="2:9" ht="27" customHeight="1" x14ac:dyDescent="0.25"/>
    <row r="6" spans="2:9" s="26" customFormat="1" ht="20.25" customHeight="1" thickBot="1" x14ac:dyDescent="0.3">
      <c r="B6" s="93" t="s">
        <v>162</v>
      </c>
      <c r="C6" s="105" t="s">
        <v>167</v>
      </c>
      <c r="D6" s="106"/>
      <c r="E6" s="106"/>
      <c r="F6" s="106"/>
      <c r="G6" s="106"/>
      <c r="H6" s="106"/>
      <c r="I6" s="107"/>
    </row>
    <row r="8" spans="2:9" ht="17.399999999999999" x14ac:dyDescent="0.3">
      <c r="B8" s="95" t="s">
        <v>60</v>
      </c>
      <c r="C8" s="95"/>
      <c r="D8" s="95"/>
      <c r="E8" s="95"/>
      <c r="F8" s="95"/>
      <c r="G8" s="95"/>
      <c r="H8" s="95"/>
      <c r="I8" s="95"/>
    </row>
    <row r="9" spans="2:9" ht="15.6" x14ac:dyDescent="0.3">
      <c r="B9" s="13"/>
      <c r="C9" s="13"/>
      <c r="D9" s="13"/>
      <c r="E9" s="13"/>
      <c r="F9" s="13"/>
      <c r="G9" s="13"/>
      <c r="H9" s="13"/>
      <c r="I9" s="13"/>
    </row>
    <row r="10" spans="2:9" ht="18" customHeight="1" x14ac:dyDescent="0.25">
      <c r="C10" s="72" t="s">
        <v>61</v>
      </c>
      <c r="D10" s="96" t="s">
        <v>62</v>
      </c>
      <c r="E10" s="96"/>
      <c r="F10" s="97" t="s">
        <v>63</v>
      </c>
      <c r="G10" s="97"/>
    </row>
    <row r="11" spans="2:9" ht="18" customHeight="1" x14ac:dyDescent="0.25">
      <c r="C11" s="72" t="s">
        <v>64</v>
      </c>
      <c r="D11" s="96" t="s">
        <v>65</v>
      </c>
      <c r="E11" s="96"/>
      <c r="F11" s="98" t="s">
        <v>66</v>
      </c>
      <c r="G11" s="98"/>
    </row>
    <row r="12" spans="2:9" ht="18" customHeight="1" x14ac:dyDescent="0.25">
      <c r="C12" s="72" t="s">
        <v>67</v>
      </c>
      <c r="D12" s="96" t="s">
        <v>68</v>
      </c>
      <c r="E12" s="96"/>
      <c r="F12" s="98" t="s">
        <v>69</v>
      </c>
      <c r="G12" s="98"/>
    </row>
    <row r="13" spans="2:9" ht="18" customHeight="1" x14ac:dyDescent="0.25">
      <c r="C13" s="72" t="s">
        <v>70</v>
      </c>
      <c r="D13" s="96" t="s">
        <v>71</v>
      </c>
      <c r="E13" s="96"/>
      <c r="F13" s="98" t="s">
        <v>72</v>
      </c>
      <c r="G13" s="98"/>
    </row>
    <row r="14" spans="2:9" ht="18" customHeight="1" x14ac:dyDescent="0.25">
      <c r="C14" s="72" t="s">
        <v>73</v>
      </c>
      <c r="D14" s="96" t="s">
        <v>74</v>
      </c>
      <c r="E14" s="96"/>
      <c r="F14" s="98" t="s">
        <v>75</v>
      </c>
      <c r="G14" s="98"/>
    </row>
    <row r="15" spans="2:9" ht="18" customHeight="1" x14ac:dyDescent="0.25">
      <c r="C15" s="72" t="s">
        <v>157</v>
      </c>
      <c r="D15" s="96" t="s">
        <v>54</v>
      </c>
      <c r="E15" s="96"/>
      <c r="F15" s="109"/>
      <c r="G15" s="110"/>
    </row>
    <row r="16" spans="2:9" ht="18" customHeight="1" x14ac:dyDescent="0.25">
      <c r="C16" s="72" t="s">
        <v>76</v>
      </c>
      <c r="D16" s="96" t="s">
        <v>77</v>
      </c>
      <c r="E16" s="96"/>
      <c r="F16" s="98" t="s">
        <v>78</v>
      </c>
      <c r="G16" s="98"/>
    </row>
    <row r="17" spans="2:9" x14ac:dyDescent="0.25">
      <c r="C17" s="14"/>
    </row>
    <row r="18" spans="2:9" ht="17.399999999999999" x14ac:dyDescent="0.3">
      <c r="B18" s="4"/>
    </row>
    <row r="19" spans="2:9" ht="21" x14ac:dyDescent="0.4">
      <c r="B19" s="111" t="s">
        <v>40</v>
      </c>
      <c r="C19" s="111"/>
      <c r="D19" s="111"/>
      <c r="E19" s="111"/>
      <c r="F19" s="111"/>
      <c r="G19" s="111"/>
      <c r="H19" s="111"/>
      <c r="I19" s="111"/>
    </row>
    <row r="20" spans="2:9" ht="18.75" customHeight="1" x14ac:dyDescent="0.25"/>
    <row r="21" spans="2:9" x14ac:dyDescent="0.25">
      <c r="C21" s="7"/>
    </row>
    <row r="22" spans="2:9" ht="13.8" x14ac:dyDescent="0.25">
      <c r="C22" s="100" t="s">
        <v>41</v>
      </c>
      <c r="D22" s="100"/>
      <c r="E22" s="73" t="s">
        <v>42</v>
      </c>
      <c r="F22" s="73" t="s">
        <v>43</v>
      </c>
      <c r="G22" s="73" t="s">
        <v>44</v>
      </c>
      <c r="H22" s="73" t="s">
        <v>7</v>
      </c>
    </row>
    <row r="23" spans="2:9" ht="13.8" x14ac:dyDescent="0.25">
      <c r="C23" s="96" t="s">
        <v>45</v>
      </c>
      <c r="D23" s="96"/>
      <c r="E23" s="74">
        <v>100.05</v>
      </c>
      <c r="F23" s="74">
        <v>200.1</v>
      </c>
      <c r="G23" s="74">
        <v>300.25</v>
      </c>
      <c r="H23" s="75">
        <f>E23+F23+G23</f>
        <v>600.4</v>
      </c>
    </row>
    <row r="24" spans="2:9" ht="13.8" x14ac:dyDescent="0.25">
      <c r="C24" s="96" t="s">
        <v>46</v>
      </c>
      <c r="D24" s="96"/>
      <c r="E24" s="74">
        <v>400.1</v>
      </c>
      <c r="F24" s="74">
        <v>600.15</v>
      </c>
      <c r="G24" s="74">
        <v>700.05</v>
      </c>
      <c r="H24" s="75">
        <f t="shared" ref="H24:H28" si="0">E24+F24+G24</f>
        <v>1700.3</v>
      </c>
    </row>
    <row r="25" spans="2:9" ht="13.8" x14ac:dyDescent="0.25">
      <c r="C25" s="96" t="s">
        <v>47</v>
      </c>
      <c r="D25" s="96"/>
      <c r="E25" s="74">
        <v>200.3</v>
      </c>
      <c r="F25" s="74">
        <v>100.25</v>
      </c>
      <c r="G25" s="74">
        <v>500.12</v>
      </c>
      <c r="H25" s="75">
        <f t="shared" si="0"/>
        <v>800.67000000000007</v>
      </c>
    </row>
    <row r="26" spans="2:9" ht="13.8" x14ac:dyDescent="0.25">
      <c r="C26" s="96" t="s">
        <v>48</v>
      </c>
      <c r="D26" s="96"/>
      <c r="E26" s="74">
        <v>500.6</v>
      </c>
      <c r="F26" s="74">
        <v>542.29999999999995</v>
      </c>
      <c r="G26" s="74">
        <v>4000.25</v>
      </c>
      <c r="H26" s="75">
        <f t="shared" si="0"/>
        <v>5043.1499999999996</v>
      </c>
    </row>
    <row r="27" spans="2:9" ht="13.8" x14ac:dyDescent="0.25">
      <c r="C27" s="96" t="s">
        <v>49</v>
      </c>
      <c r="D27" s="96"/>
      <c r="E27" s="74">
        <v>400.5</v>
      </c>
      <c r="F27" s="74">
        <v>658.2</v>
      </c>
      <c r="G27" s="74">
        <v>611.20000000000005</v>
      </c>
      <c r="H27" s="75">
        <f t="shared" si="0"/>
        <v>1669.9</v>
      </c>
    </row>
    <row r="28" spans="2:9" ht="13.8" x14ac:dyDescent="0.25">
      <c r="C28" s="96" t="s">
        <v>50</v>
      </c>
      <c r="D28" s="96"/>
      <c r="E28" s="74">
        <v>324.8</v>
      </c>
      <c r="F28" s="74">
        <v>470.25</v>
      </c>
      <c r="G28" s="74">
        <v>544.5</v>
      </c>
      <c r="H28" s="75">
        <f t="shared" si="0"/>
        <v>1339.55</v>
      </c>
    </row>
    <row r="29" spans="2:9" ht="13.8" x14ac:dyDescent="0.25">
      <c r="C29" s="96" t="s">
        <v>51</v>
      </c>
      <c r="D29" s="96"/>
      <c r="E29" s="74">
        <v>569.78</v>
      </c>
      <c r="F29" s="74">
        <v>120.3</v>
      </c>
      <c r="G29" s="74">
        <v>984.1</v>
      </c>
      <c r="H29" s="75">
        <f>E29+F29+G29</f>
        <v>1674.1799999999998</v>
      </c>
    </row>
    <row r="30" spans="2:9" x14ac:dyDescent="0.25">
      <c r="E30" s="1"/>
      <c r="F30" s="1"/>
      <c r="G30" s="1"/>
    </row>
    <row r="34" spans="2:9" ht="24.75" customHeight="1" x14ac:dyDescent="0.3">
      <c r="B34" s="112" t="s">
        <v>52</v>
      </c>
      <c r="C34" s="112"/>
      <c r="D34" s="112"/>
      <c r="E34" s="112"/>
      <c r="F34" s="112"/>
      <c r="G34" s="112"/>
      <c r="H34" s="112"/>
      <c r="I34" s="112"/>
    </row>
    <row r="35" spans="2:9" ht="17.399999999999999" x14ac:dyDescent="0.3">
      <c r="B35" s="8"/>
      <c r="C35" s="8"/>
      <c r="D35" s="8"/>
      <c r="E35" s="8"/>
      <c r="F35" s="8"/>
      <c r="G35" s="8"/>
      <c r="H35" s="8"/>
    </row>
    <row r="36" spans="2:9" s="26" customFormat="1" ht="12.75" customHeight="1" x14ac:dyDescent="0.25">
      <c r="C36" s="99" t="s">
        <v>23</v>
      </c>
      <c r="D36" s="99" t="s">
        <v>53</v>
      </c>
      <c r="E36" s="99" t="s">
        <v>24</v>
      </c>
      <c r="F36" s="99" t="s">
        <v>25</v>
      </c>
      <c r="G36" s="99" t="s">
        <v>26</v>
      </c>
      <c r="H36" s="99" t="s">
        <v>54</v>
      </c>
    </row>
    <row r="37" spans="2:9" s="26" customFormat="1" ht="12.75" customHeight="1" x14ac:dyDescent="0.25">
      <c r="C37" s="99"/>
      <c r="D37" s="99"/>
      <c r="E37" s="99"/>
      <c r="F37" s="99"/>
      <c r="G37" s="99"/>
      <c r="H37" s="99"/>
    </row>
    <row r="38" spans="2:9" ht="13.8" x14ac:dyDescent="0.25">
      <c r="C38" s="76">
        <v>1</v>
      </c>
      <c r="D38" s="77" t="s">
        <v>55</v>
      </c>
      <c r="E38" s="78">
        <v>10</v>
      </c>
      <c r="F38" s="78">
        <v>15</v>
      </c>
      <c r="G38" s="78">
        <v>16</v>
      </c>
      <c r="H38" s="79">
        <f>(E38+F38+G38)/3</f>
        <v>13.666666666666666</v>
      </c>
    </row>
    <row r="39" spans="2:9" ht="13.8" x14ac:dyDescent="0.25">
      <c r="C39" s="76">
        <f>C38+1</f>
        <v>2</v>
      </c>
      <c r="D39" s="77" t="s">
        <v>56</v>
      </c>
      <c r="E39" s="78">
        <v>11</v>
      </c>
      <c r="F39" s="78">
        <v>10</v>
      </c>
      <c r="G39" s="78">
        <v>10</v>
      </c>
      <c r="H39" s="79">
        <f t="shared" ref="H39:H42" si="1">(E39+F39+G39)/3</f>
        <v>10.333333333333334</v>
      </c>
    </row>
    <row r="40" spans="2:9" ht="13.8" x14ac:dyDescent="0.25">
      <c r="C40" s="76">
        <f>C39+1</f>
        <v>3</v>
      </c>
      <c r="D40" s="77" t="s">
        <v>57</v>
      </c>
      <c r="E40" s="78">
        <v>14</v>
      </c>
      <c r="F40" s="78">
        <v>10</v>
      </c>
      <c r="G40" s="78">
        <v>18</v>
      </c>
      <c r="H40" s="79">
        <f t="shared" si="1"/>
        <v>14</v>
      </c>
    </row>
    <row r="41" spans="2:9" ht="13.8" x14ac:dyDescent="0.25">
      <c r="C41" s="76">
        <v>4</v>
      </c>
      <c r="D41" s="77" t="s">
        <v>58</v>
      </c>
      <c r="E41" s="78">
        <v>19</v>
      </c>
      <c r="F41" s="78">
        <v>19</v>
      </c>
      <c r="G41" s="78">
        <v>18</v>
      </c>
      <c r="H41" s="79">
        <f t="shared" si="1"/>
        <v>18.666666666666668</v>
      </c>
    </row>
    <row r="42" spans="2:9" ht="13.8" x14ac:dyDescent="0.25">
      <c r="C42" s="76">
        <v>5</v>
      </c>
      <c r="D42" s="77" t="s">
        <v>59</v>
      </c>
      <c r="E42" s="78">
        <v>12</v>
      </c>
      <c r="F42" s="78">
        <v>8</v>
      </c>
      <c r="G42" s="78">
        <v>5</v>
      </c>
      <c r="H42" s="79">
        <f t="shared" si="1"/>
        <v>8.3333333333333339</v>
      </c>
    </row>
    <row r="43" spans="2:9" ht="13.8" x14ac:dyDescent="0.25">
      <c r="B43" s="9"/>
      <c r="C43" s="10"/>
      <c r="D43" s="11"/>
      <c r="E43" s="11"/>
      <c r="F43" s="11"/>
      <c r="G43" s="12"/>
    </row>
    <row r="46" spans="2:9" s="25" customFormat="1" ht="27.75" customHeight="1" x14ac:dyDescent="0.25">
      <c r="B46" s="101" t="s">
        <v>0</v>
      </c>
      <c r="C46" s="101"/>
      <c r="D46" s="101"/>
      <c r="E46" s="101"/>
      <c r="F46" s="101"/>
      <c r="G46" s="101"/>
      <c r="H46" s="101"/>
      <c r="I46" s="101"/>
    </row>
    <row r="48" spans="2:9" ht="13.8" thickBot="1" x14ac:dyDescent="0.3"/>
    <row r="49" spans="3:9" ht="14.4" thickTop="1" x14ac:dyDescent="0.25">
      <c r="D49" s="80" t="s">
        <v>158</v>
      </c>
      <c r="E49" s="81" t="s">
        <v>4</v>
      </c>
      <c r="F49" s="81" t="s">
        <v>5</v>
      </c>
      <c r="G49" s="81" t="s">
        <v>6</v>
      </c>
      <c r="H49" s="81" t="s">
        <v>12</v>
      </c>
      <c r="I49" s="82" t="s">
        <v>7</v>
      </c>
    </row>
    <row r="50" spans="3:9" ht="18" customHeight="1" x14ac:dyDescent="0.25">
      <c r="D50" s="83" t="s">
        <v>1</v>
      </c>
      <c r="E50" s="67">
        <v>0.25</v>
      </c>
      <c r="F50" s="67">
        <v>0.55000000000000004</v>
      </c>
      <c r="G50" s="67">
        <v>0.75</v>
      </c>
      <c r="H50" s="67">
        <v>0.45</v>
      </c>
      <c r="I50" s="84">
        <f>E50+F50+G50+H50</f>
        <v>2</v>
      </c>
    </row>
    <row r="51" spans="3:9" ht="18" customHeight="1" x14ac:dyDescent="0.25">
      <c r="D51" s="83" t="s">
        <v>2</v>
      </c>
      <c r="E51" s="85">
        <v>1</v>
      </c>
      <c r="F51" s="67">
        <v>0.65</v>
      </c>
      <c r="G51" s="67">
        <v>0.25</v>
      </c>
      <c r="H51" s="85">
        <v>0.6</v>
      </c>
      <c r="I51" s="84">
        <f t="shared" ref="I51:I52" si="2">E51+F51+G51+H51</f>
        <v>2.5</v>
      </c>
    </row>
    <row r="52" spans="3:9" ht="18" customHeight="1" thickBot="1" x14ac:dyDescent="0.3">
      <c r="D52" s="86" t="s">
        <v>3</v>
      </c>
      <c r="E52" s="87">
        <v>0.75</v>
      </c>
      <c r="F52" s="88">
        <v>0.9</v>
      </c>
      <c r="G52" s="87">
        <v>0.85</v>
      </c>
      <c r="H52" s="88">
        <v>2.5</v>
      </c>
      <c r="I52" s="84">
        <f t="shared" si="2"/>
        <v>5</v>
      </c>
    </row>
    <row r="53" spans="3:9" ht="18" customHeight="1" thickTop="1" thickBot="1" x14ac:dyDescent="0.3">
      <c r="C53" s="102" t="s">
        <v>159</v>
      </c>
      <c r="D53" s="103"/>
      <c r="E53" s="89">
        <f t="shared" ref="E53:H53" si="3">SUM(E50:E52)</f>
        <v>2</v>
      </c>
      <c r="F53" s="89">
        <f t="shared" si="3"/>
        <v>2.1</v>
      </c>
      <c r="G53" s="89">
        <f t="shared" si="3"/>
        <v>1.85</v>
      </c>
      <c r="H53" s="89">
        <f t="shared" si="3"/>
        <v>3.55</v>
      </c>
      <c r="I53" s="84">
        <f>SUM(I50:I52)</f>
        <v>9.5</v>
      </c>
    </row>
    <row r="54" spans="3:9" ht="18" customHeight="1" thickTop="1" thickBot="1" x14ac:dyDescent="0.3">
      <c r="D54" s="3" t="s">
        <v>8</v>
      </c>
      <c r="E54" s="90">
        <f>E53*10%</f>
        <v>0.2</v>
      </c>
      <c r="F54" s="90">
        <f t="shared" ref="F54:H54" si="4">F53*10%</f>
        <v>0.21000000000000002</v>
      </c>
      <c r="G54" s="90">
        <f t="shared" si="4"/>
        <v>0.18500000000000003</v>
      </c>
      <c r="H54" s="90">
        <f t="shared" si="4"/>
        <v>0.35499999999999998</v>
      </c>
      <c r="I54" s="19"/>
    </row>
    <row r="55" spans="3:9" ht="18" customHeight="1" thickTop="1" thickBot="1" x14ac:dyDescent="0.3">
      <c r="D55" s="3" t="s">
        <v>9</v>
      </c>
      <c r="E55" s="91">
        <v>1.8</v>
      </c>
      <c r="F55" s="92">
        <v>1.79</v>
      </c>
      <c r="G55" s="92">
        <v>1.82</v>
      </c>
      <c r="H55" s="92">
        <v>1.65</v>
      </c>
    </row>
    <row r="56" spans="3:9" ht="18" customHeight="1" thickTop="1" thickBot="1" x14ac:dyDescent="0.3">
      <c r="C56" s="102" t="s">
        <v>10</v>
      </c>
      <c r="D56" s="104"/>
      <c r="E56" s="89">
        <f>SUM(E54:E55)</f>
        <v>2</v>
      </c>
      <c r="F56" s="89">
        <f t="shared" ref="F56:H56" si="5">SUM(F54:F55)</f>
        <v>2</v>
      </c>
      <c r="G56" s="89">
        <f t="shared" si="5"/>
        <v>2.0049999999999999</v>
      </c>
      <c r="H56" s="89">
        <f t="shared" si="5"/>
        <v>2.0049999999999999</v>
      </c>
    </row>
    <row r="57" spans="3:9" ht="18" customHeight="1" thickTop="1" thickBot="1" x14ac:dyDescent="0.3">
      <c r="C57" s="6"/>
      <c r="D57" s="27" t="s">
        <v>11</v>
      </c>
      <c r="E57" s="90">
        <f>E53-E56</f>
        <v>0</v>
      </c>
      <c r="F57" s="90">
        <f t="shared" ref="F57:H57" si="6">F53-F56</f>
        <v>0.10000000000000009</v>
      </c>
      <c r="G57" s="90">
        <f t="shared" si="6"/>
        <v>-0.1549999999999998</v>
      </c>
      <c r="H57" s="90">
        <f t="shared" si="6"/>
        <v>1.5449999999999999</v>
      </c>
    </row>
    <row r="58" spans="3:9" ht="18" customHeight="1" thickTop="1" x14ac:dyDescent="0.25"/>
    <row r="59" spans="3:9" ht="18" customHeight="1" x14ac:dyDescent="0.25"/>
  </sheetData>
  <mergeCells count="36">
    <mergeCell ref="B46:I46"/>
    <mergeCell ref="C53:D53"/>
    <mergeCell ref="C56:D56"/>
    <mergeCell ref="C6:I6"/>
    <mergeCell ref="B1:I4"/>
    <mergeCell ref="F15:G15"/>
    <mergeCell ref="B19:I19"/>
    <mergeCell ref="B34:I34"/>
    <mergeCell ref="H36:H37"/>
    <mergeCell ref="D15:E15"/>
    <mergeCell ref="F13:G13"/>
    <mergeCell ref="D13:E13"/>
    <mergeCell ref="D14:E14"/>
    <mergeCell ref="D16:E16"/>
    <mergeCell ref="F14:G14"/>
    <mergeCell ref="F16:G16"/>
    <mergeCell ref="G36:G37"/>
    <mergeCell ref="C36:C37"/>
    <mergeCell ref="D36:D37"/>
    <mergeCell ref="F12:G12"/>
    <mergeCell ref="C22:D22"/>
    <mergeCell ref="C23:D23"/>
    <mergeCell ref="C24:D24"/>
    <mergeCell ref="C29:D29"/>
    <mergeCell ref="C25:D25"/>
    <mergeCell ref="C26:D26"/>
    <mergeCell ref="C27:D27"/>
    <mergeCell ref="C28:D28"/>
    <mergeCell ref="E36:E37"/>
    <mergeCell ref="F36:F37"/>
    <mergeCell ref="B8:I8"/>
    <mergeCell ref="D10:E10"/>
    <mergeCell ref="D11:E11"/>
    <mergeCell ref="D12:E12"/>
    <mergeCell ref="F10:G10"/>
    <mergeCell ref="F11:G11"/>
  </mergeCells>
  <phoneticPr fontId="2" type="noConversion"/>
  <pageMargins left="0.75" right="0.75" top="1" bottom="1" header="0" footer="0"/>
  <pageSetup paperSize="9" orientation="portrait" horizontalDpi="4294967293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0F48-3BB7-4F6F-89A8-B9815F2AB450}">
  <sheetPr>
    <tabColor rgb="FF00B0F0"/>
  </sheetPr>
  <dimension ref="C2:J109"/>
  <sheetViews>
    <sheetView showGridLines="0" tabSelected="1" zoomScaleNormal="100" workbookViewId="0">
      <selection activeCell="G22" sqref="G22"/>
    </sheetView>
  </sheetViews>
  <sheetFormatPr baseColWidth="10" defaultRowHeight="13.2" x14ac:dyDescent="0.25"/>
  <cols>
    <col min="1" max="1" width="2.6640625" customWidth="1"/>
    <col min="2" max="2" width="9.6640625" customWidth="1"/>
    <col min="3" max="3" width="35.44140625" customWidth="1"/>
    <col min="7" max="7" width="16.5546875" customWidth="1"/>
  </cols>
  <sheetData>
    <row r="2" spans="3:10" ht="21" x14ac:dyDescent="0.25">
      <c r="C2" s="116" t="s">
        <v>79</v>
      </c>
      <c r="D2" s="117"/>
    </row>
    <row r="3" spans="3:10" ht="18" thickBot="1" x14ac:dyDescent="0.35">
      <c r="C3" s="15"/>
    </row>
    <row r="4" spans="3:10" ht="23.25" customHeight="1" thickBot="1" x14ac:dyDescent="0.3">
      <c r="C4" s="113" t="s">
        <v>80</v>
      </c>
      <c r="D4" s="114"/>
      <c r="E4" s="114"/>
      <c r="F4" s="114"/>
      <c r="G4" s="114"/>
      <c r="H4" s="114"/>
      <c r="I4" s="114"/>
      <c r="J4" s="115"/>
    </row>
    <row r="6" spans="3:10" x14ac:dyDescent="0.25">
      <c r="G6" s="14"/>
      <c r="H6" s="14"/>
      <c r="I6" s="14"/>
    </row>
    <row r="7" spans="3:10" ht="27.6" x14ac:dyDescent="0.25">
      <c r="C7" s="64" t="s">
        <v>81</v>
      </c>
      <c r="D7" s="64" t="s">
        <v>82</v>
      </c>
      <c r="E7" s="64" t="s">
        <v>83</v>
      </c>
      <c r="F7" s="64" t="s">
        <v>84</v>
      </c>
      <c r="G7" s="64" t="s">
        <v>85</v>
      </c>
      <c r="H7" s="64" t="s">
        <v>86</v>
      </c>
      <c r="I7" s="64" t="s">
        <v>87</v>
      </c>
      <c r="J7" s="65" t="s">
        <v>88</v>
      </c>
    </row>
    <row r="8" spans="3:10" x14ac:dyDescent="0.25">
      <c r="C8" s="66" t="s">
        <v>89</v>
      </c>
      <c r="D8" s="67">
        <v>23</v>
      </c>
      <c r="E8" s="67">
        <v>30</v>
      </c>
      <c r="F8" s="67">
        <v>12</v>
      </c>
      <c r="G8" s="68">
        <f>PRODUCT(E8:F8)</f>
        <v>360</v>
      </c>
      <c r="H8" s="69">
        <f>PRODUCT(G8,20%)</f>
        <v>72</v>
      </c>
      <c r="I8" s="70">
        <f>G8*5%</f>
        <v>18</v>
      </c>
      <c r="J8" s="71">
        <f>G8+H8-I8</f>
        <v>414</v>
      </c>
    </row>
    <row r="9" spans="3:10" x14ac:dyDescent="0.25">
      <c r="C9" s="66" t="s">
        <v>90</v>
      </c>
      <c r="D9" s="67">
        <v>37</v>
      </c>
      <c r="E9" s="67">
        <v>29</v>
      </c>
      <c r="F9" s="67">
        <v>12</v>
      </c>
      <c r="G9" s="68">
        <f t="shared" ref="G9:G17" si="0">PRODUCT(E9:F9)</f>
        <v>348</v>
      </c>
      <c r="H9" s="69">
        <f t="shared" ref="H9:H17" si="1">PRODUCT(G9,20%)</f>
        <v>69.600000000000009</v>
      </c>
      <c r="I9" s="70">
        <f t="shared" ref="I9:I17" si="2">G9*5%</f>
        <v>17.400000000000002</v>
      </c>
      <c r="J9" s="71">
        <f t="shared" ref="J9:J17" si="3">G9+H9-I9</f>
        <v>400.20000000000005</v>
      </c>
    </row>
    <row r="10" spans="3:10" x14ac:dyDescent="0.25">
      <c r="C10" s="66" t="s">
        <v>91</v>
      </c>
      <c r="D10" s="67">
        <v>30</v>
      </c>
      <c r="E10" s="67">
        <v>30</v>
      </c>
      <c r="F10" s="67">
        <v>12</v>
      </c>
      <c r="G10" s="68">
        <f t="shared" si="0"/>
        <v>360</v>
      </c>
      <c r="H10" s="69">
        <f t="shared" si="1"/>
        <v>72</v>
      </c>
      <c r="I10" s="70">
        <f t="shared" si="2"/>
        <v>18</v>
      </c>
      <c r="J10" s="71">
        <f t="shared" si="3"/>
        <v>414</v>
      </c>
    </row>
    <row r="11" spans="3:10" x14ac:dyDescent="0.25">
      <c r="C11" s="66" t="s">
        <v>92</v>
      </c>
      <c r="D11" s="67">
        <v>50</v>
      </c>
      <c r="E11" s="67">
        <v>31</v>
      </c>
      <c r="F11" s="67">
        <v>12</v>
      </c>
      <c r="G11" s="68">
        <f t="shared" si="0"/>
        <v>372</v>
      </c>
      <c r="H11" s="69">
        <f t="shared" si="1"/>
        <v>74.400000000000006</v>
      </c>
      <c r="I11" s="70">
        <f t="shared" si="2"/>
        <v>18.600000000000001</v>
      </c>
      <c r="J11" s="71">
        <f t="shared" si="3"/>
        <v>427.79999999999995</v>
      </c>
    </row>
    <row r="12" spans="3:10" x14ac:dyDescent="0.25">
      <c r="C12" s="66" t="s">
        <v>93</v>
      </c>
      <c r="D12" s="67">
        <v>48</v>
      </c>
      <c r="E12" s="67">
        <v>30</v>
      </c>
      <c r="F12" s="67">
        <v>12</v>
      </c>
      <c r="G12" s="68">
        <f t="shared" si="0"/>
        <v>360</v>
      </c>
      <c r="H12" s="69">
        <f t="shared" si="1"/>
        <v>72</v>
      </c>
      <c r="I12" s="70">
        <f t="shared" si="2"/>
        <v>18</v>
      </c>
      <c r="J12" s="71">
        <f t="shared" si="3"/>
        <v>414</v>
      </c>
    </row>
    <row r="13" spans="3:10" x14ac:dyDescent="0.25">
      <c r="C13" s="66" t="s">
        <v>94</v>
      </c>
      <c r="D13" s="67">
        <v>21</v>
      </c>
      <c r="E13" s="67">
        <v>31</v>
      </c>
      <c r="F13" s="67">
        <v>12</v>
      </c>
      <c r="G13" s="68">
        <f t="shared" si="0"/>
        <v>372</v>
      </c>
      <c r="H13" s="69">
        <f t="shared" si="1"/>
        <v>74.400000000000006</v>
      </c>
      <c r="I13" s="70">
        <f t="shared" si="2"/>
        <v>18.600000000000001</v>
      </c>
      <c r="J13" s="71">
        <f t="shared" si="3"/>
        <v>427.79999999999995</v>
      </c>
    </row>
    <row r="14" spans="3:10" x14ac:dyDescent="0.25">
      <c r="C14" s="66" t="s">
        <v>95</v>
      </c>
      <c r="D14" s="67">
        <v>16</v>
      </c>
      <c r="E14" s="67">
        <v>29</v>
      </c>
      <c r="F14" s="67">
        <v>12</v>
      </c>
      <c r="G14" s="68">
        <f t="shared" si="0"/>
        <v>348</v>
      </c>
      <c r="H14" s="69">
        <f t="shared" si="1"/>
        <v>69.600000000000009</v>
      </c>
      <c r="I14" s="70">
        <f t="shared" si="2"/>
        <v>17.400000000000002</v>
      </c>
      <c r="J14" s="71">
        <f t="shared" si="3"/>
        <v>400.20000000000005</v>
      </c>
    </row>
    <row r="15" spans="3:10" x14ac:dyDescent="0.25">
      <c r="C15" s="66" t="s">
        <v>96</v>
      </c>
      <c r="D15" s="67">
        <v>45</v>
      </c>
      <c r="E15" s="67">
        <v>27</v>
      </c>
      <c r="F15" s="67">
        <v>12</v>
      </c>
      <c r="G15" s="68">
        <f t="shared" si="0"/>
        <v>324</v>
      </c>
      <c r="H15" s="69">
        <f t="shared" si="1"/>
        <v>64.8</v>
      </c>
      <c r="I15" s="70">
        <f t="shared" si="2"/>
        <v>16.2</v>
      </c>
      <c r="J15" s="71">
        <f t="shared" si="3"/>
        <v>372.6</v>
      </c>
    </row>
    <row r="16" spans="3:10" x14ac:dyDescent="0.25">
      <c r="C16" s="66" t="s">
        <v>97</v>
      </c>
      <c r="D16" s="67">
        <v>35</v>
      </c>
      <c r="E16" s="67">
        <v>30</v>
      </c>
      <c r="F16" s="67">
        <v>12</v>
      </c>
      <c r="G16" s="68">
        <f t="shared" si="0"/>
        <v>360</v>
      </c>
      <c r="H16" s="69">
        <f t="shared" si="1"/>
        <v>72</v>
      </c>
      <c r="I16" s="70">
        <f t="shared" si="2"/>
        <v>18</v>
      </c>
      <c r="J16" s="71">
        <f t="shared" si="3"/>
        <v>414</v>
      </c>
    </row>
    <row r="17" spans="3:10" x14ac:dyDescent="0.25">
      <c r="C17" s="66" t="s">
        <v>98</v>
      </c>
      <c r="D17" s="67">
        <v>44</v>
      </c>
      <c r="E17" s="67">
        <v>28</v>
      </c>
      <c r="F17" s="67">
        <v>12</v>
      </c>
      <c r="G17" s="68">
        <f t="shared" si="0"/>
        <v>336</v>
      </c>
      <c r="H17" s="69">
        <f t="shared" si="1"/>
        <v>67.2</v>
      </c>
      <c r="I17" s="70">
        <f t="shared" si="2"/>
        <v>16.8</v>
      </c>
      <c r="J17" s="71">
        <f t="shared" si="3"/>
        <v>386.4</v>
      </c>
    </row>
    <row r="19" spans="3:10" x14ac:dyDescent="0.25">
      <c r="C19" s="2" t="s">
        <v>29</v>
      </c>
    </row>
    <row r="20" spans="3:10" x14ac:dyDescent="0.25">
      <c r="C20" s="2" t="s">
        <v>99</v>
      </c>
    </row>
    <row r="21" spans="3:10" x14ac:dyDescent="0.25">
      <c r="C21" s="2" t="s">
        <v>100</v>
      </c>
    </row>
    <row r="22" spans="3:10" x14ac:dyDescent="0.25">
      <c r="C22" s="2" t="s">
        <v>101</v>
      </c>
    </row>
    <row r="23" spans="3:10" x14ac:dyDescent="0.25">
      <c r="C23" s="2" t="s">
        <v>102</v>
      </c>
    </row>
    <row r="109" spans="9:9" x14ac:dyDescent="0.25">
      <c r="I109" t="s">
        <v>103</v>
      </c>
    </row>
  </sheetData>
  <mergeCells count="2">
    <mergeCell ref="C4:J4"/>
    <mergeCell ref="C2:D2"/>
  </mergeCells>
  <phoneticPr fontId="2" type="noConversion"/>
  <pageMargins left="0.78740157480314965" right="0.78740157480314965" top="0.98425196850393704" bottom="0.98425196850393704" header="0" footer="0"/>
  <pageSetup paperSize="9" scale="90" orientation="portrait" horizontalDpi="120" verticalDpi="14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DC82-B142-4201-9F35-E883A300C818}">
  <sheetPr>
    <tabColor rgb="FFFFC000"/>
  </sheetPr>
  <dimension ref="A2:F46"/>
  <sheetViews>
    <sheetView showGridLines="0" workbookViewId="0">
      <selection activeCell="C26" sqref="C26"/>
    </sheetView>
  </sheetViews>
  <sheetFormatPr baseColWidth="10" defaultRowHeight="13.2" x14ac:dyDescent="0.25"/>
  <cols>
    <col min="1" max="1" width="17.44140625" customWidth="1"/>
    <col min="2" max="2" width="21.6640625" customWidth="1"/>
    <col min="3" max="3" width="13.44140625" customWidth="1"/>
    <col min="4" max="4" width="14.33203125" customWidth="1"/>
  </cols>
  <sheetData>
    <row r="2" spans="1:6" ht="21" x14ac:dyDescent="0.4">
      <c r="A2" s="111" t="s">
        <v>13</v>
      </c>
      <c r="B2" s="111"/>
      <c r="C2" s="111"/>
      <c r="D2" s="111"/>
    </row>
    <row r="4" spans="1:6" x14ac:dyDescent="0.25">
      <c r="A4" s="59" t="s">
        <v>14</v>
      </c>
      <c r="B4" s="58"/>
    </row>
    <row r="5" spans="1:6" ht="13.8" thickBot="1" x14ac:dyDescent="0.3"/>
    <row r="6" spans="1:6" ht="28.5" customHeight="1" thickBot="1" x14ac:dyDescent="0.3">
      <c r="A6" s="118" t="s">
        <v>15</v>
      </c>
      <c r="B6" s="118" t="s">
        <v>16</v>
      </c>
      <c r="C6" s="118" t="s">
        <v>164</v>
      </c>
      <c r="D6" s="118" t="s">
        <v>166</v>
      </c>
    </row>
    <row r="7" spans="1:6" ht="13.8" thickBot="1" x14ac:dyDescent="0.3">
      <c r="A7" s="118"/>
      <c r="B7" s="119"/>
      <c r="C7" s="118"/>
      <c r="D7" s="118"/>
      <c r="F7" s="60" t="s">
        <v>104</v>
      </c>
    </row>
    <row r="8" spans="1:6" ht="15.9" customHeight="1" thickBot="1" x14ac:dyDescent="0.3">
      <c r="A8" s="61" t="s">
        <v>17</v>
      </c>
      <c r="B8" s="62" t="s">
        <v>30</v>
      </c>
      <c r="C8" s="61">
        <v>125</v>
      </c>
      <c r="D8" s="62">
        <f>C8/$F$8</f>
        <v>38.580246913580247</v>
      </c>
      <c r="F8" s="21">
        <v>3.24</v>
      </c>
    </row>
    <row r="9" spans="1:6" ht="15.9" customHeight="1" thickBot="1" x14ac:dyDescent="0.3">
      <c r="A9" s="61" t="s">
        <v>17</v>
      </c>
      <c r="B9" s="62" t="s">
        <v>28</v>
      </c>
      <c r="C9" s="61">
        <v>320</v>
      </c>
      <c r="D9" s="62">
        <f t="shared" ref="D9:D20" si="0">C9/$F$8</f>
        <v>98.76543209876543</v>
      </c>
    </row>
    <row r="10" spans="1:6" ht="15.9" customHeight="1" thickBot="1" x14ac:dyDescent="0.3">
      <c r="A10" s="61" t="s">
        <v>21</v>
      </c>
      <c r="B10" s="62" t="s">
        <v>31</v>
      </c>
      <c r="C10" s="61">
        <v>153</v>
      </c>
      <c r="D10" s="62">
        <f t="shared" si="0"/>
        <v>47.222222222222221</v>
      </c>
    </row>
    <row r="11" spans="1:6" ht="15.9" customHeight="1" thickBot="1" x14ac:dyDescent="0.3">
      <c r="A11" s="61" t="s">
        <v>21</v>
      </c>
      <c r="B11" s="62" t="s">
        <v>27</v>
      </c>
      <c r="C11" s="61">
        <v>186</v>
      </c>
      <c r="D11" s="62">
        <f t="shared" si="0"/>
        <v>57.407407407407405</v>
      </c>
    </row>
    <row r="12" spans="1:6" ht="15.9" customHeight="1" thickBot="1" x14ac:dyDescent="0.3">
      <c r="A12" s="61" t="s">
        <v>21</v>
      </c>
      <c r="B12" s="62" t="s">
        <v>32</v>
      </c>
      <c r="C12" s="61">
        <v>340</v>
      </c>
      <c r="D12" s="62">
        <f t="shared" si="0"/>
        <v>104.93827160493827</v>
      </c>
    </row>
    <row r="13" spans="1:6" ht="15.9" customHeight="1" thickBot="1" x14ac:dyDescent="0.3">
      <c r="A13" s="61" t="s">
        <v>19</v>
      </c>
      <c r="B13" s="62" t="s">
        <v>33</v>
      </c>
      <c r="C13" s="61">
        <v>45</v>
      </c>
      <c r="D13" s="62">
        <f t="shared" si="0"/>
        <v>13.888888888888888</v>
      </c>
    </row>
    <row r="14" spans="1:6" ht="15.9" customHeight="1" thickBot="1" x14ac:dyDescent="0.3">
      <c r="A14" s="61" t="s">
        <v>19</v>
      </c>
      <c r="B14" s="62" t="s">
        <v>34</v>
      </c>
      <c r="C14" s="61">
        <v>165</v>
      </c>
      <c r="D14" s="62">
        <f t="shared" si="0"/>
        <v>50.925925925925924</v>
      </c>
    </row>
    <row r="15" spans="1:6" ht="15.9" customHeight="1" thickBot="1" x14ac:dyDescent="0.3">
      <c r="A15" s="61" t="s">
        <v>22</v>
      </c>
      <c r="B15" s="62" t="s">
        <v>35</v>
      </c>
      <c r="C15" s="61">
        <v>426</v>
      </c>
      <c r="D15" s="62">
        <f t="shared" si="0"/>
        <v>131.48148148148147</v>
      </c>
    </row>
    <row r="16" spans="1:6" ht="15.9" customHeight="1" thickBot="1" x14ac:dyDescent="0.3">
      <c r="A16" s="61" t="s">
        <v>22</v>
      </c>
      <c r="B16" s="62" t="s">
        <v>36</v>
      </c>
      <c r="C16" s="61">
        <v>420</v>
      </c>
      <c r="D16" s="62">
        <f t="shared" si="0"/>
        <v>129.62962962962962</v>
      </c>
    </row>
    <row r="17" spans="1:4" ht="15.9" customHeight="1" thickBot="1" x14ac:dyDescent="0.3">
      <c r="A17" s="61" t="s">
        <v>22</v>
      </c>
      <c r="B17" s="63" t="s">
        <v>163</v>
      </c>
      <c r="C17" s="61">
        <v>156</v>
      </c>
      <c r="D17" s="62">
        <f t="shared" si="0"/>
        <v>48.148148148148145</v>
      </c>
    </row>
    <row r="18" spans="1:4" ht="15.9" customHeight="1" thickBot="1" x14ac:dyDescent="0.3">
      <c r="A18" s="61" t="s">
        <v>18</v>
      </c>
      <c r="B18" s="62" t="s">
        <v>37</v>
      </c>
      <c r="C18" s="61">
        <v>124</v>
      </c>
      <c r="D18" s="62">
        <f t="shared" si="0"/>
        <v>38.271604938271601</v>
      </c>
    </row>
    <row r="19" spans="1:4" ht="15.9" customHeight="1" thickBot="1" x14ac:dyDescent="0.3">
      <c r="A19" s="61" t="s">
        <v>20</v>
      </c>
      <c r="B19" s="62" t="s">
        <v>38</v>
      </c>
      <c r="C19" s="61">
        <v>563</v>
      </c>
      <c r="D19" s="62">
        <f t="shared" si="0"/>
        <v>173.76543209876542</v>
      </c>
    </row>
    <row r="20" spans="1:4" ht="15.9" customHeight="1" thickBot="1" x14ac:dyDescent="0.3">
      <c r="A20" s="61" t="s">
        <v>20</v>
      </c>
      <c r="B20" s="62" t="s">
        <v>39</v>
      </c>
      <c r="C20" s="61">
        <v>154</v>
      </c>
      <c r="D20" s="62">
        <f t="shared" si="0"/>
        <v>47.53086419753086</v>
      </c>
    </row>
    <row r="21" spans="1:4" x14ac:dyDescent="0.25">
      <c r="A21" s="1"/>
      <c r="C21" s="1"/>
    </row>
    <row r="22" spans="1:4" x14ac:dyDescent="0.25">
      <c r="A22" s="1"/>
      <c r="C22" s="1"/>
    </row>
    <row r="46" spans="5:5" x14ac:dyDescent="0.25">
      <c r="E46" s="20"/>
    </row>
  </sheetData>
  <mergeCells count="5">
    <mergeCell ref="A2:D2"/>
    <mergeCell ref="D6:D7"/>
    <mergeCell ref="A6:A7"/>
    <mergeCell ref="B6:B7"/>
    <mergeCell ref="C6:C7"/>
  </mergeCells>
  <phoneticPr fontId="2" type="noConversion"/>
  <pageMargins left="0.75" right="0.75" top="1" bottom="1" header="0" footer="0"/>
  <pageSetup orientation="portrait" horizontalDpi="120" verticalDpi="144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EF88-FD66-41A8-8099-086350E71C33}">
  <sheetPr>
    <tabColor theme="5" tint="0.39997558519241921"/>
  </sheetPr>
  <dimension ref="A2:K48"/>
  <sheetViews>
    <sheetView showGridLines="0" topLeftCell="A22" workbookViewId="0">
      <selection activeCell="G11" sqref="G11"/>
    </sheetView>
  </sheetViews>
  <sheetFormatPr baseColWidth="10" defaultRowHeight="13.2" x14ac:dyDescent="0.25"/>
  <cols>
    <col min="2" max="2" width="23.44140625" bestFit="1" customWidth="1"/>
    <col min="6" max="6" width="15" customWidth="1"/>
  </cols>
  <sheetData>
    <row r="2" spans="2:11" s="1" customFormat="1" ht="27" customHeight="1" x14ac:dyDescent="0.25">
      <c r="B2" s="128" t="s">
        <v>160</v>
      </c>
      <c r="C2" s="128"/>
      <c r="D2" s="128"/>
      <c r="E2" s="128"/>
      <c r="F2" s="128"/>
      <c r="G2" s="128"/>
      <c r="H2" s="128"/>
    </row>
    <row r="3" spans="2:11" s="1" customFormat="1" ht="27" customHeight="1" thickBot="1" x14ac:dyDescent="0.3">
      <c r="B3" s="55"/>
      <c r="C3" s="55"/>
      <c r="D3" s="55"/>
      <c r="E3" s="55"/>
      <c r="F3" s="55"/>
      <c r="G3" s="55"/>
      <c r="H3" s="55"/>
      <c r="I3" s="56"/>
    </row>
    <row r="4" spans="2:11" ht="14.4" thickTop="1" thickBot="1" x14ac:dyDescent="0.3">
      <c r="F4" s="2" t="s">
        <v>105</v>
      </c>
      <c r="G4" s="39">
        <v>0.18</v>
      </c>
    </row>
    <row r="5" spans="2:11" ht="13.8" thickTop="1" x14ac:dyDescent="0.25"/>
    <row r="7" spans="2:11" ht="13.8" thickBot="1" x14ac:dyDescent="0.3"/>
    <row r="8" spans="2:11" ht="14.4" thickTop="1" thickBot="1" x14ac:dyDescent="0.3">
      <c r="B8" s="22"/>
      <c r="C8" s="37" t="s">
        <v>106</v>
      </c>
      <c r="D8" s="37" t="s">
        <v>107</v>
      </c>
      <c r="E8" s="37" t="s">
        <v>108</v>
      </c>
      <c r="F8" s="37" t="s">
        <v>109</v>
      </c>
      <c r="G8" s="37" t="s">
        <v>110</v>
      </c>
      <c r="H8" s="38" t="s">
        <v>111</v>
      </c>
    </row>
    <row r="9" spans="2:11" ht="13.8" thickTop="1" x14ac:dyDescent="0.25">
      <c r="B9" s="32" t="s">
        <v>112</v>
      </c>
      <c r="C9" s="40">
        <v>12000</v>
      </c>
      <c r="D9" s="16">
        <v>15879</v>
      </c>
      <c r="E9" s="16">
        <v>25000</v>
      </c>
      <c r="F9" s="16">
        <v>35000</v>
      </c>
      <c r="G9" s="16">
        <v>98654</v>
      </c>
      <c r="H9" s="41">
        <v>152479</v>
      </c>
    </row>
    <row r="10" spans="2:11" x14ac:dyDescent="0.25">
      <c r="B10" s="33" t="s">
        <v>113</v>
      </c>
      <c r="C10" s="42">
        <v>12.2</v>
      </c>
      <c r="D10" s="17">
        <v>12.25</v>
      </c>
      <c r="E10" s="17">
        <v>13</v>
      </c>
      <c r="F10" s="17">
        <v>15.75</v>
      </c>
      <c r="G10" s="17">
        <v>14.5</v>
      </c>
      <c r="H10" s="43">
        <v>14.12</v>
      </c>
    </row>
    <row r="11" spans="2:11" x14ac:dyDescent="0.25">
      <c r="B11" s="33" t="s">
        <v>114</v>
      </c>
      <c r="C11" s="44">
        <f>PRODUCT(C9:C10)</f>
        <v>146400</v>
      </c>
      <c r="D11" s="44">
        <f t="shared" ref="D11:H11" si="0">PRODUCT(D9:D10)</f>
        <v>194517.75</v>
      </c>
      <c r="E11" s="44">
        <f t="shared" si="0"/>
        <v>325000</v>
      </c>
      <c r="F11" s="44">
        <f t="shared" si="0"/>
        <v>551250</v>
      </c>
      <c r="G11" s="44">
        <f t="shared" si="0"/>
        <v>1430483</v>
      </c>
      <c r="H11" s="44">
        <f t="shared" si="0"/>
        <v>2153003.48</v>
      </c>
    </row>
    <row r="12" spans="2:11" x14ac:dyDescent="0.25">
      <c r="B12" s="33" t="s">
        <v>115</v>
      </c>
      <c r="C12" s="44">
        <f>C11*$G$4</f>
        <v>26352</v>
      </c>
      <c r="D12" s="44">
        <f t="shared" ref="D12:H12" si="1">D11*$G$4</f>
        <v>35013.195</v>
      </c>
      <c r="E12" s="44">
        <f t="shared" si="1"/>
        <v>58500</v>
      </c>
      <c r="F12" s="44">
        <f t="shared" si="1"/>
        <v>99225</v>
      </c>
      <c r="G12" s="44">
        <f t="shared" si="1"/>
        <v>257486.94</v>
      </c>
      <c r="H12" s="44">
        <f t="shared" si="1"/>
        <v>387540.62640000001</v>
      </c>
    </row>
    <row r="13" spans="2:11" ht="13.8" thickBot="1" x14ac:dyDescent="0.3">
      <c r="B13" s="34" t="s">
        <v>116</v>
      </c>
      <c r="C13" s="45">
        <f>SUM(C11:C12)</f>
        <v>172752</v>
      </c>
      <c r="D13" s="45">
        <f t="shared" ref="D13:H13" si="2">SUM(D11:D12)</f>
        <v>229530.94500000001</v>
      </c>
      <c r="E13" s="45">
        <f t="shared" si="2"/>
        <v>383500</v>
      </c>
      <c r="F13" s="45">
        <f t="shared" si="2"/>
        <v>650475</v>
      </c>
      <c r="G13" s="45">
        <f t="shared" si="2"/>
        <v>1687969.94</v>
      </c>
      <c r="H13" s="45">
        <f t="shared" si="2"/>
        <v>2540544.1063999999</v>
      </c>
      <c r="I13" s="23"/>
      <c r="J13" s="23"/>
      <c r="K13" s="23"/>
    </row>
    <row r="14" spans="2:11" ht="14.4" thickTop="1" thickBot="1" x14ac:dyDescent="0.3">
      <c r="C14" s="1"/>
      <c r="D14" s="1"/>
      <c r="E14" s="1"/>
      <c r="F14" s="1"/>
      <c r="G14" s="1"/>
      <c r="H14" s="1"/>
    </row>
    <row r="15" spans="2:11" ht="13.8" thickTop="1" x14ac:dyDescent="0.25">
      <c r="B15" s="32" t="s">
        <v>117</v>
      </c>
      <c r="C15" s="46">
        <v>87840</v>
      </c>
      <c r="D15" s="47">
        <v>234563</v>
      </c>
      <c r="E15" s="47">
        <v>150000</v>
      </c>
      <c r="F15" s="47">
        <v>500000</v>
      </c>
      <c r="G15" s="47">
        <v>1200000</v>
      </c>
      <c r="H15" s="48">
        <v>1600000</v>
      </c>
    </row>
    <row r="16" spans="2:11" x14ac:dyDescent="0.25">
      <c r="B16" s="33" t="s">
        <v>118</v>
      </c>
      <c r="C16" s="49">
        <v>7320</v>
      </c>
      <c r="D16" s="5">
        <v>9725</v>
      </c>
      <c r="E16" s="5">
        <v>27562</v>
      </c>
      <c r="F16" s="5">
        <v>27562</v>
      </c>
      <c r="G16" s="5">
        <v>25897</v>
      </c>
      <c r="H16" s="50">
        <v>30000</v>
      </c>
    </row>
    <row r="17" spans="1:8" x14ac:dyDescent="0.25">
      <c r="B17" s="33" t="s">
        <v>119</v>
      </c>
      <c r="C17" s="49">
        <v>1464</v>
      </c>
      <c r="D17" s="5">
        <v>1945</v>
      </c>
      <c r="E17" s="5">
        <v>5512</v>
      </c>
      <c r="F17" s="5">
        <v>5512</v>
      </c>
      <c r="G17" s="5">
        <v>6854</v>
      </c>
      <c r="H17" s="50">
        <v>15897</v>
      </c>
    </row>
    <row r="18" spans="1:8" ht="13.8" thickBot="1" x14ac:dyDescent="0.3">
      <c r="B18" s="34" t="s">
        <v>120</v>
      </c>
      <c r="C18" s="45">
        <f t="shared" ref="C18:H18" si="3">SUM(C15:C17)</f>
        <v>96624</v>
      </c>
      <c r="D18" s="45">
        <f t="shared" si="3"/>
        <v>246233</v>
      </c>
      <c r="E18" s="45">
        <f t="shared" si="3"/>
        <v>183074</v>
      </c>
      <c r="F18" s="45">
        <f t="shared" si="3"/>
        <v>533074</v>
      </c>
      <c r="G18" s="45">
        <f t="shared" si="3"/>
        <v>1232751</v>
      </c>
      <c r="H18" s="45">
        <f t="shared" si="3"/>
        <v>1645897</v>
      </c>
    </row>
    <row r="19" spans="1:8" ht="14.4" thickTop="1" thickBot="1" x14ac:dyDescent="0.3">
      <c r="C19" s="1"/>
      <c r="D19" s="1"/>
      <c r="E19" s="1"/>
      <c r="F19" s="1"/>
      <c r="G19" s="1"/>
      <c r="H19" s="1"/>
    </row>
    <row r="20" spans="1:8" ht="13.8" thickTop="1" x14ac:dyDescent="0.25">
      <c r="B20" s="35" t="s">
        <v>121</v>
      </c>
      <c r="C20" s="46">
        <v>5000</v>
      </c>
      <c r="D20" s="51">
        <v>81128</v>
      </c>
      <c r="E20" s="51">
        <v>64425.945</v>
      </c>
      <c r="F20" s="51">
        <v>264851.94500000001</v>
      </c>
      <c r="G20" s="51">
        <v>382252.94500000001</v>
      </c>
      <c r="H20" s="51">
        <v>837471.88500000001</v>
      </c>
    </row>
    <row r="21" spans="1:8" ht="13.8" thickBot="1" x14ac:dyDescent="0.3">
      <c r="B21" s="36" t="s">
        <v>122</v>
      </c>
      <c r="C21" s="45">
        <f>C20+C13-C18</f>
        <v>81128</v>
      </c>
      <c r="D21" s="45">
        <f t="shared" ref="D21:H21" si="4">D20+D13-D18</f>
        <v>64425.945000000007</v>
      </c>
      <c r="E21" s="45">
        <f t="shared" si="4"/>
        <v>264851.94500000001</v>
      </c>
      <c r="F21" s="45">
        <f t="shared" si="4"/>
        <v>382252.94500000007</v>
      </c>
      <c r="G21" s="45">
        <f t="shared" si="4"/>
        <v>837471.88500000001</v>
      </c>
      <c r="H21" s="45">
        <f t="shared" si="4"/>
        <v>1732118.9913999997</v>
      </c>
    </row>
    <row r="22" spans="1:8" ht="13.8" thickTop="1" x14ac:dyDescent="0.25">
      <c r="D22" s="57"/>
      <c r="E22" s="57"/>
      <c r="F22" s="57"/>
      <c r="G22" s="57"/>
      <c r="H22" s="57"/>
    </row>
    <row r="23" spans="1:8" x14ac:dyDescent="0.25">
      <c r="D23" s="57"/>
      <c r="E23" s="57"/>
      <c r="F23" s="57"/>
      <c r="G23" s="57"/>
      <c r="H23" s="57"/>
    </row>
    <row r="25" spans="1:8" ht="12.75" customHeight="1" x14ac:dyDescent="0.25">
      <c r="B25" s="128" t="s">
        <v>161</v>
      </c>
      <c r="C25" s="128"/>
      <c r="D25" s="128"/>
      <c r="E25" s="128"/>
      <c r="F25" s="128"/>
      <c r="G25" s="128"/>
      <c r="H25" s="128"/>
    </row>
    <row r="26" spans="1:8" ht="18" customHeight="1" x14ac:dyDescent="0.25">
      <c r="B26" s="128"/>
      <c r="C26" s="128"/>
      <c r="D26" s="128"/>
      <c r="E26" s="128"/>
      <c r="F26" s="128"/>
      <c r="G26" s="128"/>
      <c r="H26" s="128"/>
    </row>
    <row r="28" spans="1:8" x14ac:dyDescent="0.25">
      <c r="A28" s="127" t="s">
        <v>123</v>
      </c>
      <c r="B28" s="127"/>
      <c r="C28" s="29" t="s">
        <v>124</v>
      </c>
      <c r="D28" s="29"/>
      <c r="E28" s="29"/>
      <c r="F28" s="30" t="s">
        <v>125</v>
      </c>
      <c r="G28" s="122" t="s">
        <v>126</v>
      </c>
      <c r="H28" s="123"/>
    </row>
    <row r="29" spans="1:8" x14ac:dyDescent="0.25">
      <c r="A29" s="30" t="s">
        <v>127</v>
      </c>
      <c r="B29" s="31" t="s">
        <v>128</v>
      </c>
      <c r="C29" s="30" t="s">
        <v>129</v>
      </c>
      <c r="D29" s="30" t="s">
        <v>130</v>
      </c>
      <c r="E29" s="30" t="s">
        <v>131</v>
      </c>
      <c r="F29" s="30" t="s">
        <v>132</v>
      </c>
      <c r="G29" s="124" t="s">
        <v>133</v>
      </c>
      <c r="H29" s="125"/>
    </row>
    <row r="30" spans="1:8" x14ac:dyDescent="0.25">
      <c r="A30" s="53" t="s">
        <v>134</v>
      </c>
      <c r="B30" s="18" t="s">
        <v>135</v>
      </c>
      <c r="C30" s="16">
        <v>16</v>
      </c>
      <c r="D30" s="16">
        <v>15</v>
      </c>
      <c r="E30" s="16">
        <v>18</v>
      </c>
      <c r="F30" s="16">
        <v>0</v>
      </c>
      <c r="G30" s="126">
        <f>AVERAGE(C30:E30)</f>
        <v>16.333333333333332</v>
      </c>
      <c r="H30" s="126"/>
    </row>
    <row r="31" spans="1:8" x14ac:dyDescent="0.25">
      <c r="A31" s="54" t="s">
        <v>136</v>
      </c>
      <c r="B31" s="6" t="s">
        <v>137</v>
      </c>
      <c r="C31" s="5">
        <v>15</v>
      </c>
      <c r="D31" s="5">
        <v>7</v>
      </c>
      <c r="E31" s="5">
        <v>16</v>
      </c>
      <c r="F31" s="5">
        <v>3</v>
      </c>
      <c r="G31" s="126">
        <f t="shared" ref="G31:G39" si="5">AVERAGE(C31:E31)</f>
        <v>12.666666666666666</v>
      </c>
      <c r="H31" s="126"/>
    </row>
    <row r="32" spans="1:8" x14ac:dyDescent="0.25">
      <c r="A32" s="53" t="s">
        <v>138</v>
      </c>
      <c r="B32" s="6" t="s">
        <v>139</v>
      </c>
      <c r="C32" s="5">
        <v>15</v>
      </c>
      <c r="D32" s="5">
        <v>12</v>
      </c>
      <c r="E32" s="5">
        <v>13</v>
      </c>
      <c r="F32" s="5">
        <v>4</v>
      </c>
      <c r="G32" s="126">
        <f t="shared" si="5"/>
        <v>13.333333333333334</v>
      </c>
      <c r="H32" s="126"/>
    </row>
    <row r="33" spans="1:11" x14ac:dyDescent="0.25">
      <c r="A33" s="54" t="s">
        <v>140</v>
      </c>
      <c r="B33" s="6" t="s">
        <v>141</v>
      </c>
      <c r="C33" s="5">
        <v>5</v>
      </c>
      <c r="D33" s="5">
        <v>4</v>
      </c>
      <c r="E33" s="5">
        <v>6</v>
      </c>
      <c r="F33" s="5">
        <v>2</v>
      </c>
      <c r="G33" s="126">
        <f t="shared" si="5"/>
        <v>5</v>
      </c>
      <c r="H33" s="126"/>
    </row>
    <row r="34" spans="1:11" x14ac:dyDescent="0.25">
      <c r="A34" s="53" t="s">
        <v>142</v>
      </c>
      <c r="B34" s="6" t="s">
        <v>143</v>
      </c>
      <c r="C34" s="5">
        <v>8</v>
      </c>
      <c r="D34" s="5">
        <v>14</v>
      </c>
      <c r="E34" s="5">
        <v>7</v>
      </c>
      <c r="F34" s="5">
        <v>3</v>
      </c>
      <c r="G34" s="126">
        <f t="shared" si="5"/>
        <v>9.6666666666666661</v>
      </c>
      <c r="H34" s="126"/>
    </row>
    <row r="35" spans="1:11" x14ac:dyDescent="0.25">
      <c r="A35" s="54" t="s">
        <v>144</v>
      </c>
      <c r="B35" s="6" t="s">
        <v>145</v>
      </c>
      <c r="C35" s="5">
        <v>18</v>
      </c>
      <c r="D35" s="5">
        <v>13</v>
      </c>
      <c r="E35" s="5">
        <v>18</v>
      </c>
      <c r="F35" s="5">
        <v>1</v>
      </c>
      <c r="G35" s="126">
        <f t="shared" si="5"/>
        <v>16.333333333333332</v>
      </c>
      <c r="H35" s="126"/>
    </row>
    <row r="36" spans="1:11" x14ac:dyDescent="0.25">
      <c r="A36" s="53" t="s">
        <v>146</v>
      </c>
      <c r="B36" s="6" t="s">
        <v>147</v>
      </c>
      <c r="C36" s="5">
        <v>9</v>
      </c>
      <c r="D36" s="5">
        <v>11</v>
      </c>
      <c r="E36" s="5">
        <v>12</v>
      </c>
      <c r="F36" s="5">
        <v>0</v>
      </c>
      <c r="G36" s="126">
        <f t="shared" si="5"/>
        <v>10.666666666666666</v>
      </c>
      <c r="H36" s="126"/>
    </row>
    <row r="37" spans="1:11" x14ac:dyDescent="0.25">
      <c r="A37" s="54" t="s">
        <v>148</v>
      </c>
      <c r="B37" s="6" t="s">
        <v>149</v>
      </c>
      <c r="C37" s="5">
        <v>14</v>
      </c>
      <c r="D37" s="5">
        <v>20</v>
      </c>
      <c r="E37" s="5">
        <v>17</v>
      </c>
      <c r="F37" s="5">
        <v>2</v>
      </c>
      <c r="G37" s="126">
        <f t="shared" si="5"/>
        <v>17</v>
      </c>
      <c r="H37" s="126"/>
    </row>
    <row r="38" spans="1:11" x14ac:dyDescent="0.25">
      <c r="A38" s="53" t="s">
        <v>150</v>
      </c>
      <c r="B38" s="6" t="s">
        <v>151</v>
      </c>
      <c r="C38" s="5">
        <v>6</v>
      </c>
      <c r="D38" s="5">
        <v>5</v>
      </c>
      <c r="E38" s="5">
        <v>16</v>
      </c>
      <c r="F38" s="5">
        <v>5</v>
      </c>
      <c r="G38" s="126">
        <f t="shared" si="5"/>
        <v>9</v>
      </c>
      <c r="H38" s="126"/>
    </row>
    <row r="39" spans="1:11" ht="13.8" thickBot="1" x14ac:dyDescent="0.3">
      <c r="A39" s="54" t="s">
        <v>152</v>
      </c>
      <c r="B39" s="24" t="s">
        <v>153</v>
      </c>
      <c r="C39" s="52">
        <v>10</v>
      </c>
      <c r="D39" s="52">
        <v>8</v>
      </c>
      <c r="E39" s="52">
        <v>12</v>
      </c>
      <c r="F39" s="52">
        <v>0</v>
      </c>
      <c r="G39" s="126">
        <f t="shared" si="5"/>
        <v>10</v>
      </c>
      <c r="H39" s="126"/>
    </row>
    <row r="40" spans="1:11" ht="14.4" thickTop="1" thickBot="1" x14ac:dyDescent="0.3">
      <c r="K40" s="94"/>
    </row>
    <row r="41" spans="1:11" ht="14.4" thickTop="1" thickBot="1" x14ac:dyDescent="0.3">
      <c r="F41" s="120" t="s">
        <v>154</v>
      </c>
      <c r="G41" s="121"/>
      <c r="H41" s="28">
        <f>MAX(C30:E39)</f>
        <v>20</v>
      </c>
    </row>
    <row r="42" spans="1:11" ht="14.4" thickTop="1" thickBot="1" x14ac:dyDescent="0.3">
      <c r="F42" s="120" t="s">
        <v>155</v>
      </c>
      <c r="G42" s="121"/>
      <c r="H42" s="28">
        <f>MIN(C30:E39)</f>
        <v>4</v>
      </c>
    </row>
    <row r="43" spans="1:11" ht="14.4" thickTop="1" thickBot="1" x14ac:dyDescent="0.3">
      <c r="F43" s="120" t="s">
        <v>156</v>
      </c>
      <c r="G43" s="121"/>
      <c r="H43" s="28">
        <f>AVERAGE(C30:E39)</f>
        <v>12</v>
      </c>
    </row>
    <row r="44" spans="1:11" ht="13.8" thickTop="1" x14ac:dyDescent="0.25"/>
    <row r="48" spans="1:11" ht="27" customHeight="1" x14ac:dyDescent="0.25"/>
  </sheetData>
  <mergeCells count="18">
    <mergeCell ref="A28:B28"/>
    <mergeCell ref="B2:H2"/>
    <mergeCell ref="B25:H26"/>
    <mergeCell ref="F41:G41"/>
    <mergeCell ref="F42:G42"/>
    <mergeCell ref="G38:H38"/>
    <mergeCell ref="G39:H39"/>
    <mergeCell ref="G31:H31"/>
    <mergeCell ref="G32:H32"/>
    <mergeCell ref="G33:H33"/>
    <mergeCell ref="G34:H34"/>
    <mergeCell ref="G35:H35"/>
    <mergeCell ref="G36:H36"/>
    <mergeCell ref="F43:G43"/>
    <mergeCell ref="G28:H28"/>
    <mergeCell ref="G29:H29"/>
    <mergeCell ref="G30:H30"/>
    <mergeCell ref="G37:H37"/>
  </mergeCells>
  <conditionalFormatting sqref="H42">
    <cfRule type="cellIs" dxfId="1" priority="1" stopIfTrue="1" operator="greaterThanOrEqual">
      <formula>10.5</formula>
    </cfRule>
    <cfRule type="cellIs" dxfId="0" priority="2" stopIfTrue="1" operator="lessThan">
      <formula>10.5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Prueba 01</vt:lpstr>
      <vt:lpstr>Prueba 02</vt:lpstr>
      <vt:lpstr>Prueba 03</vt:lpstr>
      <vt:lpstr>Prueba 04</vt:lpstr>
    </vt:vector>
  </TitlesOfParts>
  <Company>Familiar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Ysabel Peralta</dc:creator>
  <cp:lastModifiedBy>Nik Denilson Ramirez Bautista</cp:lastModifiedBy>
  <cp:lastPrinted>2005-06-05T19:30:46Z</cp:lastPrinted>
  <dcterms:created xsi:type="dcterms:W3CDTF">2005-06-05T19:00:27Z</dcterms:created>
  <dcterms:modified xsi:type="dcterms:W3CDTF">2025-12-25T12:08:28Z</dcterms:modified>
</cp:coreProperties>
</file>