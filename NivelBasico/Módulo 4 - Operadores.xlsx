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B933F415-5207-4BC8-892C-FB2A5CEABB6B}" xr6:coauthVersionLast="47" xr6:coauthVersionMax="47" xr10:uidLastSave="{00000000-0000-0000-0000-000000000000}"/>
  <bookViews>
    <workbookView xWindow="-108" yWindow="-108" windowWidth="23256" windowHeight="12456" tabRatio="854" firstSheet="1" activeTab="11" xr2:uid="{00000000-000D-0000-FFFF-FFFF00000000}"/>
  </bookViews>
  <sheets>
    <sheet name="Principal" sheetId="43" r:id="rId1"/>
    <sheet name="Multiplicación" sheetId="65" r:id="rId2"/>
    <sheet name="División" sheetId="66" r:id="rId3"/>
    <sheet name="Porcentaje" sheetId="67" r:id="rId4"/>
    <sheet name="Potencia" sheetId="68" r:id="rId5"/>
    <sheet name="Mayor que" sheetId="58" r:id="rId6"/>
    <sheet name="Menor que" sheetId="59" r:id="rId7"/>
    <sheet name="Mayor e Igual que" sheetId="60" r:id="rId8"/>
    <sheet name="Menor e Igual que" sheetId="70" r:id="rId9"/>
    <sheet name="Igualdad" sheetId="61" r:id="rId10"/>
    <sheet name="Diferente de" sheetId="62" r:id="rId11"/>
    <sheet name="Concatenar" sheetId="6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63" l="1"/>
  <c r="H21" i="63"/>
  <c r="H22" i="63"/>
  <c r="H23" i="63"/>
  <c r="H19" i="63"/>
  <c r="G10" i="63"/>
  <c r="G11" i="63"/>
  <c r="G12" i="63"/>
  <c r="G13" i="63"/>
  <c r="G9" i="63"/>
  <c r="I45" i="62"/>
  <c r="K28" i="62"/>
  <c r="K30" i="62"/>
  <c r="K26" i="62"/>
  <c r="I16" i="62"/>
  <c r="I45" i="61"/>
  <c r="K28" i="61"/>
  <c r="K30" i="61"/>
  <c r="K26" i="61"/>
  <c r="I16" i="61"/>
  <c r="I45" i="70"/>
  <c r="K28" i="70"/>
  <c r="K30" i="70"/>
  <c r="K26" i="70"/>
  <c r="I16" i="70"/>
  <c r="I45" i="60"/>
  <c r="K30" i="60"/>
  <c r="K28" i="60"/>
  <c r="K26" i="60"/>
  <c r="I16" i="60"/>
  <c r="I45" i="59"/>
  <c r="K28" i="59"/>
  <c r="K30" i="59"/>
  <c r="K26" i="59"/>
  <c r="I16" i="59"/>
  <c r="J45" i="58"/>
  <c r="I45" i="58"/>
  <c r="K30" i="58"/>
  <c r="K26" i="58"/>
  <c r="I16" i="58"/>
  <c r="I42" i="68"/>
  <c r="I22" i="68"/>
  <c r="I16" i="67"/>
  <c r="I89" i="67"/>
  <c r="I85" i="67"/>
  <c r="I71" i="67"/>
  <c r="I67" i="67"/>
  <c r="I52" i="67"/>
  <c r="I48" i="67"/>
  <c r="I33" i="67"/>
  <c r="I30" i="67"/>
  <c r="I42" i="66"/>
  <c r="I23" i="66"/>
  <c r="I59" i="65"/>
  <c r="I40" i="65"/>
  <c r="I22" i="65"/>
  <c r="K28" i="58"/>
</calcChain>
</file>

<file path=xl/sharedStrings.xml><?xml version="1.0" encoding="utf-8"?>
<sst xmlns="http://schemas.openxmlformats.org/spreadsheetml/2006/main" count="296" uniqueCount="160">
  <si>
    <t>P</t>
  </si>
  <si>
    <t>i</t>
  </si>
  <si>
    <t>n</t>
  </si>
  <si>
    <t>S</t>
  </si>
  <si>
    <t>D</t>
  </si>
  <si>
    <t>VA</t>
  </si>
  <si>
    <t>t</t>
  </si>
  <si>
    <t>VF</t>
  </si>
  <si>
    <t>d</t>
  </si>
  <si>
    <t>Ejemplo 1</t>
  </si>
  <si>
    <t>Fórmula</t>
  </si>
  <si>
    <t>División</t>
  </si>
  <si>
    <t>Porcentajes</t>
  </si>
  <si>
    <t>Mayor que</t>
  </si>
  <si>
    <t>Menor que</t>
  </si>
  <si>
    <t>Igualdad</t>
  </si>
  <si>
    <t>Diferente de</t>
  </si>
  <si>
    <t>Mayor igual que</t>
  </si>
  <si>
    <t>Menor igual que</t>
  </si>
  <si>
    <t>Ejemplo 1:</t>
  </si>
  <si>
    <t>Ejemplo 2</t>
  </si>
  <si>
    <t>Ejemplo 3</t>
  </si>
  <si>
    <t>Ejemplo 4</t>
  </si>
  <si>
    <t>Ejemplo 5</t>
  </si>
  <si>
    <t>VV</t>
  </si>
  <si>
    <t>Total Alumnos</t>
  </si>
  <si>
    <t>Alumnos de Viaje</t>
  </si>
  <si>
    <t>Porcentaje</t>
  </si>
  <si>
    <t>Precio</t>
  </si>
  <si>
    <t>Total a Pagar</t>
  </si>
  <si>
    <t>Descuento(7.5%)</t>
  </si>
  <si>
    <t>IGV</t>
  </si>
  <si>
    <t>IGV(18%)</t>
  </si>
  <si>
    <t>Precio de costo</t>
  </si>
  <si>
    <t>Ganacia</t>
  </si>
  <si>
    <t>Precio de Venta</t>
  </si>
  <si>
    <t>Precio de Costo</t>
  </si>
  <si>
    <t>Descuento</t>
  </si>
  <si>
    <t>CI</t>
  </si>
  <si>
    <t>OPERADORES ARITMÉTICOS</t>
  </si>
  <si>
    <t>OPERADORES DE COMPARACIÓN</t>
  </si>
  <si>
    <t>Potencia</t>
  </si>
  <si>
    <t>OPERADORES DE TEXTO</t>
  </si>
  <si>
    <t>Concatenar</t>
  </si>
  <si>
    <t>Importe 1</t>
  </si>
  <si>
    <t>Importe 2</t>
  </si>
  <si>
    <t>Resultado</t>
  </si>
  <si>
    <t>Valor 1</t>
  </si>
  <si>
    <t>Valor 2</t>
  </si>
  <si>
    <t>Comparación</t>
  </si>
  <si>
    <t>Segundo Número</t>
  </si>
  <si>
    <t>Primer Número</t>
  </si>
  <si>
    <t>Nombres</t>
  </si>
  <si>
    <t>Apellidos</t>
  </si>
  <si>
    <t>Tania</t>
  </si>
  <si>
    <t>Becerra</t>
  </si>
  <si>
    <t>Rosa</t>
  </si>
  <si>
    <t>Mendoza</t>
  </si>
  <si>
    <t>Hilda</t>
  </si>
  <si>
    <t>Monago</t>
  </si>
  <si>
    <t>Patricia</t>
  </si>
  <si>
    <t>Alvarado</t>
  </si>
  <si>
    <t>Janet</t>
  </si>
  <si>
    <t>Caceres</t>
  </si>
  <si>
    <t>Nombre</t>
  </si>
  <si>
    <t>Apellido Paterno</t>
  </si>
  <si>
    <t>Apellido Materno</t>
  </si>
  <si>
    <t>Cruzado</t>
  </si>
  <si>
    <t>Pereyra</t>
  </si>
  <si>
    <t>Robles</t>
  </si>
  <si>
    <t>Tirado</t>
  </si>
  <si>
    <t>Dávila</t>
  </si>
  <si>
    <t>Ejercicios:</t>
  </si>
  <si>
    <t>Ejemplo 2:</t>
  </si>
  <si>
    <t>Operadores Aritméticos</t>
  </si>
  <si>
    <t>Operadores de Comparación</t>
  </si>
  <si>
    <t>Operadores de Texto</t>
  </si>
  <si>
    <t>Multiplicación</t>
  </si>
  <si>
    <r>
      <t xml:space="preserve">Calcular el </t>
    </r>
    <r>
      <rPr>
        <b/>
        <sz val="12"/>
        <color theme="1"/>
        <rFont val="Arial Unicode MS"/>
        <family val="2"/>
      </rPr>
      <t>Monto (S)</t>
    </r>
    <r>
      <rPr>
        <sz val="12"/>
        <color theme="1"/>
        <rFont val="Arial Unicode MS"/>
        <family val="2"/>
      </rPr>
      <t>, dada por la siguiente Fórmula:</t>
    </r>
  </si>
  <si>
    <r>
      <t>Calcular el siguiente</t>
    </r>
    <r>
      <rPr>
        <b/>
        <sz val="12"/>
        <color theme="1"/>
        <rFont val="Arial Unicode MS"/>
        <family val="2"/>
      </rPr>
      <t xml:space="preserve"> aumento porcentual</t>
    </r>
  </si>
  <si>
    <r>
      <t xml:space="preserve">Calcular el siguiente </t>
    </r>
    <r>
      <rPr>
        <b/>
        <sz val="12"/>
        <color theme="1"/>
        <rFont val="Arial Unicode MS"/>
        <family val="2"/>
      </rPr>
      <t>Disminución porcentual</t>
    </r>
  </si>
  <si>
    <r>
      <t xml:space="preserve">Desarrollar los </t>
    </r>
    <r>
      <rPr>
        <b/>
        <sz val="12"/>
        <color theme="1"/>
        <rFont val="Arial Unicode MS"/>
        <family val="2"/>
      </rPr>
      <t>Siguientes Ejemplos:</t>
    </r>
  </si>
  <si>
    <r>
      <t xml:space="preserve">Calcular el </t>
    </r>
    <r>
      <rPr>
        <b/>
        <sz val="10"/>
        <color theme="1"/>
        <rFont val="Arial Unicode MS"/>
        <family val="2"/>
      </rPr>
      <t>Descuento de un Pagare (D)</t>
    </r>
    <r>
      <rPr>
        <sz val="10"/>
        <color theme="1"/>
        <rFont val="Arial Unicode MS"/>
        <family val="2"/>
      </rPr>
      <t>, dada por la siguiente Fórmula:</t>
    </r>
  </si>
  <si>
    <r>
      <t xml:space="preserve">Calcular el Precio de Costo </t>
    </r>
    <r>
      <rPr>
        <b/>
        <sz val="12"/>
        <color theme="1"/>
        <rFont val="Arial Unicode MS"/>
        <family val="2"/>
      </rPr>
      <t>(PC)</t>
    </r>
    <r>
      <rPr>
        <sz val="12"/>
        <color theme="1"/>
        <rFont val="Arial Unicode MS"/>
        <family val="2"/>
      </rPr>
      <t>, dada por la siguiente Fórmula:</t>
    </r>
  </si>
  <si>
    <r>
      <t xml:space="preserve">De los </t>
    </r>
    <r>
      <rPr>
        <b/>
        <sz val="12"/>
        <color theme="1"/>
        <rFont val="Arial Unicode MS"/>
        <family val="2"/>
      </rPr>
      <t xml:space="preserve">800 alumnos </t>
    </r>
    <r>
      <rPr>
        <sz val="12"/>
        <color theme="1"/>
        <rFont val="Arial Unicode MS"/>
        <family val="2"/>
      </rPr>
      <t xml:space="preserve">de un colegio, han </t>
    </r>
    <r>
      <rPr>
        <b/>
        <sz val="12"/>
        <color theme="1"/>
        <rFont val="Arial Unicode MS"/>
        <family val="2"/>
      </rPr>
      <t>ido de viaje 600</t>
    </r>
    <r>
      <rPr>
        <sz val="12"/>
        <color theme="1"/>
        <rFont val="Arial Unicode MS"/>
        <family val="2"/>
      </rPr>
      <t>. ¿Qué</t>
    </r>
    <r>
      <rPr>
        <b/>
        <sz val="12"/>
        <color theme="1"/>
        <rFont val="Arial Unicode MS"/>
        <family val="2"/>
      </rPr>
      <t xml:space="preserve"> porcentaje de alumnos </t>
    </r>
    <r>
      <rPr>
        <sz val="12"/>
        <color theme="1"/>
        <rFont val="Arial Unicode MS"/>
        <family val="2"/>
      </rPr>
      <t>ha ido de viaje?</t>
    </r>
  </si>
  <si>
    <r>
      <t>Al adquirir un vehículo cuyo precio es de</t>
    </r>
    <r>
      <rPr>
        <b/>
        <sz val="12"/>
        <color theme="1"/>
        <rFont val="Arial Unicode MS"/>
        <family val="2"/>
      </rPr>
      <t xml:space="preserve"> S/. 88000</t>
    </r>
    <r>
      <rPr>
        <sz val="12"/>
        <color theme="1"/>
        <rFont val="Arial Unicode MS"/>
        <family val="2"/>
      </rPr>
      <t xml:space="preserve"> , nos hacen un descuento del </t>
    </r>
    <r>
      <rPr>
        <b/>
        <sz val="12"/>
        <color theme="1"/>
        <rFont val="Arial Unicode MS"/>
        <family val="2"/>
      </rPr>
      <t>7.5%.</t>
    </r>
    <r>
      <rPr>
        <sz val="12"/>
        <color theme="1"/>
        <rFont val="Arial Unicode MS"/>
        <family val="2"/>
      </rPr>
      <t xml:space="preserve"> ¿</t>
    </r>
    <r>
      <rPr>
        <b/>
        <sz val="12"/>
        <color theme="1"/>
        <rFont val="Arial Unicode MS"/>
        <family val="2"/>
      </rPr>
      <t>Cuánto hay que pagar por el vehículo</t>
    </r>
    <r>
      <rPr>
        <sz val="12"/>
        <color theme="1"/>
        <rFont val="Arial Unicode MS"/>
        <family val="2"/>
      </rPr>
      <t>?</t>
    </r>
  </si>
  <si>
    <r>
      <t xml:space="preserve">El precio de un ordenador es de </t>
    </r>
    <r>
      <rPr>
        <b/>
        <sz val="12"/>
        <color theme="1"/>
        <rFont val="Arial Unicode MS"/>
        <family val="2"/>
      </rPr>
      <t>S/. 1800</t>
    </r>
    <r>
      <rPr>
        <sz val="12"/>
        <color theme="1"/>
        <rFont val="Arial Unicode MS"/>
        <family val="2"/>
      </rPr>
      <t xml:space="preserve">  </t>
    </r>
    <r>
      <rPr>
        <b/>
        <sz val="12"/>
        <color theme="1"/>
        <rFont val="Arial Unicode MS"/>
        <family val="2"/>
      </rPr>
      <t>sin IGV</t>
    </r>
    <r>
      <rPr>
        <sz val="12"/>
        <color theme="1"/>
        <rFont val="Arial Unicode MS"/>
        <family val="2"/>
      </rPr>
      <t>. ¿Cuánto hay que pagar por él si el</t>
    </r>
    <r>
      <rPr>
        <b/>
        <sz val="12"/>
        <color theme="1"/>
        <rFont val="Arial Unicode MS"/>
        <family val="2"/>
      </rPr>
      <t xml:space="preserve"> IGV es del 18%</t>
    </r>
    <r>
      <rPr>
        <sz val="12"/>
        <color theme="1"/>
        <rFont val="Arial Unicode MS"/>
        <family val="2"/>
      </rPr>
      <t>?</t>
    </r>
  </si>
  <si>
    <r>
      <t xml:space="preserve">Cuál será el </t>
    </r>
    <r>
      <rPr>
        <b/>
        <sz val="12"/>
        <color theme="1"/>
        <rFont val="Arial Unicode MS"/>
        <family val="2"/>
      </rPr>
      <t>precio de venta</t>
    </r>
    <r>
      <rPr>
        <sz val="12"/>
        <color theme="1"/>
        <rFont val="Arial Unicode MS"/>
        <family val="2"/>
      </rPr>
      <t xml:space="preserve"> que pedire por un artículo que me </t>
    </r>
    <r>
      <rPr>
        <b/>
        <sz val="12"/>
        <color theme="1"/>
        <rFont val="Arial Unicode MS"/>
        <family val="2"/>
      </rPr>
      <t>costó S/.  180.00</t>
    </r>
    <r>
      <rPr>
        <sz val="12"/>
        <color theme="1"/>
        <rFont val="Arial Unicode MS"/>
        <family val="2"/>
      </rPr>
      <t xml:space="preserve"> para luego al venderlo</t>
    </r>
    <r>
      <rPr>
        <b/>
        <sz val="12"/>
        <color theme="1"/>
        <rFont val="Arial Unicode MS"/>
        <family val="2"/>
      </rPr>
      <t xml:space="preserve"> y ganar el 10%.</t>
    </r>
  </si>
  <si>
    <r>
      <t xml:space="preserve">Una camiseta costaba </t>
    </r>
    <r>
      <rPr>
        <b/>
        <sz val="12"/>
        <color theme="1"/>
        <rFont val="Arial Unicode MS"/>
        <family val="2"/>
      </rPr>
      <t xml:space="preserve">S/. 85.00 </t>
    </r>
    <r>
      <rPr>
        <sz val="12"/>
        <color theme="1"/>
        <rFont val="Arial Unicode MS"/>
        <family val="2"/>
      </rPr>
      <t xml:space="preserve">y en temporada de rebajas se </t>
    </r>
    <r>
      <rPr>
        <b/>
        <sz val="12"/>
        <color theme="1"/>
        <rFont val="Arial Unicode MS"/>
        <family val="2"/>
      </rPr>
      <t>vende a S/. 54.00</t>
    </r>
    <r>
      <rPr>
        <sz val="12"/>
        <color theme="1"/>
        <rFont val="Arial Unicode MS"/>
        <family val="2"/>
      </rPr>
      <t>, ¿</t>
    </r>
    <r>
      <rPr>
        <b/>
        <sz val="12"/>
        <color theme="1"/>
        <rFont val="Arial Unicode MS"/>
        <family val="2"/>
      </rPr>
      <t xml:space="preserve">qué % de descuento </t>
    </r>
    <r>
      <rPr>
        <sz val="12"/>
        <color theme="1"/>
        <rFont val="Arial Unicode MS"/>
        <family val="2"/>
      </rPr>
      <t>se ha aplicado sobre el precio anterior?.</t>
    </r>
  </si>
  <si>
    <r>
      <t xml:space="preserve">Calcular el </t>
    </r>
    <r>
      <rPr>
        <b/>
        <sz val="12"/>
        <color theme="1"/>
        <rFont val="Arial Unicode MS"/>
        <family val="2"/>
      </rPr>
      <t>Valor Futuro (VF)</t>
    </r>
    <r>
      <rPr>
        <sz val="12"/>
        <color theme="1"/>
        <rFont val="Arial Unicode MS"/>
        <family val="2"/>
      </rPr>
      <t>, dada por la siguiente Fórmula:</t>
    </r>
  </si>
  <si>
    <r>
      <t xml:space="preserve">Calcular el </t>
    </r>
    <r>
      <rPr>
        <b/>
        <sz val="12"/>
        <color theme="1"/>
        <rFont val="Arial Unicode MS"/>
        <family val="2"/>
      </rPr>
      <t xml:space="preserve">Valor Actual (VA), </t>
    </r>
    <r>
      <rPr>
        <sz val="12"/>
        <color theme="1"/>
        <rFont val="Arial Unicode MS"/>
        <family val="2"/>
      </rPr>
      <t>dada por la siguiente Fórmula:</t>
    </r>
  </si>
  <si>
    <r>
      <t xml:space="preserve">Utilizando operadores de Comparación Desarrollar los </t>
    </r>
    <r>
      <rPr>
        <b/>
        <sz val="12"/>
        <color theme="1"/>
        <rFont val="Arial Unicode MS"/>
        <family val="2"/>
      </rPr>
      <t>Siguientes Ejemplos:</t>
    </r>
  </si>
  <si>
    <r>
      <t xml:space="preserve">Determinar si el </t>
    </r>
    <r>
      <rPr>
        <b/>
        <sz val="12"/>
        <color theme="1"/>
        <rFont val="Arial Unicode MS"/>
        <family val="2"/>
      </rPr>
      <t>Importe 1</t>
    </r>
    <r>
      <rPr>
        <sz val="12"/>
        <color theme="1"/>
        <rFont val="Arial Unicode MS"/>
        <family val="2"/>
      </rPr>
      <t xml:space="preserve"> es Mayor que el</t>
    </r>
    <r>
      <rPr>
        <b/>
        <sz val="12"/>
        <color theme="1"/>
        <rFont val="Arial Unicode MS"/>
        <family val="2"/>
      </rPr>
      <t xml:space="preserve"> importe 2</t>
    </r>
  </si>
  <si>
    <r>
      <t xml:space="preserve">Comparar si el </t>
    </r>
    <r>
      <rPr>
        <b/>
        <sz val="12"/>
        <color theme="1"/>
        <rFont val="Arial Unicode MS"/>
        <family val="2"/>
      </rPr>
      <t>valor 1</t>
    </r>
    <r>
      <rPr>
        <sz val="12"/>
        <color theme="1"/>
        <rFont val="Arial Unicode MS"/>
        <family val="2"/>
      </rPr>
      <t xml:space="preserve"> es Mayor que el</t>
    </r>
    <r>
      <rPr>
        <b/>
        <sz val="12"/>
        <color theme="1"/>
        <rFont val="Arial Unicode MS"/>
        <family val="2"/>
      </rPr>
      <t xml:space="preserve"> valor 2</t>
    </r>
  </si>
  <si>
    <r>
      <t xml:space="preserve">Comparar si el </t>
    </r>
    <r>
      <rPr>
        <b/>
        <sz val="12"/>
        <color theme="1"/>
        <rFont val="Arial Unicode MS"/>
        <family val="2"/>
      </rPr>
      <t>segundo numero</t>
    </r>
    <r>
      <rPr>
        <sz val="12"/>
        <color theme="1"/>
        <rFont val="Arial Unicode MS"/>
        <family val="2"/>
      </rPr>
      <t xml:space="preserve"> es mayor que el </t>
    </r>
    <r>
      <rPr>
        <b/>
        <sz val="12"/>
        <color theme="1"/>
        <rFont val="Arial Unicode MS"/>
        <family val="2"/>
      </rPr>
      <t>primer numero:</t>
    </r>
  </si>
  <si>
    <r>
      <t xml:space="preserve">Determinar si el </t>
    </r>
    <r>
      <rPr>
        <b/>
        <sz val="12"/>
        <color theme="1"/>
        <rFont val="Arial Unicode MS"/>
        <family val="2"/>
      </rPr>
      <t>Importe 1</t>
    </r>
    <r>
      <rPr>
        <sz val="12"/>
        <color theme="1"/>
        <rFont val="Arial Unicode MS"/>
        <family val="2"/>
      </rPr>
      <t xml:space="preserve"> es Menor que el</t>
    </r>
    <r>
      <rPr>
        <b/>
        <sz val="12"/>
        <color theme="1"/>
        <rFont val="Arial Unicode MS"/>
        <family val="2"/>
      </rPr>
      <t xml:space="preserve"> importe 2</t>
    </r>
  </si>
  <si>
    <r>
      <t xml:space="preserve">Comparar si el </t>
    </r>
    <r>
      <rPr>
        <b/>
        <sz val="12"/>
        <color theme="1"/>
        <rFont val="Arial Unicode MS"/>
        <family val="2"/>
      </rPr>
      <t>valor 1</t>
    </r>
    <r>
      <rPr>
        <sz val="12"/>
        <color theme="1"/>
        <rFont val="Arial Unicode MS"/>
        <family val="2"/>
      </rPr>
      <t xml:space="preserve"> es Menor que el</t>
    </r>
    <r>
      <rPr>
        <b/>
        <sz val="12"/>
        <color theme="1"/>
        <rFont val="Arial Unicode MS"/>
        <family val="2"/>
      </rPr>
      <t xml:space="preserve"> valor 2</t>
    </r>
  </si>
  <si>
    <r>
      <t xml:space="preserve">Comparar si el </t>
    </r>
    <r>
      <rPr>
        <b/>
        <sz val="12"/>
        <color theme="1"/>
        <rFont val="Arial Unicode MS"/>
        <family val="2"/>
      </rPr>
      <t>segundo numero</t>
    </r>
    <r>
      <rPr>
        <sz val="12"/>
        <color theme="1"/>
        <rFont val="Arial Unicode MS"/>
        <family val="2"/>
      </rPr>
      <t xml:space="preserve"> es menor que el </t>
    </r>
    <r>
      <rPr>
        <b/>
        <sz val="12"/>
        <color theme="1"/>
        <rFont val="Arial Unicode MS"/>
        <family val="2"/>
      </rPr>
      <t>primer numero:</t>
    </r>
  </si>
  <si>
    <r>
      <t xml:space="preserve">Determinar si el </t>
    </r>
    <r>
      <rPr>
        <b/>
        <sz val="12"/>
        <color theme="1"/>
        <rFont val="Arial Unicode MS"/>
        <family val="2"/>
      </rPr>
      <t>Importe 1</t>
    </r>
    <r>
      <rPr>
        <sz val="12"/>
        <color theme="1"/>
        <rFont val="Arial Unicode MS"/>
        <family val="2"/>
      </rPr>
      <t xml:space="preserve"> es Mayor e igual que el</t>
    </r>
    <r>
      <rPr>
        <b/>
        <sz val="12"/>
        <color theme="1"/>
        <rFont val="Arial Unicode MS"/>
        <family val="2"/>
      </rPr>
      <t xml:space="preserve"> importe 2</t>
    </r>
  </si>
  <si>
    <r>
      <t xml:space="preserve">Comparar si el </t>
    </r>
    <r>
      <rPr>
        <b/>
        <sz val="12"/>
        <color theme="1"/>
        <rFont val="Arial Unicode MS"/>
        <family val="2"/>
      </rPr>
      <t>valor 1</t>
    </r>
    <r>
      <rPr>
        <sz val="12"/>
        <color theme="1"/>
        <rFont val="Arial Unicode MS"/>
        <family val="2"/>
      </rPr>
      <t xml:space="preserve"> es Mayor e igual que el</t>
    </r>
    <r>
      <rPr>
        <b/>
        <sz val="12"/>
        <color theme="1"/>
        <rFont val="Arial Unicode MS"/>
        <family val="2"/>
      </rPr>
      <t xml:space="preserve"> valor 2</t>
    </r>
  </si>
  <si>
    <r>
      <t xml:space="preserve">Comparar si el </t>
    </r>
    <r>
      <rPr>
        <b/>
        <sz val="12"/>
        <color theme="1"/>
        <rFont val="Arial Unicode MS"/>
        <family val="2"/>
      </rPr>
      <t>segundo numero</t>
    </r>
    <r>
      <rPr>
        <sz val="12"/>
        <color theme="1"/>
        <rFont val="Arial Unicode MS"/>
        <family val="2"/>
      </rPr>
      <t xml:space="preserve"> es mayor e igual que el </t>
    </r>
    <r>
      <rPr>
        <b/>
        <sz val="12"/>
        <color theme="1"/>
        <rFont val="Arial Unicode MS"/>
        <family val="2"/>
      </rPr>
      <t>primer numero:</t>
    </r>
  </si>
  <si>
    <r>
      <t xml:space="preserve">Determinar si el </t>
    </r>
    <r>
      <rPr>
        <b/>
        <sz val="12"/>
        <color theme="1"/>
        <rFont val="Arial Unicode MS"/>
        <family val="2"/>
      </rPr>
      <t>Importe 1</t>
    </r>
    <r>
      <rPr>
        <sz val="12"/>
        <color theme="1"/>
        <rFont val="Arial Unicode MS"/>
        <family val="2"/>
      </rPr>
      <t xml:space="preserve"> es Menor e igual que el</t>
    </r>
    <r>
      <rPr>
        <b/>
        <sz val="12"/>
        <color theme="1"/>
        <rFont val="Arial Unicode MS"/>
        <family val="2"/>
      </rPr>
      <t xml:space="preserve"> importe 2</t>
    </r>
  </si>
  <si>
    <r>
      <t xml:space="preserve">Comparar si el </t>
    </r>
    <r>
      <rPr>
        <b/>
        <sz val="12"/>
        <color theme="1"/>
        <rFont val="Arial Unicode MS"/>
        <family val="2"/>
      </rPr>
      <t>valor 1</t>
    </r>
    <r>
      <rPr>
        <sz val="12"/>
        <color theme="1"/>
        <rFont val="Arial Unicode MS"/>
        <family val="2"/>
      </rPr>
      <t xml:space="preserve"> es Menor e igual que el</t>
    </r>
    <r>
      <rPr>
        <b/>
        <sz val="12"/>
        <color theme="1"/>
        <rFont val="Arial Unicode MS"/>
        <family val="2"/>
      </rPr>
      <t xml:space="preserve"> valor 2</t>
    </r>
  </si>
  <si>
    <r>
      <t xml:space="preserve">Comparar si el </t>
    </r>
    <r>
      <rPr>
        <b/>
        <sz val="12"/>
        <color theme="1"/>
        <rFont val="Arial Unicode MS"/>
        <family val="2"/>
      </rPr>
      <t>segundo numero</t>
    </r>
    <r>
      <rPr>
        <sz val="12"/>
        <color theme="1"/>
        <rFont val="Arial Unicode MS"/>
        <family val="2"/>
      </rPr>
      <t xml:space="preserve"> es Menor e igual que el </t>
    </r>
    <r>
      <rPr>
        <b/>
        <sz val="12"/>
        <color theme="1"/>
        <rFont val="Arial Unicode MS"/>
        <family val="2"/>
      </rPr>
      <t>primer numero:</t>
    </r>
  </si>
  <si>
    <r>
      <t xml:space="preserve">Determinar si el </t>
    </r>
    <r>
      <rPr>
        <b/>
        <sz val="12"/>
        <color theme="1"/>
        <rFont val="Arial Unicode MS"/>
        <family val="2"/>
      </rPr>
      <t>Importe 1</t>
    </r>
    <r>
      <rPr>
        <sz val="12"/>
        <color theme="1"/>
        <rFont val="Arial Unicode MS"/>
        <family val="2"/>
      </rPr>
      <t xml:space="preserve"> es  igual que el</t>
    </r>
    <r>
      <rPr>
        <b/>
        <sz val="12"/>
        <color theme="1"/>
        <rFont val="Arial Unicode MS"/>
        <family val="2"/>
      </rPr>
      <t xml:space="preserve"> importe 2</t>
    </r>
  </si>
  <si>
    <r>
      <t xml:space="preserve">Comparar si el </t>
    </r>
    <r>
      <rPr>
        <b/>
        <sz val="12"/>
        <color theme="1"/>
        <rFont val="Arial Unicode MS"/>
        <family val="2"/>
      </rPr>
      <t>valor 1</t>
    </r>
    <r>
      <rPr>
        <sz val="12"/>
        <color theme="1"/>
        <rFont val="Arial Unicode MS"/>
        <family val="2"/>
      </rPr>
      <t xml:space="preserve"> es igual que el</t>
    </r>
    <r>
      <rPr>
        <b/>
        <sz val="12"/>
        <color theme="1"/>
        <rFont val="Arial Unicode MS"/>
        <family val="2"/>
      </rPr>
      <t xml:space="preserve"> valor 2</t>
    </r>
  </si>
  <si>
    <r>
      <t xml:space="preserve">Comparar si el </t>
    </r>
    <r>
      <rPr>
        <b/>
        <sz val="12"/>
        <color theme="1"/>
        <rFont val="Arial Unicode MS"/>
        <family val="2"/>
      </rPr>
      <t>segundo numero</t>
    </r>
    <r>
      <rPr>
        <sz val="12"/>
        <color theme="1"/>
        <rFont val="Arial Unicode MS"/>
        <family val="2"/>
      </rPr>
      <t xml:space="preserve"> es igual que el </t>
    </r>
    <r>
      <rPr>
        <b/>
        <sz val="12"/>
        <color theme="1"/>
        <rFont val="Arial Unicode MS"/>
        <family val="2"/>
      </rPr>
      <t>primer numero:</t>
    </r>
  </si>
  <si>
    <r>
      <t xml:space="preserve">Determinar si el </t>
    </r>
    <r>
      <rPr>
        <b/>
        <sz val="12"/>
        <color theme="1"/>
        <rFont val="Arial Unicode MS"/>
        <family val="2"/>
      </rPr>
      <t>Importe 1</t>
    </r>
    <r>
      <rPr>
        <sz val="12"/>
        <color theme="1"/>
        <rFont val="Arial Unicode MS"/>
        <family val="2"/>
      </rPr>
      <t xml:space="preserve"> es Diferente al</t>
    </r>
    <r>
      <rPr>
        <b/>
        <sz val="12"/>
        <color theme="1"/>
        <rFont val="Arial Unicode MS"/>
        <family val="2"/>
      </rPr>
      <t xml:space="preserve"> importe 2</t>
    </r>
  </si>
  <si>
    <r>
      <t xml:space="preserve">Comparar si el </t>
    </r>
    <r>
      <rPr>
        <b/>
        <sz val="12"/>
        <color theme="1"/>
        <rFont val="Arial Unicode MS"/>
        <family val="2"/>
      </rPr>
      <t>valor 1</t>
    </r>
    <r>
      <rPr>
        <sz val="12"/>
        <color theme="1"/>
        <rFont val="Arial Unicode MS"/>
        <family val="2"/>
      </rPr>
      <t xml:space="preserve"> es diferente al</t>
    </r>
    <r>
      <rPr>
        <b/>
        <sz val="12"/>
        <color theme="1"/>
        <rFont val="Arial Unicode MS"/>
        <family val="2"/>
      </rPr>
      <t xml:space="preserve"> valor 2</t>
    </r>
  </si>
  <si>
    <r>
      <t xml:space="preserve">Comparar si el </t>
    </r>
    <r>
      <rPr>
        <b/>
        <sz val="12"/>
        <color theme="1"/>
        <rFont val="Arial Unicode MS"/>
        <family val="2"/>
      </rPr>
      <t>segundo numero</t>
    </r>
    <r>
      <rPr>
        <sz val="12"/>
        <color theme="1"/>
        <rFont val="Arial Unicode MS"/>
        <family val="2"/>
      </rPr>
      <t xml:space="preserve"> es</t>
    </r>
    <r>
      <rPr>
        <b/>
        <sz val="12"/>
        <color theme="1"/>
        <rFont val="Arial Unicode MS"/>
        <family val="2"/>
      </rPr>
      <t xml:space="preserve"> diferente </t>
    </r>
    <r>
      <rPr>
        <sz val="12"/>
        <color theme="1"/>
        <rFont val="Arial Unicode MS"/>
        <family val="2"/>
      </rPr>
      <t xml:space="preserve">que el </t>
    </r>
    <r>
      <rPr>
        <b/>
        <sz val="12"/>
        <color theme="1"/>
        <rFont val="Arial Unicode MS"/>
        <family val="2"/>
      </rPr>
      <t>primer numero:</t>
    </r>
  </si>
  <si>
    <r>
      <t xml:space="preserve">Unir el </t>
    </r>
    <r>
      <rPr>
        <b/>
        <sz val="12"/>
        <color theme="1"/>
        <rFont val="Arial Unicode MS"/>
        <family val="2"/>
      </rPr>
      <t xml:space="preserve">Nombre </t>
    </r>
    <r>
      <rPr>
        <sz val="12"/>
        <color theme="1"/>
        <rFont val="Arial Unicode MS"/>
        <family val="2"/>
      </rPr>
      <t xml:space="preserve">y el </t>
    </r>
    <r>
      <rPr>
        <b/>
        <sz val="12"/>
        <color theme="1"/>
        <rFont val="Arial Unicode MS"/>
        <family val="2"/>
      </rPr>
      <t xml:space="preserve">Apellido </t>
    </r>
    <r>
      <rPr>
        <sz val="12"/>
        <color theme="1"/>
        <rFont val="Arial Unicode MS"/>
        <family val="2"/>
      </rPr>
      <t xml:space="preserve">en una </t>
    </r>
    <r>
      <rPr>
        <b/>
        <sz val="12"/>
        <color theme="1"/>
        <rFont val="Arial Unicode MS"/>
        <family val="2"/>
      </rPr>
      <t>sola celda.</t>
    </r>
  </si>
  <si>
    <r>
      <t xml:space="preserve">Concatenar los </t>
    </r>
    <r>
      <rPr>
        <b/>
        <sz val="12"/>
        <color theme="1"/>
        <rFont val="Arial Unicode MS"/>
        <family val="2"/>
      </rPr>
      <t>Apellidos y Nombres</t>
    </r>
    <r>
      <rPr>
        <sz val="12"/>
        <color theme="1"/>
        <rFont val="Arial Unicode MS"/>
        <family val="2"/>
      </rPr>
      <t xml:space="preserve">, separados por </t>
    </r>
    <r>
      <rPr>
        <b/>
        <sz val="12"/>
        <color theme="1"/>
        <rFont val="Arial Unicode MS"/>
        <family val="2"/>
      </rPr>
      <t>comas los apellidos</t>
    </r>
  </si>
  <si>
    <t>=I53*(1-I55)</t>
  </si>
  <si>
    <t>+I34*(1+I36)</t>
  </si>
  <si>
    <t>=I14*(1+(I16*I18))</t>
  </si>
  <si>
    <t>=(I15*I17*I19)/(1-I17*I19)</t>
  </si>
  <si>
    <t>=I36/(1+I38)</t>
  </si>
  <si>
    <t>=I12/I10</t>
  </si>
  <si>
    <t>=I24*I26</t>
  </si>
  <si>
    <t>=I24-I30</t>
  </si>
  <si>
    <t>=I42*I44</t>
  </si>
  <si>
    <t>=I42+I48</t>
  </si>
  <si>
    <t>=I61*I63</t>
  </si>
  <si>
    <t>=I61+I67</t>
  </si>
  <si>
    <t>=I79-I81</t>
  </si>
  <si>
    <t>=I85/I79</t>
  </si>
  <si>
    <t>=I14*(1+I18)^I16</t>
  </si>
  <si>
    <t>=I34/(1+I38)^I36</t>
  </si>
  <si>
    <t>=I10&gt;I12</t>
  </si>
  <si>
    <t>=G26&gt;I26</t>
  </si>
  <si>
    <t>=G28&gt;I28</t>
  </si>
  <si>
    <t>=G30&gt;I30</t>
  </si>
  <si>
    <t>=$I$41&gt;$I$39</t>
  </si>
  <si>
    <t>=I10&lt;I12</t>
  </si>
  <si>
    <t>=G26&lt;I26</t>
  </si>
  <si>
    <t>=G28&lt;I28</t>
  </si>
  <si>
    <t>=G30&lt;I30</t>
  </si>
  <si>
    <t>=I41&lt;I39</t>
  </si>
  <si>
    <t>=I10&gt;=I12</t>
  </si>
  <si>
    <t>=G26&gt;=I26</t>
  </si>
  <si>
    <t>=G28&gt;=I26</t>
  </si>
  <si>
    <t>=G30&gt;=I26</t>
  </si>
  <si>
    <t>=I41&gt;=I39</t>
  </si>
  <si>
    <t>=I41&lt;=I39</t>
  </si>
  <si>
    <t>=G26&lt;=I26</t>
  </si>
  <si>
    <t>=G28&lt;=I26</t>
  </si>
  <si>
    <t>=G30&lt;=I26</t>
  </si>
  <si>
    <t>=I10&lt;=I12</t>
  </si>
  <si>
    <t>=I10=I12</t>
  </si>
  <si>
    <t>=I10&lt;&gt;I12</t>
  </si>
  <si>
    <t>=E9&amp;" "&amp;F9</t>
  </si>
  <si>
    <t>=E9&amp;" "&amp;F10</t>
  </si>
  <si>
    <t>=E9&amp;" "&amp;F11</t>
  </si>
  <si>
    <t>=E9&amp;" "&amp;F12</t>
  </si>
  <si>
    <t>=E9&amp;" "&amp;F13</t>
  </si>
  <si>
    <t>=F19&amp;" "&amp;G19&amp;", "&amp;E19</t>
  </si>
  <si>
    <t>=F19&amp;" "&amp;G19&amp;", "&amp;E20</t>
  </si>
  <si>
    <t>=F19&amp;" "&amp;G19&amp;", "&amp;E21</t>
  </si>
  <si>
    <t>=F19&amp;" "&amp;G19&amp;", "&amp;E22</t>
  </si>
  <si>
    <t>=F19&amp;" "&amp;G19&amp;", "&amp;E23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</si>
</sst>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S/.&quot;\ * #,##0.00_ ;_ &quot;S/.&quot;\ * \-#,##0.00_ ;_ &quot;S/.&quot;\ * &quot;-&quot;??_ ;_ @_ "/>
    <numFmt numFmtId="165" formatCode="_ &quot;S/.&quot;* #,##0.00_ ;_ &quot;S/.&quot;* \-#,##0.00_ ;_ &quot;S/.&quot;* &quot;-&quot;??_ ;_ @_ "/>
    <numFmt numFmtId="166" formatCode="_-[$€]* #,##0.00_-;\-[$€]* #,##0.00_-;_-[$€]* &quot;-&quot;??_-;_-@_-"/>
    <numFmt numFmtId="167" formatCode="&quot;S/.&quot;\ #,##0.00;[Red]&quot;S/.&quot;\ #,##0.00"/>
    <numFmt numFmtId="168" formatCode="&quot;S/.&quot;\ #,##0.00"/>
    <numFmt numFmtId="169" formatCode="_-* #,##0\ _p_t_a_-;\-* #,##0\ _p_t_a_-;_-* &quot;-&quot;\ _p_t_a_-;_-@_-"/>
    <numFmt numFmtId="170" formatCode="0.000%"/>
    <numFmt numFmtId="171" formatCode="&quot;S/.&quot;#,##0.00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name val="Arial"/>
      <family val="2"/>
    </font>
    <font>
      <sz val="11"/>
      <name val="Bookman Old Style"/>
      <family val="1"/>
    </font>
    <font>
      <sz val="12"/>
      <color rgb="FF002060"/>
      <name val="Bookman Old Style"/>
      <family val="1"/>
    </font>
    <font>
      <u/>
      <sz val="10"/>
      <color indexed="12"/>
      <name val="Arial"/>
      <family val="2"/>
    </font>
    <font>
      <sz val="10"/>
      <name val="Arial Unicode MS"/>
      <family val="2"/>
    </font>
    <font>
      <b/>
      <sz val="10"/>
      <color rgb="FF002060"/>
      <name val="Arial Unicode MS"/>
      <family val="2"/>
    </font>
    <font>
      <sz val="10"/>
      <color rgb="FF002060"/>
      <name val="Arial Unicode MS"/>
      <family val="2"/>
    </font>
    <font>
      <b/>
      <sz val="10"/>
      <color rgb="FFFF0000"/>
      <name val="Arial Unicode MS"/>
      <family val="2"/>
    </font>
    <font>
      <sz val="11"/>
      <color rgb="FF002060"/>
      <name val="Arial Unicode MS"/>
      <family val="2"/>
    </font>
    <font>
      <b/>
      <sz val="12"/>
      <color theme="0"/>
      <name val="Arial Unicode MS"/>
      <family val="2"/>
    </font>
    <font>
      <b/>
      <sz val="10"/>
      <color theme="0"/>
      <name val="Arial Unicode MS"/>
      <family val="2"/>
    </font>
    <font>
      <b/>
      <sz val="10"/>
      <color rgb="FF0000FF"/>
      <name val="Arial Unicode MS"/>
      <family val="2"/>
    </font>
    <font>
      <b/>
      <sz val="11"/>
      <color theme="0"/>
      <name val="Arial Unicode MS"/>
      <family val="2"/>
    </font>
    <font>
      <sz val="12"/>
      <color rgb="FF002060"/>
      <name val="Arial Unicode MS"/>
      <family val="2"/>
    </font>
    <font>
      <u/>
      <sz val="12"/>
      <color indexed="12"/>
      <name val="Arial Unicode MS"/>
      <family val="2"/>
    </font>
    <font>
      <u/>
      <sz val="12"/>
      <color indexed="12"/>
      <name val="Arial"/>
      <family val="2"/>
    </font>
    <font>
      <sz val="11"/>
      <color rgb="FF002060"/>
      <name val="Bookman Old Style"/>
      <family val="1"/>
    </font>
    <font>
      <b/>
      <sz val="11"/>
      <color rgb="FF002060"/>
      <name val="Bookman Old Style"/>
      <family val="1"/>
    </font>
    <font>
      <u/>
      <sz val="8"/>
      <color indexed="12"/>
      <name val="Arial"/>
      <family val="2"/>
    </font>
    <font>
      <b/>
      <sz val="18"/>
      <color indexed="12"/>
      <name val="Bookman Old Style"/>
      <family val="1"/>
    </font>
    <font>
      <b/>
      <sz val="18"/>
      <color theme="0"/>
      <name val="Arial Unicode MS"/>
      <family val="2"/>
    </font>
    <font>
      <b/>
      <sz val="18"/>
      <name val="Bookman Old Style"/>
      <family val="1"/>
    </font>
    <font>
      <b/>
      <sz val="20"/>
      <color theme="0"/>
      <name val="Arial Unicode MS"/>
      <family val="2"/>
    </font>
    <font>
      <b/>
      <sz val="14"/>
      <color theme="0"/>
      <name val="Arial Unicode MS"/>
      <family val="2"/>
    </font>
    <font>
      <b/>
      <sz val="14"/>
      <color rgb="FF002060"/>
      <name val="Arial Unicode MS"/>
      <family val="2"/>
    </font>
    <font>
      <b/>
      <sz val="14"/>
      <color rgb="FF002060"/>
      <name val="Arial"/>
      <family val="2"/>
    </font>
    <font>
      <u/>
      <sz val="10"/>
      <color theme="10"/>
      <name val="Arial"/>
      <family val="2"/>
    </font>
    <font>
      <b/>
      <sz val="14"/>
      <color rgb="FF0000FF"/>
      <name val="Arial Unicode MS"/>
      <family val="2"/>
    </font>
    <font>
      <b/>
      <sz val="20"/>
      <color theme="0"/>
      <name val="Gilroy ExtraBold"/>
      <family val="3"/>
    </font>
    <font>
      <b/>
      <sz val="24"/>
      <name val="Gilroy ExtraBold"/>
      <family val="3"/>
    </font>
    <font>
      <b/>
      <sz val="24"/>
      <color indexed="12"/>
      <name val="Gilroy ExtraBold"/>
      <family val="3"/>
    </font>
    <font>
      <b/>
      <sz val="24"/>
      <color theme="0"/>
      <name val="Gilroy ExtraBold"/>
      <family val="3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Bookman Old Style"/>
      <family val="1"/>
    </font>
    <font>
      <b/>
      <sz val="12"/>
      <color theme="1"/>
      <name val="Aris"/>
    </font>
    <font>
      <sz val="14"/>
      <color theme="1"/>
      <name val="Arial Unicode MS"/>
      <family val="2"/>
    </font>
    <font>
      <b/>
      <sz val="18"/>
      <color theme="0"/>
      <name val="Bookman Old Style"/>
      <family val="1"/>
    </font>
    <font>
      <sz val="12"/>
      <color theme="1"/>
      <name val="Arial Unicode MS"/>
    </font>
    <font>
      <b/>
      <sz val="12"/>
      <color theme="1"/>
      <name val="Arial Unicode MS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/>
      <right style="hair">
        <color rgb="FF0070C0"/>
      </right>
      <top/>
      <bottom/>
      <diagonal/>
    </border>
    <border>
      <left style="hair">
        <color rgb="FF0070C0"/>
      </left>
      <right/>
      <top/>
      <bottom style="hair">
        <color rgb="FF0070C0"/>
      </bottom>
      <diagonal/>
    </border>
    <border>
      <left/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</borders>
  <cellStyleXfs count="23">
    <xf numFmtId="0" fontId="0" fillId="0" borderId="0"/>
    <xf numFmtId="166" fontId="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" fillId="0" borderId="0"/>
    <xf numFmtId="0" fontId="1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/>
  </cellStyleXfs>
  <cellXfs count="168">
    <xf numFmtId="0" fontId="0" fillId="0" borderId="0" xfId="0"/>
    <xf numFmtId="0" fontId="4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9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9" fillId="2" borderId="4" xfId="0" applyFont="1" applyFill="1" applyBorder="1" applyProtection="1">
      <protection locked="0"/>
    </xf>
    <xf numFmtId="0" fontId="9" fillId="2" borderId="4" xfId="0" applyFont="1" applyFill="1" applyBorder="1" applyAlignment="1" applyProtection="1">
      <alignment vertical="center"/>
      <protection locked="0"/>
    </xf>
    <xf numFmtId="0" fontId="9" fillId="2" borderId="3" xfId="0" applyFont="1" applyFill="1" applyBorder="1" applyProtection="1">
      <protection locked="0"/>
    </xf>
    <xf numFmtId="0" fontId="9" fillId="2" borderId="8" xfId="0" applyFont="1" applyFill="1" applyBorder="1" applyProtection="1">
      <protection locked="0"/>
    </xf>
    <xf numFmtId="0" fontId="9" fillId="2" borderId="5" xfId="0" applyFont="1" applyFill="1" applyBorder="1" applyProtection="1">
      <protection locked="0"/>
    </xf>
    <xf numFmtId="0" fontId="9" fillId="2" borderId="6" xfId="0" applyFont="1" applyFill="1" applyBorder="1" applyProtection="1">
      <protection locked="0"/>
    </xf>
    <xf numFmtId="0" fontId="9" fillId="2" borderId="9" xfId="0" applyFont="1" applyFill="1" applyBorder="1" applyProtection="1">
      <protection locked="0"/>
    </xf>
    <xf numFmtId="0" fontId="9" fillId="2" borderId="10" xfId="0" applyFont="1" applyFill="1" applyBorder="1" applyProtection="1">
      <protection locked="0"/>
    </xf>
    <xf numFmtId="0" fontId="10" fillId="2" borderId="0" xfId="0" applyFont="1" applyFill="1" applyAlignment="1" applyProtection="1">
      <alignment horizontal="center"/>
      <protection locked="0"/>
    </xf>
    <xf numFmtId="164" fontId="11" fillId="2" borderId="0" xfId="0" applyNumberFormat="1" applyFont="1" applyFill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9" fillId="2" borderId="1" xfId="0" applyFont="1" applyFill="1" applyBorder="1" applyProtection="1">
      <protection locked="0"/>
    </xf>
    <xf numFmtId="0" fontId="11" fillId="2" borderId="0" xfId="20" applyFont="1" applyFill="1" applyProtection="1">
      <protection locked="0"/>
    </xf>
    <xf numFmtId="0" fontId="13" fillId="2" borderId="0" xfId="20" applyFont="1" applyFill="1" applyProtection="1">
      <protection locked="0"/>
    </xf>
    <xf numFmtId="0" fontId="13" fillId="2" borderId="2" xfId="14" applyFont="1" applyFill="1" applyBorder="1" applyAlignment="1" applyProtection="1">
      <alignment vertical="center"/>
      <protection locked="0"/>
    </xf>
    <xf numFmtId="0" fontId="7" fillId="2" borderId="4" xfId="14" applyFont="1" applyFill="1" applyBorder="1" applyProtection="1">
      <protection locked="0"/>
    </xf>
    <xf numFmtId="0" fontId="7" fillId="2" borderId="1" xfId="14" applyFont="1" applyFill="1" applyBorder="1" applyProtection="1"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9" fillId="4" borderId="0" xfId="0" applyFont="1" applyFill="1" applyProtection="1">
      <protection locked="0"/>
    </xf>
    <xf numFmtId="164" fontId="11" fillId="5" borderId="0" xfId="0" applyNumberFormat="1" applyFont="1" applyFill="1" applyAlignment="1" applyProtection="1">
      <alignment horizontal="center" vertical="center"/>
      <protection locked="0"/>
    </xf>
    <xf numFmtId="171" fontId="16" fillId="2" borderId="0" xfId="0" applyNumberFormat="1" applyFont="1" applyFill="1" applyAlignment="1">
      <alignment horizontal="center" vertical="center"/>
    </xf>
    <xf numFmtId="10" fontId="16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Protection="1">
      <protection locked="0"/>
    </xf>
    <xf numFmtId="1" fontId="11" fillId="5" borderId="0" xfId="0" applyNumberFormat="1" applyFont="1" applyFill="1" applyAlignment="1" applyProtection="1">
      <alignment horizontal="center" vertical="center"/>
      <protection locked="0"/>
    </xf>
    <xf numFmtId="1" fontId="11" fillId="2" borderId="0" xfId="0" applyNumberFormat="1" applyFont="1" applyFill="1" applyAlignment="1" applyProtection="1">
      <alignment horizontal="center" vertical="center"/>
      <protection locked="0"/>
    </xf>
    <xf numFmtId="0" fontId="6" fillId="2" borderId="4" xfId="0" applyFont="1" applyFill="1" applyBorder="1" applyProtection="1">
      <protection locked="0"/>
    </xf>
    <xf numFmtId="0" fontId="4" fillId="4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10" fontId="4" fillId="2" borderId="0" xfId="0" applyNumberFormat="1" applyFont="1" applyFill="1" applyProtection="1">
      <protection locked="0"/>
    </xf>
    <xf numFmtId="0" fontId="18" fillId="2" borderId="0" xfId="20" applyFont="1" applyFill="1" applyProtection="1">
      <protection locked="0"/>
    </xf>
    <xf numFmtId="0" fontId="19" fillId="3" borderId="0" xfId="12" applyFont="1" applyFill="1" applyAlignment="1" applyProtection="1">
      <alignment horizontal="center" vertical="center"/>
      <protection locked="0"/>
    </xf>
    <xf numFmtId="0" fontId="20" fillId="3" borderId="0" xfId="12" applyFont="1" applyFill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171" fontId="15" fillId="2" borderId="0" xfId="0" applyNumberFormat="1" applyFont="1" applyFill="1" applyAlignment="1" applyProtection="1">
      <alignment horizontal="center" vertical="center"/>
      <protection locked="0"/>
    </xf>
    <xf numFmtId="0" fontId="21" fillId="2" borderId="0" xfId="13" applyFont="1" applyFill="1" applyProtection="1">
      <protection locked="0"/>
    </xf>
    <xf numFmtId="0" fontId="22" fillId="2" borderId="0" xfId="13" applyFont="1" applyFill="1" applyAlignment="1" applyProtection="1">
      <alignment horizontal="right"/>
      <protection locked="0"/>
    </xf>
    <xf numFmtId="0" fontId="13" fillId="2" borderId="4" xfId="13" applyFont="1" applyFill="1" applyBorder="1" applyAlignment="1" applyProtection="1">
      <alignment vertical="center"/>
      <protection locked="0"/>
    </xf>
    <xf numFmtId="0" fontId="22" fillId="2" borderId="1" xfId="13" applyFont="1" applyFill="1" applyBorder="1" applyAlignment="1" applyProtection="1">
      <alignment horizontal="right"/>
      <protection locked="0"/>
    </xf>
    <xf numFmtId="0" fontId="15" fillId="2" borderId="0" xfId="13" applyFont="1" applyFill="1" applyAlignment="1" applyProtection="1">
      <alignment horizontal="center" vertical="center"/>
      <protection locked="0"/>
    </xf>
    <xf numFmtId="0" fontId="13" fillId="2" borderId="0" xfId="13" applyFont="1" applyFill="1" applyAlignment="1" applyProtection="1">
      <alignment horizontal="left" vertical="center"/>
      <protection locked="0"/>
    </xf>
    <xf numFmtId="0" fontId="21" fillId="2" borderId="4" xfId="13" applyFont="1" applyFill="1" applyBorder="1" applyProtection="1">
      <protection locked="0"/>
    </xf>
    <xf numFmtId="0" fontId="13" fillId="2" borderId="4" xfId="14" applyFont="1" applyFill="1" applyBorder="1" applyAlignment="1" applyProtection="1">
      <alignment vertical="center"/>
      <protection locked="0"/>
    </xf>
    <xf numFmtId="0" fontId="21" fillId="2" borderId="1" xfId="13" applyFont="1" applyFill="1" applyBorder="1" applyProtection="1">
      <protection locked="0"/>
    </xf>
    <xf numFmtId="168" fontId="21" fillId="2" borderId="0" xfId="13" applyNumberFormat="1" applyFont="1" applyFill="1" applyProtection="1">
      <protection locked="0"/>
    </xf>
    <xf numFmtId="10" fontId="32" fillId="2" borderId="9" xfId="0" applyNumberFormat="1" applyFont="1" applyFill="1" applyBorder="1" applyAlignment="1">
      <alignment horizontal="center" vertical="center"/>
    </xf>
    <xf numFmtId="0" fontId="29" fillId="7" borderId="0" xfId="20" applyFont="1" applyFill="1" applyProtection="1">
      <protection locked="0"/>
    </xf>
    <xf numFmtId="0" fontId="18" fillId="7" borderId="0" xfId="20" applyFont="1" applyFill="1" applyProtection="1">
      <protection locked="0"/>
    </xf>
    <xf numFmtId="0" fontId="11" fillId="6" borderId="0" xfId="20" applyFont="1" applyFill="1" applyProtection="1">
      <protection locked="0"/>
    </xf>
    <xf numFmtId="0" fontId="27" fillId="6" borderId="0" xfId="0" applyFont="1" applyFill="1" applyAlignment="1" applyProtection="1">
      <alignment vertical="center"/>
      <protection locked="0"/>
    </xf>
    <xf numFmtId="0" fontId="34" fillId="6" borderId="0" xfId="0" applyFont="1" applyFill="1" applyProtection="1">
      <protection locked="0"/>
    </xf>
    <xf numFmtId="0" fontId="35" fillId="6" borderId="0" xfId="0" applyFont="1" applyFill="1" applyAlignment="1" applyProtection="1">
      <alignment horizontal="left"/>
      <protection locked="0"/>
    </xf>
    <xf numFmtId="0" fontId="36" fillId="6" borderId="0" xfId="0" applyFont="1" applyFill="1" applyAlignment="1" applyProtection="1">
      <alignment vertical="center"/>
      <protection locked="0"/>
    </xf>
    <xf numFmtId="0" fontId="14" fillId="6" borderId="0" xfId="0" applyFont="1" applyFill="1" applyAlignment="1" applyProtection="1">
      <alignment horizontal="center" vertical="center"/>
      <protection locked="0"/>
    </xf>
    <xf numFmtId="0" fontId="37" fillId="2" borderId="4" xfId="0" applyFont="1" applyFill="1" applyBorder="1" applyAlignment="1" applyProtection="1">
      <alignment vertical="center"/>
      <protection locked="0"/>
    </xf>
    <xf numFmtId="0" fontId="9" fillId="6" borderId="0" xfId="0" applyFont="1" applyFill="1" applyProtection="1">
      <protection locked="0"/>
    </xf>
    <xf numFmtId="0" fontId="39" fillId="2" borderId="4" xfId="0" applyFont="1" applyFill="1" applyBorder="1" applyAlignment="1" applyProtection="1">
      <alignment vertical="center"/>
      <protection locked="0"/>
    </xf>
    <xf numFmtId="0" fontId="40" fillId="2" borderId="9" xfId="0" applyFont="1" applyFill="1" applyBorder="1" applyAlignment="1" applyProtection="1">
      <alignment horizontal="center" vertical="center"/>
      <protection locked="0"/>
    </xf>
    <xf numFmtId="0" fontId="40" fillId="6" borderId="0" xfId="0" applyFont="1" applyFill="1" applyAlignment="1" applyProtection="1">
      <alignment horizontal="center"/>
      <protection locked="0"/>
    </xf>
    <xf numFmtId="164" fontId="39" fillId="2" borderId="9" xfId="0" applyNumberFormat="1" applyFont="1" applyFill="1" applyBorder="1" applyAlignment="1" applyProtection="1">
      <alignment horizontal="center" vertical="center"/>
      <protection locked="0"/>
    </xf>
    <xf numFmtId="0" fontId="40" fillId="2" borderId="0" xfId="0" applyFont="1" applyFill="1" applyAlignment="1" applyProtection="1">
      <alignment horizontal="center"/>
      <protection locked="0"/>
    </xf>
    <xf numFmtId="164" fontId="39" fillId="2" borderId="0" xfId="0" applyNumberFormat="1" applyFont="1" applyFill="1" applyAlignment="1" applyProtection="1">
      <alignment horizontal="center" vertical="center"/>
      <protection locked="0"/>
    </xf>
    <xf numFmtId="10" fontId="39" fillId="2" borderId="9" xfId="0" applyNumberFormat="1" applyFont="1" applyFill="1" applyBorder="1" applyAlignment="1" applyProtection="1">
      <alignment horizontal="center" vertical="center"/>
      <protection locked="0"/>
    </xf>
    <xf numFmtId="0" fontId="40" fillId="2" borderId="0" xfId="0" applyFont="1" applyFill="1" applyAlignment="1" applyProtection="1">
      <alignment horizontal="center" vertical="center"/>
      <protection locked="0"/>
    </xf>
    <xf numFmtId="0" fontId="39" fillId="2" borderId="0" xfId="0" applyFont="1" applyFill="1" applyAlignment="1" applyProtection="1">
      <alignment horizontal="center" vertical="center"/>
      <protection locked="0"/>
    </xf>
    <xf numFmtId="1" fontId="39" fillId="2" borderId="9" xfId="0" applyNumberFormat="1" applyFont="1" applyFill="1" applyBorder="1" applyAlignment="1" applyProtection="1">
      <alignment horizontal="center" vertical="center"/>
      <protection locked="0"/>
    </xf>
    <xf numFmtId="0" fontId="39" fillId="2" borderId="0" xfId="0" applyFont="1" applyFill="1" applyProtection="1">
      <protection locked="0"/>
    </xf>
    <xf numFmtId="0" fontId="39" fillId="6" borderId="0" xfId="0" applyFont="1" applyFill="1" applyProtection="1">
      <protection locked="0"/>
    </xf>
    <xf numFmtId="0" fontId="41" fillId="6" borderId="0" xfId="0" applyFont="1" applyFill="1" applyProtection="1">
      <protection locked="0"/>
    </xf>
    <xf numFmtId="0" fontId="40" fillId="6" borderId="0" xfId="0" applyFont="1" applyFill="1" applyAlignment="1" applyProtection="1">
      <alignment horizontal="center" vertical="center"/>
      <protection locked="0"/>
    </xf>
    <xf numFmtId="164" fontId="42" fillId="2" borderId="0" xfId="0" applyNumberFormat="1" applyFont="1" applyFill="1" applyAlignment="1">
      <alignment horizontal="center" vertical="center"/>
    </xf>
    <xf numFmtId="171" fontId="39" fillId="2" borderId="9" xfId="0" applyNumberFormat="1" applyFont="1" applyFill="1" applyBorder="1" applyAlignment="1" applyProtection="1">
      <alignment horizontal="center" vertical="center"/>
      <protection locked="0"/>
    </xf>
    <xf numFmtId="9" fontId="39" fillId="2" borderId="9" xfId="0" applyNumberFormat="1" applyFont="1" applyFill="1" applyBorder="1" applyAlignment="1" applyProtection="1">
      <alignment horizontal="center" vertical="center"/>
      <protection locked="0"/>
    </xf>
    <xf numFmtId="0" fontId="39" fillId="2" borderId="2" xfId="0" applyFont="1" applyFill="1" applyBorder="1" applyAlignment="1" applyProtection="1">
      <alignment vertical="center"/>
      <protection locked="0"/>
    </xf>
    <xf numFmtId="171" fontId="42" fillId="2" borderId="0" xfId="0" applyNumberFormat="1" applyFont="1" applyFill="1" applyAlignment="1">
      <alignment horizontal="center" vertical="center"/>
    </xf>
    <xf numFmtId="0" fontId="39" fillId="2" borderId="2" xfId="14" applyFont="1" applyFill="1" applyBorder="1" applyAlignment="1" applyProtection="1">
      <alignment horizontal="left" vertical="center"/>
      <protection locked="0"/>
    </xf>
    <xf numFmtId="0" fontId="26" fillId="6" borderId="0" xfId="0" applyFont="1" applyFill="1" applyProtection="1">
      <protection locked="0"/>
    </xf>
    <xf numFmtId="0" fontId="24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vertical="center"/>
      <protection locked="0"/>
    </xf>
    <xf numFmtId="0" fontId="39" fillId="2" borderId="9" xfId="0" applyFont="1" applyFill="1" applyBorder="1" applyAlignment="1" applyProtection="1">
      <alignment horizontal="center" vertical="center"/>
      <protection locked="0"/>
    </xf>
    <xf numFmtId="170" fontId="39" fillId="2" borderId="9" xfId="0" applyNumberFormat="1" applyFont="1" applyFill="1" applyBorder="1" applyAlignment="1" applyProtection="1">
      <alignment horizontal="center" vertical="center"/>
      <protection locked="0"/>
    </xf>
    <xf numFmtId="0" fontId="15" fillId="6" borderId="0" xfId="13" applyFont="1" applyFill="1" applyAlignment="1" applyProtection="1">
      <alignment horizontal="center" vertical="center"/>
      <protection locked="0"/>
    </xf>
    <xf numFmtId="1" fontId="39" fillId="2" borderId="0" xfId="0" applyNumberFormat="1" applyFont="1" applyFill="1" applyAlignment="1" applyProtection="1">
      <alignment horizontal="center" vertical="center"/>
      <protection locked="0"/>
    </xf>
    <xf numFmtId="10" fontId="42" fillId="2" borderId="0" xfId="0" applyNumberFormat="1" applyFont="1" applyFill="1" applyAlignment="1">
      <alignment horizontal="center" vertical="center"/>
    </xf>
    <xf numFmtId="0" fontId="43" fillId="2" borderId="0" xfId="0" applyFont="1" applyFill="1" applyProtection="1">
      <protection locked="0"/>
    </xf>
    <xf numFmtId="168" fontId="42" fillId="2" borderId="0" xfId="0" applyNumberFormat="1" applyFont="1" applyFill="1" applyAlignment="1">
      <alignment horizontal="center" vertical="center"/>
    </xf>
    <xf numFmtId="168" fontId="39" fillId="2" borderId="9" xfId="0" applyNumberFormat="1" applyFont="1" applyFill="1" applyBorder="1" applyAlignment="1" applyProtection="1">
      <alignment horizontal="center" vertical="center"/>
      <protection locked="0"/>
    </xf>
    <xf numFmtId="2" fontId="42" fillId="2" borderId="0" xfId="0" applyNumberFormat="1" applyFont="1" applyFill="1" applyAlignment="1">
      <alignment horizontal="center" vertical="center"/>
    </xf>
    <xf numFmtId="0" fontId="4" fillId="6" borderId="0" xfId="0" applyFont="1" applyFill="1" applyProtection="1">
      <protection locked="0"/>
    </xf>
    <xf numFmtId="0" fontId="39" fillId="6" borderId="0" xfId="0" applyFont="1" applyFill="1" applyAlignment="1" applyProtection="1">
      <alignment horizontal="center" vertical="center"/>
      <protection locked="0"/>
    </xf>
    <xf numFmtId="0" fontId="40" fillId="6" borderId="9" xfId="0" applyFont="1" applyFill="1" applyBorder="1" applyAlignment="1" applyProtection="1">
      <alignment horizontal="center"/>
      <protection locked="0"/>
    </xf>
    <xf numFmtId="0" fontId="15" fillId="6" borderId="0" xfId="0" applyFont="1" applyFill="1" applyAlignment="1" applyProtection="1">
      <alignment horizontal="center" vertical="center"/>
      <protection locked="0"/>
    </xf>
    <xf numFmtId="171" fontId="15" fillId="6" borderId="0" xfId="0" applyNumberFormat="1" applyFont="1" applyFill="1" applyAlignment="1" applyProtection="1">
      <alignment horizontal="center" vertical="center"/>
      <protection locked="0"/>
    </xf>
    <xf numFmtId="10" fontId="44" fillId="2" borderId="0" xfId="0" applyNumberFormat="1" applyFont="1" applyFill="1" applyAlignment="1">
      <alignment horizontal="center" vertical="center"/>
    </xf>
    <xf numFmtId="165" fontId="39" fillId="2" borderId="9" xfId="0" applyNumberFormat="1" applyFont="1" applyFill="1" applyBorder="1" applyAlignment="1" applyProtection="1">
      <alignment horizontal="center" vertical="center"/>
      <protection locked="0"/>
    </xf>
    <xf numFmtId="165" fontId="39" fillId="6" borderId="0" xfId="0" applyNumberFormat="1" applyFont="1" applyFill="1" applyAlignment="1" applyProtection="1">
      <alignment horizontal="center"/>
      <protection locked="0"/>
    </xf>
    <xf numFmtId="165" fontId="39" fillId="6" borderId="0" xfId="0" applyNumberFormat="1" applyFont="1" applyFill="1" applyAlignment="1" applyProtection="1">
      <alignment horizontal="center" vertical="center"/>
      <protection locked="0"/>
    </xf>
    <xf numFmtId="10" fontId="42" fillId="2" borderId="9" xfId="0" applyNumberFormat="1" applyFont="1" applyFill="1" applyBorder="1" applyAlignment="1">
      <alignment horizontal="center" vertical="center"/>
    </xf>
    <xf numFmtId="165" fontId="39" fillId="2" borderId="0" xfId="0" applyNumberFormat="1" applyFont="1" applyFill="1" applyProtection="1">
      <protection locked="0"/>
    </xf>
    <xf numFmtId="165" fontId="39" fillId="2" borderId="0" xfId="0" applyNumberFormat="1" applyFont="1" applyFill="1" applyAlignment="1" applyProtection="1">
      <alignment horizontal="center" vertical="center"/>
      <protection locked="0"/>
    </xf>
    <xf numFmtId="165" fontId="39" fillId="2" borderId="0" xfId="0" applyNumberFormat="1" applyFont="1" applyFill="1" applyAlignment="1" applyProtection="1">
      <alignment horizontal="center"/>
      <protection locked="0"/>
    </xf>
    <xf numFmtId="0" fontId="33" fillId="6" borderId="0" xfId="0" applyFont="1" applyFill="1" applyAlignment="1" applyProtection="1">
      <alignment vertical="center"/>
      <protection locked="0"/>
    </xf>
    <xf numFmtId="10" fontId="40" fillId="2" borderId="9" xfId="0" applyNumberFormat="1" applyFont="1" applyFill="1" applyBorder="1" applyAlignment="1">
      <alignment horizontal="center" vertical="center"/>
    </xf>
    <xf numFmtId="171" fontId="40" fillId="2" borderId="0" xfId="0" applyNumberFormat="1" applyFont="1" applyFill="1" applyAlignment="1" applyProtection="1">
      <alignment horizontal="center" vertical="center"/>
      <protection locked="0"/>
    </xf>
    <xf numFmtId="165" fontId="45" fillId="6" borderId="0" xfId="0" applyNumberFormat="1" applyFont="1" applyFill="1" applyAlignment="1" applyProtection="1">
      <alignment horizontal="center"/>
      <protection locked="0"/>
    </xf>
    <xf numFmtId="165" fontId="39" fillId="6" borderId="0" xfId="0" applyNumberFormat="1" applyFont="1" applyFill="1" applyProtection="1">
      <protection locked="0"/>
    </xf>
    <xf numFmtId="171" fontId="40" fillId="2" borderId="0" xfId="0" applyNumberFormat="1" applyFont="1" applyFill="1" applyAlignment="1">
      <alignment horizontal="center" vertical="center"/>
    </xf>
    <xf numFmtId="10" fontId="40" fillId="2" borderId="0" xfId="0" applyNumberFormat="1" applyFont="1" applyFill="1" applyAlignment="1">
      <alignment horizontal="center" vertical="center"/>
    </xf>
    <xf numFmtId="0" fontId="14" fillId="6" borderId="0" xfId="14" applyFont="1" applyFill="1" applyAlignment="1" applyProtection="1">
      <alignment horizontal="center" vertical="center"/>
      <protection locked="0"/>
    </xf>
    <xf numFmtId="171" fontId="14" fillId="6" borderId="0" xfId="0" applyNumberFormat="1" applyFont="1" applyFill="1" applyAlignment="1" applyProtection="1">
      <alignment horizontal="center" vertical="center"/>
      <protection locked="0"/>
    </xf>
    <xf numFmtId="0" fontId="46" fillId="6" borderId="0" xfId="0" applyFont="1" applyFill="1" applyProtection="1">
      <protection locked="0"/>
    </xf>
    <xf numFmtId="0" fontId="46" fillId="6" borderId="0" xfId="0" applyFont="1" applyFill="1" applyAlignment="1" applyProtection="1">
      <alignment horizontal="left"/>
      <protection locked="0"/>
    </xf>
    <xf numFmtId="0" fontId="14" fillId="6" borderId="0" xfId="13" applyFont="1" applyFill="1" applyAlignment="1" applyProtection="1">
      <alignment horizontal="center" vertical="center"/>
      <protection locked="0"/>
    </xf>
    <xf numFmtId="0" fontId="39" fillId="2" borderId="2" xfId="13" applyFont="1" applyFill="1" applyBorder="1" applyAlignment="1" applyProtection="1">
      <alignment vertical="center"/>
      <protection locked="0"/>
    </xf>
    <xf numFmtId="0" fontId="14" fillId="6" borderId="11" xfId="13" applyFont="1" applyFill="1" applyBorder="1" applyAlignment="1" applyProtection="1">
      <alignment horizontal="center" vertical="center" wrapText="1"/>
      <protection locked="0"/>
    </xf>
    <xf numFmtId="0" fontId="14" fillId="6" borderId="12" xfId="13" applyFont="1" applyFill="1" applyBorder="1" applyAlignment="1" applyProtection="1">
      <alignment horizontal="center" vertical="center" wrapText="1"/>
      <protection locked="0"/>
    </xf>
    <xf numFmtId="0" fontId="14" fillId="6" borderId="13" xfId="13" applyFont="1" applyFill="1" applyBorder="1" applyAlignment="1" applyProtection="1">
      <alignment horizontal="center" vertical="center" wrapText="1"/>
      <protection locked="0"/>
    </xf>
    <xf numFmtId="0" fontId="47" fillId="2" borderId="14" xfId="13" applyFont="1" applyFill="1" applyBorder="1" applyAlignment="1" applyProtection="1">
      <alignment horizontal="center" vertical="center"/>
      <protection locked="0"/>
    </xf>
    <xf numFmtId="22" fontId="47" fillId="2" borderId="15" xfId="13" applyNumberFormat="1" applyFont="1" applyFill="1" applyBorder="1" applyAlignment="1" applyProtection="1">
      <alignment horizontal="center" vertical="center"/>
      <protection locked="0"/>
    </xf>
    <xf numFmtId="0" fontId="48" fillId="2" borderId="16" xfId="13" applyFont="1" applyFill="1" applyBorder="1" applyAlignment="1">
      <alignment horizontal="center" vertical="center"/>
    </xf>
    <xf numFmtId="0" fontId="47" fillId="2" borderId="17" xfId="13" applyFont="1" applyFill="1" applyBorder="1" applyAlignment="1" applyProtection="1">
      <alignment horizontal="center" vertical="center"/>
      <protection locked="0"/>
    </xf>
    <xf numFmtId="22" fontId="47" fillId="2" borderId="18" xfId="13" applyNumberFormat="1" applyFont="1" applyFill="1" applyBorder="1" applyAlignment="1" applyProtection="1">
      <alignment horizontal="center" vertical="center"/>
      <protection locked="0"/>
    </xf>
    <xf numFmtId="0" fontId="17" fillId="6" borderId="11" xfId="13" applyFont="1" applyFill="1" applyBorder="1" applyAlignment="1" applyProtection="1">
      <alignment horizontal="center" vertical="center" wrapText="1"/>
      <protection locked="0"/>
    </xf>
    <xf numFmtId="0" fontId="17" fillId="6" borderId="12" xfId="13" applyFont="1" applyFill="1" applyBorder="1" applyAlignment="1" applyProtection="1">
      <alignment horizontal="center" vertical="center" wrapText="1"/>
      <protection locked="0"/>
    </xf>
    <xf numFmtId="0" fontId="17" fillId="6" borderId="13" xfId="13" applyFont="1" applyFill="1" applyBorder="1" applyAlignment="1" applyProtection="1">
      <alignment horizontal="center" vertical="center" wrapText="1"/>
      <protection locked="0"/>
    </xf>
    <xf numFmtId="0" fontId="39" fillId="2" borderId="14" xfId="13" applyFont="1" applyFill="1" applyBorder="1" applyAlignment="1" applyProtection="1">
      <alignment horizontal="center" vertical="center"/>
      <protection locked="0"/>
    </xf>
    <xf numFmtId="22" fontId="39" fillId="2" borderId="15" xfId="13" applyNumberFormat="1" applyFont="1" applyFill="1" applyBorder="1" applyAlignment="1" applyProtection="1">
      <alignment horizontal="center" vertical="center"/>
      <protection locked="0"/>
    </xf>
    <xf numFmtId="20" fontId="39" fillId="2" borderId="16" xfId="13" applyNumberFormat="1" applyFont="1" applyFill="1" applyBorder="1" applyAlignment="1">
      <alignment horizontal="left" vertical="center"/>
    </xf>
    <xf numFmtId="0" fontId="39" fillId="2" borderId="17" xfId="13" applyFont="1" applyFill="1" applyBorder="1" applyAlignment="1" applyProtection="1">
      <alignment horizontal="center" vertical="center"/>
      <protection locked="0"/>
    </xf>
    <xf numFmtId="22" fontId="39" fillId="2" borderId="18" xfId="13" applyNumberFormat="1" applyFont="1" applyFill="1" applyBorder="1" applyAlignment="1" applyProtection="1">
      <alignment horizontal="center" vertical="center"/>
      <protection locked="0"/>
    </xf>
    <xf numFmtId="0" fontId="29" fillId="2" borderId="0" xfId="20" applyFont="1" applyFill="1" applyProtection="1">
      <protection locked="0"/>
    </xf>
    <xf numFmtId="0" fontId="17" fillId="6" borderId="0" xfId="20" applyFont="1" applyFill="1" applyAlignment="1" applyProtection="1">
      <alignment horizontal="center" vertical="center"/>
      <protection locked="0"/>
    </xf>
    <xf numFmtId="0" fontId="30" fillId="7" borderId="0" xfId="22" applyFont="1" applyFill="1" applyAlignment="1" applyProtection="1">
      <alignment horizontal="center" vertical="center"/>
      <protection locked="0"/>
    </xf>
    <xf numFmtId="0" fontId="20" fillId="2" borderId="0" xfId="12" applyFont="1" applyFill="1" applyAlignment="1" applyProtection="1">
      <alignment horizontal="center" vertical="center"/>
      <protection locked="0"/>
    </xf>
    <xf numFmtId="0" fontId="19" fillId="2" borderId="0" xfId="12" applyFont="1" applyFill="1" applyAlignment="1" applyProtection="1">
      <alignment horizontal="center" vertical="center"/>
      <protection locked="0"/>
    </xf>
    <xf numFmtId="0" fontId="30" fillId="7" borderId="0" xfId="22" applyFont="1" applyFill="1" applyAlignment="1" applyProtection="1">
      <alignment horizontal="center" vertical="center" wrapText="1"/>
      <protection locked="0"/>
    </xf>
    <xf numFmtId="0" fontId="29" fillId="2" borderId="0" xfId="12" applyFont="1" applyFill="1" applyAlignment="1" applyProtection="1">
      <alignment horizontal="center" vertical="center" wrapText="1"/>
      <protection locked="0"/>
    </xf>
    <xf numFmtId="0" fontId="30" fillId="2" borderId="0" xfId="12" applyFont="1" applyFill="1" applyAlignment="1" applyProtection="1">
      <alignment horizontal="center" vertical="center"/>
      <protection locked="0"/>
    </xf>
    <xf numFmtId="0" fontId="36" fillId="6" borderId="0" xfId="0" applyFont="1" applyFill="1" applyAlignment="1" applyProtection="1">
      <alignment horizontal="center" vertical="center"/>
      <protection locked="0"/>
    </xf>
    <xf numFmtId="0" fontId="14" fillId="6" borderId="0" xfId="0" applyFont="1" applyFill="1" applyAlignment="1" applyProtection="1">
      <alignment horizontal="center" vertical="center"/>
      <protection locked="0"/>
    </xf>
    <xf numFmtId="0" fontId="17" fillId="6" borderId="0" xfId="14" applyFont="1" applyFill="1" applyAlignment="1" applyProtection="1">
      <alignment horizontal="center" vertical="center"/>
      <protection locked="0"/>
    </xf>
    <xf numFmtId="0" fontId="17" fillId="6" borderId="7" xfId="14" applyFont="1" applyFill="1" applyBorder="1" applyAlignment="1" applyProtection="1">
      <alignment horizontal="center" vertical="center"/>
      <protection locked="0"/>
    </xf>
    <xf numFmtId="0" fontId="28" fillId="6" borderId="0" xfId="14" applyFont="1" applyFill="1" applyAlignment="1" applyProtection="1">
      <alignment horizontal="center" vertical="center"/>
      <protection locked="0"/>
    </xf>
    <xf numFmtId="0" fontId="28" fillId="6" borderId="7" xfId="14" applyFont="1" applyFill="1" applyBorder="1" applyAlignment="1" applyProtection="1">
      <alignment horizontal="center" vertical="center"/>
      <protection locked="0"/>
    </xf>
    <xf numFmtId="0" fontId="33" fillId="6" borderId="0" xfId="0" applyFont="1" applyFill="1" applyAlignment="1" applyProtection="1">
      <alignment horizontal="center" vertical="center"/>
      <protection locked="0"/>
    </xf>
    <xf numFmtId="0" fontId="14" fillId="6" borderId="9" xfId="0" applyFont="1" applyFill="1" applyBorder="1" applyAlignment="1" applyProtection="1">
      <alignment horizontal="center" vertical="center"/>
      <protection locked="0"/>
    </xf>
    <xf numFmtId="0" fontId="14" fillId="6" borderId="0" xfId="14" applyFont="1" applyFill="1" applyAlignment="1" applyProtection="1">
      <alignment horizontal="center" vertical="center"/>
      <protection locked="0"/>
    </xf>
    <xf numFmtId="0" fontId="14" fillId="6" borderId="7" xfId="14" applyFont="1" applyFill="1" applyBorder="1" applyAlignment="1" applyProtection="1">
      <alignment horizontal="center" vertical="center"/>
      <protection locked="0"/>
    </xf>
    <xf numFmtId="0" fontId="39" fillId="2" borderId="2" xfId="13" applyFont="1" applyFill="1" applyBorder="1" applyAlignment="1" applyProtection="1">
      <alignment horizontal="left" vertical="center"/>
      <protection locked="0"/>
    </xf>
    <xf numFmtId="0" fontId="39" fillId="2" borderId="4" xfId="13" applyFont="1" applyFill="1" applyBorder="1" applyAlignment="1" applyProtection="1">
      <alignment horizontal="left" vertical="center"/>
      <protection locked="0"/>
    </xf>
    <xf numFmtId="0" fontId="39" fillId="2" borderId="1" xfId="13" applyFont="1" applyFill="1" applyBorder="1" applyAlignment="1" applyProtection="1">
      <alignment horizontal="left" vertical="center"/>
      <protection locked="0"/>
    </xf>
    <xf numFmtId="171" fontId="42" fillId="2" borderId="0" xfId="0" quotePrefix="1" applyNumberFormat="1" applyFont="1" applyFill="1" applyAlignment="1">
      <alignment horizontal="center" vertical="center"/>
    </xf>
    <xf numFmtId="171" fontId="42" fillId="2" borderId="0" xfId="0" applyNumberFormat="1" applyFont="1" applyFill="1" applyAlignment="1">
      <alignment horizontal="center" vertical="center" wrapText="1"/>
    </xf>
    <xf numFmtId="164" fontId="42" fillId="2" borderId="0" xfId="0" quotePrefix="1" applyNumberFormat="1" applyFont="1" applyFill="1" applyAlignment="1">
      <alignment horizontal="center" vertical="center"/>
    </xf>
    <xf numFmtId="171" fontId="42" fillId="3" borderId="0" xfId="0" applyNumberFormat="1" applyFont="1" applyFill="1" applyAlignment="1">
      <alignment horizontal="center" vertical="center"/>
    </xf>
    <xf numFmtId="164" fontId="42" fillId="3" borderId="0" xfId="0" applyNumberFormat="1" applyFont="1" applyFill="1" applyAlignment="1">
      <alignment horizontal="center" vertical="center"/>
    </xf>
    <xf numFmtId="164" fontId="42" fillId="3" borderId="0" xfId="0" quotePrefix="1" applyNumberFormat="1" applyFont="1" applyFill="1" applyAlignment="1">
      <alignment horizontal="center" vertical="center"/>
    </xf>
    <xf numFmtId="171" fontId="42" fillId="3" borderId="0" xfId="0" quotePrefix="1" applyNumberFormat="1" applyFont="1" applyFill="1" applyAlignment="1">
      <alignment horizontal="center" vertical="center"/>
    </xf>
    <xf numFmtId="10" fontId="40" fillId="2" borderId="0" xfId="0" quotePrefix="1" applyNumberFormat="1" applyFont="1" applyFill="1" applyAlignment="1">
      <alignment horizontal="center" vertical="center"/>
    </xf>
    <xf numFmtId="0" fontId="40" fillId="2" borderId="0" xfId="0" quotePrefix="1" applyFont="1" applyFill="1" applyAlignment="1" applyProtection="1">
      <alignment horizontal="center" vertical="center"/>
      <protection locked="0"/>
    </xf>
    <xf numFmtId="0" fontId="22" fillId="2" borderId="0" xfId="13" quotePrefix="1" applyFont="1" applyFill="1" applyAlignment="1" applyProtection="1">
      <alignment horizontal="center" vertical="center"/>
      <protection locked="0"/>
    </xf>
    <xf numFmtId="0" fontId="22" fillId="2" borderId="0" xfId="13" quotePrefix="1" applyFont="1" applyFill="1" applyAlignment="1" applyProtection="1">
      <alignment horizontal="left" vertical="center"/>
      <protection locked="0"/>
    </xf>
  </cellXfs>
  <cellStyles count="23">
    <cellStyle name="Euro" xfId="1" xr:uid="{00000000-0005-0000-0000-000000000000}"/>
    <cellStyle name="Euro 2" xfId="11" xr:uid="{00000000-0005-0000-0000-000001000000}"/>
    <cellStyle name="Hipervínculo" xfId="22" builtinId="8"/>
    <cellStyle name="Hipervínculo 2" xfId="12" xr:uid="{00000000-0005-0000-0000-000003000000}"/>
    <cellStyle name="Hipervínculo 3" xfId="21" xr:uid="{00000000-0005-0000-0000-000004000000}"/>
    <cellStyle name="Millares [0] 2" xfId="2" xr:uid="{00000000-0005-0000-0000-000005000000}"/>
    <cellStyle name="Millares [0] 2 2" xfId="15" xr:uid="{00000000-0005-0000-0000-000006000000}"/>
    <cellStyle name="Millares [0] 3" xfId="16" xr:uid="{00000000-0005-0000-0000-000007000000}"/>
    <cellStyle name="Millares 2" xfId="3" xr:uid="{00000000-0005-0000-0000-000008000000}"/>
    <cellStyle name="Millares 3" xfId="4" xr:uid="{00000000-0005-0000-0000-000009000000}"/>
    <cellStyle name="Millares 4" xfId="5" xr:uid="{00000000-0005-0000-0000-00000A000000}"/>
    <cellStyle name="Moneda 2" xfId="6" xr:uid="{00000000-0005-0000-0000-00000B000000}"/>
    <cellStyle name="Moneda 2 2" xfId="17" xr:uid="{00000000-0005-0000-0000-00000C000000}"/>
    <cellStyle name="Moneda 3" xfId="7" xr:uid="{00000000-0005-0000-0000-00000D000000}"/>
    <cellStyle name="Moneda 3 2" xfId="18" xr:uid="{00000000-0005-0000-0000-00000E000000}"/>
    <cellStyle name="Normal" xfId="0" builtinId="0"/>
    <cellStyle name="Normal 2" xfId="8" xr:uid="{00000000-0005-0000-0000-000010000000}"/>
    <cellStyle name="Normal 2 2" xfId="13" xr:uid="{00000000-0005-0000-0000-000011000000}"/>
    <cellStyle name="Normal 3" xfId="9" xr:uid="{00000000-0005-0000-0000-000012000000}"/>
    <cellStyle name="Normal 3 2" xfId="14" xr:uid="{00000000-0005-0000-0000-000013000000}"/>
    <cellStyle name="Normal 4" xfId="19" xr:uid="{00000000-0005-0000-0000-000014000000}"/>
    <cellStyle name="Normal 5" xfId="20" xr:uid="{00000000-0005-0000-0000-000015000000}"/>
    <cellStyle name="Porcentual 2" xfId="10" xr:uid="{00000000-0005-0000-0000-000016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592549</xdr:colOff>
      <xdr:row>2</xdr:row>
      <xdr:rowOff>70037</xdr:rowOff>
    </xdr:from>
    <xdr:ext cx="4072910" cy="940642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1D4651E5-E839-418F-8C6E-EA0D8C62C73B}"/>
            </a:ext>
          </a:extLst>
        </xdr:cNvPr>
        <xdr:cNvSpPr/>
      </xdr:nvSpPr>
      <xdr:spPr>
        <a:xfrm>
          <a:off x="2071725" y="410696"/>
          <a:ext cx="4072910" cy="94064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i="0" cap="none" spc="0" baseline="0">
              <a:ln w="9525">
                <a:noFill/>
                <a:prstDash val="solid"/>
              </a:ln>
              <a:solidFill>
                <a:sysClr val="windowText" lastClr="000000"/>
              </a:solidFill>
              <a:effectLst/>
              <a:latin typeface="Gilroy ExtraBold" panose="00000900000000000000" pitchFamily="50" charset="0"/>
            </a:rPr>
            <a:t>Operadores</a:t>
          </a:r>
          <a:endParaRPr lang="es-ES" sz="5400" b="1" i="0" cap="none" spc="0">
            <a:ln w="9525">
              <a:noFill/>
              <a:prstDash val="solid"/>
            </a:ln>
            <a:solidFill>
              <a:sysClr val="windowText" lastClr="000000"/>
            </a:solidFill>
            <a:effectLst/>
            <a:latin typeface="Gilroy ExtraBold" panose="00000900000000000000" pitchFamily="50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769145</xdr:colOff>
      <xdr:row>8</xdr:row>
      <xdr:rowOff>191690</xdr:rowOff>
    </xdr:from>
    <xdr:ext cx="1471685" cy="2979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>
            <a:xfrm>
              <a:off x="3832385" y="2485310"/>
              <a:ext cx="1471685" cy="29796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𝑺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=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𝑷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(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𝟏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+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𝒊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∗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𝒕</m:t>
                    </m:r>
                    <m:r>
                      <a:rPr lang="es-PE" sz="1600" b="1" i="1">
                        <a:solidFill>
                          <a:srgbClr val="002060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)</m:t>
                    </m:r>
                  </m:oMath>
                </m:oMathPara>
              </a14:m>
              <a:endParaRPr lang="es-PE" sz="1600" b="1" i="0">
                <a:solidFill>
                  <a:srgbClr val="002060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>
            <a:xfrm>
              <a:off x="3832385" y="2485310"/>
              <a:ext cx="1471685" cy="29796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  <a:cs typeface="Arial Unicode MS" panose="020B0604020202020204" pitchFamily="34" charset="-128"/>
                </a:rPr>
                <a:t>𝑺=𝑷(𝟏+𝒊∗𝒕</a:t>
              </a:r>
              <a:r>
                <a:rPr lang="es-PE" sz="1600" b="1" i="0">
                  <a:solidFill>
                    <a:srgbClr val="002060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  <a:cs typeface="Arial Unicode MS" panose="020B0604020202020204" pitchFamily="34" charset="-128"/>
                </a:rPr>
                <a:t>)</a:t>
              </a:r>
              <a:endParaRPr lang="es-PE" sz="1600" b="1" i="0">
                <a:solidFill>
                  <a:srgbClr val="002060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Fallback>
    </mc:AlternateContent>
    <xdr:clientData/>
  </xdr:oneCellAnchor>
  <xdr:oneCellAnchor>
    <xdr:from>
      <xdr:col>6</xdr:col>
      <xdr:colOff>804863</xdr:colOff>
      <xdr:row>28</xdr:row>
      <xdr:rowOff>155971</xdr:rowOff>
    </xdr:from>
    <xdr:ext cx="1415964" cy="2979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3868103" y="6312931"/>
              <a:ext cx="1415964" cy="29796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𝑪𝑭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=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𝑪𝑰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(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𝟏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+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𝒊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)</m:t>
                    </m:r>
                  </m:oMath>
                </m:oMathPara>
              </a14:m>
              <a:endParaRPr lang="es-PE" sz="1600" b="1" i="0">
                <a:solidFill>
                  <a:schemeClr val="tx1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3868103" y="6312931"/>
              <a:ext cx="1415964" cy="29796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  <a:cs typeface="Arial Unicode MS" panose="020B0604020202020204" pitchFamily="34" charset="-128"/>
                </a:rPr>
                <a:t>𝑪𝑭=𝑪𝑰(𝟏+𝒊)</a:t>
              </a:r>
              <a:endParaRPr lang="es-PE" sz="1600" b="1" i="0">
                <a:solidFill>
                  <a:schemeClr val="tx1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Fallback>
    </mc:AlternateContent>
    <xdr:clientData/>
  </xdr:oneCellAnchor>
  <xdr:oneCellAnchor>
    <xdr:from>
      <xdr:col>6</xdr:col>
      <xdr:colOff>964407</xdr:colOff>
      <xdr:row>47</xdr:row>
      <xdr:rowOff>190500</xdr:rowOff>
    </xdr:from>
    <xdr:ext cx="1415964" cy="2979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4027647" y="9944100"/>
              <a:ext cx="1415964" cy="29796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𝑪𝑭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=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𝑪𝑰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(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𝟏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−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𝒊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)</m:t>
                    </m:r>
                  </m:oMath>
                </m:oMathPara>
              </a14:m>
              <a:endParaRPr lang="es-PE" sz="1600" b="1" i="0">
                <a:solidFill>
                  <a:schemeClr val="tx1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4027647" y="9944100"/>
              <a:ext cx="1415964" cy="29796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  <a:cs typeface="Arial Unicode MS" panose="020B0604020202020204" pitchFamily="34" charset="-128"/>
                </a:rPr>
                <a:t>𝑪𝑭=𝑪𝑰(𝟏−𝒊)</a:t>
              </a:r>
              <a:endParaRPr lang="es-PE" sz="1600" b="1" i="0">
                <a:solidFill>
                  <a:schemeClr val="tx1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804863</xdr:colOff>
      <xdr:row>9</xdr:row>
      <xdr:rowOff>155971</xdr:rowOff>
    </xdr:from>
    <xdr:ext cx="1581202" cy="5114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3786188" y="3784996"/>
              <a:ext cx="1581202" cy="511422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𝑽𝑭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=</m:t>
                    </m:r>
                    <m:f>
                      <m:fPr>
                        <m:ctrlP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</m:ctrlPr>
                      </m:fPr>
                      <m:num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𝑽𝑨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∗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𝒏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∗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𝒅</m:t>
                        </m:r>
                      </m:num>
                      <m:den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(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𝟏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−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𝒏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∗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𝒅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600" b="1" i="0">
                <a:solidFill>
                  <a:schemeClr val="tx1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3786188" y="3784996"/>
              <a:ext cx="1581202" cy="511422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  <a:cs typeface="Arial Unicode MS" panose="020B0604020202020204" pitchFamily="34" charset="-128"/>
                </a:rPr>
                <a:t>𝑽𝑭=</a:t>
              </a:r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</a:rPr>
                <a:t>(</a:t>
              </a:r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  <a:cs typeface="Arial Unicode MS" panose="020B0604020202020204" pitchFamily="34" charset="-128"/>
                </a:rPr>
                <a:t>𝑽𝑨∗𝒏∗𝒅)/((𝟏−𝒏∗𝒅))</a:t>
              </a:r>
              <a:endParaRPr lang="es-PE" sz="1600" b="1" i="0">
                <a:solidFill>
                  <a:schemeClr val="tx1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Fallback>
    </mc:AlternateContent>
    <xdr:clientData/>
  </xdr:oneCellAnchor>
  <xdr:oneCellAnchor>
    <xdr:from>
      <xdr:col>6</xdr:col>
      <xdr:colOff>888208</xdr:colOff>
      <xdr:row>30</xdr:row>
      <xdr:rowOff>96440</xdr:rowOff>
    </xdr:from>
    <xdr:ext cx="1207831" cy="504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3869533" y="7602140"/>
              <a:ext cx="1207831" cy="50469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𝑷𝑪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=</m:t>
                    </m:r>
                    <m:f>
                      <m:fPr>
                        <m:ctrlP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</m:ctrlPr>
                      </m:fPr>
                      <m:num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𝑽𝑽</m:t>
                        </m:r>
                      </m:num>
                      <m:den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(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𝟏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+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𝒊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600" b="1" i="0">
                <a:solidFill>
                  <a:srgbClr val="002060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3869533" y="7602140"/>
              <a:ext cx="1207831" cy="50469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  <a:cs typeface="Arial Unicode MS" panose="020B0604020202020204" pitchFamily="34" charset="-128"/>
                </a:rPr>
                <a:t>𝑷𝑪=𝑽𝑽/((𝟏+𝒊))</a:t>
              </a:r>
              <a:endParaRPr lang="es-PE" sz="1600" b="1" i="0">
                <a:solidFill>
                  <a:srgbClr val="002060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769145</xdr:colOff>
      <xdr:row>8</xdr:row>
      <xdr:rowOff>191690</xdr:rowOff>
    </xdr:from>
    <xdr:ext cx="1576585" cy="2979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700-000005000000}"/>
                </a:ext>
              </a:extLst>
            </xdr:cNvPr>
            <xdr:cNvSpPr txBox="1"/>
          </xdr:nvSpPr>
          <xdr:spPr>
            <a:xfrm>
              <a:off x="3832385" y="2355770"/>
              <a:ext cx="1576585" cy="29796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𝑽𝑭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=</m:t>
                    </m:r>
                    <m:sSup>
                      <m:sSupPr>
                        <m:ctrlP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</m:ctrlPr>
                      </m:sSupPr>
                      <m:e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𝑽𝑨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(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𝟏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+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𝒊</m:t>
                        </m:r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)</m:t>
                        </m:r>
                      </m:e>
                      <m:sup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𝒏</m:t>
                        </m:r>
                      </m:sup>
                    </m:sSup>
                  </m:oMath>
                </m:oMathPara>
              </a14:m>
              <a:endParaRPr lang="es-PE" sz="1600" b="1" i="0">
                <a:solidFill>
                  <a:srgbClr val="002060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700-000005000000}"/>
                </a:ext>
              </a:extLst>
            </xdr:cNvPr>
            <xdr:cNvSpPr txBox="1"/>
          </xdr:nvSpPr>
          <xdr:spPr>
            <a:xfrm>
              <a:off x="3832385" y="2355770"/>
              <a:ext cx="1576585" cy="29796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  <a:cs typeface="Arial Unicode MS" panose="020B0604020202020204" pitchFamily="34" charset="-128"/>
                </a:rPr>
                <a:t>𝑽𝑭=</a:t>
              </a:r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</a:rPr>
                <a:t>〖</a:t>
              </a:r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  <a:cs typeface="Arial Unicode MS" panose="020B0604020202020204" pitchFamily="34" charset="-128"/>
                </a:rPr>
                <a:t>𝑽𝑨(𝟏+𝒊)〗^𝒏</a:t>
              </a:r>
              <a:endParaRPr lang="es-PE" sz="1600" b="1" i="0">
                <a:solidFill>
                  <a:srgbClr val="002060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Fallback>
    </mc:AlternateContent>
    <xdr:clientData/>
  </xdr:oneCellAnchor>
  <xdr:oneCellAnchor>
    <xdr:from>
      <xdr:col>6</xdr:col>
      <xdr:colOff>804863</xdr:colOff>
      <xdr:row>28</xdr:row>
      <xdr:rowOff>155971</xdr:rowOff>
    </xdr:from>
    <xdr:ext cx="1353256" cy="5196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SpPr txBox="1"/>
          </xdr:nvSpPr>
          <xdr:spPr>
            <a:xfrm>
              <a:off x="3786188" y="7585471"/>
              <a:ext cx="1353256" cy="519629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𝑽𝑨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=</m:t>
                    </m:r>
                    <m:f>
                      <m:fPr>
                        <m:ctrlP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</m:ctrlPr>
                      </m:fPr>
                      <m:num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𝑽𝑭</m:t>
                        </m:r>
                      </m:num>
                      <m:den>
                        <m:sSup>
                          <m:sSupPr>
                            <m:ctrlP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</m:ctrlPr>
                          </m:sSupPr>
                          <m:e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(</m:t>
                            </m:r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𝟏</m:t>
                            </m:r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+</m:t>
                            </m:r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𝒊</m:t>
                            </m:r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)</m:t>
                            </m:r>
                          </m:e>
                          <m:sup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𝒏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s-PE" sz="1600" b="1" i="0">
                <a:solidFill>
                  <a:srgbClr val="002060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SpPr txBox="1"/>
          </xdr:nvSpPr>
          <xdr:spPr>
            <a:xfrm>
              <a:off x="3786188" y="7585471"/>
              <a:ext cx="1353256" cy="519629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  <a:cs typeface="Arial Unicode MS" panose="020B0604020202020204" pitchFamily="34" charset="-128"/>
                </a:rPr>
                <a:t>𝑽𝑨=𝑽𝑭/〖(𝟏+𝒊)〗^𝒏 </a:t>
              </a:r>
              <a:endParaRPr lang="es-PE" sz="1600" b="1" i="0">
                <a:solidFill>
                  <a:srgbClr val="002060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N338"/>
  <sheetViews>
    <sheetView topLeftCell="A4" zoomScale="85" zoomScaleNormal="85" workbookViewId="0">
      <selection activeCell="K13" sqref="K13:M13"/>
    </sheetView>
  </sheetViews>
  <sheetFormatPr baseColWidth="10" defaultColWidth="0" defaultRowHeight="13.2" zeroHeight="1"/>
  <cols>
    <col min="1" max="1" width="2" style="18" customWidth="1"/>
    <col min="2" max="2" width="11.44140625" style="18" customWidth="1"/>
    <col min="3" max="3" width="8.109375" style="18" customWidth="1"/>
    <col min="4" max="4" width="15.33203125" style="18" customWidth="1"/>
    <col min="5" max="5" width="11.88671875" style="18" customWidth="1"/>
    <col min="6" max="6" width="0.33203125" style="18" customWidth="1"/>
    <col min="7" max="7" width="11.44140625" style="18" customWidth="1"/>
    <col min="8" max="8" width="13" style="18" customWidth="1"/>
    <col min="9" max="9" width="9.44140625" style="18" customWidth="1"/>
    <col min="10" max="10" width="0.33203125" style="18" customWidth="1"/>
    <col min="11" max="11" width="11.44140625" style="18" customWidth="1"/>
    <col min="12" max="12" width="14.109375" style="18" customWidth="1"/>
    <col min="13" max="13" width="5.109375" style="18" customWidth="1"/>
    <col min="14" max="14" width="11.44140625" style="18" customWidth="1"/>
    <col min="15" max="16384" width="11.44140625" style="18" hidden="1"/>
  </cols>
  <sheetData>
    <row r="1" spans="1:14"/>
    <row r="2" spans="1:14"/>
    <row r="3" spans="1:14"/>
    <row r="4" spans="1:14"/>
    <row r="5" spans="1:14"/>
    <row r="6" spans="1:14"/>
    <row r="7" spans="1:14"/>
    <row r="8" spans="1:14"/>
    <row r="9" spans="1:14" ht="2.1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</row>
    <row r="10" spans="1:14" ht="2.1" customHeight="1"/>
    <row r="11" spans="1:14" ht="30" customHeight="1">
      <c r="C11" s="137" t="s">
        <v>39</v>
      </c>
      <c r="D11" s="137"/>
      <c r="E11" s="137"/>
      <c r="F11" s="137"/>
      <c r="G11" s="137"/>
      <c r="H11" s="137"/>
      <c r="I11" s="137"/>
      <c r="J11" s="137"/>
      <c r="K11" s="137"/>
      <c r="L11" s="137"/>
      <c r="M11" s="137"/>
    </row>
    <row r="12" spans="1:14" ht="2.1" customHeight="1"/>
    <row r="13" spans="1:14" ht="50.1" customHeight="1">
      <c r="C13" s="138" t="s">
        <v>77</v>
      </c>
      <c r="D13" s="138"/>
      <c r="E13" s="138"/>
      <c r="F13" s="136"/>
      <c r="G13" s="138" t="s">
        <v>11</v>
      </c>
      <c r="H13" s="138"/>
      <c r="I13" s="138"/>
      <c r="J13" s="136"/>
      <c r="K13" s="138" t="s">
        <v>12</v>
      </c>
      <c r="L13" s="138"/>
      <c r="M13" s="138"/>
    </row>
    <row r="14" spans="1:14" ht="2.1" customHeight="1">
      <c r="C14" s="136"/>
      <c r="D14" s="136"/>
      <c r="E14" s="136"/>
      <c r="F14" s="136"/>
      <c r="G14" s="52"/>
      <c r="H14" s="52"/>
      <c r="I14" s="52"/>
      <c r="J14" s="136"/>
      <c r="K14" s="52"/>
      <c r="L14" s="52"/>
      <c r="M14" s="52"/>
    </row>
    <row r="15" spans="1:14" ht="50.1" customHeight="1">
      <c r="C15" s="141" t="s">
        <v>41</v>
      </c>
      <c r="D15" s="141"/>
      <c r="E15" s="141"/>
      <c r="F15" s="52"/>
      <c r="G15" s="142"/>
      <c r="H15" s="142"/>
      <c r="I15" s="142"/>
      <c r="J15" s="136"/>
      <c r="K15" s="143"/>
      <c r="L15" s="143"/>
      <c r="M15" s="143"/>
    </row>
    <row r="16" spans="1:14" ht="2.1" customHeight="1"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4" ht="30" customHeight="1">
      <c r="C17" s="137" t="s">
        <v>40</v>
      </c>
      <c r="D17" s="137"/>
      <c r="E17" s="137"/>
      <c r="F17" s="137"/>
      <c r="G17" s="137"/>
      <c r="H17" s="137"/>
      <c r="I17" s="137"/>
      <c r="J17" s="137"/>
      <c r="K17" s="137"/>
      <c r="L17" s="137"/>
      <c r="M17" s="137"/>
    </row>
    <row r="18" spans="1:14" ht="50.1" customHeight="1">
      <c r="C18" s="138" t="s">
        <v>13</v>
      </c>
      <c r="D18" s="138"/>
      <c r="E18" s="138"/>
      <c r="F18" s="136"/>
      <c r="G18" s="138" t="s">
        <v>14</v>
      </c>
      <c r="H18" s="138"/>
      <c r="I18" s="138"/>
      <c r="J18" s="136"/>
      <c r="K18" s="138" t="s">
        <v>17</v>
      </c>
      <c r="L18" s="138"/>
      <c r="M18" s="138"/>
    </row>
    <row r="19" spans="1:14" ht="2.1" customHeight="1">
      <c r="C19" s="136"/>
      <c r="D19" s="136"/>
      <c r="E19" s="136"/>
      <c r="F19" s="52"/>
      <c r="G19" s="136"/>
      <c r="H19" s="136"/>
      <c r="I19" s="136"/>
      <c r="J19" s="52"/>
      <c r="K19" s="136"/>
      <c r="L19" s="136"/>
      <c r="M19" s="136"/>
    </row>
    <row r="20" spans="1:14" ht="50.1" customHeight="1">
      <c r="C20" s="138" t="s">
        <v>18</v>
      </c>
      <c r="D20" s="138"/>
      <c r="E20" s="138"/>
      <c r="F20" s="136"/>
      <c r="G20" s="138" t="s">
        <v>15</v>
      </c>
      <c r="H20" s="138"/>
      <c r="I20" s="138"/>
      <c r="J20" s="136"/>
      <c r="K20" s="138" t="s">
        <v>16</v>
      </c>
      <c r="L20" s="138"/>
      <c r="M20" s="138"/>
    </row>
    <row r="21" spans="1:14" ht="2.1" customHeight="1">
      <c r="C21" s="37"/>
      <c r="D21" s="37"/>
      <c r="E21" s="37"/>
      <c r="F21" s="36"/>
      <c r="G21" s="37"/>
      <c r="H21" s="37"/>
      <c r="I21" s="37"/>
      <c r="J21" s="36"/>
      <c r="K21" s="37"/>
      <c r="L21" s="37"/>
      <c r="M21" s="37"/>
    </row>
    <row r="22" spans="1:14" ht="30" customHeight="1">
      <c r="C22" s="137" t="s">
        <v>42</v>
      </c>
      <c r="D22" s="137"/>
      <c r="E22" s="137"/>
      <c r="F22" s="137"/>
      <c r="G22" s="137"/>
      <c r="H22" s="137"/>
      <c r="I22" s="137"/>
      <c r="J22" s="137"/>
      <c r="K22" s="137"/>
      <c r="L22" s="137"/>
      <c r="M22" s="137"/>
    </row>
    <row r="23" spans="1:14" ht="2.1" customHeight="1">
      <c r="C23" s="37"/>
      <c r="D23" s="37"/>
      <c r="E23" s="37"/>
      <c r="F23" s="36"/>
      <c r="G23" s="37"/>
      <c r="H23" s="37"/>
      <c r="I23" s="37"/>
      <c r="J23" s="36"/>
      <c r="K23" s="37"/>
      <c r="L23" s="37"/>
      <c r="M23" s="37"/>
    </row>
    <row r="24" spans="1:14" ht="50.1" customHeight="1">
      <c r="C24" s="138" t="s">
        <v>43</v>
      </c>
      <c r="D24" s="138"/>
      <c r="E24" s="138"/>
      <c r="F24" s="53"/>
      <c r="G24" s="139"/>
      <c r="H24" s="139"/>
      <c r="I24" s="139"/>
      <c r="J24" s="36"/>
      <c r="K24" s="140"/>
      <c r="L24" s="140"/>
      <c r="M24" s="140"/>
    </row>
    <row r="25" spans="1:14" ht="1.2" customHeight="1">
      <c r="C25" s="38"/>
      <c r="D25" s="38"/>
      <c r="E25" s="38"/>
      <c r="F25" s="36"/>
      <c r="G25" s="38"/>
      <c r="H25" s="38"/>
      <c r="I25" s="38"/>
      <c r="J25" s="36"/>
      <c r="K25" s="37"/>
      <c r="L25" s="37"/>
      <c r="M25" s="37"/>
    </row>
    <row r="26" spans="1:14" ht="2.1" customHeight="1"/>
    <row r="27" spans="1:14" ht="2.1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</row>
    <row r="28" spans="1:14" ht="1.5" customHeight="1"/>
    <row r="29" spans="1:14" ht="30" hidden="1" customHeight="1"/>
    <row r="30" spans="1:14" ht="30" hidden="1" customHeight="1"/>
    <row r="31" spans="1:14" ht="30" hidden="1" customHeight="1"/>
    <row r="32" spans="1:14" ht="30" hidden="1" customHeight="1"/>
    <row r="33" ht="30" hidden="1" customHeight="1"/>
    <row r="34" ht="30" hidden="1" customHeight="1"/>
    <row r="35" ht="30" hidden="1" customHeight="1"/>
    <row r="36" ht="30" hidden="1" customHeight="1"/>
    <row r="37" ht="2.1" hidden="1" customHeight="1"/>
    <row r="38" ht="2.1" hidden="1" customHeight="1"/>
    <row r="39" ht="2.1" hidden="1" customHeight="1"/>
    <row r="40" ht="30" hidden="1" customHeight="1"/>
    <row r="41" ht="30" hidden="1" customHeight="1"/>
    <row r="42" ht="30" hidden="1" customHeight="1"/>
    <row r="43" ht="30" hidden="1" customHeight="1"/>
    <row r="44" ht="30" hidden="1" customHeight="1"/>
    <row r="45" ht="30" hidden="1" customHeight="1"/>
    <row r="46" ht="30" hidden="1" customHeight="1"/>
    <row r="47" ht="30" hidden="1" customHeight="1"/>
    <row r="48" ht="30" hidden="1" customHeight="1"/>
    <row r="49" ht="30" hidden="1" customHeight="1"/>
    <row r="50" ht="30" hidden="1" customHeight="1"/>
    <row r="51" ht="30" hidden="1" customHeight="1"/>
    <row r="52" ht="30" hidden="1" customHeight="1"/>
    <row r="53" ht="30" hidden="1" customHeight="1"/>
    <row r="54" ht="30" hidden="1" customHeight="1"/>
    <row r="55" ht="30" hidden="1" customHeight="1"/>
    <row r="56" ht="30" hidden="1" customHeight="1"/>
    <row r="57" ht="30" hidden="1" customHeight="1"/>
    <row r="58" ht="30" hidden="1" customHeight="1"/>
    <row r="59" ht="30" hidden="1" customHeight="1"/>
    <row r="60" ht="30" hidden="1" customHeight="1"/>
    <row r="61" ht="30" hidden="1" customHeight="1"/>
    <row r="62" ht="30" hidden="1" customHeight="1"/>
    <row r="63" ht="30" hidden="1" customHeight="1"/>
    <row r="64" ht="30" hidden="1" customHeight="1"/>
    <row r="65" ht="30" hidden="1" customHeight="1"/>
    <row r="66" ht="30" hidden="1" customHeight="1"/>
    <row r="67" ht="30" hidden="1" customHeight="1"/>
    <row r="68" ht="30" hidden="1" customHeight="1"/>
    <row r="69" ht="30" hidden="1" customHeight="1"/>
    <row r="70" ht="30" hidden="1" customHeight="1"/>
    <row r="71" ht="30" hidden="1" customHeight="1"/>
    <row r="72" ht="30" hidden="1" customHeight="1"/>
    <row r="73" ht="30" hidden="1" customHeight="1"/>
    <row r="74" ht="30" hidden="1" customHeight="1"/>
    <row r="75" ht="30" hidden="1" customHeight="1"/>
    <row r="76" ht="30" hidden="1" customHeight="1"/>
    <row r="77" ht="30" hidden="1" customHeight="1"/>
    <row r="78" ht="30" hidden="1" customHeight="1"/>
    <row r="79" ht="30" hidden="1" customHeight="1"/>
    <row r="80" ht="30" hidden="1" customHeight="1"/>
    <row r="81" ht="30" hidden="1" customHeight="1"/>
    <row r="82" ht="30" hidden="1" customHeight="1"/>
    <row r="83" ht="30" hidden="1" customHeight="1"/>
    <row r="84" ht="30" hidden="1" customHeight="1"/>
    <row r="85" ht="30" hidden="1" customHeight="1"/>
    <row r="86" ht="30" hidden="1" customHeight="1"/>
    <row r="87" ht="30" hidden="1" customHeight="1"/>
    <row r="88" ht="30" hidden="1" customHeight="1"/>
    <row r="89" ht="30" hidden="1" customHeight="1"/>
    <row r="90" ht="30" hidden="1" customHeight="1"/>
    <row r="91" ht="30" hidden="1" customHeight="1"/>
    <row r="92" ht="30" hidden="1" customHeight="1"/>
    <row r="93" ht="30" hidden="1" customHeight="1"/>
    <row r="94" ht="30" hidden="1" customHeight="1"/>
    <row r="95" ht="30" hidden="1" customHeight="1"/>
    <row r="96" ht="30" hidden="1" customHeight="1"/>
    <row r="97" ht="30" hidden="1" customHeight="1"/>
    <row r="98" ht="30" hidden="1" customHeight="1"/>
    <row r="99" ht="30" hidden="1" customHeight="1"/>
    <row r="100" ht="30" hidden="1" customHeight="1"/>
    <row r="101" ht="30" hidden="1" customHeight="1"/>
    <row r="102" ht="30" hidden="1" customHeight="1"/>
    <row r="103" ht="30" hidden="1" customHeight="1"/>
    <row r="104" ht="30" hidden="1" customHeight="1"/>
    <row r="105" ht="30" hidden="1" customHeight="1"/>
    <row r="106" ht="30" hidden="1" customHeight="1"/>
    <row r="107" ht="30" hidden="1" customHeight="1"/>
    <row r="108" ht="30" hidden="1" customHeight="1"/>
    <row r="109" ht="30" hidden="1" customHeight="1"/>
    <row r="110" ht="30" hidden="1" customHeight="1"/>
    <row r="111" ht="30" hidden="1" customHeight="1"/>
    <row r="112" ht="30" hidden="1" customHeight="1"/>
    <row r="113" ht="30" hidden="1" customHeight="1"/>
    <row r="114" ht="30" hidden="1" customHeight="1"/>
    <row r="115" ht="30" hidden="1" customHeight="1"/>
    <row r="116" ht="30" hidden="1" customHeight="1"/>
    <row r="117" ht="30" hidden="1" customHeight="1"/>
    <row r="118" ht="30" hidden="1" customHeight="1"/>
    <row r="119" ht="30" hidden="1" customHeight="1"/>
    <row r="120" ht="30" hidden="1" customHeight="1"/>
    <row r="121" ht="30" hidden="1" customHeight="1"/>
    <row r="122" ht="30" hidden="1" customHeight="1"/>
    <row r="123" ht="30" hidden="1" customHeight="1"/>
    <row r="124" ht="30" hidden="1" customHeight="1"/>
    <row r="125" ht="30" hidden="1" customHeight="1"/>
    <row r="126" ht="30" hidden="1" customHeight="1"/>
    <row r="127" ht="30" hidden="1" customHeight="1"/>
    <row r="128" ht="30" hidden="1" customHeight="1"/>
    <row r="129" ht="30" hidden="1" customHeight="1"/>
    <row r="130" ht="30" hidden="1" customHeight="1"/>
    <row r="131" ht="30" hidden="1" customHeight="1"/>
    <row r="132" ht="30" hidden="1" customHeight="1"/>
    <row r="133" ht="30" hidden="1" customHeight="1"/>
    <row r="134" ht="30" hidden="1" customHeight="1"/>
    <row r="135" ht="30" hidden="1" customHeight="1"/>
    <row r="136" ht="30" hidden="1" customHeight="1"/>
    <row r="137" ht="30" hidden="1" customHeight="1"/>
    <row r="138" ht="30" hidden="1" customHeight="1"/>
    <row r="139" ht="30" hidden="1" customHeight="1"/>
    <row r="140" ht="30" hidden="1" customHeight="1"/>
    <row r="141" ht="30" hidden="1" customHeight="1"/>
    <row r="142" ht="30" hidden="1" customHeight="1"/>
    <row r="143" ht="30" hidden="1" customHeight="1"/>
    <row r="144" ht="30" hidden="1" customHeight="1"/>
    <row r="145" ht="30" hidden="1" customHeight="1"/>
    <row r="146" ht="30" hidden="1" customHeight="1"/>
    <row r="147" ht="30" hidden="1" customHeight="1"/>
    <row r="148" ht="30" hidden="1" customHeight="1"/>
    <row r="149" ht="30" hidden="1" customHeight="1"/>
    <row r="150" ht="30" hidden="1" customHeight="1"/>
    <row r="151" ht="30" hidden="1" customHeight="1"/>
    <row r="152" ht="30" hidden="1" customHeight="1"/>
    <row r="153" ht="30" hidden="1" customHeight="1"/>
    <row r="154" ht="30" hidden="1" customHeight="1"/>
    <row r="155" ht="30" hidden="1" customHeight="1"/>
    <row r="156" ht="30" hidden="1" customHeight="1"/>
    <row r="157" ht="30" hidden="1" customHeight="1"/>
    <row r="158" ht="30" hidden="1" customHeight="1"/>
    <row r="159" ht="30" hidden="1" customHeight="1"/>
    <row r="160" ht="30" hidden="1" customHeight="1"/>
    <row r="161" ht="30" hidden="1" customHeight="1"/>
    <row r="162" ht="30" hidden="1" customHeight="1"/>
    <row r="163" ht="30" hidden="1" customHeight="1"/>
    <row r="164" ht="30" hidden="1" customHeight="1"/>
    <row r="165" ht="30" hidden="1" customHeight="1"/>
    <row r="166" ht="30" hidden="1" customHeight="1"/>
    <row r="167" ht="30" hidden="1" customHeight="1"/>
    <row r="168" ht="30" hidden="1" customHeight="1"/>
    <row r="169" ht="30" hidden="1" customHeight="1"/>
    <row r="170" ht="30" hidden="1" customHeight="1"/>
    <row r="171" ht="30" hidden="1" customHeight="1"/>
    <row r="172" ht="30" hidden="1" customHeight="1"/>
    <row r="173" ht="30" hidden="1" customHeight="1"/>
    <row r="174" ht="30" hidden="1" customHeight="1"/>
    <row r="175" ht="30" hidden="1" customHeight="1"/>
    <row r="176" ht="30" hidden="1" customHeight="1"/>
    <row r="177" ht="30" hidden="1" customHeight="1"/>
    <row r="178" ht="30" hidden="1" customHeight="1"/>
    <row r="179" ht="30" hidden="1" customHeight="1"/>
    <row r="180" ht="30" hidden="1" customHeight="1"/>
    <row r="181" ht="30" hidden="1" customHeight="1"/>
    <row r="182" ht="30" hidden="1" customHeight="1"/>
    <row r="183" ht="30" hidden="1" customHeight="1"/>
    <row r="184" ht="30" hidden="1" customHeight="1"/>
    <row r="185" ht="30" hidden="1" customHeight="1"/>
    <row r="186" ht="30" hidden="1" customHeight="1"/>
    <row r="187" ht="30" hidden="1" customHeight="1"/>
    <row r="188" ht="30" hidden="1" customHeight="1"/>
    <row r="189" ht="30" hidden="1" customHeight="1"/>
    <row r="190" ht="30" hidden="1" customHeight="1"/>
    <row r="191" ht="30" hidden="1" customHeight="1"/>
    <row r="192" ht="30" hidden="1" customHeight="1"/>
    <row r="193" ht="30" hidden="1" customHeight="1"/>
    <row r="194" ht="30" hidden="1" customHeight="1"/>
    <row r="195" ht="30" hidden="1" customHeight="1"/>
    <row r="196" ht="30" hidden="1" customHeight="1"/>
    <row r="197" ht="30" hidden="1" customHeight="1"/>
    <row r="198" ht="30" hidden="1" customHeight="1"/>
    <row r="199" ht="30" hidden="1" customHeight="1"/>
    <row r="200" ht="30" hidden="1" customHeight="1"/>
    <row r="201" ht="30" hidden="1" customHeight="1"/>
    <row r="202" ht="30" hidden="1" customHeight="1"/>
    <row r="203" ht="30" hidden="1" customHeight="1"/>
    <row r="204" ht="30" hidden="1" customHeight="1"/>
    <row r="205" ht="30" hidden="1" customHeight="1"/>
    <row r="206" ht="30" hidden="1" customHeight="1"/>
    <row r="207" ht="30" hidden="1" customHeight="1"/>
    <row r="208" ht="30" hidden="1" customHeight="1"/>
    <row r="209" ht="30" hidden="1" customHeight="1"/>
    <row r="210" ht="30" hidden="1" customHeight="1"/>
    <row r="211" ht="30" hidden="1" customHeight="1"/>
    <row r="212" ht="30" hidden="1" customHeight="1"/>
    <row r="213" ht="30" hidden="1" customHeight="1"/>
    <row r="214" ht="30" hidden="1" customHeight="1"/>
    <row r="215" ht="30" hidden="1" customHeight="1"/>
    <row r="216" ht="30" hidden="1" customHeight="1"/>
    <row r="217" ht="30" hidden="1" customHeight="1"/>
    <row r="218" ht="30" hidden="1" customHeight="1"/>
    <row r="219" ht="30" hidden="1" customHeight="1"/>
    <row r="220" ht="30" hidden="1" customHeight="1"/>
    <row r="221" ht="30" hidden="1" customHeight="1"/>
    <row r="222" ht="30" hidden="1" customHeight="1"/>
    <row r="223" ht="30" hidden="1" customHeight="1"/>
    <row r="224" ht="30" hidden="1" customHeight="1"/>
    <row r="225" ht="30" hidden="1" customHeight="1"/>
    <row r="226" ht="30" hidden="1" customHeight="1"/>
    <row r="227" ht="30" hidden="1" customHeight="1"/>
    <row r="228" ht="30" hidden="1" customHeight="1"/>
    <row r="229" ht="30" hidden="1" customHeight="1"/>
    <row r="230" ht="30" hidden="1" customHeight="1"/>
    <row r="231" ht="30" hidden="1" customHeight="1"/>
    <row r="232" ht="30" hidden="1" customHeight="1"/>
    <row r="233" ht="30" hidden="1" customHeight="1"/>
    <row r="234" ht="30" hidden="1" customHeight="1"/>
    <row r="235" ht="30" hidden="1" customHeight="1"/>
    <row r="236" ht="30" hidden="1" customHeight="1"/>
    <row r="237" ht="30" hidden="1" customHeight="1"/>
    <row r="238" ht="30" hidden="1" customHeight="1"/>
    <row r="239" ht="30" hidden="1" customHeight="1"/>
    <row r="240" ht="30" hidden="1" customHeight="1"/>
    <row r="241" ht="30" hidden="1" customHeight="1"/>
    <row r="242" ht="30" hidden="1" customHeight="1"/>
    <row r="243" ht="30" hidden="1" customHeight="1"/>
    <row r="244" ht="30" hidden="1" customHeight="1"/>
    <row r="245" ht="30" hidden="1" customHeight="1"/>
    <row r="246" ht="30" hidden="1" customHeight="1"/>
    <row r="247" ht="30" hidden="1" customHeight="1"/>
    <row r="248" ht="30" hidden="1" customHeight="1"/>
    <row r="249" ht="30" hidden="1" customHeight="1"/>
    <row r="250" ht="30" hidden="1" customHeight="1"/>
    <row r="251" ht="30" hidden="1" customHeight="1"/>
    <row r="252" ht="30" hidden="1" customHeight="1"/>
    <row r="253" ht="30" hidden="1" customHeight="1"/>
    <row r="254" ht="30" hidden="1" customHeight="1"/>
    <row r="255" ht="30" hidden="1" customHeight="1"/>
    <row r="256" ht="30" hidden="1" customHeight="1"/>
    <row r="257" ht="30" hidden="1" customHeight="1"/>
    <row r="258" ht="30" hidden="1" customHeight="1"/>
    <row r="259" ht="30" hidden="1" customHeight="1"/>
    <row r="260" ht="30" hidden="1" customHeight="1"/>
    <row r="261" ht="30" hidden="1" customHeight="1"/>
    <row r="262" ht="30" hidden="1" customHeight="1"/>
    <row r="263" ht="30" hidden="1" customHeight="1"/>
    <row r="264" ht="30" hidden="1" customHeight="1"/>
    <row r="265" ht="30" hidden="1" customHeight="1"/>
    <row r="266" ht="30" hidden="1" customHeight="1"/>
    <row r="267" ht="30" hidden="1" customHeight="1"/>
    <row r="268" ht="30" hidden="1" customHeight="1"/>
    <row r="269" ht="30" hidden="1" customHeight="1"/>
    <row r="270" ht="30" hidden="1" customHeight="1"/>
    <row r="271" ht="30" hidden="1" customHeight="1"/>
    <row r="272" ht="30" hidden="1" customHeight="1"/>
    <row r="273" ht="30" hidden="1" customHeight="1"/>
    <row r="274" ht="30" hidden="1" customHeight="1"/>
    <row r="275" ht="30" hidden="1" customHeight="1"/>
    <row r="276" ht="30" hidden="1" customHeight="1"/>
    <row r="277" ht="30" hidden="1" customHeight="1"/>
    <row r="278" ht="30" hidden="1" customHeight="1"/>
    <row r="279" ht="30" hidden="1" customHeight="1"/>
    <row r="280" ht="30" hidden="1" customHeight="1"/>
    <row r="281" ht="30" hidden="1" customHeight="1"/>
    <row r="282" ht="30" hidden="1" customHeight="1"/>
    <row r="283" ht="30" hidden="1" customHeight="1"/>
    <row r="284" ht="30" hidden="1" customHeight="1"/>
    <row r="285" ht="30" hidden="1" customHeight="1"/>
    <row r="286" ht="30" hidden="1" customHeight="1"/>
    <row r="287" ht="30" hidden="1" customHeight="1"/>
    <row r="288" ht="30" hidden="1" customHeight="1"/>
    <row r="289" ht="30" hidden="1" customHeight="1"/>
    <row r="290" ht="30" hidden="1" customHeight="1"/>
    <row r="291" ht="30" hidden="1" customHeight="1"/>
    <row r="292" ht="30" hidden="1" customHeight="1"/>
    <row r="293" ht="30" hidden="1" customHeight="1"/>
    <row r="294" ht="30" hidden="1" customHeight="1"/>
    <row r="295" ht="30" hidden="1" customHeight="1"/>
    <row r="296" ht="30" hidden="1" customHeight="1"/>
    <row r="297" ht="30" hidden="1" customHeight="1"/>
    <row r="298" ht="30" hidden="1" customHeight="1"/>
    <row r="299" ht="30" hidden="1" customHeight="1"/>
    <row r="300" ht="30" hidden="1" customHeight="1"/>
    <row r="301" ht="30" hidden="1" customHeight="1"/>
    <row r="302" ht="30" hidden="1" customHeight="1"/>
    <row r="303" ht="30" hidden="1" customHeight="1"/>
    <row r="304" ht="30" hidden="1" customHeight="1"/>
    <row r="305" ht="30" hidden="1" customHeight="1"/>
    <row r="306" ht="30" hidden="1" customHeight="1"/>
    <row r="307" ht="30" hidden="1" customHeight="1"/>
    <row r="308" ht="30" hidden="1" customHeight="1"/>
    <row r="309" ht="30" hidden="1" customHeight="1"/>
    <row r="310" ht="30" hidden="1" customHeight="1"/>
    <row r="311" ht="30" hidden="1" customHeight="1"/>
    <row r="312" ht="30" hidden="1" customHeight="1"/>
    <row r="313" ht="30" hidden="1" customHeight="1"/>
    <row r="314" ht="30" hidden="1" customHeight="1"/>
    <row r="315" ht="30" hidden="1" customHeight="1"/>
    <row r="316" ht="30" hidden="1" customHeight="1"/>
    <row r="317" ht="30" hidden="1" customHeight="1"/>
    <row r="318" ht="30" hidden="1" customHeight="1"/>
    <row r="319" ht="30" hidden="1" customHeight="1"/>
    <row r="320" ht="30" hidden="1" customHeight="1"/>
    <row r="321" ht="30" hidden="1" customHeight="1"/>
    <row r="322" ht="30" hidden="1" customHeight="1"/>
    <row r="323" ht="30" hidden="1" customHeight="1"/>
    <row r="324" ht="30" hidden="1" customHeight="1"/>
    <row r="325" ht="30" hidden="1" customHeight="1"/>
    <row r="326" ht="30" hidden="1" customHeight="1"/>
    <row r="327" ht="30" hidden="1" customHeight="1"/>
    <row r="328" ht="30" hidden="1" customHeight="1"/>
    <row r="329"/>
    <row r="330"/>
    <row r="331"/>
    <row r="332"/>
    <row r="333"/>
    <row r="337"/>
    <row r="338"/>
  </sheetData>
  <sheetProtection selectLockedCells="1"/>
  <mergeCells count="18">
    <mergeCell ref="C11:M11"/>
    <mergeCell ref="C15:E15"/>
    <mergeCell ref="G15:I15"/>
    <mergeCell ref="K15:M15"/>
    <mergeCell ref="C13:E13"/>
    <mergeCell ref="G13:I13"/>
    <mergeCell ref="K13:M13"/>
    <mergeCell ref="C17:M17"/>
    <mergeCell ref="C22:M22"/>
    <mergeCell ref="C24:E24"/>
    <mergeCell ref="G24:I24"/>
    <mergeCell ref="K24:M24"/>
    <mergeCell ref="C18:E18"/>
    <mergeCell ref="G18:I18"/>
    <mergeCell ref="K18:M18"/>
    <mergeCell ref="C20:E20"/>
    <mergeCell ref="G20:I20"/>
    <mergeCell ref="K20:M20"/>
  </mergeCells>
  <hyperlinks>
    <hyperlink ref="C13:E13" location="Multiplicación!A1" display="Multiplicación" xr:uid="{DAB38D6B-F0BC-4E48-9B85-42630BBB3146}"/>
    <hyperlink ref="G13:I13" location="División!A1" display="División" xr:uid="{7FCF3F97-A882-4922-B7E9-67824A80D301}"/>
    <hyperlink ref="K13:M13" location="Porcentaje!A1" display="Porcentajes" xr:uid="{51D411DD-AB50-41B0-826C-F70B00FBE7AF}"/>
    <hyperlink ref="C15:E15" location="Potencia!A1" display="Potencia" xr:uid="{FF95BEE1-9C96-4E5C-A20F-6559282CF9E5}"/>
    <hyperlink ref="C18:E18" location="'Mayor que'!A1" display="Mayor que" xr:uid="{A33E3AEC-D023-44B7-96FF-3602872E966D}"/>
    <hyperlink ref="G18:I18" location="'Menor que'!A1" display="Menor que" xr:uid="{D007A82A-BA07-437C-A110-408BF908F693}"/>
    <hyperlink ref="K18:M18" location="'Mayor e Igual que'!A1" display="Mayor igual que" xr:uid="{C0373698-B3DA-40E6-AD95-73E0681613D9}"/>
    <hyperlink ref="C20:E20" location="'Menor e Igual que'!A1" display="Menor igual que" xr:uid="{56A74EBF-61B9-4F7F-B40D-3D165DB64384}"/>
    <hyperlink ref="G20:I20" location="Igualdad!A1" display="Igualdad" xr:uid="{9792A089-0B6D-410B-A1C0-EF7ADE6A2E11}"/>
    <hyperlink ref="K20:M20" location="'Diferente de'!A1" display="Diferente de" xr:uid="{2402EDE2-C6C6-466D-BAC0-01F6A96E9ECB}"/>
    <hyperlink ref="C24:E24" location="Concatenar!A1" display="Concatenar" xr:uid="{1EC43D49-CCEA-4619-BD9B-F1A044996703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T63"/>
  <sheetViews>
    <sheetView showGridLines="0" zoomScale="130" zoomScaleNormal="130" workbookViewId="0">
      <pane ySplit="1" topLeftCell="A56" activePane="bottomLeft" state="frozen"/>
      <selection pane="bottomLeft" activeCell="K25" sqref="K25"/>
    </sheetView>
  </sheetViews>
  <sheetFormatPr baseColWidth="10" defaultColWidth="11.44140625" defaultRowHeight="20.100000000000001" customHeight="1"/>
  <cols>
    <col min="1" max="1" width="3.109375" style="1" customWidth="1"/>
    <col min="2" max="2" width="14.88671875" style="1" customWidth="1"/>
    <col min="3" max="3" width="9.109375" style="1" customWidth="1"/>
    <col min="4" max="4" width="0.5546875" style="1" customWidth="1"/>
    <col min="5" max="5" width="16.6640625" style="1" customWidth="1"/>
    <col min="6" max="6" width="0.33203125" style="1" customWidth="1"/>
    <col min="7" max="7" width="23" style="1" customWidth="1"/>
    <col min="8" max="8" width="0.33203125" style="1" customWidth="1"/>
    <col min="9" max="9" width="26.33203125" style="1" customWidth="1"/>
    <col min="10" max="10" width="20.33203125" style="1" customWidth="1"/>
    <col min="11" max="11" width="19" style="1" customWidth="1"/>
    <col min="12" max="16384" width="11.44140625" style="1"/>
  </cols>
  <sheetData>
    <row r="1" spans="1:20" s="56" customFormat="1" ht="34.799999999999997" customHeight="1">
      <c r="C1" s="57"/>
      <c r="D1" s="57"/>
      <c r="I1" s="144" t="s">
        <v>74</v>
      </c>
      <c r="J1" s="144"/>
      <c r="K1" s="144"/>
      <c r="L1" s="58"/>
      <c r="M1" s="58"/>
      <c r="N1" s="58"/>
      <c r="O1" s="58"/>
      <c r="P1" s="58"/>
      <c r="Q1" s="58"/>
      <c r="R1" s="58"/>
      <c r="S1" s="58"/>
      <c r="T1" s="58"/>
    </row>
    <row r="2" spans="1:20" ht="12.75" customHeight="1"/>
    <row r="3" spans="1:20" ht="30" customHeight="1">
      <c r="B3" s="148" t="s">
        <v>72</v>
      </c>
      <c r="C3" s="149"/>
      <c r="D3" s="20"/>
      <c r="E3" s="81" t="s">
        <v>81</v>
      </c>
      <c r="F3" s="21"/>
      <c r="G3" s="21"/>
      <c r="H3" s="21"/>
      <c r="I3" s="21"/>
      <c r="J3" s="22"/>
      <c r="K3" s="2"/>
      <c r="L3" s="2"/>
      <c r="M3" s="2"/>
      <c r="N3" s="2"/>
      <c r="O3" s="2"/>
    </row>
    <row r="4" spans="1:20" ht="18.75" customHeight="1"/>
    <row r="5" spans="1:20" s="2" customFormat="1" ht="30" customHeight="1">
      <c r="A5" s="4"/>
      <c r="E5" s="146" t="s">
        <v>19</v>
      </c>
      <c r="F5" s="147"/>
      <c r="G5" s="62" t="s">
        <v>78</v>
      </c>
      <c r="H5" s="7"/>
      <c r="I5" s="16"/>
      <c r="J5" s="17"/>
    </row>
    <row r="6" spans="1:20" s="2" customFormat="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20" s="2" customFormat="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20" s="2" customFormat="1" ht="30" customHeight="1">
      <c r="A8" s="4"/>
      <c r="B8" s="4"/>
      <c r="C8" s="4"/>
      <c r="D8" s="4"/>
      <c r="E8" s="4"/>
      <c r="F8" s="4"/>
      <c r="G8" s="145" t="s">
        <v>10</v>
      </c>
      <c r="H8" s="145"/>
      <c r="I8" s="145"/>
      <c r="J8" s="4"/>
      <c r="K8" s="4"/>
    </row>
    <row r="9" spans="1:20" s="2" customFormat="1" ht="30" customHeight="1">
      <c r="A9" s="4"/>
      <c r="B9" s="4"/>
      <c r="C9" s="4"/>
      <c r="D9" s="4"/>
      <c r="E9" s="4"/>
      <c r="F9" s="4"/>
      <c r="G9" s="8"/>
      <c r="H9" s="10"/>
      <c r="I9" s="11"/>
      <c r="J9" s="4"/>
      <c r="K9" s="4"/>
    </row>
    <row r="10" spans="1:20" s="2" customFormat="1" ht="30" customHeight="1">
      <c r="A10" s="4"/>
      <c r="B10" s="4"/>
      <c r="C10" s="4"/>
      <c r="D10" s="4"/>
      <c r="E10" s="4"/>
      <c r="F10" s="4"/>
      <c r="G10" s="9"/>
      <c r="H10" s="12"/>
      <c r="I10" s="13"/>
      <c r="J10" s="4"/>
      <c r="K10" s="4"/>
    </row>
    <row r="11" spans="1:20" s="2" customFormat="1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0" s="2" customFormat="1" ht="3" customHeight="1">
      <c r="A12" s="4"/>
      <c r="B12" s="4"/>
      <c r="G12" s="61"/>
      <c r="H12" s="4"/>
      <c r="I12" s="61"/>
      <c r="J12" s="4"/>
      <c r="K12" s="4"/>
      <c r="L12" s="4"/>
    </row>
    <row r="13" spans="1:20" s="2" customFormat="1" ht="2.1" customHeight="1">
      <c r="A13" s="4"/>
      <c r="B13" s="4"/>
      <c r="G13" s="4"/>
      <c r="H13" s="4"/>
      <c r="I13" s="4"/>
      <c r="J13" s="4"/>
      <c r="K13" s="4"/>
      <c r="L13" s="4"/>
    </row>
    <row r="14" spans="1:20" s="2" customFormat="1" ht="30" customHeight="1">
      <c r="A14" s="4"/>
      <c r="B14" s="4"/>
      <c r="G14" s="63" t="s">
        <v>0</v>
      </c>
      <c r="H14" s="64"/>
      <c r="I14" s="65">
        <v>20000</v>
      </c>
      <c r="J14" s="4"/>
      <c r="K14" s="4"/>
      <c r="L14" s="4"/>
    </row>
    <row r="15" spans="1:20" s="2" customFormat="1" ht="2.1" customHeight="1">
      <c r="A15" s="4"/>
      <c r="B15" s="4"/>
      <c r="G15" s="66"/>
      <c r="H15" s="66"/>
      <c r="I15" s="67"/>
      <c r="J15" s="4"/>
      <c r="K15" s="4"/>
      <c r="L15" s="4"/>
    </row>
    <row r="16" spans="1:20" s="2" customFormat="1" ht="30" customHeight="1">
      <c r="A16" s="4"/>
      <c r="B16" s="4"/>
      <c r="G16" s="63" t="s">
        <v>1</v>
      </c>
      <c r="H16" s="64"/>
      <c r="I16" s="68">
        <v>0.05</v>
      </c>
      <c r="J16" s="4"/>
      <c r="K16" s="4"/>
      <c r="L16" s="4"/>
      <c r="M16" s="4"/>
      <c r="N16" s="4"/>
      <c r="O16" s="4"/>
      <c r="P16" s="4"/>
      <c r="Q16" s="4"/>
    </row>
    <row r="17" spans="1:17" s="2" customFormat="1" ht="2.1" customHeight="1">
      <c r="A17" s="4"/>
      <c r="B17" s="4"/>
      <c r="G17" s="69"/>
      <c r="H17" s="66"/>
      <c r="I17" s="70"/>
      <c r="J17" s="4"/>
      <c r="K17" s="4"/>
      <c r="L17" s="4"/>
      <c r="M17" s="4"/>
      <c r="N17" s="4"/>
      <c r="O17" s="4"/>
      <c r="P17" s="4"/>
      <c r="Q17" s="4"/>
    </row>
    <row r="18" spans="1:17" s="2" customFormat="1" ht="30" customHeight="1">
      <c r="A18" s="4"/>
      <c r="B18" s="4"/>
      <c r="G18" s="63" t="s">
        <v>6</v>
      </c>
      <c r="H18" s="64"/>
      <c r="I18" s="71">
        <v>12</v>
      </c>
      <c r="J18" s="4"/>
      <c r="K18" s="4"/>
      <c r="L18" s="4"/>
      <c r="M18" s="4"/>
      <c r="N18" s="4"/>
      <c r="O18" s="4"/>
      <c r="P18" s="4"/>
      <c r="Q18" s="4"/>
    </row>
    <row r="19" spans="1:17" s="2" customFormat="1" ht="2.1" customHeight="1">
      <c r="A19" s="4"/>
      <c r="B19" s="4"/>
      <c r="G19" s="72"/>
      <c r="H19" s="72"/>
      <c r="I19" s="72"/>
      <c r="J19" s="4"/>
      <c r="K19" s="4"/>
      <c r="L19" s="4"/>
      <c r="M19" s="4"/>
      <c r="N19" s="4"/>
      <c r="O19" s="4"/>
      <c r="P19" s="4"/>
      <c r="Q19" s="4"/>
    </row>
    <row r="20" spans="1:17" s="2" customFormat="1" ht="3" customHeight="1">
      <c r="A20" s="4"/>
      <c r="B20" s="4"/>
      <c r="G20" s="73"/>
      <c r="H20" s="73"/>
      <c r="I20" s="74"/>
      <c r="J20" s="4"/>
      <c r="K20" s="4"/>
      <c r="L20" s="4"/>
      <c r="M20" s="4"/>
      <c r="N20" s="4"/>
      <c r="O20" s="4"/>
      <c r="P20" s="4"/>
      <c r="Q20" s="4"/>
    </row>
    <row r="21" spans="1:17" s="2" customFormat="1" ht="2.1" customHeight="1">
      <c r="A21" s="4"/>
      <c r="B21" s="4"/>
      <c r="G21" s="72"/>
      <c r="H21" s="72"/>
      <c r="I21" s="72"/>
      <c r="J21" s="4"/>
      <c r="K21" s="4"/>
      <c r="L21" s="4"/>
      <c r="M21" s="4"/>
      <c r="N21" s="4"/>
      <c r="O21" s="4"/>
      <c r="P21" s="4"/>
      <c r="Q21" s="4"/>
    </row>
    <row r="22" spans="1:17" s="2" customFormat="1" ht="30" customHeight="1">
      <c r="A22" s="4"/>
      <c r="B22" s="4"/>
      <c r="G22" s="69" t="s">
        <v>3</v>
      </c>
      <c r="H22" s="75"/>
      <c r="I22" s="76">
        <f>I14*(1+(I16*I18))</f>
        <v>32000</v>
      </c>
      <c r="J22" s="76" t="s">
        <v>114</v>
      </c>
      <c r="K22" s="4"/>
      <c r="L22" s="4"/>
      <c r="M22" s="4"/>
      <c r="N22" s="4"/>
      <c r="O22" s="4"/>
      <c r="P22" s="4"/>
      <c r="Q22" s="4"/>
    </row>
    <row r="23" spans="1:17" s="2" customFormat="1" ht="2.1" customHeight="1">
      <c r="A23" s="4"/>
      <c r="B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s="2" customFormat="1" ht="3" customHeight="1">
      <c r="A24" s="4"/>
      <c r="B24" s="4"/>
      <c r="G24" s="61"/>
      <c r="H24" s="4"/>
      <c r="I24" s="61"/>
      <c r="J24" s="4"/>
      <c r="K24" s="4"/>
      <c r="L24" s="4"/>
      <c r="M24" s="4"/>
      <c r="N24" s="4"/>
      <c r="O24" s="4"/>
      <c r="P24" s="4"/>
      <c r="Q24" s="4"/>
    </row>
    <row r="25" spans="1:17" ht="20.100000000000001" customHeight="1">
      <c r="J25" s="4"/>
      <c r="K25" s="4"/>
      <c r="L25" s="4"/>
    </row>
    <row r="26" spans="1:17" s="2" customFormat="1" ht="30" customHeight="1">
      <c r="A26" s="4"/>
      <c r="E26" s="146" t="s">
        <v>20</v>
      </c>
      <c r="F26" s="147"/>
      <c r="G26" s="62" t="s">
        <v>79</v>
      </c>
      <c r="H26" s="7"/>
      <c r="I26" s="16"/>
      <c r="J26" s="17"/>
    </row>
    <row r="27" spans="1:17" s="2" customFormat="1" ht="12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7" s="2" customFormat="1" ht="30" customHeight="1">
      <c r="A28" s="4"/>
      <c r="B28" s="4"/>
      <c r="C28" s="4"/>
      <c r="D28" s="4"/>
      <c r="E28" s="4"/>
      <c r="F28" s="4"/>
      <c r="G28" s="145" t="s">
        <v>10</v>
      </c>
      <c r="H28" s="145"/>
      <c r="I28" s="145"/>
      <c r="J28" s="4"/>
      <c r="K28" s="4"/>
    </row>
    <row r="29" spans="1:17" s="2" customFormat="1" ht="30" customHeight="1">
      <c r="A29" s="4"/>
      <c r="B29" s="4"/>
      <c r="C29" s="4"/>
      <c r="D29" s="4"/>
      <c r="E29" s="4"/>
      <c r="F29" s="4"/>
      <c r="G29" s="8"/>
      <c r="H29" s="10"/>
      <c r="I29" s="11"/>
      <c r="J29" s="4"/>
      <c r="K29" s="4"/>
    </row>
    <row r="30" spans="1:17" s="2" customFormat="1" ht="30" customHeight="1">
      <c r="A30" s="4"/>
      <c r="B30" s="4"/>
      <c r="C30" s="4"/>
      <c r="D30" s="4"/>
      <c r="E30" s="4"/>
      <c r="F30" s="4"/>
      <c r="G30" s="9"/>
      <c r="H30" s="12"/>
      <c r="I30" s="13"/>
      <c r="J30" s="4"/>
      <c r="K30" s="4"/>
    </row>
    <row r="31" spans="1:17" s="2" customFormat="1" ht="18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7" s="2" customFormat="1" ht="3" customHeight="1">
      <c r="A32" s="4"/>
      <c r="B32" s="4"/>
      <c r="G32" s="61"/>
      <c r="H32" s="4"/>
      <c r="I32" s="61"/>
      <c r="J32" s="4"/>
      <c r="K32" s="4"/>
      <c r="L32" s="4"/>
    </row>
    <row r="33" spans="1:17" s="2" customFormat="1" ht="2.1" customHeight="1">
      <c r="A33" s="4"/>
      <c r="B33" s="4"/>
      <c r="G33" s="4"/>
      <c r="H33" s="4"/>
      <c r="I33" s="4"/>
      <c r="J33" s="4"/>
      <c r="K33" s="4"/>
      <c r="L33" s="4"/>
    </row>
    <row r="34" spans="1:17" s="2" customFormat="1" ht="30" customHeight="1">
      <c r="A34" s="4"/>
      <c r="B34" s="4"/>
      <c r="G34" s="63" t="s">
        <v>38</v>
      </c>
      <c r="H34" s="64"/>
      <c r="I34" s="77">
        <v>2000</v>
      </c>
      <c r="J34" s="4"/>
      <c r="K34" s="4"/>
      <c r="L34" s="4"/>
    </row>
    <row r="35" spans="1:17" s="2" customFormat="1" ht="2.1" customHeight="1">
      <c r="A35" s="4"/>
      <c r="B35" s="4"/>
      <c r="G35" s="66"/>
      <c r="H35" s="66"/>
      <c r="I35" s="67"/>
      <c r="J35" s="4"/>
      <c r="K35" s="4"/>
      <c r="L35" s="4"/>
    </row>
    <row r="36" spans="1:17" s="2" customFormat="1" ht="30" customHeight="1">
      <c r="A36" s="4"/>
      <c r="B36" s="4"/>
      <c r="G36" s="63" t="s">
        <v>1</v>
      </c>
      <c r="H36" s="64"/>
      <c r="I36" s="78">
        <v>0.1</v>
      </c>
      <c r="J36" s="4"/>
      <c r="K36" s="4"/>
      <c r="L36" s="4"/>
      <c r="M36" s="4"/>
      <c r="N36" s="4"/>
      <c r="O36" s="4"/>
      <c r="P36" s="4"/>
      <c r="Q36" s="4"/>
    </row>
    <row r="37" spans="1:17" s="2" customFormat="1" ht="2.1" customHeight="1">
      <c r="A37" s="4"/>
      <c r="B37" s="4"/>
      <c r="G37" s="72"/>
      <c r="H37" s="72"/>
      <c r="I37" s="72"/>
      <c r="J37" s="4"/>
      <c r="K37" s="4"/>
      <c r="L37" s="4"/>
      <c r="M37" s="4"/>
      <c r="N37" s="4"/>
      <c r="O37" s="4"/>
      <c r="P37" s="4"/>
      <c r="Q37" s="4"/>
    </row>
    <row r="38" spans="1:17" s="2" customFormat="1" ht="3" customHeight="1">
      <c r="A38" s="4"/>
      <c r="B38" s="4"/>
      <c r="G38" s="73"/>
      <c r="H38" s="72"/>
      <c r="I38" s="73"/>
      <c r="J38" s="80"/>
      <c r="K38" s="4"/>
      <c r="L38" s="4"/>
      <c r="M38" s="4"/>
      <c r="N38" s="4"/>
      <c r="O38" s="4"/>
      <c r="P38" s="4"/>
      <c r="Q38" s="4"/>
    </row>
    <row r="39" spans="1:17" s="2" customFormat="1" ht="2.1" customHeight="1">
      <c r="A39" s="4"/>
      <c r="B39" s="4"/>
      <c r="G39" s="72"/>
      <c r="H39" s="72"/>
      <c r="I39" s="72"/>
      <c r="J39" s="4"/>
      <c r="K39" s="4"/>
      <c r="L39" s="4"/>
      <c r="M39" s="4"/>
      <c r="N39" s="4"/>
      <c r="O39" s="4"/>
      <c r="P39" s="4"/>
      <c r="Q39" s="4"/>
    </row>
    <row r="40" spans="1:17" s="2" customFormat="1" ht="30" customHeight="1">
      <c r="A40" s="4"/>
      <c r="B40" s="4"/>
      <c r="G40" s="69" t="s">
        <v>5</v>
      </c>
      <c r="H40" s="75"/>
      <c r="I40" s="80">
        <f>I34*(1+I36)</f>
        <v>2200</v>
      </c>
      <c r="J40" s="157" t="s">
        <v>113</v>
      </c>
      <c r="K40" s="4"/>
      <c r="L40" s="4"/>
      <c r="M40" s="4"/>
      <c r="N40" s="4"/>
      <c r="O40" s="4"/>
      <c r="P40" s="4"/>
      <c r="Q40" s="4"/>
    </row>
    <row r="41" spans="1:17" s="2" customFormat="1" ht="2.1" customHeight="1">
      <c r="A41" s="4"/>
      <c r="B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s="2" customFormat="1" ht="3" customHeight="1">
      <c r="A42" s="4"/>
      <c r="B42" s="4"/>
      <c r="G42" s="61"/>
      <c r="H42" s="4"/>
      <c r="I42" s="61"/>
      <c r="J42" s="4"/>
      <c r="K42" s="4"/>
      <c r="L42" s="4"/>
      <c r="M42" s="4"/>
      <c r="N42" s="4"/>
      <c r="O42" s="4"/>
      <c r="P42" s="4"/>
      <c r="Q42" s="4"/>
    </row>
    <row r="43" spans="1:17" ht="20.100000000000001" customHeight="1">
      <c r="J43" s="4"/>
      <c r="K43" s="4"/>
      <c r="L43" s="4"/>
    </row>
    <row r="44" spans="1:17" ht="30" customHeight="1">
      <c r="C44" s="2"/>
      <c r="D44" s="2"/>
      <c r="E44" s="146" t="s">
        <v>21</v>
      </c>
      <c r="F44" s="147"/>
      <c r="G44" s="79" t="s">
        <v>80</v>
      </c>
      <c r="H44" s="7"/>
      <c r="I44" s="23"/>
      <c r="J44" s="2"/>
      <c r="K44" s="4"/>
      <c r="L44" s="4"/>
    </row>
    <row r="45" spans="1:17" ht="15.75" customHeight="1">
      <c r="C45" s="2"/>
      <c r="D45" s="2"/>
      <c r="E45" s="2"/>
      <c r="F45" s="2"/>
      <c r="G45" s="4"/>
      <c r="H45" s="4"/>
      <c r="I45" s="4"/>
      <c r="J45" s="4"/>
      <c r="K45" s="4"/>
      <c r="L45" s="4"/>
    </row>
    <row r="46" spans="1:17" ht="2.1" customHeight="1">
      <c r="C46" s="2"/>
      <c r="D46" s="2"/>
      <c r="E46" s="2"/>
      <c r="F46" s="2"/>
      <c r="G46" s="4"/>
      <c r="H46" s="4"/>
      <c r="I46" s="4"/>
      <c r="J46" s="4"/>
      <c r="K46" s="4"/>
      <c r="L46" s="4"/>
    </row>
    <row r="47" spans="1:17" ht="30" customHeight="1">
      <c r="C47" s="2"/>
      <c r="D47" s="2"/>
      <c r="E47" s="2"/>
      <c r="F47" s="2"/>
      <c r="G47" s="145" t="s">
        <v>10</v>
      </c>
      <c r="H47" s="145"/>
      <c r="I47" s="145"/>
      <c r="J47" s="4"/>
      <c r="K47" s="4"/>
      <c r="L47" s="4"/>
    </row>
    <row r="48" spans="1:17" ht="30" customHeight="1">
      <c r="C48" s="2"/>
      <c r="D48" s="2"/>
      <c r="E48" s="2"/>
      <c r="F48" s="2"/>
      <c r="G48" s="8"/>
      <c r="H48" s="10"/>
      <c r="I48" s="11"/>
      <c r="J48" s="4"/>
      <c r="K48" s="4"/>
      <c r="L48" s="4"/>
    </row>
    <row r="49" spans="3:12" ht="30" customHeight="1">
      <c r="C49" s="2"/>
      <c r="D49" s="2"/>
      <c r="E49" s="2"/>
      <c r="F49" s="2"/>
      <c r="G49" s="9"/>
      <c r="H49" s="12"/>
      <c r="I49" s="13"/>
      <c r="J49" s="4"/>
      <c r="K49" s="4"/>
      <c r="L49" s="4"/>
    </row>
    <row r="50" spans="3:12" ht="18" customHeight="1">
      <c r="C50" s="2"/>
      <c r="D50" s="2"/>
      <c r="E50" s="2"/>
      <c r="F50" s="2"/>
      <c r="G50" s="4"/>
      <c r="H50" s="4"/>
      <c r="I50" s="4"/>
      <c r="J50" s="2"/>
      <c r="K50" s="4"/>
      <c r="L50" s="4"/>
    </row>
    <row r="51" spans="3:12" ht="3" customHeight="1">
      <c r="C51" s="2"/>
      <c r="D51" s="2"/>
      <c r="E51" s="2"/>
      <c r="F51" s="2"/>
      <c r="G51" s="61"/>
      <c r="H51" s="4"/>
      <c r="I51" s="61"/>
      <c r="J51" s="2"/>
      <c r="K51" s="4"/>
      <c r="L51" s="4"/>
    </row>
    <row r="52" spans="3:12" ht="2.1" customHeight="1">
      <c r="C52" s="2"/>
      <c r="D52" s="2"/>
      <c r="E52" s="2"/>
      <c r="F52" s="2"/>
      <c r="G52" s="4"/>
      <c r="H52" s="4"/>
      <c r="I52" s="4"/>
      <c r="J52" s="2"/>
      <c r="K52" s="4"/>
      <c r="L52" s="4"/>
    </row>
    <row r="53" spans="3:12" ht="30" customHeight="1">
      <c r="C53" s="2"/>
      <c r="D53" s="2"/>
      <c r="E53" s="2"/>
      <c r="F53" s="2"/>
      <c r="G53" s="63" t="s">
        <v>38</v>
      </c>
      <c r="H53" s="64"/>
      <c r="I53" s="77">
        <v>1200</v>
      </c>
      <c r="J53" s="2"/>
      <c r="K53" s="4"/>
      <c r="L53" s="4"/>
    </row>
    <row r="54" spans="3:12" ht="2.1" customHeight="1">
      <c r="C54" s="2"/>
      <c r="D54" s="2"/>
      <c r="E54" s="2"/>
      <c r="F54" s="2"/>
      <c r="G54" s="66"/>
      <c r="H54" s="66"/>
      <c r="I54" s="67"/>
      <c r="J54" s="2"/>
      <c r="K54" s="4"/>
      <c r="L54" s="4"/>
    </row>
    <row r="55" spans="3:12" ht="30" customHeight="1">
      <c r="C55" s="2"/>
      <c r="D55" s="2"/>
      <c r="E55" s="2"/>
      <c r="F55" s="2"/>
      <c r="G55" s="63" t="s">
        <v>1</v>
      </c>
      <c r="H55" s="64"/>
      <c r="I55" s="78">
        <v>0.25</v>
      </c>
      <c r="J55" s="2"/>
      <c r="K55" s="4"/>
      <c r="L55" s="4"/>
    </row>
    <row r="56" spans="3:12" ht="2.1" customHeight="1">
      <c r="C56" s="2"/>
      <c r="D56" s="2"/>
      <c r="E56" s="2"/>
      <c r="F56" s="2"/>
      <c r="G56" s="72"/>
      <c r="H56" s="72"/>
      <c r="I56" s="72"/>
      <c r="J56" s="2"/>
      <c r="K56" s="4"/>
      <c r="L56" s="4"/>
    </row>
    <row r="57" spans="3:12" ht="3" customHeight="1">
      <c r="C57" s="2"/>
      <c r="D57" s="2"/>
      <c r="E57" s="2"/>
      <c r="F57" s="2"/>
      <c r="G57" s="73"/>
      <c r="H57" s="72"/>
      <c r="I57" s="73"/>
      <c r="J57" s="2"/>
      <c r="K57" s="4"/>
      <c r="L57" s="4"/>
    </row>
    <row r="58" spans="3:12" ht="2.1" customHeight="1">
      <c r="C58" s="2"/>
      <c r="D58" s="2"/>
      <c r="E58" s="2"/>
      <c r="F58" s="2"/>
      <c r="G58" s="72"/>
      <c r="H58" s="72"/>
      <c r="I58" s="72"/>
      <c r="J58" s="2"/>
      <c r="K58" s="4"/>
      <c r="L58" s="4"/>
    </row>
    <row r="59" spans="3:12" ht="30" customHeight="1">
      <c r="C59" s="2"/>
      <c r="D59" s="2"/>
      <c r="E59" s="2"/>
      <c r="F59" s="2"/>
      <c r="G59" s="69" t="s">
        <v>5</v>
      </c>
      <c r="H59" s="75"/>
      <c r="I59" s="76">
        <f>I53*(1-I55)</f>
        <v>900</v>
      </c>
      <c r="J59" s="76" t="s">
        <v>112</v>
      </c>
      <c r="K59" s="4"/>
      <c r="L59" s="4"/>
    </row>
    <row r="60" spans="3:12" ht="2.1" customHeight="1">
      <c r="C60" s="2"/>
      <c r="D60" s="2"/>
      <c r="E60" s="2"/>
      <c r="F60" s="2"/>
      <c r="G60" s="4"/>
      <c r="H60" s="4"/>
      <c r="I60" s="4"/>
      <c r="J60" s="2"/>
      <c r="K60" s="4"/>
      <c r="L60" s="4"/>
    </row>
    <row r="61" spans="3:12" ht="3" customHeight="1">
      <c r="C61" s="2"/>
      <c r="D61" s="2"/>
      <c r="E61" s="2"/>
      <c r="F61" s="2"/>
      <c r="G61" s="61"/>
      <c r="H61" s="4"/>
      <c r="I61" s="61"/>
      <c r="J61" s="2"/>
      <c r="K61" s="4"/>
      <c r="L61" s="4"/>
    </row>
    <row r="62" spans="3:12" ht="2.1" customHeight="1">
      <c r="J62" s="4"/>
      <c r="K62" s="4"/>
      <c r="L62" s="4"/>
    </row>
    <row r="63" spans="3:12" ht="30" customHeight="1">
      <c r="J63" s="4"/>
      <c r="K63" s="4"/>
      <c r="L63" s="4"/>
    </row>
  </sheetData>
  <sheetProtection selectLockedCells="1"/>
  <mergeCells count="8">
    <mergeCell ref="B3:C3"/>
    <mergeCell ref="E5:F5"/>
    <mergeCell ref="G8:I8"/>
    <mergeCell ref="I1:K1"/>
    <mergeCell ref="G28:I28"/>
    <mergeCell ref="E44:F44"/>
    <mergeCell ref="G47:I47"/>
    <mergeCell ref="E26:F26"/>
  </mergeCells>
  <pageMargins left="0.75" right="0.75" top="1" bottom="1" header="0" footer="0"/>
  <pageSetup orientation="portrait" horizontalDpi="3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T45"/>
  <sheetViews>
    <sheetView showGridLines="0" zoomScaleNormal="100" workbookViewId="0">
      <pane ySplit="1" topLeftCell="A2" activePane="bottomLeft" state="frozen"/>
      <selection pane="bottomLeft" activeCell="J32" sqref="J32"/>
    </sheetView>
  </sheetViews>
  <sheetFormatPr baseColWidth="10" defaultColWidth="11.44140625" defaultRowHeight="20.100000000000001" customHeight="1"/>
  <cols>
    <col min="1" max="1" width="3.109375" style="1" customWidth="1"/>
    <col min="2" max="2" width="14.88671875" style="1" customWidth="1"/>
    <col min="3" max="3" width="9.109375" style="1" customWidth="1"/>
    <col min="4" max="4" width="0.5546875" style="1" customWidth="1"/>
    <col min="5" max="5" width="16.6640625" style="1" customWidth="1"/>
    <col min="6" max="6" width="0.33203125" style="1" customWidth="1"/>
    <col min="7" max="7" width="23" style="1" customWidth="1"/>
    <col min="8" max="8" width="0.33203125" style="1" customWidth="1"/>
    <col min="9" max="9" width="26.33203125" style="1" customWidth="1"/>
    <col min="10" max="10" width="20.33203125" style="1" customWidth="1"/>
    <col min="11" max="11" width="19" style="1" customWidth="1"/>
    <col min="12" max="16384" width="11.44140625" style="1"/>
  </cols>
  <sheetData>
    <row r="1" spans="1:20" s="56" customFormat="1" ht="36" customHeight="1">
      <c r="C1" s="57"/>
      <c r="D1" s="57"/>
      <c r="G1" s="144" t="s">
        <v>74</v>
      </c>
      <c r="H1" s="144"/>
      <c r="I1" s="144"/>
      <c r="J1" s="144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20" ht="12.75" customHeight="1"/>
    <row r="3" spans="1:20" ht="33" customHeight="1">
      <c r="B3" s="148" t="s">
        <v>72</v>
      </c>
      <c r="C3" s="149"/>
      <c r="D3" s="20"/>
      <c r="E3" s="81" t="s">
        <v>81</v>
      </c>
      <c r="F3" s="21"/>
      <c r="G3" s="21"/>
      <c r="H3" s="21"/>
      <c r="I3" s="21"/>
      <c r="J3" s="22"/>
      <c r="K3" s="2"/>
      <c r="L3" s="2"/>
      <c r="M3" s="2"/>
      <c r="N3" s="2"/>
      <c r="O3" s="2"/>
    </row>
    <row r="4" spans="1:20" ht="18.75" customHeight="1"/>
    <row r="5" spans="1:20" s="2" customFormat="1" ht="3.75" customHeight="1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20" s="2" customFormat="1" ht="30" customHeight="1">
      <c r="A6" s="4"/>
      <c r="E6" s="146" t="s">
        <v>9</v>
      </c>
      <c r="F6" s="147"/>
      <c r="G6" s="60" t="s">
        <v>82</v>
      </c>
      <c r="H6" s="7"/>
      <c r="I6" s="16"/>
      <c r="J6" s="6"/>
      <c r="K6" s="6"/>
      <c r="L6" s="17"/>
    </row>
    <row r="7" spans="1:20" s="2" customFormat="1" ht="6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20" s="2" customFormat="1" ht="8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20" s="2" customFormat="1" ht="30" customHeight="1">
      <c r="A9" s="4"/>
      <c r="B9" s="4"/>
      <c r="C9" s="4"/>
      <c r="D9" s="4"/>
      <c r="E9" s="4"/>
      <c r="F9" s="4"/>
      <c r="G9" s="145" t="s">
        <v>10</v>
      </c>
      <c r="H9" s="145"/>
      <c r="I9" s="145"/>
      <c r="J9" s="4"/>
      <c r="K9" s="4"/>
    </row>
    <row r="10" spans="1:20" s="2" customFormat="1" ht="30" customHeight="1">
      <c r="A10" s="4"/>
      <c r="B10" s="4"/>
      <c r="C10" s="4"/>
      <c r="D10" s="4"/>
      <c r="E10" s="4"/>
      <c r="F10" s="4"/>
      <c r="G10" s="8"/>
      <c r="H10" s="10"/>
      <c r="I10" s="11"/>
      <c r="J10" s="4"/>
      <c r="K10" s="4"/>
    </row>
    <row r="11" spans="1:20" s="2" customFormat="1" ht="30" customHeight="1">
      <c r="A11" s="4"/>
      <c r="B11" s="4"/>
      <c r="C11" s="4"/>
      <c r="D11" s="4"/>
      <c r="E11" s="4"/>
      <c r="F11" s="4"/>
      <c r="G11" s="9"/>
      <c r="H11" s="12"/>
      <c r="I11" s="13"/>
      <c r="J11" s="4"/>
      <c r="K11" s="4"/>
    </row>
    <row r="12" spans="1:20" s="2" customFormat="1" ht="12.75" customHeight="1">
      <c r="A12" s="4"/>
      <c r="B12" s="4"/>
      <c r="C12" s="4"/>
      <c r="D12" s="4"/>
      <c r="E12" s="4"/>
      <c r="F12" s="4"/>
      <c r="G12" s="4"/>
      <c r="H12" s="4"/>
      <c r="I12" s="4"/>
    </row>
    <row r="13" spans="1:20" s="2" customFormat="1" ht="3" customHeight="1">
      <c r="A13" s="4"/>
      <c r="B13" s="4"/>
      <c r="G13" s="61"/>
      <c r="H13" s="4"/>
      <c r="I13" s="61"/>
    </row>
    <row r="14" spans="1:20" s="2" customFormat="1" ht="2.1" customHeight="1">
      <c r="A14" s="4"/>
      <c r="B14" s="4"/>
      <c r="G14" s="4"/>
      <c r="H14" s="4"/>
      <c r="I14" s="4"/>
    </row>
    <row r="15" spans="1:20" s="2" customFormat="1" ht="30" customHeight="1">
      <c r="A15" s="4"/>
      <c r="B15" s="4"/>
      <c r="G15" s="63" t="s">
        <v>5</v>
      </c>
      <c r="H15" s="64"/>
      <c r="I15" s="65">
        <v>20000</v>
      </c>
    </row>
    <row r="16" spans="1:20" s="2" customFormat="1" ht="2.1" customHeight="1">
      <c r="A16" s="4"/>
      <c r="B16" s="4"/>
      <c r="G16" s="66"/>
      <c r="H16" s="66"/>
      <c r="I16" s="67"/>
    </row>
    <row r="17" spans="1:17" s="2" customFormat="1" ht="30" customHeight="1">
      <c r="A17" s="4"/>
      <c r="B17" s="4"/>
      <c r="G17" s="63" t="s">
        <v>2</v>
      </c>
      <c r="H17" s="64"/>
      <c r="I17" s="85">
        <v>3</v>
      </c>
      <c r="M17" s="4"/>
      <c r="N17" s="4"/>
      <c r="O17" s="4"/>
      <c r="P17" s="4"/>
      <c r="Q17" s="4"/>
    </row>
    <row r="18" spans="1:17" s="2" customFormat="1" ht="2.1" customHeight="1">
      <c r="A18" s="4"/>
      <c r="B18" s="4"/>
      <c r="G18" s="69"/>
      <c r="H18" s="66"/>
      <c r="I18" s="70"/>
      <c r="M18" s="4"/>
      <c r="N18" s="4"/>
      <c r="O18" s="4"/>
      <c r="P18" s="4"/>
      <c r="Q18" s="4"/>
    </row>
    <row r="19" spans="1:17" s="2" customFormat="1" ht="30" customHeight="1">
      <c r="A19" s="4"/>
      <c r="B19" s="4"/>
      <c r="G19" s="63" t="s">
        <v>8</v>
      </c>
      <c r="H19" s="64"/>
      <c r="I19" s="86">
        <v>4.7219999999999998E-2</v>
      </c>
      <c r="M19" s="4"/>
      <c r="N19" s="4"/>
      <c r="O19" s="4"/>
      <c r="P19" s="4"/>
      <c r="Q19" s="4"/>
    </row>
    <row r="20" spans="1:17" s="2" customFormat="1" ht="2.1" customHeight="1">
      <c r="A20" s="4"/>
      <c r="B20" s="4"/>
      <c r="G20" s="72"/>
      <c r="H20" s="72"/>
      <c r="I20" s="72"/>
      <c r="M20" s="4"/>
      <c r="N20" s="4"/>
      <c r="O20" s="4"/>
      <c r="P20" s="4"/>
      <c r="Q20" s="4"/>
    </row>
    <row r="21" spans="1:17" s="2" customFormat="1" ht="3" customHeight="1">
      <c r="A21" s="4"/>
      <c r="B21" s="4"/>
      <c r="G21" s="73"/>
      <c r="H21" s="73"/>
      <c r="I21" s="73"/>
      <c r="M21" s="4"/>
      <c r="N21" s="4"/>
      <c r="O21" s="4"/>
      <c r="P21" s="4"/>
      <c r="Q21" s="4"/>
    </row>
    <row r="22" spans="1:17" s="2" customFormat="1" ht="2.1" customHeight="1">
      <c r="A22" s="4"/>
      <c r="B22" s="4"/>
      <c r="G22" s="72"/>
      <c r="H22" s="72"/>
      <c r="I22" s="72"/>
      <c r="M22" s="4"/>
      <c r="N22" s="4"/>
      <c r="O22" s="4"/>
      <c r="P22" s="4"/>
      <c r="Q22" s="4"/>
    </row>
    <row r="23" spans="1:17" s="2" customFormat="1" ht="30" customHeight="1">
      <c r="A23" s="4"/>
      <c r="B23" s="4"/>
      <c r="G23" s="69" t="s">
        <v>4</v>
      </c>
      <c r="H23" s="75"/>
      <c r="I23" s="80">
        <f>(I15*I17*I19)/(1-I17*I19)</f>
        <v>3300.7898967775004</v>
      </c>
      <c r="J23" s="158" t="s">
        <v>115</v>
      </c>
      <c r="M23" s="4"/>
      <c r="N23" s="4"/>
      <c r="O23" s="4"/>
      <c r="P23" s="4"/>
      <c r="Q23" s="4"/>
    </row>
    <row r="24" spans="1:17" s="2" customFormat="1" ht="2.1" customHeight="1">
      <c r="A24" s="4"/>
      <c r="B24" s="4"/>
      <c r="G24" s="4"/>
      <c r="H24" s="4"/>
      <c r="I24" s="4"/>
      <c r="M24" s="4"/>
      <c r="N24" s="4"/>
      <c r="O24" s="4"/>
      <c r="P24" s="4"/>
      <c r="Q24" s="4"/>
    </row>
    <row r="25" spans="1:17" s="2" customFormat="1" ht="3" customHeight="1">
      <c r="A25" s="4"/>
      <c r="B25" s="4"/>
      <c r="G25" s="61"/>
      <c r="H25" s="4"/>
      <c r="I25" s="61"/>
      <c r="M25" s="4"/>
      <c r="N25" s="4"/>
      <c r="O25" s="4"/>
      <c r="P25" s="4"/>
      <c r="Q25" s="4"/>
    </row>
    <row r="26" spans="1:17" ht="20.100000000000001" customHeight="1">
      <c r="J26" s="2"/>
      <c r="K26" s="2"/>
      <c r="L26" s="2"/>
    </row>
    <row r="27" spans="1:17" s="2" customFormat="1" ht="30" customHeight="1">
      <c r="A27" s="4"/>
      <c r="E27" s="146" t="s">
        <v>20</v>
      </c>
      <c r="F27" s="147"/>
      <c r="G27" s="62" t="s">
        <v>83</v>
      </c>
      <c r="H27" s="7"/>
      <c r="I27" s="16"/>
      <c r="J27" s="17"/>
    </row>
    <row r="28" spans="1:17" s="2" customFormat="1" ht="6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7" s="2" customFormat="1" ht="9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7" s="2" customFormat="1" ht="30" customHeight="1">
      <c r="A30" s="4"/>
      <c r="B30" s="4"/>
      <c r="C30" s="4"/>
      <c r="D30" s="4"/>
      <c r="E30" s="4"/>
      <c r="F30" s="4"/>
      <c r="G30" s="145" t="s">
        <v>10</v>
      </c>
      <c r="H30" s="145"/>
      <c r="I30" s="145"/>
      <c r="J30" s="4"/>
      <c r="K30" s="4"/>
    </row>
    <row r="31" spans="1:17" s="2" customFormat="1" ht="30" customHeight="1">
      <c r="A31" s="4"/>
      <c r="B31" s="4"/>
      <c r="C31" s="4"/>
      <c r="D31" s="4"/>
      <c r="E31" s="4"/>
      <c r="F31" s="4"/>
      <c r="G31" s="8"/>
      <c r="H31" s="10"/>
      <c r="I31" s="11"/>
      <c r="J31" s="4"/>
      <c r="K31" s="4"/>
    </row>
    <row r="32" spans="1:17" s="2" customFormat="1" ht="30" customHeight="1">
      <c r="A32" s="4"/>
      <c r="B32" s="4"/>
      <c r="C32" s="4"/>
      <c r="D32" s="4"/>
      <c r="E32" s="4"/>
      <c r="F32" s="4"/>
      <c r="G32" s="9"/>
      <c r="H32" s="12"/>
      <c r="I32" s="13"/>
      <c r="J32" s="4"/>
      <c r="K32" s="4"/>
    </row>
    <row r="33" spans="1:17" s="2" customFormat="1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7" s="2" customFormat="1" ht="3" customHeight="1">
      <c r="A34" s="4"/>
      <c r="B34" s="4"/>
      <c r="G34" s="61"/>
      <c r="H34" s="4"/>
      <c r="I34" s="61"/>
      <c r="J34" s="4"/>
      <c r="K34" s="4"/>
      <c r="L34" s="4"/>
    </row>
    <row r="35" spans="1:17" s="2" customFormat="1" ht="2.1" customHeight="1">
      <c r="A35" s="4"/>
      <c r="B35" s="4"/>
      <c r="G35" s="4"/>
      <c r="H35" s="4"/>
      <c r="I35" s="4"/>
      <c r="J35" s="4"/>
      <c r="K35" s="4"/>
      <c r="L35" s="4"/>
    </row>
    <row r="36" spans="1:17" s="2" customFormat="1" ht="30" customHeight="1">
      <c r="A36" s="4"/>
      <c r="B36" s="4"/>
      <c r="G36" s="63" t="s">
        <v>24</v>
      </c>
      <c r="H36" s="64"/>
      <c r="I36" s="65">
        <v>1500</v>
      </c>
      <c r="J36" s="4"/>
      <c r="K36" s="4"/>
      <c r="L36" s="4"/>
    </row>
    <row r="37" spans="1:17" s="2" customFormat="1" ht="2.1" customHeight="1">
      <c r="A37" s="4"/>
      <c r="B37" s="4"/>
      <c r="G37" s="66"/>
      <c r="H37" s="66"/>
      <c r="I37" s="67"/>
      <c r="J37" s="4"/>
      <c r="K37" s="4"/>
      <c r="L37" s="4"/>
    </row>
    <row r="38" spans="1:17" s="2" customFormat="1" ht="30" customHeight="1">
      <c r="A38" s="4"/>
      <c r="B38" s="4"/>
      <c r="G38" s="63" t="s">
        <v>1</v>
      </c>
      <c r="H38" s="64"/>
      <c r="I38" s="68">
        <v>0.25359999999999999</v>
      </c>
      <c r="J38" s="4"/>
      <c r="K38" s="4"/>
      <c r="L38" s="4"/>
      <c r="M38" s="4"/>
      <c r="N38" s="4"/>
      <c r="O38" s="4"/>
      <c r="P38" s="4"/>
      <c r="Q38" s="4"/>
    </row>
    <row r="39" spans="1:17" s="2" customFormat="1" ht="2.1" customHeight="1">
      <c r="A39" s="4"/>
      <c r="B39" s="4"/>
      <c r="G39" s="72"/>
      <c r="H39" s="72"/>
      <c r="I39" s="72"/>
      <c r="J39" s="4"/>
      <c r="K39" s="4"/>
      <c r="L39" s="4"/>
      <c r="M39" s="4"/>
      <c r="N39" s="4"/>
      <c r="O39" s="4"/>
      <c r="P39" s="4"/>
      <c r="Q39" s="4"/>
    </row>
    <row r="40" spans="1:17" s="2" customFormat="1" ht="3" customHeight="1">
      <c r="A40" s="4"/>
      <c r="B40" s="4"/>
      <c r="G40" s="73"/>
      <c r="H40" s="72"/>
      <c r="I40" s="73"/>
      <c r="J40" s="4"/>
      <c r="K40" s="4"/>
      <c r="L40" s="4"/>
      <c r="M40" s="4"/>
      <c r="N40" s="4"/>
      <c r="O40" s="4"/>
      <c r="P40" s="4"/>
      <c r="Q40" s="4"/>
    </row>
    <row r="41" spans="1:17" s="2" customFormat="1" ht="2.1" customHeight="1">
      <c r="A41" s="4"/>
      <c r="B41" s="4"/>
      <c r="G41" s="72"/>
      <c r="H41" s="72"/>
      <c r="I41" s="72"/>
      <c r="J41" s="4"/>
      <c r="K41" s="4"/>
      <c r="L41" s="4"/>
      <c r="M41" s="4"/>
      <c r="N41" s="4"/>
      <c r="O41" s="4"/>
      <c r="P41" s="4"/>
      <c r="Q41" s="4"/>
    </row>
    <row r="42" spans="1:17" s="2" customFormat="1" ht="30" customHeight="1">
      <c r="A42" s="4"/>
      <c r="B42" s="4"/>
      <c r="G42" s="69" t="s">
        <v>7</v>
      </c>
      <c r="H42" s="75"/>
      <c r="I42" s="76">
        <f>I36/(1+I38)</f>
        <v>1196.5539246968729</v>
      </c>
      <c r="J42" s="159" t="s">
        <v>116</v>
      </c>
      <c r="K42" s="4"/>
      <c r="L42" s="4"/>
      <c r="M42" s="4"/>
      <c r="N42" s="4"/>
      <c r="O42" s="4"/>
      <c r="P42" s="4"/>
      <c r="Q42" s="4"/>
    </row>
    <row r="43" spans="1:17" s="2" customFormat="1" ht="2.1" customHeight="1">
      <c r="A43" s="4"/>
      <c r="B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s="2" customFormat="1" ht="3" customHeight="1">
      <c r="A44" s="4"/>
      <c r="B44" s="4"/>
      <c r="G44" s="61"/>
      <c r="H44" s="4"/>
      <c r="I44" s="61"/>
      <c r="J44" s="4"/>
      <c r="K44" s="4"/>
      <c r="L44" s="4"/>
      <c r="M44" s="4"/>
      <c r="N44" s="4"/>
      <c r="O44" s="4"/>
      <c r="P44" s="4"/>
      <c r="Q44" s="4"/>
    </row>
    <row r="45" spans="1:17" ht="20.100000000000001" customHeight="1">
      <c r="J45" s="4"/>
      <c r="K45" s="4"/>
      <c r="L45" s="4"/>
    </row>
  </sheetData>
  <sheetProtection selectLockedCells="1"/>
  <mergeCells count="6">
    <mergeCell ref="G30:I30"/>
    <mergeCell ref="G1:J1"/>
    <mergeCell ref="E27:F27"/>
    <mergeCell ref="B3:C3"/>
    <mergeCell ref="E6:F6"/>
    <mergeCell ref="G9:I9"/>
  </mergeCells>
  <pageMargins left="0.75" right="0.75" top="1" bottom="1" header="0" footer="0"/>
  <pageSetup orientation="portrait" horizontalDpi="3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T92"/>
  <sheetViews>
    <sheetView showGridLines="0" zoomScaleNormal="100" workbookViewId="0">
      <pane ySplit="1" topLeftCell="A2" activePane="bottomLeft" state="frozen"/>
      <selection pane="bottomLeft" activeCell="J85" sqref="J85"/>
    </sheetView>
  </sheetViews>
  <sheetFormatPr baseColWidth="10" defaultColWidth="11.44140625" defaultRowHeight="20.100000000000001" customHeight="1"/>
  <cols>
    <col min="1" max="1" width="3.109375" style="1" customWidth="1"/>
    <col min="2" max="2" width="14.88671875" style="1" customWidth="1"/>
    <col min="3" max="3" width="9.109375" style="1" customWidth="1"/>
    <col min="4" max="4" width="0.5546875" style="1" customWidth="1"/>
    <col min="5" max="5" width="16.6640625" style="1" customWidth="1"/>
    <col min="6" max="6" width="0.33203125" style="1" customWidth="1"/>
    <col min="7" max="7" width="23" style="1" customWidth="1"/>
    <col min="8" max="8" width="0.33203125" style="1" customWidth="1"/>
    <col min="9" max="9" width="26.33203125" style="1" customWidth="1"/>
    <col min="10" max="10" width="20.33203125" style="1" customWidth="1"/>
    <col min="11" max="11" width="43.109375" style="1" customWidth="1"/>
    <col min="12" max="12" width="22.5546875" style="1" customWidth="1"/>
    <col min="13" max="13" width="14.44140625" style="1" customWidth="1"/>
    <col min="14" max="16384" width="11.44140625" style="1"/>
  </cols>
  <sheetData>
    <row r="1" spans="1:20" s="82" customFormat="1" ht="34.799999999999997" customHeight="1">
      <c r="C1" s="83"/>
      <c r="D1" s="83"/>
      <c r="G1" s="150" t="s">
        <v>74</v>
      </c>
      <c r="H1" s="150"/>
      <c r="I1" s="150"/>
      <c r="J1" s="150"/>
      <c r="K1" s="55"/>
      <c r="L1" s="55"/>
      <c r="M1" s="55"/>
      <c r="N1" s="55"/>
      <c r="O1" s="84"/>
      <c r="P1" s="84"/>
      <c r="Q1" s="84"/>
      <c r="R1" s="84"/>
      <c r="S1" s="84"/>
      <c r="T1" s="84"/>
    </row>
    <row r="2" spans="1:20" ht="12.75" customHeight="1"/>
    <row r="3" spans="1:20" ht="30" customHeight="1">
      <c r="B3" s="148" t="s">
        <v>72</v>
      </c>
      <c r="C3" s="149"/>
      <c r="D3" s="20"/>
      <c r="E3" s="81" t="s">
        <v>81</v>
      </c>
      <c r="F3" s="21"/>
      <c r="G3" s="21"/>
      <c r="H3" s="21"/>
      <c r="I3" s="21"/>
      <c r="J3" s="22"/>
      <c r="K3" s="2"/>
      <c r="L3" s="2"/>
      <c r="M3" s="2"/>
      <c r="N3" s="2"/>
      <c r="O3" s="2"/>
    </row>
    <row r="4" spans="1:20" ht="18.75" customHeight="1"/>
    <row r="5" spans="1:20" s="2" customFormat="1" ht="30" customHeight="1">
      <c r="A5" s="4"/>
      <c r="E5" s="146" t="s">
        <v>19</v>
      </c>
      <c r="F5" s="147"/>
      <c r="G5" s="79" t="s">
        <v>84</v>
      </c>
      <c r="H5" s="7"/>
      <c r="I5" s="16"/>
      <c r="J5" s="6"/>
      <c r="K5" s="28"/>
    </row>
    <row r="6" spans="1:20" s="2" customFormat="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20" s="2" customFormat="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20" s="2" customFormat="1" ht="3" customHeight="1">
      <c r="A8" s="4"/>
      <c r="B8" s="4"/>
      <c r="G8" s="61"/>
      <c r="H8" s="4"/>
      <c r="I8" s="61"/>
      <c r="J8" s="4"/>
      <c r="K8" s="4"/>
      <c r="L8" s="4"/>
    </row>
    <row r="9" spans="1:20" s="2" customFormat="1" ht="2.1" customHeight="1">
      <c r="A9" s="4"/>
      <c r="B9" s="4"/>
      <c r="G9" s="4"/>
      <c r="H9" s="4"/>
      <c r="I9" s="4"/>
      <c r="J9" s="4"/>
      <c r="K9" s="4"/>
      <c r="L9" s="4"/>
    </row>
    <row r="10" spans="1:20" s="2" customFormat="1" ht="30" customHeight="1">
      <c r="A10" s="4"/>
      <c r="B10" s="4"/>
      <c r="G10" s="63" t="s">
        <v>25</v>
      </c>
      <c r="H10" s="64"/>
      <c r="I10" s="71">
        <v>800</v>
      </c>
      <c r="J10" s="4"/>
      <c r="K10" s="4"/>
      <c r="L10" s="4"/>
    </row>
    <row r="11" spans="1:20" s="2" customFormat="1" ht="2.1" customHeight="1">
      <c r="A11" s="4"/>
      <c r="B11" s="4"/>
      <c r="G11" s="66"/>
      <c r="H11" s="66"/>
      <c r="I11" s="88"/>
      <c r="J11" s="4"/>
      <c r="K11" s="4"/>
      <c r="L11" s="4"/>
    </row>
    <row r="12" spans="1:20" s="2" customFormat="1" ht="30" customHeight="1">
      <c r="A12" s="4"/>
      <c r="B12" s="4"/>
      <c r="G12" s="63" t="s">
        <v>26</v>
      </c>
      <c r="H12" s="64"/>
      <c r="I12" s="71">
        <v>600</v>
      </c>
      <c r="J12" s="4"/>
      <c r="K12" s="4"/>
      <c r="L12" s="4"/>
      <c r="M12" s="4"/>
      <c r="N12" s="4"/>
      <c r="O12" s="4"/>
      <c r="P12" s="4"/>
      <c r="Q12" s="4"/>
    </row>
    <row r="13" spans="1:20" s="2" customFormat="1" ht="2.1" customHeight="1">
      <c r="A13" s="4"/>
      <c r="B13" s="4"/>
      <c r="G13" s="72"/>
      <c r="H13" s="72"/>
      <c r="I13" s="72"/>
      <c r="J13" s="4"/>
      <c r="K13" s="4"/>
      <c r="L13" s="4"/>
      <c r="M13" s="4"/>
      <c r="N13" s="4"/>
      <c r="O13" s="4"/>
      <c r="P13" s="4"/>
      <c r="Q13" s="4"/>
    </row>
    <row r="14" spans="1:20" s="2" customFormat="1" ht="3" customHeight="1">
      <c r="A14" s="4"/>
      <c r="B14" s="4"/>
      <c r="G14" s="73"/>
      <c r="H14" s="72"/>
      <c r="I14" s="73"/>
      <c r="J14" s="4"/>
      <c r="K14" s="4"/>
      <c r="L14" s="4"/>
      <c r="M14" s="4"/>
      <c r="N14" s="4"/>
      <c r="O14" s="4"/>
      <c r="P14" s="4"/>
      <c r="Q14" s="4"/>
    </row>
    <row r="15" spans="1:20" s="2" customFormat="1" ht="2.1" customHeight="1">
      <c r="A15" s="4"/>
      <c r="B15" s="4"/>
      <c r="G15" s="72"/>
      <c r="H15" s="72"/>
      <c r="I15" s="72"/>
      <c r="J15" s="4"/>
      <c r="K15" s="4"/>
      <c r="L15" s="4"/>
      <c r="M15" s="4"/>
      <c r="N15" s="4"/>
      <c r="O15" s="4"/>
      <c r="P15" s="4"/>
      <c r="Q15" s="4"/>
    </row>
    <row r="16" spans="1:20" s="2" customFormat="1" ht="30" customHeight="1">
      <c r="A16" s="4"/>
      <c r="B16" s="4"/>
      <c r="G16" s="69" t="s">
        <v>27</v>
      </c>
      <c r="H16" s="75"/>
      <c r="I16" s="89">
        <f>I12/I10</f>
        <v>0.75</v>
      </c>
      <c r="J16" s="89" t="s">
        <v>117</v>
      </c>
      <c r="K16" s="4"/>
      <c r="L16" s="4"/>
      <c r="M16" s="4"/>
      <c r="N16" s="4"/>
      <c r="O16" s="4"/>
      <c r="P16" s="4"/>
      <c r="Q16" s="4"/>
    </row>
    <row r="17" spans="1:17" s="2" customFormat="1" ht="2.1" customHeight="1">
      <c r="A17" s="4"/>
      <c r="B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s="2" customFormat="1" ht="3" customHeight="1">
      <c r="A18" s="4"/>
      <c r="B18" s="4"/>
      <c r="G18" s="61"/>
      <c r="H18" s="4"/>
      <c r="I18" s="61"/>
      <c r="J18" s="4"/>
      <c r="K18" s="4"/>
      <c r="L18" s="4"/>
      <c r="M18" s="4"/>
      <c r="N18" s="4"/>
      <c r="O18" s="4"/>
      <c r="P18" s="4"/>
      <c r="Q18" s="4"/>
    </row>
    <row r="19" spans="1:17" ht="20.100000000000001" customHeight="1">
      <c r="J19" s="4"/>
      <c r="K19" s="4"/>
      <c r="L19" s="4"/>
    </row>
    <row r="20" spans="1:17" s="2" customFormat="1" ht="30" customHeight="1">
      <c r="A20" s="4"/>
      <c r="E20" s="146" t="s">
        <v>20</v>
      </c>
      <c r="F20" s="147"/>
      <c r="G20" s="79" t="s">
        <v>85</v>
      </c>
      <c r="H20" s="7"/>
      <c r="I20" s="16"/>
      <c r="J20" s="6"/>
      <c r="K20" s="31"/>
      <c r="L20" s="28"/>
    </row>
    <row r="21" spans="1:17" s="2" customFormat="1" ht="12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7" s="2" customFormat="1" ht="3" customHeight="1">
      <c r="A22" s="4"/>
      <c r="B22" s="4"/>
      <c r="G22" s="61"/>
      <c r="H22" s="4"/>
      <c r="I22" s="61"/>
      <c r="J22" s="4"/>
      <c r="K22" s="4"/>
      <c r="L22" s="4"/>
    </row>
    <row r="23" spans="1:17" s="2" customFormat="1" ht="2.1" customHeight="1">
      <c r="A23" s="4"/>
      <c r="B23" s="4"/>
      <c r="G23" s="4"/>
      <c r="H23" s="4"/>
      <c r="I23" s="4"/>
      <c r="J23" s="4"/>
      <c r="K23" s="4"/>
      <c r="L23" s="4"/>
    </row>
    <row r="24" spans="1:17" s="2" customFormat="1" ht="30" customHeight="1">
      <c r="A24" s="4"/>
      <c r="B24" s="4"/>
      <c r="G24" s="63" t="s">
        <v>28</v>
      </c>
      <c r="H24" s="64"/>
      <c r="I24" s="77">
        <v>88000</v>
      </c>
      <c r="J24" s="4"/>
      <c r="K24" s="4"/>
      <c r="L24" s="4"/>
    </row>
    <row r="25" spans="1:17" s="2" customFormat="1" ht="2.1" customHeight="1">
      <c r="A25" s="4"/>
      <c r="B25" s="4"/>
      <c r="G25" s="66"/>
      <c r="H25" s="66"/>
      <c r="I25" s="67"/>
      <c r="J25" s="4"/>
      <c r="K25" s="4"/>
      <c r="L25" s="4"/>
    </row>
    <row r="26" spans="1:17" s="2" customFormat="1" ht="30" customHeight="1">
      <c r="A26" s="4"/>
      <c r="B26" s="4"/>
      <c r="G26" s="63" t="s">
        <v>27</v>
      </c>
      <c r="H26" s="64"/>
      <c r="I26" s="68">
        <v>7.4999999999999997E-2</v>
      </c>
      <c r="J26" s="4"/>
      <c r="K26" s="4"/>
      <c r="L26" s="4"/>
      <c r="M26" s="4"/>
      <c r="N26" s="4"/>
      <c r="O26" s="4"/>
      <c r="P26" s="4"/>
      <c r="Q26" s="4"/>
    </row>
    <row r="27" spans="1:17" s="2" customFormat="1" ht="2.1" customHeight="1">
      <c r="A27" s="4"/>
      <c r="B27" s="4"/>
      <c r="G27" s="72"/>
      <c r="H27" s="72"/>
      <c r="I27" s="72"/>
      <c r="J27" s="4"/>
      <c r="K27" s="4"/>
      <c r="L27" s="4"/>
      <c r="M27" s="4"/>
      <c r="N27" s="4"/>
      <c r="O27" s="4"/>
      <c r="P27" s="4"/>
      <c r="Q27" s="4"/>
    </row>
    <row r="28" spans="1:17" s="2" customFormat="1" ht="3" customHeight="1">
      <c r="A28" s="4"/>
      <c r="B28" s="4"/>
      <c r="G28" s="73"/>
      <c r="H28" s="72"/>
      <c r="I28" s="73"/>
      <c r="J28" s="4"/>
      <c r="K28" s="4"/>
      <c r="L28" s="4"/>
      <c r="M28" s="4"/>
      <c r="N28" s="4"/>
      <c r="O28" s="4"/>
      <c r="P28" s="4"/>
      <c r="Q28" s="4"/>
    </row>
    <row r="29" spans="1:17" s="2" customFormat="1" ht="2.1" customHeight="1">
      <c r="A29" s="4"/>
      <c r="B29" s="4"/>
      <c r="G29" s="72"/>
      <c r="H29" s="72"/>
      <c r="I29" s="72"/>
      <c r="J29" s="4"/>
      <c r="K29" s="4"/>
      <c r="L29" s="4"/>
      <c r="M29" s="4"/>
      <c r="N29" s="4"/>
      <c r="O29" s="4"/>
      <c r="P29" s="4"/>
      <c r="Q29" s="4"/>
    </row>
    <row r="30" spans="1:17" s="2" customFormat="1" ht="30" customHeight="1">
      <c r="A30" s="4"/>
      <c r="B30" s="4"/>
      <c r="G30" s="69" t="s">
        <v>30</v>
      </c>
      <c r="H30" s="75"/>
      <c r="I30" s="80">
        <f>I24*I26</f>
        <v>6600</v>
      </c>
      <c r="J30" s="160" t="s">
        <v>118</v>
      </c>
      <c r="K30" s="4"/>
      <c r="L30" s="4"/>
      <c r="M30" s="4"/>
      <c r="N30" s="4"/>
      <c r="O30" s="4"/>
      <c r="P30" s="4"/>
      <c r="Q30" s="4"/>
    </row>
    <row r="31" spans="1:17" s="2" customFormat="1" ht="2.1" customHeight="1">
      <c r="A31" s="4"/>
      <c r="B31" s="4"/>
      <c r="G31" s="72"/>
      <c r="H31" s="72"/>
      <c r="I31" s="72"/>
      <c r="J31" s="4"/>
      <c r="K31" s="4"/>
      <c r="L31" s="4"/>
      <c r="M31" s="4"/>
      <c r="N31" s="4"/>
      <c r="O31" s="4"/>
      <c r="P31" s="4"/>
      <c r="Q31" s="4"/>
    </row>
    <row r="32" spans="1:17" s="2" customFormat="1" ht="2.1" customHeight="1">
      <c r="A32" s="4"/>
      <c r="B32" s="4"/>
      <c r="G32" s="73"/>
      <c r="H32" s="72"/>
      <c r="I32" s="73"/>
      <c r="J32" s="4"/>
      <c r="K32" s="4"/>
      <c r="L32" s="4"/>
      <c r="M32" s="4"/>
      <c r="N32" s="4"/>
      <c r="O32" s="4"/>
      <c r="P32" s="4"/>
      <c r="Q32" s="4"/>
    </row>
    <row r="33" spans="1:17" s="2" customFormat="1" ht="30" customHeight="1">
      <c r="A33" s="4"/>
      <c r="B33" s="4"/>
      <c r="E33" s="4"/>
      <c r="F33" s="4"/>
      <c r="G33" s="69" t="s">
        <v>29</v>
      </c>
      <c r="H33" s="73"/>
      <c r="I33" s="80">
        <f>I24-I30</f>
        <v>81400</v>
      </c>
      <c r="J33" s="160" t="s">
        <v>119</v>
      </c>
      <c r="K33" s="4"/>
      <c r="L33" s="4"/>
      <c r="M33" s="4"/>
      <c r="N33" s="4"/>
      <c r="O33" s="4"/>
      <c r="P33" s="4"/>
      <c r="Q33" s="4"/>
    </row>
    <row r="34" spans="1:17" s="2" customFormat="1" ht="2.1" customHeight="1">
      <c r="A34" s="4"/>
      <c r="B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s="2" customFormat="1" ht="3" customHeight="1">
      <c r="A35" s="4"/>
      <c r="B35" s="4"/>
      <c r="E35" s="4"/>
      <c r="F35" s="4"/>
      <c r="G35" s="61"/>
      <c r="H35" s="4"/>
      <c r="I35" s="61"/>
      <c r="J35" s="4"/>
      <c r="K35" s="4"/>
      <c r="L35" s="4"/>
      <c r="M35" s="4"/>
      <c r="N35" s="4"/>
      <c r="O35" s="4"/>
      <c r="P35" s="4"/>
      <c r="Q35" s="4"/>
    </row>
    <row r="36" spans="1:17" ht="20.100000000000001" customHeight="1">
      <c r="J36" s="4"/>
      <c r="K36" s="4"/>
      <c r="L36" s="4"/>
    </row>
    <row r="37" spans="1:17" ht="30" customHeight="1">
      <c r="C37" s="2"/>
      <c r="D37" s="2"/>
      <c r="E37" s="146" t="s">
        <v>21</v>
      </c>
      <c r="F37" s="147"/>
      <c r="G37" s="79" t="s">
        <v>86</v>
      </c>
      <c r="H37" s="7"/>
      <c r="I37" s="16"/>
      <c r="J37" s="31"/>
      <c r="K37" s="17"/>
      <c r="L37" s="4"/>
    </row>
    <row r="38" spans="1:17" ht="15.75" customHeight="1">
      <c r="C38" s="2"/>
      <c r="D38" s="2"/>
      <c r="E38" s="2"/>
      <c r="F38" s="2"/>
      <c r="G38" s="4"/>
      <c r="H38" s="4"/>
      <c r="I38" s="4"/>
      <c r="J38" s="4"/>
      <c r="K38" s="4"/>
      <c r="L38" s="4"/>
    </row>
    <row r="39" spans="1:17" ht="2.1" customHeight="1">
      <c r="C39" s="2"/>
      <c r="D39" s="2"/>
      <c r="E39" s="2"/>
      <c r="F39" s="2"/>
      <c r="G39" s="4"/>
      <c r="H39" s="4"/>
      <c r="I39" s="4"/>
      <c r="J39" s="4"/>
      <c r="K39" s="4"/>
      <c r="L39" s="4"/>
    </row>
    <row r="40" spans="1:17" ht="3" customHeight="1">
      <c r="C40" s="2"/>
      <c r="D40" s="2"/>
      <c r="E40" s="2"/>
      <c r="F40" s="2"/>
      <c r="G40" s="61"/>
      <c r="H40" s="4"/>
      <c r="I40" s="61"/>
      <c r="J40" s="2"/>
      <c r="K40" s="4"/>
      <c r="L40" s="4"/>
    </row>
    <row r="41" spans="1:17" ht="2.1" customHeight="1">
      <c r="C41" s="2"/>
      <c r="D41" s="2"/>
      <c r="E41" s="2"/>
      <c r="F41" s="2"/>
      <c r="G41" s="4"/>
      <c r="H41" s="4"/>
      <c r="I41" s="4"/>
      <c r="J41" s="2"/>
      <c r="K41" s="4"/>
      <c r="L41" s="4"/>
    </row>
    <row r="42" spans="1:17" ht="30" customHeight="1">
      <c r="C42" s="2"/>
      <c r="D42" s="2"/>
      <c r="E42" s="2"/>
      <c r="F42" s="2"/>
      <c r="G42" s="63" t="s">
        <v>28</v>
      </c>
      <c r="H42" s="64"/>
      <c r="I42" s="65">
        <v>1800</v>
      </c>
      <c r="J42" s="2"/>
      <c r="K42" s="4"/>
      <c r="L42" s="4"/>
    </row>
    <row r="43" spans="1:17" ht="2.1" customHeight="1">
      <c r="C43" s="2"/>
      <c r="D43" s="2"/>
      <c r="E43" s="2"/>
      <c r="F43" s="2"/>
      <c r="G43" s="66"/>
      <c r="H43" s="66"/>
      <c r="I43" s="67"/>
      <c r="J43" s="2"/>
      <c r="K43" s="4"/>
      <c r="L43" s="4"/>
    </row>
    <row r="44" spans="1:17" ht="30" customHeight="1">
      <c r="C44" s="2"/>
      <c r="D44" s="2"/>
      <c r="E44" s="2"/>
      <c r="F44" s="2"/>
      <c r="G44" s="63" t="s">
        <v>32</v>
      </c>
      <c r="H44" s="64"/>
      <c r="I44" s="78">
        <v>0.18</v>
      </c>
      <c r="J44" s="2"/>
      <c r="K44" s="4"/>
      <c r="L44" s="4"/>
    </row>
    <row r="45" spans="1:17" ht="2.1" customHeight="1">
      <c r="C45" s="2"/>
      <c r="D45" s="2"/>
      <c r="E45" s="2"/>
      <c r="F45" s="2"/>
      <c r="G45" s="72"/>
      <c r="H45" s="72"/>
      <c r="I45" s="72"/>
      <c r="J45" s="2"/>
      <c r="K45" s="4"/>
      <c r="L45" s="4"/>
    </row>
    <row r="46" spans="1:17" ht="3" customHeight="1">
      <c r="C46" s="2"/>
      <c r="D46" s="2"/>
      <c r="E46" s="2"/>
      <c r="F46" s="2"/>
      <c r="G46" s="73"/>
      <c r="H46" s="72"/>
      <c r="I46" s="73"/>
      <c r="J46" s="2"/>
      <c r="K46" s="4"/>
      <c r="L46" s="4"/>
    </row>
    <row r="47" spans="1:17" ht="2.1" customHeight="1">
      <c r="C47" s="2"/>
      <c r="D47" s="2"/>
      <c r="E47" s="2"/>
      <c r="F47" s="2"/>
      <c r="G47" s="72"/>
      <c r="H47" s="72"/>
      <c r="I47" s="72"/>
      <c r="J47" s="2"/>
      <c r="K47" s="4"/>
      <c r="L47" s="4"/>
    </row>
    <row r="48" spans="1:17" ht="30" customHeight="1">
      <c r="C48" s="2"/>
      <c r="D48" s="2"/>
      <c r="E48" s="2"/>
      <c r="F48" s="2"/>
      <c r="G48" s="69" t="s">
        <v>31</v>
      </c>
      <c r="H48" s="75"/>
      <c r="I48" s="80">
        <f>I42*I44</f>
        <v>324</v>
      </c>
      <c r="J48" s="160" t="s">
        <v>120</v>
      </c>
      <c r="K48" s="4"/>
      <c r="L48" s="4"/>
    </row>
    <row r="49" spans="1:17" ht="2.1" customHeight="1">
      <c r="C49" s="2"/>
      <c r="D49" s="2"/>
      <c r="E49" s="2"/>
      <c r="F49" s="2"/>
      <c r="G49" s="72"/>
      <c r="H49" s="72"/>
      <c r="I49" s="72"/>
      <c r="J49" s="2"/>
      <c r="K49" s="4"/>
      <c r="L49" s="4"/>
    </row>
    <row r="50" spans="1:17" ht="2.1" customHeight="1">
      <c r="C50" s="2"/>
      <c r="D50" s="2"/>
      <c r="E50" s="2"/>
      <c r="F50" s="2"/>
      <c r="G50" s="73"/>
      <c r="H50" s="72"/>
      <c r="I50" s="73"/>
      <c r="J50" s="2"/>
      <c r="K50" s="4"/>
      <c r="L50" s="4"/>
    </row>
    <row r="51" spans="1:17" ht="2.1" customHeight="1">
      <c r="G51" s="90"/>
      <c r="H51" s="90"/>
      <c r="I51" s="90"/>
      <c r="J51" s="4"/>
      <c r="K51" s="4"/>
      <c r="L51" s="4"/>
    </row>
    <row r="52" spans="1:17" ht="30" customHeight="1">
      <c r="G52" s="69" t="s">
        <v>29</v>
      </c>
      <c r="H52" s="73"/>
      <c r="I52" s="80">
        <f>I42+I48</f>
        <v>2124</v>
      </c>
      <c r="J52" s="160" t="s">
        <v>121</v>
      </c>
      <c r="K52" s="4"/>
      <c r="L52" s="4"/>
    </row>
    <row r="53" spans="1:17" ht="2.1" customHeight="1">
      <c r="J53" s="4"/>
      <c r="K53" s="4"/>
      <c r="L53" s="4"/>
    </row>
    <row r="54" spans="1:17" ht="3" customHeight="1">
      <c r="G54" s="94"/>
      <c r="I54" s="94"/>
      <c r="J54" s="4"/>
      <c r="K54" s="4"/>
      <c r="L54" s="4"/>
    </row>
    <row r="55" spans="1:17" ht="30" customHeight="1">
      <c r="J55" s="4"/>
      <c r="K55" s="4"/>
      <c r="L55" s="4"/>
    </row>
    <row r="56" spans="1:17" s="2" customFormat="1" ht="30" customHeight="1">
      <c r="A56" s="4"/>
      <c r="E56" s="146" t="s">
        <v>22</v>
      </c>
      <c r="F56" s="147"/>
      <c r="G56" s="79" t="s">
        <v>87</v>
      </c>
      <c r="H56" s="7"/>
      <c r="I56" s="16"/>
      <c r="J56" s="6"/>
      <c r="K56" s="28"/>
    </row>
    <row r="57" spans="1:17" s="2" customFormat="1" ht="12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7" s="2" customFormat="1" ht="6" customHeight="1">
      <c r="A58" s="4"/>
      <c r="B58" s="4"/>
      <c r="C58" s="4"/>
      <c r="D58" s="4"/>
      <c r="E58" s="4"/>
      <c r="F58" s="4"/>
      <c r="G58" s="4"/>
      <c r="H58" s="4"/>
      <c r="I58" s="4"/>
    </row>
    <row r="59" spans="1:17" s="2" customFormat="1" ht="3" customHeight="1">
      <c r="A59" s="4"/>
      <c r="B59" s="4"/>
      <c r="G59" s="61"/>
      <c r="H59" s="4"/>
      <c r="I59" s="61"/>
    </row>
    <row r="60" spans="1:17" s="2" customFormat="1" ht="2.1" customHeight="1">
      <c r="A60" s="4"/>
      <c r="B60" s="4"/>
      <c r="G60" s="4"/>
      <c r="H60" s="4"/>
      <c r="I60" s="4"/>
    </row>
    <row r="61" spans="1:17" s="2" customFormat="1" ht="30" customHeight="1">
      <c r="A61" s="4"/>
      <c r="B61" s="4"/>
      <c r="G61" s="63" t="s">
        <v>33</v>
      </c>
      <c r="H61" s="64"/>
      <c r="I61" s="65">
        <v>180</v>
      </c>
    </row>
    <row r="62" spans="1:17" s="2" customFormat="1" ht="2.1" customHeight="1">
      <c r="A62" s="4"/>
      <c r="B62" s="4"/>
      <c r="G62" s="66"/>
      <c r="H62" s="66"/>
      <c r="I62" s="67"/>
    </row>
    <row r="63" spans="1:17" s="2" customFormat="1" ht="30" customHeight="1">
      <c r="A63" s="4"/>
      <c r="B63" s="4"/>
      <c r="G63" s="63" t="s">
        <v>27</v>
      </c>
      <c r="H63" s="64"/>
      <c r="I63" s="78">
        <v>0.1</v>
      </c>
      <c r="M63" s="4"/>
      <c r="N63" s="4"/>
      <c r="O63" s="4"/>
      <c r="P63" s="4"/>
      <c r="Q63" s="4"/>
    </row>
    <row r="64" spans="1:17" s="2" customFormat="1" ht="2.1" customHeight="1">
      <c r="A64" s="4"/>
      <c r="B64" s="4"/>
      <c r="G64" s="69"/>
      <c r="H64" s="66"/>
      <c r="I64" s="70"/>
      <c r="M64" s="4"/>
      <c r="N64" s="4"/>
      <c r="O64" s="4"/>
      <c r="P64" s="4"/>
      <c r="Q64" s="4"/>
    </row>
    <row r="65" spans="1:17" s="2" customFormat="1" ht="3" customHeight="1">
      <c r="A65" s="4"/>
      <c r="B65" s="4"/>
      <c r="G65" s="75"/>
      <c r="H65" s="66"/>
      <c r="I65" s="95"/>
      <c r="M65" s="4"/>
      <c r="N65" s="4"/>
      <c r="O65" s="4"/>
      <c r="P65" s="4"/>
      <c r="Q65" s="4"/>
    </row>
    <row r="66" spans="1:17" s="2" customFormat="1" ht="2.1" customHeight="1">
      <c r="A66" s="4"/>
      <c r="B66" s="4"/>
      <c r="G66" s="69"/>
      <c r="H66" s="66"/>
      <c r="I66" s="70"/>
      <c r="M66" s="4"/>
      <c r="N66" s="4"/>
      <c r="O66" s="4"/>
      <c r="P66" s="4"/>
      <c r="Q66" s="4"/>
    </row>
    <row r="67" spans="1:17" s="2" customFormat="1" ht="30" customHeight="1">
      <c r="A67" s="4"/>
      <c r="B67" s="4"/>
      <c r="G67" s="69" t="s">
        <v>34</v>
      </c>
      <c r="H67" s="75"/>
      <c r="I67" s="80">
        <f>I61*I63</f>
        <v>18</v>
      </c>
      <c r="J67" s="160" t="s">
        <v>122</v>
      </c>
      <c r="M67" s="4"/>
      <c r="N67" s="4"/>
      <c r="O67" s="4"/>
      <c r="P67" s="4"/>
      <c r="Q67" s="4"/>
    </row>
    <row r="68" spans="1:17" s="2" customFormat="1" ht="2.1" customHeight="1">
      <c r="A68" s="4"/>
      <c r="B68" s="4"/>
      <c r="G68" s="72"/>
      <c r="H68" s="72"/>
      <c r="I68" s="72"/>
      <c r="M68" s="4"/>
      <c r="N68" s="4"/>
      <c r="O68" s="4"/>
      <c r="P68" s="4"/>
      <c r="Q68" s="4"/>
    </row>
    <row r="69" spans="1:17" s="2" customFormat="1" ht="3" customHeight="1">
      <c r="A69" s="4"/>
      <c r="B69" s="4"/>
      <c r="G69" s="73"/>
      <c r="H69" s="72"/>
      <c r="I69" s="73"/>
      <c r="M69" s="4"/>
      <c r="N69" s="4"/>
      <c r="O69" s="4"/>
      <c r="P69" s="4"/>
      <c r="Q69" s="4"/>
    </row>
    <row r="70" spans="1:17" s="2" customFormat="1" ht="2.1" customHeight="1">
      <c r="A70" s="4"/>
      <c r="B70" s="4"/>
      <c r="G70" s="72"/>
      <c r="H70" s="72"/>
      <c r="I70" s="72"/>
      <c r="M70" s="4"/>
      <c r="N70" s="4"/>
      <c r="O70" s="4"/>
      <c r="P70" s="4"/>
      <c r="Q70" s="4"/>
    </row>
    <row r="71" spans="1:17" s="2" customFormat="1" ht="30" customHeight="1">
      <c r="A71" s="4"/>
      <c r="B71" s="4"/>
      <c r="G71" s="69" t="s">
        <v>35</v>
      </c>
      <c r="H71" s="75"/>
      <c r="I71" s="91">
        <f>I61+I67</f>
        <v>198</v>
      </c>
      <c r="J71" s="160" t="s">
        <v>123</v>
      </c>
      <c r="M71" s="4"/>
      <c r="N71" s="4"/>
      <c r="O71" s="4"/>
      <c r="P71" s="4"/>
      <c r="Q71" s="4"/>
    </row>
    <row r="72" spans="1:17" s="2" customFormat="1" ht="2.1" customHeight="1">
      <c r="A72" s="4"/>
      <c r="B72" s="4"/>
      <c r="G72" s="4"/>
      <c r="H72" s="4"/>
      <c r="I72" s="4"/>
      <c r="M72" s="4"/>
      <c r="N72" s="4"/>
      <c r="O72" s="4"/>
      <c r="P72" s="4"/>
      <c r="Q72" s="4"/>
    </row>
    <row r="73" spans="1:17" s="2" customFormat="1" ht="3" customHeight="1">
      <c r="A73" s="4"/>
      <c r="B73" s="4"/>
      <c r="G73" s="61"/>
      <c r="H73" s="4"/>
      <c r="I73" s="61"/>
      <c r="M73" s="4"/>
      <c r="N73" s="4"/>
      <c r="O73" s="4"/>
      <c r="P73" s="4"/>
      <c r="Q73" s="4"/>
    </row>
    <row r="74" spans="1:17" ht="20.100000000000001" customHeight="1">
      <c r="J74" s="2"/>
      <c r="K74" s="2"/>
      <c r="L74" s="2"/>
    </row>
    <row r="75" spans="1:17" ht="30" customHeight="1">
      <c r="E75" s="87" t="s">
        <v>23</v>
      </c>
      <c r="F75" s="3"/>
      <c r="G75" s="79" t="s">
        <v>88</v>
      </c>
      <c r="H75" s="7"/>
      <c r="I75" s="16"/>
      <c r="J75" s="6"/>
      <c r="K75" s="33"/>
      <c r="L75" s="34"/>
    </row>
    <row r="76" spans="1:17" ht="15" customHeight="1">
      <c r="G76" s="4"/>
      <c r="H76" s="4"/>
      <c r="I76" s="4"/>
    </row>
    <row r="77" spans="1:17" ht="3" customHeight="1">
      <c r="G77" s="61"/>
      <c r="H77" s="4"/>
      <c r="I77" s="61"/>
    </row>
    <row r="78" spans="1:17" ht="2.1" customHeight="1">
      <c r="G78" s="4"/>
      <c r="H78" s="4"/>
      <c r="I78" s="4"/>
    </row>
    <row r="79" spans="1:17" ht="30" customHeight="1">
      <c r="G79" s="63" t="s">
        <v>36</v>
      </c>
      <c r="H79" s="64"/>
      <c r="I79" s="65">
        <v>85</v>
      </c>
    </row>
    <row r="80" spans="1:17" ht="2.1" customHeight="1">
      <c r="G80" s="66"/>
      <c r="H80" s="66"/>
      <c r="I80" s="67"/>
    </row>
    <row r="81" spans="7:10" ht="30" customHeight="1">
      <c r="G81" s="63" t="s">
        <v>35</v>
      </c>
      <c r="H81" s="64"/>
      <c r="I81" s="92">
        <v>54</v>
      </c>
      <c r="J81" s="35"/>
    </row>
    <row r="82" spans="7:10" ht="2.1" customHeight="1">
      <c r="G82" s="72"/>
      <c r="H82" s="72"/>
      <c r="I82" s="72"/>
    </row>
    <row r="83" spans="7:10" ht="3" customHeight="1">
      <c r="G83" s="73"/>
      <c r="H83" s="72"/>
      <c r="I83" s="73"/>
    </row>
    <row r="84" spans="7:10" ht="2.1" customHeight="1">
      <c r="G84" s="72"/>
      <c r="H84" s="72"/>
      <c r="I84" s="72"/>
    </row>
    <row r="85" spans="7:10" ht="30" customHeight="1">
      <c r="G85" s="69" t="s">
        <v>37</v>
      </c>
      <c r="H85" s="75"/>
      <c r="I85" s="93">
        <f>I79-I81</f>
        <v>31</v>
      </c>
      <c r="J85" s="160" t="s">
        <v>124</v>
      </c>
    </row>
    <row r="86" spans="7:10" ht="2.1" customHeight="1">
      <c r="G86" s="72"/>
      <c r="H86" s="72"/>
      <c r="I86" s="72"/>
    </row>
    <row r="87" spans="7:10" ht="2.1" customHeight="1">
      <c r="G87" s="73"/>
      <c r="H87" s="72"/>
      <c r="I87" s="73"/>
    </row>
    <row r="88" spans="7:10" ht="2.1" customHeight="1">
      <c r="G88" s="90"/>
      <c r="H88" s="90"/>
      <c r="I88" s="90"/>
    </row>
    <row r="89" spans="7:10" ht="30" customHeight="1">
      <c r="G89" s="69" t="s">
        <v>27</v>
      </c>
      <c r="H89" s="75"/>
      <c r="I89" s="89">
        <f>I85/I79</f>
        <v>0.36470588235294116</v>
      </c>
      <c r="J89" s="160" t="s">
        <v>125</v>
      </c>
    </row>
    <row r="90" spans="7:10" ht="2.1" customHeight="1"/>
    <row r="91" spans="7:10" ht="3" customHeight="1">
      <c r="G91" s="94"/>
      <c r="I91" s="94"/>
    </row>
    <row r="92" spans="7:10" ht="30" customHeight="1"/>
  </sheetData>
  <sheetProtection selectLockedCells="1"/>
  <mergeCells count="6">
    <mergeCell ref="G1:J1"/>
    <mergeCell ref="E56:F56"/>
    <mergeCell ref="B3:C3"/>
    <mergeCell ref="E5:F5"/>
    <mergeCell ref="E20:F20"/>
    <mergeCell ref="E37:F37"/>
  </mergeCells>
  <pageMargins left="0.75" right="0.75" top="1" bottom="1" header="0" footer="0"/>
  <pageSetup orientation="portrait" horizontalDpi="3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T45"/>
  <sheetViews>
    <sheetView showGridLines="0" zoomScaleNormal="100" workbookViewId="0">
      <pane ySplit="1" topLeftCell="A2" activePane="bottomLeft" state="frozen"/>
      <selection pane="bottomLeft" activeCell="M47" sqref="M47"/>
    </sheetView>
  </sheetViews>
  <sheetFormatPr baseColWidth="10" defaultColWidth="11.44140625" defaultRowHeight="20.100000000000001" customHeight="1"/>
  <cols>
    <col min="1" max="1" width="3.109375" style="1" customWidth="1"/>
    <col min="2" max="2" width="14.88671875" style="1" customWidth="1"/>
    <col min="3" max="3" width="9.109375" style="1" customWidth="1"/>
    <col min="4" max="4" width="0.5546875" style="1" customWidth="1"/>
    <col min="5" max="5" width="16.6640625" style="1" customWidth="1"/>
    <col min="6" max="6" width="0.33203125" style="1" customWidth="1"/>
    <col min="7" max="7" width="23" style="1" customWidth="1"/>
    <col min="8" max="8" width="0.33203125" style="1" customWidth="1"/>
    <col min="9" max="9" width="26.33203125" style="1" customWidth="1"/>
    <col min="10" max="10" width="20.33203125" style="1" customWidth="1"/>
    <col min="11" max="11" width="19" style="1" customWidth="1"/>
    <col min="12" max="16384" width="11.44140625" style="1"/>
  </cols>
  <sheetData>
    <row r="1" spans="1:20" s="82" customFormat="1" ht="34.200000000000003" customHeight="1">
      <c r="C1" s="83"/>
      <c r="D1" s="83"/>
      <c r="G1" s="150" t="s">
        <v>74</v>
      </c>
      <c r="H1" s="150"/>
      <c r="I1" s="150"/>
      <c r="J1" s="150"/>
      <c r="K1" s="107"/>
      <c r="L1" s="107"/>
      <c r="M1" s="107"/>
      <c r="N1" s="107"/>
      <c r="O1" s="84"/>
      <c r="P1" s="84"/>
      <c r="Q1" s="84"/>
      <c r="R1" s="84"/>
      <c r="S1" s="84"/>
      <c r="T1" s="84"/>
    </row>
    <row r="2" spans="1:20" ht="12.75" customHeight="1"/>
    <row r="3" spans="1:20" ht="30" customHeight="1">
      <c r="B3" s="148" t="s">
        <v>72</v>
      </c>
      <c r="C3" s="149"/>
      <c r="D3" s="20"/>
      <c r="E3" s="81" t="s">
        <v>81</v>
      </c>
      <c r="F3" s="21"/>
      <c r="G3" s="21"/>
      <c r="H3" s="21"/>
      <c r="I3" s="21"/>
      <c r="J3" s="22"/>
      <c r="K3" s="2"/>
      <c r="L3" s="2"/>
      <c r="M3" s="2"/>
      <c r="N3" s="2"/>
      <c r="O3" s="2"/>
    </row>
    <row r="4" spans="1:20" ht="18.75" customHeight="1"/>
    <row r="5" spans="1:20" s="2" customFormat="1" ht="30" customHeight="1">
      <c r="A5" s="4"/>
      <c r="E5" s="146" t="s">
        <v>19</v>
      </c>
      <c r="F5" s="147"/>
      <c r="G5" s="62" t="s">
        <v>89</v>
      </c>
      <c r="H5" s="7"/>
      <c r="I5" s="16"/>
      <c r="J5" s="17"/>
    </row>
    <row r="6" spans="1:20" s="2" customFormat="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20" s="2" customFormat="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20" s="2" customFormat="1" ht="30" customHeight="1">
      <c r="A8" s="4"/>
      <c r="B8" s="4"/>
      <c r="C8" s="4"/>
      <c r="D8" s="4"/>
      <c r="E8" s="4"/>
      <c r="F8" s="4"/>
      <c r="G8" s="151" t="s">
        <v>10</v>
      </c>
      <c r="H8" s="151"/>
      <c r="I8" s="151"/>
      <c r="J8" s="4"/>
      <c r="K8" s="4"/>
    </row>
    <row r="9" spans="1:20" s="2" customFormat="1" ht="30" customHeight="1">
      <c r="A9" s="4"/>
      <c r="B9" s="4"/>
      <c r="C9" s="4"/>
      <c r="D9" s="4"/>
      <c r="E9" s="4"/>
      <c r="F9" s="4"/>
      <c r="G9" s="8"/>
      <c r="H9" s="10"/>
      <c r="I9" s="11"/>
      <c r="J9" s="4"/>
      <c r="K9" s="4"/>
    </row>
    <row r="10" spans="1:20" s="2" customFormat="1" ht="30" customHeight="1">
      <c r="A10" s="4"/>
      <c r="B10" s="4"/>
      <c r="C10" s="4"/>
      <c r="D10" s="4"/>
      <c r="E10" s="4"/>
      <c r="F10" s="4"/>
      <c r="G10" s="9"/>
      <c r="H10" s="12"/>
      <c r="I10" s="13"/>
      <c r="J10" s="4"/>
      <c r="K10" s="4"/>
    </row>
    <row r="11" spans="1:20" s="2" customFormat="1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0" s="2" customFormat="1" ht="3" customHeight="1">
      <c r="A12" s="4"/>
      <c r="B12" s="4"/>
      <c r="G12" s="61"/>
      <c r="H12" s="4"/>
      <c r="I12" s="61"/>
      <c r="J12" s="4"/>
      <c r="K12" s="4"/>
      <c r="L12" s="4"/>
    </row>
    <row r="13" spans="1:20" s="2" customFormat="1" ht="2.1" customHeight="1">
      <c r="A13" s="4"/>
      <c r="B13" s="4"/>
      <c r="G13" s="4"/>
      <c r="H13" s="4"/>
      <c r="I13" s="4"/>
      <c r="J13" s="4"/>
      <c r="K13" s="4"/>
      <c r="L13" s="4"/>
    </row>
    <row r="14" spans="1:20" s="2" customFormat="1" ht="30" customHeight="1">
      <c r="A14" s="4"/>
      <c r="B14" s="4"/>
      <c r="G14" s="63" t="s">
        <v>5</v>
      </c>
      <c r="H14" s="64"/>
      <c r="I14" s="65">
        <v>20000</v>
      </c>
      <c r="J14" s="4"/>
      <c r="K14" s="4"/>
      <c r="L14" s="4"/>
    </row>
    <row r="15" spans="1:20" s="2" customFormat="1" ht="2.1" customHeight="1">
      <c r="A15" s="4"/>
      <c r="B15" s="4"/>
      <c r="G15" s="66"/>
      <c r="H15" s="66"/>
      <c r="I15" s="67"/>
      <c r="J15" s="4"/>
      <c r="K15" s="4"/>
      <c r="L15" s="4"/>
    </row>
    <row r="16" spans="1:20" s="2" customFormat="1" ht="30" customHeight="1">
      <c r="A16" s="4"/>
      <c r="B16" s="4"/>
      <c r="G16" s="63" t="s">
        <v>2</v>
      </c>
      <c r="H16" s="64"/>
      <c r="I16" s="85">
        <v>5</v>
      </c>
      <c r="J16" s="4"/>
      <c r="K16" s="4"/>
      <c r="L16" s="4"/>
      <c r="M16" s="4"/>
      <c r="N16" s="4"/>
      <c r="O16" s="4"/>
      <c r="P16" s="4"/>
      <c r="Q16" s="4"/>
    </row>
    <row r="17" spans="1:17" s="2" customFormat="1" ht="2.1" customHeight="1">
      <c r="A17" s="4"/>
      <c r="B17" s="4"/>
      <c r="G17" s="69"/>
      <c r="H17" s="66"/>
      <c r="I17" s="70"/>
      <c r="J17" s="4"/>
      <c r="K17" s="4"/>
      <c r="L17" s="4"/>
      <c r="M17" s="4"/>
      <c r="N17" s="4"/>
      <c r="O17" s="4"/>
      <c r="P17" s="4"/>
      <c r="Q17" s="4"/>
    </row>
    <row r="18" spans="1:17" s="2" customFormat="1" ht="30" customHeight="1">
      <c r="A18" s="4"/>
      <c r="B18" s="4"/>
      <c r="G18" s="63" t="s">
        <v>1</v>
      </c>
      <c r="H18" s="64"/>
      <c r="I18" s="78">
        <v>0.2</v>
      </c>
      <c r="J18" s="4"/>
      <c r="K18" s="4"/>
      <c r="L18" s="4"/>
      <c r="M18" s="4"/>
      <c r="N18" s="4"/>
      <c r="O18" s="4"/>
      <c r="P18" s="4"/>
      <c r="Q18" s="4"/>
    </row>
    <row r="19" spans="1:17" s="2" customFormat="1" ht="2.1" customHeight="1">
      <c r="A19" s="4"/>
      <c r="B19" s="4"/>
      <c r="G19" s="72"/>
      <c r="H19" s="72"/>
      <c r="I19" s="72"/>
      <c r="J19" s="4"/>
      <c r="K19" s="4"/>
      <c r="L19" s="4"/>
      <c r="M19" s="4"/>
      <c r="N19" s="4"/>
      <c r="O19" s="4"/>
      <c r="P19" s="4"/>
      <c r="Q19" s="4"/>
    </row>
    <row r="20" spans="1:17" s="2" customFormat="1" ht="3" customHeight="1">
      <c r="A20" s="4"/>
      <c r="B20" s="4"/>
      <c r="G20" s="73"/>
      <c r="H20" s="72"/>
      <c r="I20" s="73"/>
      <c r="J20" s="4"/>
      <c r="K20" s="4"/>
      <c r="L20" s="4"/>
      <c r="M20" s="4"/>
      <c r="N20" s="4"/>
      <c r="O20" s="4"/>
      <c r="P20" s="4"/>
      <c r="Q20" s="4"/>
    </row>
    <row r="21" spans="1:17" s="2" customFormat="1" ht="2.1" customHeight="1">
      <c r="A21" s="4"/>
      <c r="B21" s="4"/>
      <c r="G21" s="72"/>
      <c r="H21" s="72"/>
      <c r="I21" s="72"/>
      <c r="J21" s="4"/>
      <c r="K21" s="4"/>
      <c r="L21" s="4"/>
      <c r="M21" s="4"/>
      <c r="N21" s="4"/>
      <c r="O21" s="4"/>
      <c r="P21" s="4"/>
      <c r="Q21" s="4"/>
    </row>
    <row r="22" spans="1:17" s="2" customFormat="1" ht="30" customHeight="1">
      <c r="A22" s="4"/>
      <c r="B22" s="4"/>
      <c r="G22" s="69" t="s">
        <v>7</v>
      </c>
      <c r="H22" s="75"/>
      <c r="I22" s="76">
        <f>I14*(1+I18)^I16</f>
        <v>49766.399999999994</v>
      </c>
      <c r="J22" s="161" t="s">
        <v>126</v>
      </c>
      <c r="K22" s="4"/>
      <c r="L22" s="4"/>
      <c r="M22" s="4"/>
      <c r="N22" s="4"/>
      <c r="O22" s="4"/>
      <c r="P22" s="4"/>
      <c r="Q22" s="4"/>
    </row>
    <row r="23" spans="1:17" s="2" customFormat="1" ht="2.1" customHeight="1">
      <c r="A23" s="4"/>
      <c r="B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s="2" customFormat="1" ht="3" customHeight="1">
      <c r="A24" s="4"/>
      <c r="B24" s="4"/>
      <c r="G24" s="61"/>
      <c r="H24" s="4"/>
      <c r="I24" s="61"/>
      <c r="J24" s="4"/>
      <c r="K24" s="4"/>
      <c r="L24" s="4"/>
      <c r="M24" s="4"/>
      <c r="N24" s="4"/>
      <c r="O24" s="4"/>
      <c r="P24" s="4"/>
      <c r="Q24" s="4"/>
    </row>
    <row r="25" spans="1:17" ht="20.100000000000001" customHeight="1">
      <c r="J25" s="4"/>
      <c r="K25" s="4"/>
      <c r="L25" s="4"/>
    </row>
    <row r="26" spans="1:17" s="2" customFormat="1" ht="30" customHeight="1">
      <c r="A26" s="4"/>
      <c r="E26" s="146" t="s">
        <v>20</v>
      </c>
      <c r="F26" s="147"/>
      <c r="G26" s="62" t="s">
        <v>90</v>
      </c>
      <c r="H26" s="7"/>
      <c r="I26" s="16"/>
      <c r="J26" s="17"/>
    </row>
    <row r="27" spans="1:17" s="2" customFormat="1" ht="12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7" s="2" customFormat="1" ht="30" customHeight="1">
      <c r="A28" s="4"/>
      <c r="B28" s="4"/>
      <c r="C28" s="4"/>
      <c r="D28" s="4"/>
      <c r="E28" s="4"/>
      <c r="F28" s="4"/>
      <c r="G28" s="145" t="s">
        <v>10</v>
      </c>
      <c r="H28" s="145"/>
      <c r="I28" s="145"/>
      <c r="J28" s="4"/>
      <c r="K28" s="4"/>
    </row>
    <row r="29" spans="1:17" s="2" customFormat="1" ht="30" customHeight="1">
      <c r="A29" s="4"/>
      <c r="B29" s="4"/>
      <c r="C29" s="4"/>
      <c r="D29" s="4"/>
      <c r="E29" s="4"/>
      <c r="F29" s="4"/>
      <c r="G29" s="8"/>
      <c r="H29" s="10"/>
      <c r="I29" s="11"/>
      <c r="J29" s="4"/>
      <c r="K29" s="4"/>
    </row>
    <row r="30" spans="1:17" s="2" customFormat="1" ht="30" customHeight="1">
      <c r="A30" s="4"/>
      <c r="B30" s="4"/>
      <c r="C30" s="4"/>
      <c r="D30" s="4"/>
      <c r="E30" s="4"/>
      <c r="F30" s="4"/>
      <c r="G30" s="9"/>
      <c r="H30" s="12"/>
      <c r="I30" s="13"/>
      <c r="J30" s="4"/>
      <c r="K30" s="4"/>
    </row>
    <row r="31" spans="1:17" s="2" customFormat="1" ht="18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7" s="2" customFormat="1" ht="3" customHeight="1">
      <c r="A32" s="4"/>
      <c r="B32" s="4"/>
      <c r="G32" s="61"/>
      <c r="H32" s="4"/>
      <c r="I32" s="61"/>
      <c r="J32" s="4"/>
      <c r="K32" s="4"/>
      <c r="L32" s="4"/>
    </row>
    <row r="33" spans="1:17" s="2" customFormat="1" ht="2.1" customHeight="1">
      <c r="A33" s="4"/>
      <c r="B33" s="4"/>
      <c r="G33" s="4"/>
      <c r="H33" s="4"/>
      <c r="I33" s="4"/>
      <c r="J33" s="4"/>
      <c r="K33" s="4"/>
      <c r="L33" s="4"/>
    </row>
    <row r="34" spans="1:17" s="2" customFormat="1" ht="30" customHeight="1">
      <c r="A34" s="4"/>
      <c r="B34" s="4"/>
      <c r="G34" s="63" t="s">
        <v>7</v>
      </c>
      <c r="H34" s="64"/>
      <c r="I34" s="77">
        <v>5000</v>
      </c>
      <c r="J34" s="4"/>
      <c r="K34" s="4"/>
      <c r="L34" s="4"/>
    </row>
    <row r="35" spans="1:17" s="2" customFormat="1" ht="2.1" customHeight="1">
      <c r="A35" s="4"/>
      <c r="B35" s="4"/>
      <c r="G35" s="66"/>
      <c r="H35" s="66"/>
      <c r="I35" s="67"/>
      <c r="J35" s="4"/>
      <c r="K35" s="4"/>
      <c r="L35" s="4"/>
    </row>
    <row r="36" spans="1:17" s="2" customFormat="1" ht="30" customHeight="1">
      <c r="A36" s="4"/>
      <c r="B36" s="4"/>
      <c r="G36" s="63" t="s">
        <v>2</v>
      </c>
      <c r="H36" s="64"/>
      <c r="I36" s="85">
        <v>3</v>
      </c>
      <c r="J36" s="4"/>
      <c r="K36" s="4"/>
      <c r="L36" s="4"/>
      <c r="M36" s="4"/>
      <c r="N36" s="4"/>
      <c r="O36" s="4"/>
      <c r="P36" s="4"/>
      <c r="Q36" s="4"/>
    </row>
    <row r="37" spans="1:17" s="2" customFormat="1" ht="2.1" customHeight="1">
      <c r="A37" s="4"/>
      <c r="B37" s="4"/>
      <c r="G37" s="69"/>
      <c r="H37" s="66"/>
      <c r="I37" s="70"/>
      <c r="J37" s="4"/>
      <c r="K37" s="4"/>
      <c r="L37" s="4"/>
      <c r="M37" s="4"/>
      <c r="N37" s="4"/>
      <c r="O37" s="4"/>
      <c r="P37" s="4"/>
      <c r="Q37" s="4"/>
    </row>
    <row r="38" spans="1:17" s="2" customFormat="1" ht="30" customHeight="1">
      <c r="A38" s="4"/>
      <c r="B38" s="4"/>
      <c r="G38" s="63" t="s">
        <v>1</v>
      </c>
      <c r="H38" s="96"/>
      <c r="I38" s="78">
        <v>0.1</v>
      </c>
      <c r="J38" s="4"/>
      <c r="K38" s="4"/>
      <c r="L38" s="4"/>
      <c r="M38" s="4"/>
      <c r="N38" s="4"/>
      <c r="O38" s="4"/>
      <c r="P38" s="4"/>
      <c r="Q38" s="4"/>
    </row>
    <row r="39" spans="1:17" s="2" customFormat="1" ht="2.1" customHeight="1">
      <c r="A39" s="4"/>
      <c r="B39" s="4"/>
      <c r="G39" s="72"/>
      <c r="H39" s="72"/>
      <c r="I39" s="72"/>
      <c r="J39" s="4"/>
      <c r="K39" s="4"/>
      <c r="L39" s="4"/>
      <c r="M39" s="4"/>
      <c r="N39" s="4"/>
      <c r="O39" s="4"/>
      <c r="P39" s="4"/>
      <c r="Q39" s="4"/>
    </row>
    <row r="40" spans="1:17" s="2" customFormat="1" ht="3" customHeight="1">
      <c r="A40" s="4"/>
      <c r="B40" s="4"/>
      <c r="G40" s="73"/>
      <c r="H40" s="72"/>
      <c r="I40" s="73"/>
      <c r="J40" s="4"/>
      <c r="K40" s="4"/>
      <c r="L40" s="4"/>
      <c r="M40" s="4"/>
      <c r="N40" s="4"/>
      <c r="O40" s="4"/>
      <c r="P40" s="4"/>
      <c r="Q40" s="4"/>
    </row>
    <row r="41" spans="1:17" s="2" customFormat="1" ht="2.1" customHeight="1">
      <c r="A41" s="4"/>
      <c r="B41" s="4"/>
      <c r="G41" s="72"/>
      <c r="H41" s="72"/>
      <c r="I41" s="72"/>
      <c r="J41" s="4"/>
      <c r="K41" s="4"/>
      <c r="L41" s="4"/>
      <c r="M41" s="4"/>
      <c r="N41" s="4"/>
      <c r="O41" s="4"/>
      <c r="P41" s="4"/>
      <c r="Q41" s="4"/>
    </row>
    <row r="42" spans="1:17" s="2" customFormat="1" ht="30" customHeight="1">
      <c r="A42" s="4"/>
      <c r="B42" s="4"/>
      <c r="G42" s="69" t="s">
        <v>5</v>
      </c>
      <c r="H42" s="75"/>
      <c r="I42" s="80">
        <f>I34/(1+I38)^I36</f>
        <v>3756.5740045078878</v>
      </c>
      <c r="J42" s="162" t="s">
        <v>127</v>
      </c>
      <c r="K42" s="4"/>
      <c r="L42" s="4"/>
      <c r="M42" s="4"/>
      <c r="N42" s="4"/>
      <c r="O42" s="4"/>
      <c r="P42" s="4"/>
      <c r="Q42" s="4"/>
    </row>
    <row r="43" spans="1:17" s="2" customFormat="1" ht="2.1" customHeight="1">
      <c r="A43" s="4"/>
      <c r="B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s="2" customFormat="1" ht="3" customHeight="1">
      <c r="A44" s="4"/>
      <c r="B44" s="4"/>
      <c r="G44" s="61"/>
      <c r="H44" s="4"/>
      <c r="I44" s="61"/>
      <c r="J44" s="4"/>
      <c r="K44" s="4"/>
      <c r="L44" s="4"/>
      <c r="M44" s="4"/>
      <c r="N44" s="4"/>
      <c r="O44" s="4"/>
      <c r="P44" s="4"/>
      <c r="Q44" s="4"/>
    </row>
    <row r="45" spans="1:17" ht="20.100000000000001" customHeight="1">
      <c r="J45" s="4"/>
      <c r="K45" s="4"/>
      <c r="L45" s="4"/>
    </row>
  </sheetData>
  <sheetProtection selectLockedCells="1"/>
  <mergeCells count="6">
    <mergeCell ref="G1:J1"/>
    <mergeCell ref="B3:C3"/>
    <mergeCell ref="E5:F5"/>
    <mergeCell ref="G8:I8"/>
    <mergeCell ref="G28:I28"/>
    <mergeCell ref="E26:F26"/>
  </mergeCells>
  <pageMargins left="0.75" right="0.75" top="1" bottom="1" header="0" footer="0"/>
  <pageSetup orientation="portrait" horizontalDpi="3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T49"/>
  <sheetViews>
    <sheetView showGridLines="0" zoomScale="85" zoomScaleNormal="85" workbookViewId="0">
      <pane ySplit="1" topLeftCell="A17" activePane="bottomLeft" state="frozen"/>
      <selection pane="bottomLeft" activeCell="O34" sqref="O34"/>
    </sheetView>
  </sheetViews>
  <sheetFormatPr baseColWidth="10" defaultColWidth="11.44140625" defaultRowHeight="20.100000000000001" customHeight="1"/>
  <cols>
    <col min="1" max="1" width="3.109375" style="1" customWidth="1"/>
    <col min="2" max="2" width="14.88671875" style="1" customWidth="1"/>
    <col min="3" max="3" width="9.109375" style="1" customWidth="1"/>
    <col min="4" max="4" width="0.5546875" style="1" customWidth="1"/>
    <col min="5" max="5" width="16.6640625" style="1" customWidth="1"/>
    <col min="6" max="6" width="0.33203125" style="1" customWidth="1"/>
    <col min="7" max="7" width="23" style="1" customWidth="1"/>
    <col min="8" max="8" width="0.33203125" style="1" customWidth="1"/>
    <col min="9" max="9" width="26.33203125" style="1" customWidth="1"/>
    <col min="10" max="10" width="0.33203125" style="1" customWidth="1"/>
    <col min="11" max="11" width="20.33203125" style="1" customWidth="1"/>
    <col min="12" max="12" width="43.109375" style="1" customWidth="1"/>
    <col min="13" max="13" width="22.5546875" style="1" customWidth="1"/>
    <col min="14" max="14" width="14.44140625" style="1" customWidth="1"/>
    <col min="15" max="16384" width="11.44140625" style="1"/>
  </cols>
  <sheetData>
    <row r="1" spans="1:20" s="82" customFormat="1" ht="29.4" customHeight="1">
      <c r="C1" s="83"/>
      <c r="D1" s="83"/>
      <c r="G1" s="150" t="s">
        <v>75</v>
      </c>
      <c r="H1" s="150"/>
      <c r="I1" s="150"/>
      <c r="J1" s="150"/>
      <c r="K1" s="150"/>
      <c r="L1" s="55"/>
      <c r="M1" s="55"/>
      <c r="N1" s="55"/>
      <c r="O1" s="84"/>
      <c r="P1" s="84"/>
      <c r="Q1" s="84"/>
      <c r="R1" s="84"/>
      <c r="S1" s="84"/>
      <c r="T1" s="84"/>
    </row>
    <row r="2" spans="1:20" ht="12.75" customHeight="1"/>
    <row r="3" spans="1:20" ht="30" customHeight="1">
      <c r="B3" s="148" t="s">
        <v>72</v>
      </c>
      <c r="C3" s="149"/>
      <c r="D3" s="20"/>
      <c r="E3" s="81" t="s">
        <v>91</v>
      </c>
      <c r="F3" s="21"/>
      <c r="G3" s="21"/>
      <c r="H3" s="21"/>
      <c r="I3" s="21"/>
      <c r="J3" s="21"/>
      <c r="K3" s="22"/>
      <c r="L3" s="2"/>
      <c r="M3" s="2"/>
      <c r="N3" s="2"/>
      <c r="O3" s="2"/>
      <c r="P3" s="2"/>
    </row>
    <row r="4" spans="1:20" ht="18.75" customHeight="1"/>
    <row r="5" spans="1:20" s="2" customFormat="1" ht="30" customHeight="1">
      <c r="A5" s="4"/>
      <c r="E5" s="146" t="s">
        <v>19</v>
      </c>
      <c r="F5" s="147"/>
      <c r="G5" s="79" t="s">
        <v>92</v>
      </c>
      <c r="H5" s="7"/>
      <c r="I5" s="16"/>
      <c r="J5" s="16"/>
      <c r="K5" s="6"/>
      <c r="L5" s="28"/>
    </row>
    <row r="6" spans="1:20" s="2" customFormat="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20" s="2" customFormat="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20" s="2" customFormat="1" ht="3" customHeight="1">
      <c r="A8" s="4"/>
      <c r="B8" s="4"/>
      <c r="G8" s="61"/>
      <c r="H8" s="4"/>
      <c r="I8" s="61"/>
      <c r="J8" s="24"/>
      <c r="K8" s="4"/>
      <c r="L8" s="4"/>
      <c r="M8" s="4"/>
    </row>
    <row r="9" spans="1:20" s="2" customFormat="1" ht="2.1" customHeight="1">
      <c r="A9" s="4"/>
      <c r="B9" s="4"/>
      <c r="G9" s="4"/>
      <c r="H9" s="4"/>
      <c r="I9" s="4"/>
      <c r="J9" s="4"/>
      <c r="K9" s="4"/>
      <c r="L9" s="4"/>
      <c r="M9" s="4"/>
    </row>
    <row r="10" spans="1:20" s="2" customFormat="1" ht="30" customHeight="1">
      <c r="A10" s="4"/>
      <c r="B10" s="4"/>
      <c r="G10" s="63" t="s">
        <v>44</v>
      </c>
      <c r="H10" s="64"/>
      <c r="I10" s="71">
        <v>800</v>
      </c>
      <c r="J10" s="30"/>
      <c r="K10" s="4"/>
      <c r="L10" s="4"/>
      <c r="M10" s="4"/>
    </row>
    <row r="11" spans="1:20" s="2" customFormat="1" ht="2.1" customHeight="1">
      <c r="A11" s="4"/>
      <c r="B11" s="4"/>
      <c r="G11" s="66"/>
      <c r="H11" s="66"/>
      <c r="I11" s="88"/>
      <c r="J11" s="30"/>
      <c r="K11" s="4"/>
      <c r="L11" s="4"/>
      <c r="M11" s="4"/>
    </row>
    <row r="12" spans="1:20" s="2" customFormat="1" ht="30" customHeight="1">
      <c r="A12" s="4"/>
      <c r="B12" s="4"/>
      <c r="G12" s="63" t="s">
        <v>45</v>
      </c>
      <c r="H12" s="64"/>
      <c r="I12" s="71">
        <v>600</v>
      </c>
      <c r="J12" s="30"/>
      <c r="K12" s="4"/>
      <c r="L12" s="4"/>
      <c r="M12" s="4"/>
      <c r="N12" s="4"/>
      <c r="O12" s="4"/>
      <c r="P12" s="4"/>
      <c r="Q12" s="4"/>
      <c r="R12" s="4"/>
    </row>
    <row r="13" spans="1:20" s="2" customFormat="1" ht="2.1" customHeight="1">
      <c r="A13" s="4"/>
      <c r="B13" s="4"/>
      <c r="G13" s="72"/>
      <c r="H13" s="72"/>
      <c r="I13" s="72"/>
      <c r="J13" s="4"/>
      <c r="K13" s="4"/>
      <c r="L13" s="4"/>
      <c r="M13" s="4"/>
      <c r="N13" s="4"/>
      <c r="O13" s="4"/>
      <c r="P13" s="4"/>
      <c r="Q13" s="4"/>
      <c r="R13" s="4"/>
    </row>
    <row r="14" spans="1:20" s="2" customFormat="1" ht="3" customHeight="1">
      <c r="A14" s="4"/>
      <c r="B14" s="4"/>
      <c r="G14" s="73"/>
      <c r="H14" s="72"/>
      <c r="I14" s="73"/>
      <c r="J14" s="24"/>
      <c r="K14" s="4"/>
      <c r="L14" s="4"/>
      <c r="M14" s="4"/>
      <c r="N14" s="4"/>
      <c r="O14" s="4"/>
      <c r="P14" s="4"/>
      <c r="Q14" s="4"/>
      <c r="R14" s="4"/>
    </row>
    <row r="15" spans="1:20" s="2" customFormat="1" ht="2.1" customHeight="1">
      <c r="A15" s="4"/>
      <c r="B15" s="4"/>
      <c r="G15" s="72"/>
      <c r="H15" s="72"/>
      <c r="I15" s="72"/>
      <c r="J15" s="4"/>
      <c r="K15" s="4"/>
      <c r="L15" s="4"/>
      <c r="M15" s="4"/>
      <c r="N15" s="4"/>
      <c r="O15" s="4"/>
      <c r="P15" s="4"/>
      <c r="Q15" s="4"/>
      <c r="R15" s="4"/>
    </row>
    <row r="16" spans="1:20" s="2" customFormat="1" ht="30" customHeight="1">
      <c r="A16" s="4"/>
      <c r="B16" s="4"/>
      <c r="G16" s="69" t="s">
        <v>46</v>
      </c>
      <c r="H16" s="75"/>
      <c r="I16" s="99" t="b">
        <f>I10&gt;I12</f>
        <v>1</v>
      </c>
      <c r="J16" s="27"/>
      <c r="K16" s="163" t="s">
        <v>128</v>
      </c>
      <c r="L16" s="4"/>
      <c r="M16" s="4"/>
      <c r="N16" s="4"/>
      <c r="O16" s="4"/>
      <c r="P16" s="4"/>
      <c r="Q16" s="4"/>
      <c r="R16" s="4"/>
    </row>
    <row r="17" spans="1:18" s="2" customFormat="1" ht="2.1" customHeight="1">
      <c r="A17" s="4"/>
      <c r="B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s="2" customFormat="1" ht="3" customHeight="1">
      <c r="A18" s="4"/>
      <c r="B18" s="4"/>
      <c r="G18" s="61"/>
      <c r="H18" s="4"/>
      <c r="I18" s="61"/>
      <c r="J18" s="24"/>
      <c r="K18" s="4"/>
      <c r="L18" s="4"/>
      <c r="M18" s="4"/>
      <c r="N18" s="4"/>
      <c r="O18" s="4"/>
      <c r="P18" s="4"/>
      <c r="Q18" s="4"/>
      <c r="R18" s="4"/>
    </row>
    <row r="19" spans="1:18" ht="20.100000000000001" customHeight="1">
      <c r="K19" s="4"/>
      <c r="L19" s="4"/>
      <c r="M19" s="4"/>
    </row>
    <row r="20" spans="1:18" s="2" customFormat="1" ht="30" customHeight="1">
      <c r="A20" s="4"/>
      <c r="E20" s="146" t="s">
        <v>20</v>
      </c>
      <c r="F20" s="147"/>
      <c r="G20" s="79" t="s">
        <v>93</v>
      </c>
      <c r="H20" s="7"/>
      <c r="I20" s="16"/>
      <c r="J20" s="16"/>
      <c r="K20" s="6"/>
      <c r="L20" s="31"/>
      <c r="M20" s="28"/>
    </row>
    <row r="21" spans="1:18" s="2" customFormat="1" ht="12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8" s="2" customFormat="1" ht="3" customHeight="1">
      <c r="A22" s="4"/>
      <c r="B22" s="4"/>
      <c r="G22" s="4"/>
      <c r="H22" s="4"/>
      <c r="I22" s="4"/>
      <c r="J22" s="4"/>
      <c r="K22" s="4"/>
      <c r="L22" s="4"/>
      <c r="M22" s="4"/>
    </row>
    <row r="23" spans="1:18" s="2" customFormat="1" ht="2.1" customHeight="1">
      <c r="A23" s="4"/>
      <c r="B23" s="4"/>
      <c r="G23" s="4"/>
      <c r="H23" s="4"/>
      <c r="I23" s="4"/>
      <c r="J23" s="4"/>
      <c r="K23" s="4"/>
      <c r="L23" s="4"/>
      <c r="M23" s="4"/>
    </row>
    <row r="24" spans="1:18" s="2" customFormat="1" ht="30" customHeight="1">
      <c r="A24" s="4"/>
      <c r="B24" s="4"/>
      <c r="G24" s="97" t="s">
        <v>47</v>
      </c>
      <c r="H24" s="97"/>
      <c r="I24" s="98" t="s">
        <v>48</v>
      </c>
      <c r="J24" s="98"/>
      <c r="K24" s="97" t="s">
        <v>49</v>
      </c>
      <c r="L24" s="4"/>
      <c r="M24" s="4"/>
    </row>
    <row r="25" spans="1:18" s="2" customFormat="1" ht="2.1" customHeight="1">
      <c r="A25" s="4"/>
      <c r="B25" s="4"/>
      <c r="G25" s="14"/>
      <c r="H25" s="14"/>
      <c r="I25" s="15"/>
      <c r="J25" s="15"/>
      <c r="K25" s="4"/>
      <c r="L25" s="4"/>
      <c r="M25" s="4"/>
    </row>
    <row r="26" spans="1:18" s="2" customFormat="1" ht="30" customHeight="1">
      <c r="A26" s="4"/>
      <c r="B26" s="4"/>
      <c r="G26" s="100">
        <v>22</v>
      </c>
      <c r="H26" s="101"/>
      <c r="I26" s="100">
        <v>12</v>
      </c>
      <c r="J26" s="102"/>
      <c r="K26" s="103" t="b">
        <f t="shared" ref="K26:K30" si="0">G26&gt;I26</f>
        <v>1</v>
      </c>
      <c r="L26" s="163" t="s">
        <v>129</v>
      </c>
      <c r="M26" s="4"/>
      <c r="N26" s="4"/>
      <c r="O26" s="4"/>
      <c r="P26" s="4"/>
      <c r="Q26" s="4"/>
      <c r="R26" s="4"/>
    </row>
    <row r="27" spans="1:18" s="2" customFormat="1" ht="2.1" customHeight="1">
      <c r="A27" s="4"/>
      <c r="B27" s="4"/>
      <c r="G27" s="104"/>
      <c r="H27" s="104"/>
      <c r="I27" s="104"/>
      <c r="J27" s="104"/>
      <c r="K27" s="103"/>
      <c r="L27" s="4"/>
      <c r="M27" s="4"/>
      <c r="N27" s="4"/>
      <c r="O27" s="4"/>
      <c r="P27" s="4"/>
      <c r="Q27" s="4"/>
      <c r="R27" s="4"/>
    </row>
    <row r="28" spans="1:18" s="2" customFormat="1" ht="30" customHeight="1">
      <c r="A28" s="4"/>
      <c r="B28" s="4"/>
      <c r="G28" s="100">
        <v>1999.99</v>
      </c>
      <c r="H28" s="101"/>
      <c r="I28" s="100">
        <v>2099.9</v>
      </c>
      <c r="J28" s="102"/>
      <c r="K28" s="103" t="b">
        <f>G28&gt;I28</f>
        <v>0</v>
      </c>
      <c r="L28" s="163" t="s">
        <v>130</v>
      </c>
      <c r="M28" s="4"/>
      <c r="N28" s="4"/>
      <c r="O28" s="4"/>
      <c r="P28" s="4"/>
      <c r="Q28" s="4"/>
      <c r="R28" s="4"/>
    </row>
    <row r="29" spans="1:18" s="2" customFormat="1" ht="2.1" customHeight="1">
      <c r="A29" s="4"/>
      <c r="B29" s="4"/>
      <c r="G29" s="105"/>
      <c r="H29" s="106"/>
      <c r="I29" s="105"/>
      <c r="J29" s="105"/>
      <c r="K29" s="103"/>
      <c r="L29" s="4"/>
      <c r="M29" s="4"/>
      <c r="N29" s="4"/>
      <c r="O29" s="4"/>
      <c r="P29" s="4"/>
      <c r="Q29" s="4"/>
      <c r="R29" s="4"/>
    </row>
    <row r="30" spans="1:18" s="2" customFormat="1" ht="30" customHeight="1">
      <c r="A30" s="4"/>
      <c r="B30" s="4"/>
      <c r="E30" s="4"/>
      <c r="F30" s="4"/>
      <c r="G30" s="100">
        <v>5636.33</v>
      </c>
      <c r="H30" s="101"/>
      <c r="I30" s="100">
        <v>5536.33</v>
      </c>
      <c r="J30" s="102"/>
      <c r="K30" s="103" t="b">
        <f t="shared" si="0"/>
        <v>1</v>
      </c>
      <c r="L30" s="163" t="s">
        <v>131</v>
      </c>
      <c r="M30" s="4"/>
      <c r="N30" s="4"/>
      <c r="O30" s="4"/>
      <c r="P30" s="4"/>
      <c r="Q30" s="4"/>
      <c r="R30" s="4"/>
    </row>
    <row r="31" spans="1:18" s="2" customFormat="1" ht="2.1" customHeight="1">
      <c r="A31" s="4"/>
      <c r="B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s="2" customFormat="1" ht="3" customHeight="1">
      <c r="A32" s="4"/>
      <c r="B32" s="4"/>
      <c r="E32" s="4"/>
      <c r="F32" s="4"/>
      <c r="G32" s="61"/>
      <c r="H32" s="4"/>
      <c r="I32" s="61"/>
      <c r="J32" s="4"/>
      <c r="K32" s="61"/>
      <c r="L32" s="4"/>
      <c r="M32" s="4"/>
      <c r="N32" s="4"/>
      <c r="O32" s="4"/>
      <c r="P32" s="4"/>
      <c r="Q32" s="4"/>
      <c r="R32" s="4"/>
    </row>
    <row r="33" spans="3:13" ht="20.100000000000001" customHeight="1">
      <c r="K33" s="4"/>
      <c r="L33" s="4"/>
      <c r="M33" s="4"/>
    </row>
    <row r="34" spans="3:13" ht="30" customHeight="1">
      <c r="C34" s="2"/>
      <c r="D34" s="2"/>
      <c r="E34" s="146" t="s">
        <v>21</v>
      </c>
      <c r="F34" s="147"/>
      <c r="G34" s="79" t="s">
        <v>94</v>
      </c>
      <c r="H34" s="7"/>
      <c r="I34" s="16"/>
      <c r="J34" s="16"/>
      <c r="K34" s="31"/>
      <c r="L34" s="17"/>
      <c r="M34" s="4"/>
    </row>
    <row r="35" spans="3:13" ht="15.75" customHeight="1">
      <c r="C35" s="2"/>
      <c r="D35" s="2"/>
      <c r="E35" s="2"/>
      <c r="F35" s="2"/>
      <c r="G35" s="4"/>
      <c r="H35" s="4"/>
      <c r="I35" s="4"/>
      <c r="J35" s="4"/>
      <c r="K35" s="4"/>
      <c r="L35" s="4"/>
      <c r="M35" s="4"/>
    </row>
    <row r="36" spans="3:13" ht="2.1" customHeight="1">
      <c r="C36" s="2"/>
      <c r="D36" s="2"/>
      <c r="E36" s="2"/>
      <c r="F36" s="2"/>
      <c r="G36" s="4"/>
      <c r="H36" s="4"/>
      <c r="I36" s="4"/>
      <c r="J36" s="4"/>
      <c r="K36" s="4"/>
      <c r="L36" s="4"/>
      <c r="M36" s="4"/>
    </row>
    <row r="37" spans="3:13" ht="3" customHeight="1">
      <c r="C37" s="2"/>
      <c r="D37" s="2"/>
      <c r="E37" s="2"/>
      <c r="F37" s="2"/>
      <c r="G37" s="61"/>
      <c r="H37" s="4"/>
      <c r="I37" s="61"/>
      <c r="J37" s="24"/>
      <c r="K37" s="2"/>
      <c r="L37" s="4"/>
      <c r="M37" s="4"/>
    </row>
    <row r="38" spans="3:13" ht="2.1" customHeight="1">
      <c r="C38" s="2"/>
      <c r="D38" s="2"/>
      <c r="E38" s="2"/>
      <c r="F38" s="2"/>
      <c r="G38" s="4"/>
      <c r="H38" s="4"/>
      <c r="I38" s="4"/>
      <c r="J38" s="4"/>
      <c r="K38" s="2"/>
      <c r="L38" s="4"/>
      <c r="M38" s="4"/>
    </row>
    <row r="39" spans="3:13" ht="30" customHeight="1">
      <c r="C39" s="2"/>
      <c r="D39" s="2"/>
      <c r="E39" s="2"/>
      <c r="F39" s="2"/>
      <c r="G39" s="63" t="s">
        <v>51</v>
      </c>
      <c r="H39" s="64"/>
      <c r="I39" s="71">
        <v>10</v>
      </c>
      <c r="J39" s="15"/>
      <c r="K39" s="4"/>
      <c r="L39" s="4"/>
      <c r="M39" s="4"/>
    </row>
    <row r="40" spans="3:13" ht="2.1" customHeight="1">
      <c r="C40" s="2"/>
      <c r="D40" s="2"/>
      <c r="E40" s="2"/>
      <c r="F40" s="2"/>
      <c r="G40" s="66"/>
      <c r="H40" s="66"/>
      <c r="I40" s="67"/>
      <c r="J40" s="15"/>
      <c r="K40" s="2"/>
      <c r="L40" s="4"/>
      <c r="M40" s="4"/>
    </row>
    <row r="41" spans="3:13" ht="30" customHeight="1">
      <c r="C41" s="2"/>
      <c r="D41" s="2"/>
      <c r="E41" s="2"/>
      <c r="F41" s="2"/>
      <c r="G41" s="63" t="s">
        <v>50</v>
      </c>
      <c r="H41" s="75"/>
      <c r="I41" s="71">
        <v>12</v>
      </c>
      <c r="J41" s="26"/>
      <c r="K41" s="2"/>
      <c r="L41" s="4"/>
      <c r="M41" s="4"/>
    </row>
    <row r="42" spans="3:13" ht="2.1" customHeight="1">
      <c r="C42" s="2"/>
      <c r="D42" s="2"/>
      <c r="E42" s="2"/>
      <c r="F42" s="2"/>
      <c r="G42" s="72"/>
      <c r="H42" s="72"/>
      <c r="I42" s="72"/>
      <c r="J42" s="4"/>
      <c r="K42" s="2"/>
      <c r="L42" s="4"/>
      <c r="M42" s="4"/>
    </row>
    <row r="43" spans="3:13" ht="2.1" customHeight="1">
      <c r="C43" s="2"/>
      <c r="D43" s="2"/>
      <c r="E43" s="2"/>
      <c r="F43" s="2"/>
      <c r="G43" s="73"/>
      <c r="H43" s="72"/>
      <c r="I43" s="73"/>
      <c r="J43" s="24"/>
      <c r="K43" s="2"/>
      <c r="L43" s="4"/>
      <c r="M43" s="4"/>
    </row>
    <row r="44" spans="3:13" ht="2.1" customHeight="1">
      <c r="G44" s="90"/>
      <c r="H44" s="90"/>
      <c r="I44" s="90"/>
      <c r="K44" s="4"/>
      <c r="L44" s="4"/>
      <c r="M44" s="4"/>
    </row>
    <row r="45" spans="3:13" ht="30" customHeight="1">
      <c r="G45" s="69" t="s">
        <v>29</v>
      </c>
      <c r="H45" s="73"/>
      <c r="I45" s="80" t="b">
        <f>$I$41&gt;$I$39</f>
        <v>1</v>
      </c>
      <c r="J45" s="80" t="b">
        <f t="shared" ref="J45:K45" si="1">$I$41&gt;$I$39</f>
        <v>1</v>
      </c>
      <c r="K45" s="163" t="s">
        <v>132</v>
      </c>
      <c r="L45" s="4"/>
      <c r="M45" s="4"/>
    </row>
    <row r="46" spans="3:13" ht="2.1" customHeight="1">
      <c r="K46" s="4"/>
      <c r="L46" s="4"/>
      <c r="M46" s="4"/>
    </row>
    <row r="47" spans="3:13" ht="3" customHeight="1">
      <c r="G47" s="94"/>
      <c r="I47" s="94"/>
      <c r="J47" s="32"/>
      <c r="K47" s="4"/>
      <c r="L47" s="4"/>
      <c r="M47" s="4"/>
    </row>
    <row r="48" spans="3:13" ht="30" customHeight="1">
      <c r="K48" s="4"/>
      <c r="L48" s="4"/>
      <c r="M48" s="4"/>
    </row>
    <row r="49" ht="30" customHeight="1"/>
  </sheetData>
  <sheetProtection selectLockedCells="1"/>
  <mergeCells count="5">
    <mergeCell ref="G1:K1"/>
    <mergeCell ref="E34:F34"/>
    <mergeCell ref="B3:C3"/>
    <mergeCell ref="E5:F5"/>
    <mergeCell ref="E20:F20"/>
  </mergeCells>
  <conditionalFormatting sqref="I16 K26 K28 K30 I45">
    <cfRule type="containsText" dxfId="13" priority="2" operator="containsText" text="VERDADERO">
      <formula>NOT(ISERROR(SEARCH("VERDADERO",I16)))</formula>
    </cfRule>
    <cfRule type="containsText" dxfId="14" priority="1" operator="containsText" text="FALSO">
      <formula>NOT(ISERROR(SEARCH("FALSO",I16)))</formula>
    </cfRule>
  </conditionalFormatting>
  <pageMargins left="0.75" right="0.75" top="1" bottom="1" header="0" footer="0"/>
  <pageSetup orientation="portrait" horizontalDpi="3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T49"/>
  <sheetViews>
    <sheetView showGridLines="0" zoomScale="115" zoomScaleNormal="115" workbookViewId="0">
      <pane ySplit="1" topLeftCell="A23" activePane="bottomLeft" state="frozen"/>
      <selection pane="bottomLeft" activeCell="L39" sqref="L39"/>
    </sheetView>
  </sheetViews>
  <sheetFormatPr baseColWidth="10" defaultColWidth="11.44140625" defaultRowHeight="20.100000000000001" customHeight="1"/>
  <cols>
    <col min="1" max="1" width="3.109375" style="1" customWidth="1"/>
    <col min="2" max="2" width="14.88671875" style="1" customWidth="1"/>
    <col min="3" max="3" width="9.109375" style="1" customWidth="1"/>
    <col min="4" max="4" width="0.5546875" style="1" customWidth="1"/>
    <col min="5" max="5" width="16.6640625" style="1" customWidth="1"/>
    <col min="6" max="6" width="0.33203125" style="1" customWidth="1"/>
    <col min="7" max="7" width="23" style="1" customWidth="1"/>
    <col min="8" max="8" width="0.33203125" style="1" customWidth="1"/>
    <col min="9" max="9" width="26.33203125" style="1" customWidth="1"/>
    <col min="10" max="10" width="0.33203125" style="1" customWidth="1"/>
    <col min="11" max="11" width="20.33203125" style="1" customWidth="1"/>
    <col min="12" max="12" width="43.109375" style="1" customWidth="1"/>
    <col min="13" max="13" width="22.5546875" style="1" customWidth="1"/>
    <col min="14" max="14" width="14.44140625" style="1" customWidth="1"/>
    <col min="15" max="16384" width="11.44140625" style="1"/>
  </cols>
  <sheetData>
    <row r="1" spans="1:20" s="82" customFormat="1" ht="28.8" customHeight="1">
      <c r="C1" s="83"/>
      <c r="D1" s="83"/>
      <c r="G1" s="150" t="s">
        <v>75</v>
      </c>
      <c r="H1" s="150"/>
      <c r="I1" s="150"/>
      <c r="J1" s="150"/>
      <c r="K1" s="150"/>
      <c r="L1" s="55"/>
      <c r="M1" s="55"/>
      <c r="N1" s="55"/>
      <c r="O1" s="84"/>
      <c r="P1" s="84"/>
      <c r="Q1" s="84"/>
      <c r="R1" s="84"/>
      <c r="S1" s="84"/>
      <c r="T1" s="84"/>
    </row>
    <row r="2" spans="1:20" ht="12.75" customHeight="1"/>
    <row r="3" spans="1:20" ht="28.8" customHeight="1">
      <c r="B3" s="148" t="s">
        <v>72</v>
      </c>
      <c r="C3" s="149"/>
      <c r="D3" s="20"/>
      <c r="E3" s="81" t="s">
        <v>91</v>
      </c>
      <c r="F3" s="21"/>
      <c r="G3" s="21"/>
      <c r="H3" s="21"/>
      <c r="I3" s="21"/>
      <c r="J3" s="21"/>
      <c r="K3" s="22"/>
      <c r="L3" s="2"/>
      <c r="M3" s="2"/>
      <c r="N3" s="2"/>
      <c r="O3" s="2"/>
      <c r="P3" s="2"/>
    </row>
    <row r="4" spans="1:20" ht="18.75" customHeight="1"/>
    <row r="5" spans="1:20" s="2" customFormat="1" ht="30" customHeight="1">
      <c r="A5" s="4"/>
      <c r="E5" s="146" t="s">
        <v>19</v>
      </c>
      <c r="F5" s="147"/>
      <c r="G5" s="79" t="s">
        <v>95</v>
      </c>
      <c r="H5" s="7"/>
      <c r="I5" s="16"/>
      <c r="J5" s="16"/>
      <c r="K5" s="6"/>
      <c r="L5" s="28"/>
    </row>
    <row r="6" spans="1:20" s="2" customFormat="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20" s="2" customFormat="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20" s="2" customFormat="1" ht="3" customHeight="1">
      <c r="A8" s="4"/>
      <c r="B8" s="4"/>
      <c r="G8" s="61"/>
      <c r="H8" s="4"/>
      <c r="I8" s="61"/>
      <c r="J8" s="24"/>
      <c r="K8" s="4"/>
      <c r="L8" s="4"/>
      <c r="M8" s="4"/>
    </row>
    <row r="9" spans="1:20" s="2" customFormat="1" ht="2.1" customHeight="1">
      <c r="A9" s="4"/>
      <c r="B9" s="4"/>
      <c r="G9" s="4"/>
      <c r="H9" s="4"/>
      <c r="I9" s="4"/>
      <c r="J9" s="4"/>
      <c r="K9" s="4"/>
      <c r="L9" s="4"/>
      <c r="M9" s="4"/>
    </row>
    <row r="10" spans="1:20" s="2" customFormat="1" ht="30" customHeight="1">
      <c r="A10" s="4"/>
      <c r="B10" s="4"/>
      <c r="G10" s="63" t="s">
        <v>44</v>
      </c>
      <c r="H10" s="64"/>
      <c r="I10" s="71">
        <v>58</v>
      </c>
      <c r="J10" s="30"/>
      <c r="K10" s="4"/>
      <c r="L10" s="4"/>
      <c r="M10" s="4"/>
    </row>
    <row r="11" spans="1:20" s="2" customFormat="1" ht="2.1" customHeight="1">
      <c r="A11" s="4"/>
      <c r="B11" s="4"/>
      <c r="G11" s="66"/>
      <c r="H11" s="66"/>
      <c r="I11" s="88"/>
      <c r="J11" s="30"/>
      <c r="K11" s="4"/>
      <c r="L11" s="4"/>
      <c r="M11" s="4"/>
    </row>
    <row r="12" spans="1:20" s="2" customFormat="1" ht="30" customHeight="1">
      <c r="A12" s="4"/>
      <c r="B12" s="4"/>
      <c r="G12" s="63" t="s">
        <v>45</v>
      </c>
      <c r="H12" s="64"/>
      <c r="I12" s="71">
        <v>25</v>
      </c>
      <c r="J12" s="30"/>
      <c r="K12" s="4"/>
      <c r="L12" s="4"/>
      <c r="M12" s="4"/>
      <c r="N12" s="4"/>
      <c r="O12" s="4"/>
      <c r="P12" s="4"/>
      <c r="Q12" s="4"/>
      <c r="R12" s="4"/>
    </row>
    <row r="13" spans="1:20" s="2" customFormat="1" ht="2.1" customHeight="1">
      <c r="A13" s="4"/>
      <c r="B13" s="4"/>
      <c r="G13" s="72"/>
      <c r="H13" s="72"/>
      <c r="I13" s="72"/>
      <c r="J13" s="4"/>
      <c r="K13" s="4"/>
      <c r="L13" s="4"/>
      <c r="M13" s="4"/>
      <c r="N13" s="4"/>
      <c r="O13" s="4"/>
      <c r="P13" s="4"/>
      <c r="Q13" s="4"/>
      <c r="R13" s="4"/>
    </row>
    <row r="14" spans="1:20" s="2" customFormat="1" ht="3" customHeight="1">
      <c r="A14" s="4"/>
      <c r="B14" s="4"/>
      <c r="G14" s="73"/>
      <c r="H14" s="72"/>
      <c r="I14" s="73"/>
      <c r="J14" s="24"/>
      <c r="K14" s="4"/>
      <c r="L14" s="4"/>
      <c r="M14" s="4"/>
      <c r="N14" s="4"/>
      <c r="O14" s="4"/>
      <c r="P14" s="4"/>
      <c r="Q14" s="4"/>
      <c r="R14" s="4"/>
    </row>
    <row r="15" spans="1:20" s="2" customFormat="1" ht="2.1" customHeight="1">
      <c r="A15" s="4"/>
      <c r="B15" s="4"/>
      <c r="G15" s="72"/>
      <c r="H15" s="72"/>
      <c r="I15" s="72"/>
      <c r="J15" s="4"/>
      <c r="K15" s="4"/>
      <c r="L15" s="4"/>
      <c r="M15" s="4"/>
      <c r="N15" s="4"/>
      <c r="O15" s="4"/>
      <c r="P15" s="4"/>
      <c r="Q15" s="4"/>
      <c r="R15" s="4"/>
    </row>
    <row r="16" spans="1:20" s="2" customFormat="1" ht="30" customHeight="1">
      <c r="A16" s="4"/>
      <c r="B16" s="4"/>
      <c r="G16" s="69" t="s">
        <v>46</v>
      </c>
      <c r="H16" s="75"/>
      <c r="I16" s="113" t="b">
        <f>I10&lt;I12</f>
        <v>0</v>
      </c>
      <c r="J16" s="27"/>
      <c r="K16" s="113" t="s">
        <v>133</v>
      </c>
      <c r="L16" s="4"/>
      <c r="M16" s="4"/>
      <c r="N16" s="4"/>
      <c r="O16" s="4"/>
      <c r="P16" s="4"/>
      <c r="Q16" s="4"/>
      <c r="R16" s="4"/>
    </row>
    <row r="17" spans="1:18" s="2" customFormat="1" ht="2.1" customHeight="1">
      <c r="A17" s="4"/>
      <c r="B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s="2" customFormat="1" ht="3" customHeight="1">
      <c r="A18" s="4"/>
      <c r="B18" s="4"/>
      <c r="G18" s="61"/>
      <c r="H18" s="4"/>
      <c r="I18" s="61"/>
      <c r="J18" s="24"/>
      <c r="K18" s="4"/>
      <c r="L18" s="4"/>
      <c r="M18" s="4"/>
      <c r="N18" s="4"/>
      <c r="O18" s="4"/>
      <c r="P18" s="4"/>
      <c r="Q18" s="4"/>
      <c r="R18" s="4"/>
    </row>
    <row r="19" spans="1:18" ht="20.100000000000001" customHeight="1">
      <c r="K19" s="4"/>
      <c r="L19" s="4"/>
      <c r="M19" s="4"/>
    </row>
    <row r="20" spans="1:18" s="2" customFormat="1" ht="30" customHeight="1">
      <c r="A20" s="4"/>
      <c r="E20" s="146" t="s">
        <v>20</v>
      </c>
      <c r="F20" s="147"/>
      <c r="G20" s="79" t="s">
        <v>96</v>
      </c>
      <c r="H20" s="7"/>
      <c r="I20" s="16"/>
      <c r="J20" s="16"/>
      <c r="K20" s="6"/>
      <c r="L20" s="31"/>
      <c r="M20" s="28"/>
    </row>
    <row r="21" spans="1:18" s="2" customFormat="1" ht="12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8" s="2" customFormat="1" ht="3" customHeight="1">
      <c r="A22" s="4"/>
      <c r="B22" s="4"/>
      <c r="G22" s="4"/>
      <c r="H22" s="4"/>
      <c r="I22" s="4"/>
      <c r="J22" s="4"/>
      <c r="K22" s="4"/>
      <c r="L22" s="4"/>
      <c r="M22" s="4"/>
    </row>
    <row r="23" spans="1:18" s="2" customFormat="1" ht="2.1" customHeight="1">
      <c r="A23" s="4"/>
      <c r="B23" s="4"/>
      <c r="G23" s="4"/>
      <c r="H23" s="4"/>
      <c r="I23" s="4"/>
      <c r="J23" s="4"/>
      <c r="K23" s="4"/>
      <c r="L23" s="4"/>
      <c r="M23" s="4"/>
    </row>
    <row r="24" spans="1:18" s="2" customFormat="1" ht="30" customHeight="1">
      <c r="A24" s="4"/>
      <c r="B24" s="4"/>
      <c r="G24" s="59" t="s">
        <v>47</v>
      </c>
      <c r="H24" s="69"/>
      <c r="I24" s="115" t="s">
        <v>48</v>
      </c>
      <c r="J24" s="109"/>
      <c r="K24" s="59" t="s">
        <v>49</v>
      </c>
      <c r="L24" s="4"/>
      <c r="M24" s="4"/>
    </row>
    <row r="25" spans="1:18" s="2" customFormat="1" ht="2.1" customHeight="1">
      <c r="A25" s="4"/>
      <c r="B25" s="4"/>
      <c r="G25" s="14"/>
      <c r="H25" s="14"/>
      <c r="I25" s="15"/>
      <c r="J25" s="15"/>
      <c r="K25" s="4"/>
      <c r="L25" s="4"/>
      <c r="M25" s="4"/>
    </row>
    <row r="26" spans="1:18" s="2" customFormat="1" ht="30" customHeight="1">
      <c r="A26" s="4"/>
      <c r="B26" s="4"/>
      <c r="G26" s="100">
        <v>564</v>
      </c>
      <c r="H26" s="110"/>
      <c r="I26" s="100">
        <v>12</v>
      </c>
      <c r="J26" s="102"/>
      <c r="K26" s="108" t="b">
        <f>G26&lt;I26</f>
        <v>0</v>
      </c>
      <c r="L26" s="164" t="s">
        <v>134</v>
      </c>
      <c r="M26" s="4"/>
      <c r="N26" s="4"/>
      <c r="O26" s="4"/>
      <c r="P26" s="4"/>
      <c r="Q26" s="4"/>
      <c r="R26" s="4"/>
    </row>
    <row r="27" spans="1:18" s="2" customFormat="1" ht="2.1" customHeight="1">
      <c r="A27" s="4"/>
      <c r="B27" s="4"/>
      <c r="G27" s="104"/>
      <c r="H27" s="104"/>
      <c r="I27" s="104"/>
      <c r="J27" s="111"/>
      <c r="K27" s="108"/>
      <c r="L27" s="4"/>
      <c r="M27" s="4"/>
      <c r="N27" s="4"/>
      <c r="O27" s="4"/>
      <c r="P27" s="4"/>
      <c r="Q27" s="4"/>
      <c r="R27" s="4"/>
    </row>
    <row r="28" spans="1:18" s="2" customFormat="1" ht="30" customHeight="1">
      <c r="A28" s="4"/>
      <c r="B28" s="4"/>
      <c r="G28" s="100">
        <v>4893</v>
      </c>
      <c r="H28" s="101"/>
      <c r="I28" s="100">
        <v>2099.9</v>
      </c>
      <c r="J28" s="102"/>
      <c r="K28" s="108" t="b">
        <f t="shared" ref="K27:K30" si="0">G28&lt;I28</f>
        <v>0</v>
      </c>
      <c r="L28" s="164" t="s">
        <v>135</v>
      </c>
      <c r="M28" s="4"/>
      <c r="N28" s="4"/>
      <c r="O28" s="4"/>
      <c r="P28" s="4"/>
      <c r="Q28" s="4"/>
      <c r="R28" s="4"/>
    </row>
    <row r="29" spans="1:18" s="2" customFormat="1" ht="2.1" customHeight="1">
      <c r="A29" s="4"/>
      <c r="B29" s="4"/>
      <c r="G29" s="105"/>
      <c r="H29" s="106"/>
      <c r="I29" s="105"/>
      <c r="J29" s="105"/>
      <c r="K29" s="108"/>
      <c r="L29" s="4"/>
      <c r="M29" s="4"/>
      <c r="N29" s="4"/>
      <c r="O29" s="4"/>
      <c r="P29" s="4"/>
      <c r="Q29" s="4"/>
      <c r="R29" s="4"/>
    </row>
    <row r="30" spans="1:18" s="2" customFormat="1" ht="30" customHeight="1">
      <c r="A30" s="4"/>
      <c r="B30" s="4"/>
      <c r="E30" s="4"/>
      <c r="F30" s="4"/>
      <c r="G30" s="100">
        <v>5636.33</v>
      </c>
      <c r="H30" s="101"/>
      <c r="I30" s="100">
        <v>15256</v>
      </c>
      <c r="J30" s="102"/>
      <c r="K30" s="108" t="b">
        <f t="shared" si="0"/>
        <v>1</v>
      </c>
      <c r="L30" s="164" t="s">
        <v>136</v>
      </c>
      <c r="M30" s="4"/>
      <c r="N30" s="4"/>
      <c r="O30" s="4"/>
      <c r="P30" s="4"/>
      <c r="Q30" s="4"/>
      <c r="R30" s="4"/>
    </row>
    <row r="31" spans="1:18" s="2" customFormat="1" ht="2.1" customHeight="1">
      <c r="A31" s="4"/>
      <c r="B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s="2" customFormat="1" ht="3" customHeight="1">
      <c r="A32" s="4"/>
      <c r="B32" s="4"/>
      <c r="E32" s="4"/>
      <c r="F32" s="4"/>
      <c r="G32" s="61"/>
      <c r="H32" s="4"/>
      <c r="I32" s="61"/>
      <c r="J32" s="4"/>
      <c r="K32" s="61"/>
      <c r="L32" s="4"/>
      <c r="M32" s="4"/>
      <c r="N32" s="4"/>
      <c r="O32" s="4"/>
      <c r="P32" s="4"/>
      <c r="Q32" s="4"/>
      <c r="R32" s="4"/>
    </row>
    <row r="33" spans="3:13" ht="20.100000000000001" customHeight="1">
      <c r="K33" s="4"/>
      <c r="L33" s="4"/>
      <c r="M33" s="4"/>
    </row>
    <row r="34" spans="3:13" ht="30" customHeight="1">
      <c r="C34" s="2"/>
      <c r="D34" s="2"/>
      <c r="E34" s="146" t="s">
        <v>21</v>
      </c>
      <c r="F34" s="147"/>
      <c r="G34" s="79" t="s">
        <v>97</v>
      </c>
      <c r="H34" s="7"/>
      <c r="I34" s="16"/>
      <c r="J34" s="16"/>
      <c r="K34" s="31"/>
      <c r="L34" s="17"/>
      <c r="M34" s="4"/>
    </row>
    <row r="35" spans="3:13" ht="15.75" customHeight="1">
      <c r="C35" s="2"/>
      <c r="D35" s="2"/>
      <c r="E35" s="2"/>
      <c r="F35" s="2"/>
      <c r="G35" s="4"/>
      <c r="H35" s="4"/>
      <c r="I35" s="4"/>
      <c r="J35" s="4"/>
      <c r="K35" s="4"/>
      <c r="L35" s="4"/>
      <c r="M35" s="4"/>
    </row>
    <row r="36" spans="3:13" ht="2.1" customHeight="1">
      <c r="C36" s="2"/>
      <c r="D36" s="2"/>
      <c r="E36" s="2"/>
      <c r="F36" s="2"/>
      <c r="G36" s="4"/>
      <c r="H36" s="4"/>
      <c r="I36" s="4"/>
      <c r="J36" s="4"/>
      <c r="K36" s="4"/>
      <c r="L36" s="4"/>
      <c r="M36" s="4"/>
    </row>
    <row r="37" spans="3:13" ht="3" customHeight="1">
      <c r="C37" s="2"/>
      <c r="D37" s="2"/>
      <c r="E37" s="2"/>
      <c r="F37" s="2"/>
      <c r="G37" s="61"/>
      <c r="H37" s="4"/>
      <c r="I37" s="61"/>
      <c r="J37" s="24"/>
      <c r="K37" s="2"/>
      <c r="L37" s="4"/>
      <c r="M37" s="4"/>
    </row>
    <row r="38" spans="3:13" ht="2.1" customHeight="1">
      <c r="C38" s="2"/>
      <c r="D38" s="2"/>
      <c r="E38" s="2"/>
      <c r="F38" s="2"/>
      <c r="G38" s="4"/>
      <c r="H38" s="4"/>
      <c r="I38" s="4"/>
      <c r="J38" s="4"/>
      <c r="K38" s="2"/>
      <c r="L38" s="4"/>
      <c r="M38" s="4"/>
    </row>
    <row r="39" spans="3:13" ht="30" customHeight="1">
      <c r="C39" s="2"/>
      <c r="D39" s="2"/>
      <c r="E39" s="2"/>
      <c r="F39" s="2"/>
      <c r="G39" s="63" t="s">
        <v>51</v>
      </c>
      <c r="H39" s="64"/>
      <c r="I39" s="71">
        <v>10</v>
      </c>
      <c r="J39" s="15"/>
      <c r="K39" s="2"/>
      <c r="L39" s="4"/>
      <c r="M39" s="4"/>
    </row>
    <row r="40" spans="3:13" ht="2.1" customHeight="1">
      <c r="C40" s="2"/>
      <c r="D40" s="2"/>
      <c r="E40" s="2"/>
      <c r="F40" s="2"/>
      <c r="G40" s="66"/>
      <c r="H40" s="66"/>
      <c r="I40" s="88"/>
      <c r="J40" s="15"/>
      <c r="K40" s="2"/>
      <c r="L40" s="4"/>
      <c r="M40" s="4"/>
    </row>
    <row r="41" spans="3:13" ht="30" customHeight="1">
      <c r="C41" s="2"/>
      <c r="D41" s="2"/>
      <c r="E41" s="2"/>
      <c r="F41" s="2"/>
      <c r="G41" s="63" t="s">
        <v>50</v>
      </c>
      <c r="H41" s="64"/>
      <c r="I41" s="71">
        <v>12</v>
      </c>
      <c r="J41" s="26"/>
      <c r="K41" s="2"/>
      <c r="L41" s="4"/>
      <c r="M41" s="4"/>
    </row>
    <row r="42" spans="3:13" ht="2.1" customHeight="1">
      <c r="C42" s="2"/>
      <c r="D42" s="2"/>
      <c r="E42" s="2"/>
      <c r="F42" s="2"/>
      <c r="G42" s="72"/>
      <c r="H42" s="72"/>
      <c r="I42" s="72"/>
      <c r="J42" s="4"/>
      <c r="K42" s="2"/>
      <c r="L42" s="4"/>
      <c r="M42" s="4"/>
    </row>
    <row r="43" spans="3:13" ht="2.1" customHeight="1">
      <c r="C43" s="2"/>
      <c r="D43" s="2"/>
      <c r="E43" s="2"/>
      <c r="F43" s="2"/>
      <c r="G43" s="73"/>
      <c r="H43" s="72"/>
      <c r="I43" s="73"/>
      <c r="J43" s="24"/>
      <c r="K43" s="2"/>
      <c r="L43" s="4"/>
      <c r="M43" s="4"/>
    </row>
    <row r="44" spans="3:13" ht="2.1" customHeight="1">
      <c r="G44" s="90"/>
      <c r="H44" s="90"/>
      <c r="I44" s="90"/>
      <c r="K44" s="4"/>
      <c r="L44" s="4"/>
      <c r="M44" s="4"/>
    </row>
    <row r="45" spans="3:13" ht="30" customHeight="1">
      <c r="G45" s="69" t="s">
        <v>29</v>
      </c>
      <c r="H45" s="73"/>
      <c r="I45" s="112" t="b">
        <f>I41&lt;I39</f>
        <v>0</v>
      </c>
      <c r="J45" s="26"/>
      <c r="K45" s="164" t="s">
        <v>137</v>
      </c>
      <c r="L45" s="4"/>
      <c r="M45" s="4"/>
    </row>
    <row r="46" spans="3:13" ht="2.1" customHeight="1">
      <c r="K46" s="4"/>
      <c r="L46" s="4"/>
      <c r="M46" s="4"/>
    </row>
    <row r="47" spans="3:13" ht="3" customHeight="1">
      <c r="G47" s="94"/>
      <c r="I47" s="94"/>
      <c r="J47" s="32"/>
      <c r="K47" s="4"/>
      <c r="L47" s="4"/>
      <c r="M47" s="4"/>
    </row>
    <row r="48" spans="3:13" ht="30" customHeight="1">
      <c r="K48" s="4"/>
      <c r="L48" s="4"/>
      <c r="M48" s="4"/>
    </row>
    <row r="49" ht="30" customHeight="1"/>
  </sheetData>
  <sheetProtection selectLockedCells="1"/>
  <mergeCells count="5">
    <mergeCell ref="G1:K1"/>
    <mergeCell ref="E34:F34"/>
    <mergeCell ref="B3:C3"/>
    <mergeCell ref="E5:F5"/>
    <mergeCell ref="E20:F20"/>
  </mergeCells>
  <conditionalFormatting sqref="I16 K26 K28 K30 I45">
    <cfRule type="containsText" dxfId="12" priority="2" operator="containsText" text="VERDADERO">
      <formula>NOT(ISERROR(SEARCH("VERDADERO",I16)))</formula>
    </cfRule>
  </conditionalFormatting>
  <conditionalFormatting sqref="I45 K30 K28 K26 I16">
    <cfRule type="containsText" dxfId="11" priority="1" operator="containsText" text="FALSO">
      <formula>NOT(ISERROR(SEARCH("FALSO",I16)))</formula>
    </cfRule>
  </conditionalFormatting>
  <pageMargins left="0.75" right="0.75" top="1" bottom="1" header="0" footer="0"/>
  <pageSetup orientation="portrait" horizontalDpi="3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T48"/>
  <sheetViews>
    <sheetView showGridLines="0" zoomScaleNormal="100" workbookViewId="0">
      <pane ySplit="1" topLeftCell="A2" activePane="bottomLeft" state="frozen"/>
      <selection pane="bottomLeft" activeCell="L35" sqref="L35"/>
    </sheetView>
  </sheetViews>
  <sheetFormatPr baseColWidth="10" defaultColWidth="11.44140625" defaultRowHeight="20.100000000000001" customHeight="1"/>
  <cols>
    <col min="1" max="1" width="3.109375" style="1" customWidth="1"/>
    <col min="2" max="2" width="14.88671875" style="1" customWidth="1"/>
    <col min="3" max="3" width="9.109375" style="1" customWidth="1"/>
    <col min="4" max="4" width="0.5546875" style="1" customWidth="1"/>
    <col min="5" max="5" width="16.6640625" style="1" customWidth="1"/>
    <col min="6" max="6" width="0.33203125" style="1" customWidth="1"/>
    <col min="7" max="7" width="23" style="1" customWidth="1"/>
    <col min="8" max="8" width="0.33203125" style="1" customWidth="1"/>
    <col min="9" max="9" width="26.33203125" style="1" customWidth="1"/>
    <col min="10" max="10" width="0.33203125" style="1" customWidth="1"/>
    <col min="11" max="11" width="20.33203125" style="1" customWidth="1"/>
    <col min="12" max="12" width="43.109375" style="1" customWidth="1"/>
    <col min="13" max="13" width="22.5546875" style="1" customWidth="1"/>
    <col min="14" max="14" width="14.44140625" style="1" customWidth="1"/>
    <col min="15" max="16384" width="11.44140625" style="1"/>
  </cols>
  <sheetData>
    <row r="1" spans="1:20" s="116" customFormat="1" ht="33.6" customHeight="1">
      <c r="C1" s="117"/>
      <c r="D1" s="117"/>
      <c r="G1" s="150" t="s">
        <v>75</v>
      </c>
      <c r="H1" s="150"/>
      <c r="I1" s="150"/>
      <c r="J1" s="150"/>
      <c r="K1" s="150"/>
      <c r="L1" s="55"/>
      <c r="M1" s="55"/>
      <c r="N1" s="55"/>
      <c r="O1" s="84"/>
      <c r="P1" s="84"/>
      <c r="Q1" s="84"/>
      <c r="R1" s="84"/>
      <c r="S1" s="84"/>
      <c r="T1" s="84"/>
    </row>
    <row r="2" spans="1:20" ht="12.75" customHeight="1"/>
    <row r="3" spans="1:20" ht="30" customHeight="1">
      <c r="B3" s="148" t="s">
        <v>72</v>
      </c>
      <c r="C3" s="149"/>
      <c r="D3" s="20"/>
      <c r="E3" s="81" t="s">
        <v>91</v>
      </c>
      <c r="F3" s="21"/>
      <c r="G3" s="21"/>
      <c r="H3" s="21"/>
      <c r="I3" s="21"/>
      <c r="J3" s="21"/>
      <c r="K3" s="22"/>
      <c r="L3" s="2"/>
      <c r="M3" s="2"/>
      <c r="N3" s="2"/>
      <c r="O3" s="2"/>
      <c r="P3" s="2"/>
    </row>
    <row r="4" spans="1:20" ht="18.75" customHeight="1"/>
    <row r="5" spans="1:20" s="2" customFormat="1" ht="30" customHeight="1">
      <c r="A5" s="4"/>
      <c r="E5" s="152" t="s">
        <v>19</v>
      </c>
      <c r="F5" s="153"/>
      <c r="G5" s="79" t="s">
        <v>98</v>
      </c>
      <c r="H5" s="7"/>
      <c r="I5" s="16"/>
      <c r="J5" s="16"/>
      <c r="K5" s="6"/>
      <c r="L5" s="28"/>
    </row>
    <row r="6" spans="1:20" s="2" customFormat="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20" s="2" customFormat="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20" s="2" customFormat="1" ht="3" customHeight="1">
      <c r="A8" s="4"/>
      <c r="B8" s="4"/>
      <c r="G8" s="61"/>
      <c r="H8" s="4"/>
      <c r="I8" s="61"/>
      <c r="J8" s="24"/>
      <c r="K8" s="4"/>
      <c r="L8" s="4"/>
      <c r="M8" s="4"/>
    </row>
    <row r="9" spans="1:20" s="2" customFormat="1" ht="2.1" customHeight="1">
      <c r="A9" s="4"/>
      <c r="B9" s="4"/>
      <c r="G9" s="4"/>
      <c r="H9" s="4"/>
      <c r="I9" s="61"/>
      <c r="J9" s="4"/>
      <c r="K9" s="4"/>
      <c r="L9" s="4"/>
      <c r="M9" s="4"/>
    </row>
    <row r="10" spans="1:20" s="2" customFormat="1" ht="30" customHeight="1">
      <c r="A10" s="4"/>
      <c r="B10" s="4"/>
      <c r="G10" s="63" t="s">
        <v>44</v>
      </c>
      <c r="H10" s="64"/>
      <c r="I10" s="71">
        <v>500</v>
      </c>
      <c r="J10" s="29"/>
      <c r="K10" s="4"/>
      <c r="L10" s="4"/>
      <c r="M10" s="4"/>
    </row>
    <row r="11" spans="1:20" s="2" customFormat="1" ht="2.1" customHeight="1">
      <c r="A11" s="4"/>
      <c r="B11" s="4"/>
      <c r="G11" s="66"/>
      <c r="H11" s="66"/>
      <c r="I11" s="88"/>
      <c r="J11" s="30"/>
      <c r="K11" s="4"/>
      <c r="L11" s="4"/>
      <c r="M11" s="4"/>
    </row>
    <row r="12" spans="1:20" s="2" customFormat="1" ht="30" customHeight="1">
      <c r="A12" s="4"/>
      <c r="B12" s="4"/>
      <c r="G12" s="63" t="s">
        <v>45</v>
      </c>
      <c r="H12" s="64"/>
      <c r="I12" s="71">
        <v>500</v>
      </c>
      <c r="J12" s="29"/>
      <c r="K12" s="4"/>
      <c r="L12" s="4"/>
      <c r="M12" s="4"/>
      <c r="N12" s="4"/>
      <c r="O12" s="4"/>
      <c r="P12" s="4"/>
      <c r="Q12" s="4"/>
      <c r="R12" s="4"/>
    </row>
    <row r="13" spans="1:20" s="2" customFormat="1" ht="2.1" customHeight="1">
      <c r="A13" s="4"/>
      <c r="B13" s="4"/>
      <c r="G13" s="72"/>
      <c r="H13" s="72"/>
      <c r="I13" s="72"/>
      <c r="J13" s="4"/>
      <c r="K13" s="4"/>
      <c r="L13" s="4"/>
      <c r="M13" s="4"/>
      <c r="N13" s="4"/>
      <c r="O13" s="4"/>
      <c r="P13" s="4"/>
      <c r="Q13" s="4"/>
      <c r="R13" s="4"/>
    </row>
    <row r="14" spans="1:20" s="2" customFormat="1" ht="3" customHeight="1">
      <c r="A14" s="4"/>
      <c r="B14" s="4"/>
      <c r="G14" s="73"/>
      <c r="H14" s="72"/>
      <c r="I14" s="73"/>
      <c r="J14" s="24"/>
      <c r="K14" s="4"/>
      <c r="L14" s="4"/>
      <c r="M14" s="4"/>
      <c r="N14" s="4"/>
      <c r="O14" s="4"/>
      <c r="P14" s="4"/>
      <c r="Q14" s="4"/>
      <c r="R14" s="4"/>
    </row>
    <row r="15" spans="1:20" s="2" customFormat="1" ht="2.1" customHeight="1">
      <c r="A15" s="4"/>
      <c r="B15" s="4"/>
      <c r="G15" s="72"/>
      <c r="H15" s="72"/>
      <c r="I15" s="72"/>
      <c r="J15" s="4"/>
      <c r="K15" s="4"/>
      <c r="L15" s="4"/>
      <c r="M15" s="4"/>
      <c r="N15" s="4"/>
      <c r="O15" s="4"/>
      <c r="P15" s="4"/>
      <c r="Q15" s="4"/>
      <c r="R15" s="4"/>
    </row>
    <row r="16" spans="1:20" s="2" customFormat="1" ht="30" customHeight="1">
      <c r="A16" s="4"/>
      <c r="B16" s="4"/>
      <c r="G16" s="69" t="s">
        <v>46</v>
      </c>
      <c r="H16" s="75"/>
      <c r="I16" s="113" t="b">
        <f>I10&gt;=I12</f>
        <v>1</v>
      </c>
      <c r="J16" s="27"/>
      <c r="K16" s="108" t="s">
        <v>138</v>
      </c>
      <c r="L16" s="4"/>
      <c r="M16" s="4"/>
      <c r="N16" s="4"/>
      <c r="O16" s="4"/>
      <c r="P16" s="4"/>
      <c r="Q16" s="4"/>
      <c r="R16" s="4"/>
    </row>
    <row r="17" spans="1:18" s="2" customFormat="1" ht="2.1" customHeight="1">
      <c r="A17" s="4"/>
      <c r="B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s="2" customFormat="1" ht="3" customHeight="1">
      <c r="A18" s="4"/>
      <c r="B18" s="4"/>
      <c r="G18" s="61"/>
      <c r="H18" s="4"/>
      <c r="I18" s="61"/>
      <c r="J18" s="24"/>
      <c r="K18" s="4"/>
      <c r="L18" s="4"/>
      <c r="M18" s="4"/>
      <c r="N18" s="4"/>
      <c r="O18" s="4"/>
      <c r="P18" s="4"/>
      <c r="Q18" s="4"/>
      <c r="R18" s="4"/>
    </row>
    <row r="19" spans="1:18" ht="20.100000000000001" customHeight="1">
      <c r="K19" s="4"/>
      <c r="L19" s="4"/>
      <c r="M19" s="4"/>
    </row>
    <row r="20" spans="1:18" s="2" customFormat="1" ht="30" customHeight="1">
      <c r="A20" s="4"/>
      <c r="E20" s="152" t="s">
        <v>20</v>
      </c>
      <c r="F20" s="153"/>
      <c r="G20" s="79" t="s">
        <v>99</v>
      </c>
      <c r="H20" s="7"/>
      <c r="I20" s="16"/>
      <c r="J20" s="16"/>
      <c r="K20" s="6"/>
      <c r="L20" s="31"/>
      <c r="M20" s="28"/>
    </row>
    <row r="21" spans="1:18" s="2" customFormat="1" ht="12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8" s="2" customFormat="1" ht="3" customHeight="1">
      <c r="A22" s="4"/>
      <c r="B22" s="4"/>
      <c r="G22" s="4"/>
      <c r="H22" s="4"/>
      <c r="I22" s="4"/>
      <c r="J22" s="4"/>
      <c r="K22" s="4"/>
      <c r="L22" s="4"/>
      <c r="M22" s="4"/>
    </row>
    <row r="23" spans="1:18" s="2" customFormat="1" ht="2.1" customHeight="1">
      <c r="A23" s="4"/>
      <c r="B23" s="4"/>
      <c r="G23" s="4"/>
      <c r="H23" s="4"/>
      <c r="I23" s="4"/>
      <c r="J23" s="4"/>
      <c r="K23" s="4"/>
      <c r="L23" s="4"/>
      <c r="M23" s="4"/>
    </row>
    <row r="24" spans="1:18" s="2" customFormat="1" ht="30" customHeight="1">
      <c r="A24" s="4"/>
      <c r="B24" s="4"/>
      <c r="G24" s="59" t="s">
        <v>47</v>
      </c>
      <c r="H24" s="39"/>
      <c r="I24" s="115" t="s">
        <v>48</v>
      </c>
      <c r="J24" s="40"/>
      <c r="K24" s="59" t="s">
        <v>49</v>
      </c>
      <c r="L24" s="4"/>
      <c r="M24" s="4"/>
    </row>
    <row r="25" spans="1:18" s="2" customFormat="1" ht="2.1" customHeight="1">
      <c r="A25" s="4"/>
      <c r="B25" s="4"/>
      <c r="G25" s="14"/>
      <c r="H25" s="14"/>
      <c r="I25" s="15"/>
      <c r="J25" s="15"/>
      <c r="K25" s="4"/>
      <c r="L25" s="4"/>
      <c r="M25" s="4"/>
    </row>
    <row r="26" spans="1:18" s="2" customFormat="1" ht="30" customHeight="1">
      <c r="A26" s="4"/>
      <c r="B26" s="4"/>
      <c r="G26" s="100">
        <v>52</v>
      </c>
      <c r="H26" s="101"/>
      <c r="I26" s="100">
        <v>69</v>
      </c>
      <c r="J26" s="102"/>
      <c r="K26" s="108" t="b">
        <f>G26&gt;=I26</f>
        <v>0</v>
      </c>
      <c r="L26" s="108" t="s">
        <v>139</v>
      </c>
      <c r="M26" s="4"/>
      <c r="N26" s="4"/>
      <c r="O26" s="4"/>
      <c r="P26" s="4"/>
      <c r="Q26" s="4"/>
      <c r="R26" s="4"/>
    </row>
    <row r="27" spans="1:18" s="2" customFormat="1" ht="2.1" customHeight="1">
      <c r="A27" s="4"/>
      <c r="B27" s="4"/>
      <c r="G27" s="104"/>
      <c r="H27" s="104"/>
      <c r="I27" s="104"/>
      <c r="J27" s="104"/>
      <c r="K27" s="108"/>
      <c r="L27" s="4"/>
      <c r="M27" s="4"/>
      <c r="N27" s="4"/>
      <c r="O27" s="4"/>
      <c r="P27" s="4"/>
      <c r="Q27" s="4"/>
      <c r="R27" s="4"/>
    </row>
    <row r="28" spans="1:18" s="2" customFormat="1" ht="30" customHeight="1">
      <c r="A28" s="4"/>
      <c r="B28" s="4"/>
      <c r="G28" s="100">
        <v>4999.99</v>
      </c>
      <c r="H28" s="101"/>
      <c r="I28" s="100">
        <v>2099.9</v>
      </c>
      <c r="J28" s="102"/>
      <c r="K28" s="108" t="b">
        <f>G28&gt;=I28</f>
        <v>1</v>
      </c>
      <c r="L28" s="108" t="s">
        <v>140</v>
      </c>
      <c r="M28" s="4"/>
      <c r="N28" s="4"/>
      <c r="O28" s="4"/>
      <c r="P28" s="4"/>
      <c r="Q28" s="4"/>
      <c r="R28" s="4"/>
    </row>
    <row r="29" spans="1:18" s="2" customFormat="1" ht="2.1" customHeight="1">
      <c r="A29" s="4"/>
      <c r="B29" s="4"/>
      <c r="G29" s="105"/>
      <c r="H29" s="106"/>
      <c r="I29" s="105"/>
      <c r="J29" s="105"/>
      <c r="K29" s="108"/>
      <c r="L29" s="4"/>
      <c r="M29" s="4"/>
      <c r="N29" s="4"/>
      <c r="O29" s="4"/>
      <c r="P29" s="4"/>
      <c r="Q29" s="4"/>
      <c r="R29" s="4"/>
    </row>
    <row r="30" spans="1:18" s="2" customFormat="1" ht="30" customHeight="1">
      <c r="A30" s="4"/>
      <c r="B30" s="4"/>
      <c r="E30" s="4"/>
      <c r="F30" s="4"/>
      <c r="G30" s="100">
        <v>526</v>
      </c>
      <c r="H30" s="101"/>
      <c r="I30" s="100">
        <v>526</v>
      </c>
      <c r="J30" s="102"/>
      <c r="K30" s="108" t="b">
        <f>G30&gt;=I30</f>
        <v>1</v>
      </c>
      <c r="L30" s="108" t="s">
        <v>141</v>
      </c>
      <c r="M30" s="4"/>
      <c r="N30" s="4"/>
      <c r="O30" s="4"/>
      <c r="P30" s="4"/>
      <c r="Q30" s="4"/>
      <c r="R30" s="4"/>
    </row>
    <row r="31" spans="1:18" s="2" customFormat="1" ht="2.1" customHeight="1">
      <c r="A31" s="4"/>
      <c r="B31" s="4"/>
      <c r="E31" s="4"/>
      <c r="F31" s="4"/>
      <c r="G31" s="4"/>
      <c r="H31" s="4"/>
      <c r="I31" s="4"/>
      <c r="J31" s="4"/>
      <c r="K31" s="51"/>
      <c r="L31" s="4"/>
      <c r="M31" s="4"/>
      <c r="N31" s="4"/>
      <c r="O31" s="4"/>
      <c r="P31" s="4"/>
      <c r="Q31" s="4"/>
      <c r="R31" s="4"/>
    </row>
    <row r="32" spans="1:18" s="2" customFormat="1" ht="3" customHeight="1">
      <c r="A32" s="4"/>
      <c r="B32" s="4"/>
      <c r="E32" s="4"/>
      <c r="F32" s="4"/>
      <c r="G32" s="61"/>
      <c r="H32" s="4"/>
      <c r="I32" s="61"/>
      <c r="J32" s="4"/>
      <c r="K32" s="61"/>
      <c r="L32" s="4"/>
      <c r="M32" s="4"/>
      <c r="N32" s="4"/>
      <c r="O32" s="4"/>
      <c r="P32" s="4"/>
      <c r="Q32" s="4"/>
      <c r="R32" s="4"/>
    </row>
    <row r="33" spans="3:13" ht="20.100000000000001" customHeight="1">
      <c r="K33" s="4"/>
      <c r="L33" s="4"/>
      <c r="M33" s="4"/>
    </row>
    <row r="34" spans="3:13" ht="30" customHeight="1">
      <c r="C34" s="2"/>
      <c r="D34" s="2"/>
      <c r="E34" s="152" t="s">
        <v>21</v>
      </c>
      <c r="F34" s="153"/>
      <c r="G34" s="79" t="s">
        <v>100</v>
      </c>
      <c r="H34" s="7"/>
      <c r="I34" s="16"/>
      <c r="J34" s="16"/>
      <c r="K34" s="31"/>
      <c r="L34" s="17"/>
      <c r="M34" s="4"/>
    </row>
    <row r="35" spans="3:13" ht="15.75" customHeight="1">
      <c r="C35" s="2"/>
      <c r="D35" s="2"/>
      <c r="E35" s="2"/>
      <c r="F35" s="2"/>
      <c r="G35" s="4"/>
      <c r="H35" s="4"/>
      <c r="I35" s="4"/>
      <c r="J35" s="4"/>
      <c r="K35" s="4"/>
      <c r="L35" s="4"/>
      <c r="M35" s="4"/>
    </row>
    <row r="36" spans="3:13" ht="2.1" customHeight="1">
      <c r="C36" s="2"/>
      <c r="D36" s="2"/>
      <c r="E36" s="2"/>
      <c r="F36" s="2"/>
      <c r="G36" s="4"/>
      <c r="H36" s="4"/>
      <c r="I36" s="4"/>
      <c r="J36" s="4"/>
      <c r="K36" s="4"/>
      <c r="L36" s="4"/>
      <c r="M36" s="4"/>
    </row>
    <row r="37" spans="3:13" ht="3" customHeight="1">
      <c r="C37" s="2"/>
      <c r="D37" s="2"/>
      <c r="E37" s="2"/>
      <c r="F37" s="2"/>
      <c r="G37" s="61"/>
      <c r="H37" s="4"/>
      <c r="I37" s="61"/>
      <c r="J37" s="24"/>
      <c r="K37" s="2"/>
      <c r="L37" s="4"/>
      <c r="M37" s="4"/>
    </row>
    <row r="38" spans="3:13" ht="2.1" customHeight="1">
      <c r="C38" s="2"/>
      <c r="D38" s="2"/>
      <c r="E38" s="2"/>
      <c r="F38" s="2"/>
      <c r="G38" s="4"/>
      <c r="H38" s="4"/>
      <c r="I38" s="4"/>
      <c r="J38" s="4"/>
      <c r="K38" s="2"/>
      <c r="L38" s="4"/>
      <c r="M38" s="4"/>
    </row>
    <row r="39" spans="3:13" ht="30" customHeight="1">
      <c r="C39" s="2"/>
      <c r="D39" s="2"/>
      <c r="E39" s="2"/>
      <c r="F39" s="2"/>
      <c r="G39" s="63" t="s">
        <v>51</v>
      </c>
      <c r="H39" s="64"/>
      <c r="I39" s="71">
        <v>10</v>
      </c>
      <c r="J39" s="25"/>
      <c r="K39" s="2"/>
      <c r="L39" s="4"/>
      <c r="M39" s="4"/>
    </row>
    <row r="40" spans="3:13" ht="2.1" customHeight="1">
      <c r="C40" s="2"/>
      <c r="D40" s="2"/>
      <c r="E40" s="2"/>
      <c r="F40" s="2"/>
      <c r="G40" s="66"/>
      <c r="H40" s="66"/>
      <c r="I40" s="88"/>
      <c r="J40" s="15"/>
      <c r="K40" s="2"/>
      <c r="L40" s="4"/>
      <c r="M40" s="4"/>
    </row>
    <row r="41" spans="3:13" ht="30" customHeight="1">
      <c r="C41" s="2"/>
      <c r="D41" s="2"/>
      <c r="E41" s="2"/>
      <c r="F41" s="2"/>
      <c r="G41" s="63" t="s">
        <v>50</v>
      </c>
      <c r="H41" s="64"/>
      <c r="I41" s="71">
        <v>12</v>
      </c>
      <c r="J41" s="26"/>
      <c r="K41" s="2"/>
      <c r="L41" s="4"/>
      <c r="M41" s="4"/>
    </row>
    <row r="42" spans="3:13" ht="2.1" customHeight="1">
      <c r="C42" s="2"/>
      <c r="D42" s="2"/>
      <c r="E42" s="2"/>
      <c r="F42" s="2"/>
      <c r="G42" s="72"/>
      <c r="H42" s="72"/>
      <c r="I42" s="72"/>
      <c r="J42" s="4"/>
      <c r="K42" s="2"/>
      <c r="L42" s="4"/>
      <c r="M42" s="4"/>
    </row>
    <row r="43" spans="3:13" ht="2.1" customHeight="1">
      <c r="C43" s="2"/>
      <c r="D43" s="2"/>
      <c r="E43" s="2"/>
      <c r="F43" s="2"/>
      <c r="G43" s="73"/>
      <c r="H43" s="72"/>
      <c r="I43" s="73"/>
      <c r="J43" s="24"/>
      <c r="K43" s="2"/>
      <c r="L43" s="4"/>
      <c r="M43" s="4"/>
    </row>
    <row r="44" spans="3:13" ht="2.1" customHeight="1">
      <c r="G44" s="90"/>
      <c r="H44" s="90"/>
      <c r="I44" s="90"/>
      <c r="K44" s="4"/>
      <c r="L44" s="4"/>
      <c r="M44" s="4"/>
    </row>
    <row r="45" spans="3:13" ht="30" customHeight="1">
      <c r="G45" s="69" t="s">
        <v>29</v>
      </c>
      <c r="H45" s="73"/>
      <c r="I45" s="112" t="b">
        <f>I41&gt;=I39</f>
        <v>1</v>
      </c>
      <c r="J45" s="26"/>
      <c r="K45" s="108" t="s">
        <v>142</v>
      </c>
      <c r="L45" s="4"/>
      <c r="M45" s="4"/>
    </row>
    <row r="46" spans="3:13" ht="2.1" customHeight="1">
      <c r="K46" s="112"/>
      <c r="L46" s="4"/>
      <c r="M46" s="4"/>
    </row>
    <row r="47" spans="3:13" ht="3" customHeight="1">
      <c r="G47" s="94"/>
      <c r="I47" s="94"/>
      <c r="J47" s="32"/>
      <c r="K47" s="4"/>
      <c r="L47" s="4"/>
      <c r="M47" s="4"/>
    </row>
    <row r="48" spans="3:13" ht="30" customHeight="1">
      <c r="K48" s="4"/>
      <c r="L48" s="4"/>
      <c r="M48" s="4"/>
    </row>
  </sheetData>
  <sheetProtection selectLockedCells="1"/>
  <mergeCells count="5">
    <mergeCell ref="G1:K1"/>
    <mergeCell ref="E34:F34"/>
    <mergeCell ref="B3:C3"/>
    <mergeCell ref="E5:F5"/>
    <mergeCell ref="E20:F20"/>
  </mergeCells>
  <conditionalFormatting sqref="I45 K30 K28 K26 I16">
    <cfRule type="containsText" dxfId="9" priority="2" operator="containsText" text="VERDADERO">
      <formula>NOT(ISERROR(SEARCH("VERDADERO",I16)))</formula>
    </cfRule>
    <cfRule type="containsText" dxfId="10" priority="1" operator="containsText" text="FALSO">
      <formula>NOT(ISERROR(SEARCH("FALSO",I16)))</formula>
    </cfRule>
  </conditionalFormatting>
  <pageMargins left="0.75" right="0.75" top="1" bottom="1" header="0" footer="0"/>
  <pageSetup orientation="portrait" horizontalDpi="3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</sheetPr>
  <dimension ref="A1:T48"/>
  <sheetViews>
    <sheetView showGridLines="0" zoomScaleNormal="100" workbookViewId="0">
      <pane ySplit="1" topLeftCell="A23" activePane="bottomLeft" state="frozen"/>
      <selection pane="bottomLeft" activeCell="M30" sqref="M30"/>
    </sheetView>
  </sheetViews>
  <sheetFormatPr baseColWidth="10" defaultColWidth="11.44140625" defaultRowHeight="20.100000000000001" customHeight="1"/>
  <cols>
    <col min="1" max="1" width="3.109375" style="1" customWidth="1"/>
    <col min="2" max="2" width="14.88671875" style="1" customWidth="1"/>
    <col min="3" max="3" width="9.109375" style="1" customWidth="1"/>
    <col min="4" max="4" width="0.5546875" style="1" customWidth="1"/>
    <col min="5" max="5" width="16.6640625" style="1" customWidth="1"/>
    <col min="6" max="6" width="0.33203125" style="1" customWidth="1"/>
    <col min="7" max="7" width="23" style="1" customWidth="1"/>
    <col min="8" max="8" width="0.33203125" style="1" customWidth="1"/>
    <col min="9" max="9" width="26.33203125" style="1" customWidth="1"/>
    <col min="10" max="10" width="0.33203125" style="1" customWidth="1"/>
    <col min="11" max="11" width="20.33203125" style="1" customWidth="1"/>
    <col min="12" max="12" width="43.109375" style="1" customWidth="1"/>
    <col min="13" max="13" width="22.5546875" style="1" customWidth="1"/>
    <col min="14" max="14" width="14.44140625" style="1" customWidth="1"/>
    <col min="15" max="16384" width="11.44140625" style="1"/>
  </cols>
  <sheetData>
    <row r="1" spans="1:20" s="116" customFormat="1" ht="30" customHeight="1">
      <c r="C1" s="117"/>
      <c r="D1" s="117"/>
      <c r="G1" s="150" t="s">
        <v>75</v>
      </c>
      <c r="H1" s="150"/>
      <c r="I1" s="150"/>
      <c r="J1" s="150"/>
      <c r="K1" s="150"/>
      <c r="L1" s="55"/>
      <c r="M1" s="55"/>
      <c r="N1" s="55"/>
      <c r="O1" s="84"/>
      <c r="P1" s="84"/>
      <c r="Q1" s="84"/>
      <c r="R1" s="84"/>
      <c r="S1" s="84"/>
      <c r="T1" s="84"/>
    </row>
    <row r="2" spans="1:20" ht="12.75" customHeight="1"/>
    <row r="3" spans="1:20" ht="30" customHeight="1">
      <c r="B3" s="148" t="s">
        <v>72</v>
      </c>
      <c r="C3" s="149"/>
      <c r="D3" s="20"/>
      <c r="E3" s="81" t="s">
        <v>91</v>
      </c>
      <c r="F3" s="21"/>
      <c r="G3" s="21"/>
      <c r="H3" s="21"/>
      <c r="I3" s="21"/>
      <c r="J3" s="21"/>
      <c r="K3" s="22"/>
      <c r="L3" s="2"/>
      <c r="M3" s="2"/>
      <c r="N3" s="2"/>
      <c r="O3" s="2"/>
      <c r="P3" s="2"/>
    </row>
    <row r="4" spans="1:20" ht="18.75" customHeight="1"/>
    <row r="5" spans="1:20" s="2" customFormat="1" ht="30" customHeight="1">
      <c r="A5" s="4"/>
      <c r="E5" s="146" t="s">
        <v>19</v>
      </c>
      <c r="F5" s="147"/>
      <c r="G5" s="79" t="s">
        <v>101</v>
      </c>
      <c r="H5" s="7"/>
      <c r="I5" s="16"/>
      <c r="J5" s="16"/>
      <c r="K5" s="6"/>
      <c r="L5" s="28"/>
    </row>
    <row r="6" spans="1:20" s="2" customFormat="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20" s="2" customFormat="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20" s="2" customFormat="1" ht="3" customHeight="1">
      <c r="A8" s="4"/>
      <c r="B8" s="4"/>
      <c r="G8" s="61"/>
      <c r="H8" s="4"/>
      <c r="I8" s="61"/>
      <c r="J8" s="24"/>
      <c r="K8" s="4"/>
      <c r="L8" s="4"/>
      <c r="M8" s="4"/>
    </row>
    <row r="9" spans="1:20" s="2" customFormat="1" ht="2.1" customHeight="1">
      <c r="A9" s="4"/>
      <c r="B9" s="4"/>
      <c r="G9" s="4"/>
      <c r="H9" s="4"/>
      <c r="I9" s="4"/>
      <c r="J9" s="4"/>
      <c r="K9" s="4"/>
      <c r="L9" s="4"/>
      <c r="M9" s="4"/>
    </row>
    <row r="10" spans="1:20" s="2" customFormat="1" ht="30" customHeight="1">
      <c r="A10" s="4"/>
      <c r="B10" s="4"/>
      <c r="G10" s="63" t="s">
        <v>44</v>
      </c>
      <c r="H10" s="64"/>
      <c r="I10" s="71">
        <v>1522</v>
      </c>
      <c r="J10" s="30"/>
      <c r="K10" s="4"/>
      <c r="L10" s="4"/>
      <c r="M10" s="4"/>
    </row>
    <row r="11" spans="1:20" s="2" customFormat="1" ht="2.1" customHeight="1">
      <c r="A11" s="4"/>
      <c r="B11" s="4"/>
      <c r="G11" s="66"/>
      <c r="H11" s="66"/>
      <c r="I11" s="88"/>
      <c r="J11" s="30"/>
      <c r="K11" s="4"/>
      <c r="L11" s="4"/>
      <c r="M11" s="4"/>
    </row>
    <row r="12" spans="1:20" s="2" customFormat="1" ht="30" customHeight="1">
      <c r="A12" s="4"/>
      <c r="B12" s="4"/>
      <c r="G12" s="63" t="s">
        <v>45</v>
      </c>
      <c r="H12" s="64"/>
      <c r="I12" s="71">
        <v>5699</v>
      </c>
      <c r="J12" s="30"/>
      <c r="K12" s="4"/>
      <c r="L12" s="4"/>
      <c r="M12" s="4"/>
      <c r="N12" s="4"/>
      <c r="O12" s="4"/>
      <c r="P12" s="4"/>
      <c r="Q12" s="4"/>
      <c r="R12" s="4"/>
    </row>
    <row r="13" spans="1:20" s="2" customFormat="1" ht="2.1" customHeight="1">
      <c r="A13" s="4"/>
      <c r="B13" s="4"/>
      <c r="G13" s="72"/>
      <c r="H13" s="72"/>
      <c r="I13" s="72"/>
      <c r="J13" s="4"/>
      <c r="K13" s="4"/>
      <c r="L13" s="4"/>
      <c r="M13" s="4"/>
      <c r="N13" s="4"/>
      <c r="O13" s="4"/>
      <c r="P13" s="4"/>
      <c r="Q13" s="4"/>
      <c r="R13" s="4"/>
    </row>
    <row r="14" spans="1:20" s="2" customFormat="1" ht="3" customHeight="1">
      <c r="A14" s="4"/>
      <c r="B14" s="4"/>
      <c r="G14" s="73"/>
      <c r="H14" s="72"/>
      <c r="I14" s="73"/>
      <c r="J14" s="24"/>
      <c r="K14" s="4"/>
      <c r="L14" s="4"/>
      <c r="M14" s="4"/>
      <c r="N14" s="4"/>
      <c r="O14" s="4"/>
      <c r="P14" s="4"/>
      <c r="Q14" s="4"/>
      <c r="R14" s="4"/>
    </row>
    <row r="15" spans="1:20" s="2" customFormat="1" ht="2.1" customHeight="1">
      <c r="A15" s="4"/>
      <c r="B15" s="4"/>
      <c r="G15" s="72"/>
      <c r="H15" s="72"/>
      <c r="I15" s="72"/>
      <c r="J15" s="4"/>
      <c r="K15" s="4"/>
      <c r="L15" s="4"/>
      <c r="M15" s="4"/>
      <c r="N15" s="4"/>
      <c r="O15" s="4"/>
      <c r="P15" s="4"/>
      <c r="Q15" s="4"/>
      <c r="R15" s="4"/>
    </row>
    <row r="16" spans="1:20" s="2" customFormat="1" ht="30" customHeight="1">
      <c r="A16" s="4"/>
      <c r="B16" s="4"/>
      <c r="G16" s="69" t="s">
        <v>46</v>
      </c>
      <c r="H16" s="75"/>
      <c r="I16" s="113" t="b">
        <f>I10&lt;=I12</f>
        <v>1</v>
      </c>
      <c r="J16" s="27"/>
      <c r="K16" s="113" t="s">
        <v>147</v>
      </c>
      <c r="L16" s="4"/>
      <c r="M16" s="4"/>
      <c r="N16" s="4"/>
      <c r="O16" s="4"/>
      <c r="P16" s="4"/>
      <c r="Q16" s="4"/>
      <c r="R16" s="4"/>
    </row>
    <row r="17" spans="1:18" s="2" customFormat="1" ht="2.1" customHeight="1">
      <c r="A17" s="4"/>
      <c r="B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s="2" customFormat="1" ht="3" customHeight="1">
      <c r="A18" s="4"/>
      <c r="B18" s="4"/>
      <c r="G18" s="61"/>
      <c r="H18" s="4"/>
      <c r="I18" s="61"/>
      <c r="J18" s="24"/>
      <c r="K18" s="4"/>
      <c r="L18" s="4"/>
      <c r="M18" s="4"/>
      <c r="N18" s="4"/>
      <c r="O18" s="4"/>
      <c r="P18" s="4"/>
      <c r="Q18" s="4"/>
      <c r="R18" s="4"/>
    </row>
    <row r="19" spans="1:18" ht="20.100000000000001" customHeight="1">
      <c r="K19" s="4"/>
      <c r="L19" s="4"/>
      <c r="M19" s="4"/>
    </row>
    <row r="20" spans="1:18" s="2" customFormat="1" ht="30" customHeight="1">
      <c r="A20" s="4"/>
      <c r="E20" s="146" t="s">
        <v>20</v>
      </c>
      <c r="F20" s="147"/>
      <c r="G20" s="79" t="s">
        <v>102</v>
      </c>
      <c r="H20" s="7"/>
      <c r="I20" s="16"/>
      <c r="J20" s="16"/>
      <c r="K20" s="6"/>
      <c r="L20" s="31"/>
      <c r="M20" s="28"/>
    </row>
    <row r="21" spans="1:18" s="2" customFormat="1" ht="12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8" s="2" customFormat="1" ht="3" customHeight="1">
      <c r="A22" s="4"/>
      <c r="B22" s="4"/>
      <c r="G22" s="4"/>
      <c r="H22" s="4"/>
      <c r="I22" s="4"/>
      <c r="J22" s="4"/>
      <c r="K22" s="4"/>
      <c r="L22" s="4"/>
      <c r="M22" s="4"/>
    </row>
    <row r="23" spans="1:18" s="2" customFormat="1" ht="2.1" customHeight="1">
      <c r="A23" s="4"/>
      <c r="B23" s="4"/>
      <c r="G23" s="4"/>
      <c r="H23" s="4"/>
      <c r="I23" s="4"/>
      <c r="J23" s="4"/>
      <c r="K23" s="4"/>
      <c r="L23" s="4"/>
      <c r="M23" s="4"/>
    </row>
    <row r="24" spans="1:18" s="2" customFormat="1" ht="30" customHeight="1">
      <c r="A24" s="4"/>
      <c r="B24" s="4"/>
      <c r="G24" s="97" t="s">
        <v>47</v>
      </c>
      <c r="H24" s="39"/>
      <c r="I24" s="98" t="s">
        <v>48</v>
      </c>
      <c r="J24" s="40"/>
      <c r="K24" s="97" t="s">
        <v>49</v>
      </c>
      <c r="L24" s="4"/>
      <c r="M24" s="4"/>
    </row>
    <row r="25" spans="1:18" s="2" customFormat="1" ht="2.1" customHeight="1">
      <c r="A25" s="4"/>
      <c r="B25" s="4"/>
      <c r="G25" s="14"/>
      <c r="H25" s="14"/>
      <c r="I25" s="15"/>
      <c r="J25" s="15"/>
      <c r="K25" s="4"/>
      <c r="L25" s="4"/>
      <c r="M25" s="4"/>
    </row>
    <row r="26" spans="1:18" s="2" customFormat="1" ht="30" customHeight="1">
      <c r="A26" s="4"/>
      <c r="B26" s="4"/>
      <c r="G26" s="100">
        <v>695</v>
      </c>
      <c r="H26" s="101"/>
      <c r="I26" s="100">
        <v>698</v>
      </c>
      <c r="J26" s="102"/>
      <c r="K26" s="108" t="b">
        <f>G26&lt;=I26</f>
        <v>1</v>
      </c>
      <c r="L26" s="113" t="s">
        <v>144</v>
      </c>
      <c r="M26" s="4"/>
      <c r="N26" s="4"/>
      <c r="O26" s="4"/>
      <c r="P26" s="4"/>
      <c r="Q26" s="4"/>
      <c r="R26" s="4"/>
    </row>
    <row r="27" spans="1:18" s="2" customFormat="1" ht="2.1" customHeight="1">
      <c r="A27" s="4"/>
      <c r="B27" s="4"/>
      <c r="G27" s="104"/>
      <c r="H27" s="104"/>
      <c r="I27" s="104"/>
      <c r="J27" s="104"/>
      <c r="K27" s="108"/>
      <c r="L27" s="4"/>
      <c r="M27" s="4"/>
      <c r="N27" s="4"/>
      <c r="O27" s="4"/>
      <c r="P27" s="4"/>
      <c r="Q27" s="4"/>
      <c r="R27" s="4"/>
    </row>
    <row r="28" spans="1:18" s="2" customFormat="1" ht="30" customHeight="1">
      <c r="A28" s="4"/>
      <c r="B28" s="4"/>
      <c r="G28" s="100">
        <v>2659</v>
      </c>
      <c r="H28" s="101"/>
      <c r="I28" s="100">
        <v>2659</v>
      </c>
      <c r="J28" s="102"/>
      <c r="K28" s="108" t="b">
        <f t="shared" ref="K27:K30" si="0">G28&lt;=I28</f>
        <v>1</v>
      </c>
      <c r="L28" s="113" t="s">
        <v>145</v>
      </c>
      <c r="M28" s="4"/>
      <c r="N28" s="4"/>
      <c r="O28" s="4"/>
      <c r="P28" s="4"/>
      <c r="Q28" s="4"/>
      <c r="R28" s="4"/>
    </row>
    <row r="29" spans="1:18" s="2" customFormat="1" ht="2.1" customHeight="1">
      <c r="A29" s="4"/>
      <c r="B29" s="4"/>
      <c r="G29" s="105"/>
      <c r="H29" s="106"/>
      <c r="I29" s="105"/>
      <c r="J29" s="105"/>
      <c r="K29" s="108"/>
      <c r="L29" s="4"/>
      <c r="M29" s="4"/>
      <c r="N29" s="4"/>
      <c r="O29" s="4"/>
      <c r="P29" s="4"/>
      <c r="Q29" s="4"/>
      <c r="R29" s="4"/>
    </row>
    <row r="30" spans="1:18" s="2" customFormat="1" ht="30" customHeight="1">
      <c r="A30" s="4"/>
      <c r="B30" s="4"/>
      <c r="E30" s="4"/>
      <c r="F30" s="4"/>
      <c r="G30" s="100">
        <v>5326</v>
      </c>
      <c r="H30" s="101"/>
      <c r="I30" s="100">
        <v>5962</v>
      </c>
      <c r="J30" s="102"/>
      <c r="K30" s="108" t="b">
        <f t="shared" si="0"/>
        <v>1</v>
      </c>
      <c r="L30" s="113" t="s">
        <v>146</v>
      </c>
      <c r="M30" s="4"/>
      <c r="N30" s="4"/>
      <c r="O30" s="4"/>
      <c r="P30" s="4"/>
      <c r="Q30" s="4"/>
      <c r="R30" s="4"/>
    </row>
    <row r="31" spans="1:18" s="2" customFormat="1" ht="2.1" customHeight="1">
      <c r="A31" s="4"/>
      <c r="B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s="2" customFormat="1" ht="3" customHeight="1">
      <c r="A32" s="4"/>
      <c r="B32" s="4"/>
      <c r="E32" s="4"/>
      <c r="F32" s="4"/>
      <c r="G32" s="61"/>
      <c r="H32" s="4"/>
      <c r="I32" s="61"/>
      <c r="J32" s="4"/>
      <c r="K32" s="61"/>
      <c r="L32" s="4"/>
      <c r="M32" s="4"/>
      <c r="N32" s="4"/>
      <c r="O32" s="4"/>
      <c r="P32" s="4"/>
      <c r="Q32" s="4"/>
      <c r="R32" s="4"/>
    </row>
    <row r="33" spans="3:13" ht="20.100000000000001" customHeight="1">
      <c r="K33" s="4"/>
      <c r="L33" s="4"/>
      <c r="M33" s="4"/>
    </row>
    <row r="34" spans="3:13" ht="30" customHeight="1">
      <c r="C34" s="2"/>
      <c r="D34" s="2"/>
      <c r="E34" s="146" t="s">
        <v>21</v>
      </c>
      <c r="F34" s="147"/>
      <c r="G34" s="79" t="s">
        <v>103</v>
      </c>
      <c r="H34" s="7"/>
      <c r="I34" s="16"/>
      <c r="J34" s="16"/>
      <c r="K34" s="31"/>
      <c r="L34" s="17"/>
      <c r="M34" s="4"/>
    </row>
    <row r="35" spans="3:13" ht="15.75" customHeight="1">
      <c r="C35" s="2"/>
      <c r="D35" s="2"/>
      <c r="E35" s="2"/>
      <c r="F35" s="2"/>
      <c r="G35" s="4"/>
      <c r="H35" s="4"/>
      <c r="I35" s="4"/>
      <c r="J35" s="4"/>
      <c r="K35" s="4"/>
      <c r="L35" s="4"/>
      <c r="M35" s="4"/>
    </row>
    <row r="36" spans="3:13" ht="2.1" customHeight="1">
      <c r="C36" s="2"/>
      <c r="D36" s="2"/>
      <c r="E36" s="2"/>
      <c r="F36" s="2"/>
      <c r="G36" s="4"/>
      <c r="H36" s="4"/>
      <c r="I36" s="4"/>
      <c r="J36" s="4"/>
      <c r="K36" s="4"/>
      <c r="L36" s="4"/>
      <c r="M36" s="4"/>
    </row>
    <row r="37" spans="3:13" ht="3" customHeight="1">
      <c r="C37" s="2"/>
      <c r="D37" s="2"/>
      <c r="E37" s="2"/>
      <c r="F37" s="2"/>
      <c r="G37" s="61"/>
      <c r="H37" s="4"/>
      <c r="I37" s="61"/>
      <c r="J37" s="24"/>
      <c r="K37" s="2"/>
      <c r="L37" s="4"/>
      <c r="M37" s="4"/>
    </row>
    <row r="38" spans="3:13" ht="2.1" customHeight="1">
      <c r="C38" s="2"/>
      <c r="D38" s="2"/>
      <c r="E38" s="2"/>
      <c r="F38" s="2"/>
      <c r="G38" s="4"/>
      <c r="H38" s="4"/>
      <c r="I38" s="4"/>
      <c r="J38" s="4"/>
      <c r="K38" s="2"/>
      <c r="L38" s="4"/>
      <c r="M38" s="4"/>
    </row>
    <row r="39" spans="3:13" ht="30" customHeight="1">
      <c r="C39" s="2"/>
      <c r="D39" s="2"/>
      <c r="E39" s="2"/>
      <c r="F39" s="2"/>
      <c r="G39" s="63" t="s">
        <v>51</v>
      </c>
      <c r="H39" s="64"/>
      <c r="I39" s="71">
        <v>4589</v>
      </c>
      <c r="J39" s="15"/>
      <c r="K39" s="2"/>
      <c r="L39" s="4"/>
      <c r="M39" s="4"/>
    </row>
    <row r="40" spans="3:13" ht="2.1" customHeight="1">
      <c r="C40" s="2"/>
      <c r="D40" s="2"/>
      <c r="E40" s="2"/>
      <c r="F40" s="2"/>
      <c r="G40" s="66"/>
      <c r="H40" s="66"/>
      <c r="I40" s="88"/>
      <c r="J40" s="15"/>
      <c r="K40" s="2"/>
      <c r="L40" s="4"/>
      <c r="M40" s="4"/>
    </row>
    <row r="41" spans="3:13" ht="30" customHeight="1">
      <c r="C41" s="2"/>
      <c r="D41" s="2"/>
      <c r="E41" s="2"/>
      <c r="F41" s="2"/>
      <c r="G41" s="63" t="s">
        <v>50</v>
      </c>
      <c r="H41" s="64"/>
      <c r="I41" s="71">
        <v>2536</v>
      </c>
      <c r="J41" s="26"/>
      <c r="K41" s="2"/>
      <c r="L41" s="4"/>
      <c r="M41" s="4"/>
    </row>
    <row r="42" spans="3:13" ht="2.1" customHeight="1">
      <c r="C42" s="2"/>
      <c r="D42" s="2"/>
      <c r="E42" s="2"/>
      <c r="F42" s="2"/>
      <c r="G42" s="72"/>
      <c r="H42" s="72"/>
      <c r="I42" s="72"/>
      <c r="J42" s="4"/>
      <c r="K42" s="2"/>
      <c r="L42" s="4"/>
      <c r="M42" s="4"/>
    </row>
    <row r="43" spans="3:13" ht="2.1" customHeight="1">
      <c r="C43" s="2"/>
      <c r="D43" s="2"/>
      <c r="E43" s="2"/>
      <c r="F43" s="2"/>
      <c r="G43" s="73"/>
      <c r="H43" s="72"/>
      <c r="I43" s="73"/>
      <c r="J43" s="24"/>
      <c r="K43" s="2"/>
      <c r="L43" s="4"/>
      <c r="M43" s="4"/>
    </row>
    <row r="44" spans="3:13" ht="2.1" customHeight="1">
      <c r="G44" s="90"/>
      <c r="H44" s="90"/>
      <c r="I44" s="90"/>
      <c r="K44" s="4"/>
      <c r="L44" s="4"/>
      <c r="M44" s="4"/>
    </row>
    <row r="45" spans="3:13" ht="30" customHeight="1">
      <c r="G45" s="69" t="s">
        <v>29</v>
      </c>
      <c r="H45" s="73"/>
      <c r="I45" s="112" t="b">
        <f>I41&lt;=I39</f>
        <v>1</v>
      </c>
      <c r="J45" s="26"/>
      <c r="K45" s="113" t="s">
        <v>143</v>
      </c>
      <c r="L45" s="4"/>
      <c r="M45" s="4"/>
    </row>
    <row r="46" spans="3:13" ht="2.1" customHeight="1">
      <c r="K46" s="4"/>
      <c r="L46" s="4"/>
      <c r="M46" s="4"/>
    </row>
    <row r="47" spans="3:13" ht="3" customHeight="1">
      <c r="G47" s="94"/>
      <c r="I47" s="94"/>
      <c r="J47" s="32"/>
      <c r="K47" s="4"/>
      <c r="L47" s="4"/>
      <c r="M47" s="4"/>
    </row>
    <row r="48" spans="3:13" ht="30" customHeight="1">
      <c r="K48" s="4"/>
      <c r="L48" s="4"/>
      <c r="M48" s="4"/>
    </row>
  </sheetData>
  <sheetProtection selectLockedCells="1"/>
  <mergeCells count="5">
    <mergeCell ref="G1:K1"/>
    <mergeCell ref="E34:F34"/>
    <mergeCell ref="B3:C3"/>
    <mergeCell ref="E5:F5"/>
    <mergeCell ref="E20:F20"/>
  </mergeCells>
  <conditionalFormatting sqref="I16 K26 K28 K30 I45">
    <cfRule type="containsText" dxfId="6" priority="2" operator="containsText" text="VERDADERO">
      <formula>NOT(ISERROR(SEARCH("VERDADERO",I16)))</formula>
    </cfRule>
    <cfRule type="containsText" dxfId="7" priority="1" operator="containsText" text="FALSO">
      <formula>NOT(ISERROR(SEARCH("FALSO",I16)))</formula>
    </cfRule>
  </conditionalFormatting>
  <pageMargins left="0.75" right="0.75" top="1" bottom="1" header="0" footer="0"/>
  <pageSetup orientation="portrait" horizontalDpi="3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1"/>
  </sheetPr>
  <dimension ref="A1:T49"/>
  <sheetViews>
    <sheetView showGridLines="0" zoomScale="115" zoomScaleNormal="115" workbookViewId="0">
      <pane ySplit="1" topLeftCell="A2" activePane="bottomLeft" state="frozen"/>
      <selection pane="bottomLeft" activeCell="K12" sqref="K12"/>
    </sheetView>
  </sheetViews>
  <sheetFormatPr baseColWidth="10" defaultColWidth="11.44140625" defaultRowHeight="20.100000000000001" customHeight="1"/>
  <cols>
    <col min="1" max="1" width="3.109375" style="1" customWidth="1"/>
    <col min="2" max="2" width="14.88671875" style="1" customWidth="1"/>
    <col min="3" max="3" width="9.109375" style="1" customWidth="1"/>
    <col min="4" max="4" width="0.5546875" style="1" customWidth="1"/>
    <col min="5" max="5" width="16.6640625" style="1" customWidth="1"/>
    <col min="6" max="6" width="0.33203125" style="1" customWidth="1"/>
    <col min="7" max="7" width="23" style="1" customWidth="1"/>
    <col min="8" max="8" width="0.33203125" style="1" customWidth="1"/>
    <col min="9" max="9" width="26.33203125" style="1" customWidth="1"/>
    <col min="10" max="10" width="0.33203125" style="1" customWidth="1"/>
    <col min="11" max="11" width="20.33203125" style="1" customWidth="1"/>
    <col min="12" max="12" width="43.109375" style="1" customWidth="1"/>
    <col min="13" max="13" width="22.5546875" style="1" customWidth="1"/>
    <col min="14" max="14" width="14.44140625" style="1" customWidth="1"/>
    <col min="15" max="16384" width="11.44140625" style="1"/>
  </cols>
  <sheetData>
    <row r="1" spans="1:20" s="82" customFormat="1" ht="28.8" customHeight="1">
      <c r="C1" s="83"/>
      <c r="D1" s="83"/>
      <c r="G1" s="150" t="s">
        <v>75</v>
      </c>
      <c r="H1" s="150"/>
      <c r="I1" s="150"/>
      <c r="J1" s="150"/>
      <c r="K1" s="150"/>
      <c r="L1" s="55"/>
      <c r="M1" s="55"/>
      <c r="N1" s="55"/>
      <c r="O1" s="84"/>
      <c r="P1" s="84"/>
      <c r="Q1" s="84"/>
      <c r="R1" s="84"/>
      <c r="S1" s="84"/>
      <c r="T1" s="84"/>
    </row>
    <row r="2" spans="1:20" ht="33" customHeight="1"/>
    <row r="3" spans="1:20" ht="30" customHeight="1">
      <c r="B3" s="148" t="s">
        <v>72</v>
      </c>
      <c r="C3" s="149"/>
      <c r="D3" s="20"/>
      <c r="E3" s="81" t="s">
        <v>91</v>
      </c>
      <c r="F3" s="21"/>
      <c r="G3" s="21"/>
      <c r="H3" s="21"/>
      <c r="I3" s="21"/>
      <c r="J3" s="21"/>
      <c r="K3" s="22"/>
      <c r="L3" s="2"/>
      <c r="M3" s="2"/>
      <c r="N3" s="2"/>
      <c r="O3" s="2"/>
      <c r="P3" s="2"/>
    </row>
    <row r="4" spans="1:20" ht="18.75" customHeight="1"/>
    <row r="5" spans="1:20" s="2" customFormat="1" ht="30" customHeight="1">
      <c r="A5" s="4"/>
      <c r="E5" s="152" t="s">
        <v>19</v>
      </c>
      <c r="F5" s="153"/>
      <c r="G5" s="79" t="s">
        <v>104</v>
      </c>
      <c r="H5" s="7"/>
      <c r="I5" s="16"/>
      <c r="J5" s="16"/>
      <c r="K5" s="6"/>
      <c r="L5" s="28"/>
    </row>
    <row r="6" spans="1:20" s="2" customFormat="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20" s="2" customFormat="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20" s="2" customFormat="1" ht="3" customHeight="1">
      <c r="A8" s="4"/>
      <c r="B8" s="4"/>
      <c r="G8" s="61"/>
      <c r="H8" s="4"/>
      <c r="I8" s="61"/>
      <c r="J8" s="24"/>
      <c r="K8" s="4"/>
      <c r="L8" s="4"/>
      <c r="M8" s="4"/>
    </row>
    <row r="9" spans="1:20" s="2" customFormat="1" ht="2.1" customHeight="1">
      <c r="A9" s="4"/>
      <c r="B9" s="4"/>
      <c r="G9" s="4"/>
      <c r="H9" s="4"/>
      <c r="I9" s="4"/>
      <c r="J9" s="4"/>
      <c r="K9" s="4"/>
      <c r="L9" s="4"/>
      <c r="M9" s="4"/>
    </row>
    <row r="10" spans="1:20" s="2" customFormat="1" ht="30" customHeight="1">
      <c r="A10" s="4"/>
      <c r="B10" s="4"/>
      <c r="G10" s="63" t="s">
        <v>44</v>
      </c>
      <c r="H10" s="64"/>
      <c r="I10" s="71">
        <v>1500</v>
      </c>
      <c r="J10" s="29"/>
      <c r="K10" s="4"/>
      <c r="L10" s="4"/>
      <c r="M10" s="4"/>
    </row>
    <row r="11" spans="1:20" s="2" customFormat="1" ht="2.1" customHeight="1">
      <c r="A11" s="4"/>
      <c r="B11" s="4"/>
      <c r="G11" s="66"/>
      <c r="H11" s="66"/>
      <c r="I11" s="88"/>
      <c r="J11" s="30"/>
      <c r="K11" s="4"/>
      <c r="L11" s="4"/>
      <c r="M11" s="4"/>
    </row>
    <row r="12" spans="1:20" s="2" customFormat="1" ht="30" customHeight="1">
      <c r="A12" s="4"/>
      <c r="B12" s="4"/>
      <c r="G12" s="63" t="s">
        <v>45</v>
      </c>
      <c r="H12" s="64"/>
      <c r="I12" s="71">
        <v>1500</v>
      </c>
      <c r="J12" s="29"/>
      <c r="K12" s="4"/>
      <c r="L12" s="4"/>
      <c r="M12" s="4"/>
      <c r="N12" s="4"/>
      <c r="O12" s="4"/>
      <c r="P12" s="4"/>
      <c r="Q12" s="4"/>
      <c r="R12" s="4"/>
    </row>
    <row r="13" spans="1:20" s="2" customFormat="1" ht="2.1" customHeight="1">
      <c r="A13" s="4"/>
      <c r="B13" s="4"/>
      <c r="G13" s="72"/>
      <c r="H13" s="72"/>
      <c r="I13" s="72"/>
      <c r="J13" s="4"/>
      <c r="K13" s="4"/>
      <c r="L13" s="4"/>
      <c r="M13" s="4"/>
      <c r="N13" s="4"/>
      <c r="O13" s="4"/>
      <c r="P13" s="4"/>
      <c r="Q13" s="4"/>
      <c r="R13" s="4"/>
    </row>
    <row r="14" spans="1:20" s="2" customFormat="1" ht="3" customHeight="1">
      <c r="A14" s="4"/>
      <c r="B14" s="4"/>
      <c r="G14" s="73"/>
      <c r="H14" s="72"/>
      <c r="I14" s="73"/>
      <c r="J14" s="24"/>
      <c r="K14" s="4"/>
      <c r="L14" s="4"/>
      <c r="M14" s="4"/>
      <c r="N14" s="4"/>
      <c r="O14" s="4"/>
      <c r="P14" s="4"/>
      <c r="Q14" s="4"/>
      <c r="R14" s="4"/>
    </row>
    <row r="15" spans="1:20" s="2" customFormat="1" ht="2.1" customHeight="1">
      <c r="A15" s="4"/>
      <c r="B15" s="4"/>
      <c r="G15" s="72"/>
      <c r="H15" s="72"/>
      <c r="I15" s="72"/>
      <c r="J15" s="4"/>
      <c r="K15" s="4"/>
      <c r="L15" s="4"/>
      <c r="M15" s="4"/>
      <c r="N15" s="4"/>
      <c r="O15" s="4"/>
      <c r="P15" s="4"/>
      <c r="Q15" s="4"/>
      <c r="R15" s="4"/>
    </row>
    <row r="16" spans="1:20" s="2" customFormat="1" ht="30" customHeight="1">
      <c r="A16" s="4"/>
      <c r="B16" s="4"/>
      <c r="G16" s="69" t="s">
        <v>46</v>
      </c>
      <c r="H16" s="75"/>
      <c r="I16" s="113" t="b">
        <f>I10=I12</f>
        <v>1</v>
      </c>
      <c r="J16" s="27"/>
      <c r="K16" s="63" t="s">
        <v>148</v>
      </c>
      <c r="L16" s="4"/>
      <c r="M16" s="4"/>
      <c r="N16" s="4"/>
      <c r="O16" s="4"/>
      <c r="P16" s="4"/>
      <c r="Q16" s="4"/>
      <c r="R16" s="4"/>
    </row>
    <row r="17" spans="1:18" s="2" customFormat="1" ht="2.1" customHeight="1">
      <c r="A17" s="4"/>
      <c r="B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s="2" customFormat="1" ht="3" customHeight="1">
      <c r="A18" s="4"/>
      <c r="B18" s="4"/>
      <c r="G18" s="61"/>
      <c r="H18" s="4"/>
      <c r="I18" s="61"/>
      <c r="J18" s="24"/>
      <c r="K18" s="4"/>
      <c r="L18" s="4"/>
      <c r="M18" s="4"/>
      <c r="N18" s="4"/>
      <c r="O18" s="4"/>
      <c r="P18" s="4"/>
      <c r="Q18" s="4"/>
      <c r="R18" s="4"/>
    </row>
    <row r="19" spans="1:18" ht="20.100000000000001" customHeight="1">
      <c r="K19" s="4"/>
      <c r="L19" s="4"/>
      <c r="M19" s="4"/>
    </row>
    <row r="20" spans="1:18" s="2" customFormat="1" ht="30" customHeight="1">
      <c r="A20" s="4"/>
      <c r="E20" s="152" t="s">
        <v>20</v>
      </c>
      <c r="F20" s="153"/>
      <c r="G20" s="79" t="s">
        <v>105</v>
      </c>
      <c r="H20" s="7"/>
      <c r="I20" s="16"/>
      <c r="J20" s="16"/>
      <c r="K20" s="6"/>
      <c r="L20" s="31"/>
      <c r="M20" s="28"/>
    </row>
    <row r="21" spans="1:18" s="2" customFormat="1" ht="12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8" s="2" customFormat="1" ht="3" customHeight="1">
      <c r="A22" s="4"/>
      <c r="B22" s="4"/>
      <c r="G22" s="4"/>
      <c r="H22" s="4"/>
      <c r="I22" s="4"/>
      <c r="J22" s="4"/>
      <c r="K22" s="4"/>
      <c r="L22" s="4"/>
      <c r="M22" s="4"/>
    </row>
    <row r="23" spans="1:18" s="2" customFormat="1" ht="2.1" customHeight="1">
      <c r="A23" s="4"/>
      <c r="B23" s="4"/>
      <c r="G23" s="4"/>
      <c r="H23" s="4"/>
      <c r="I23" s="4"/>
      <c r="J23" s="4"/>
      <c r="K23" s="4"/>
      <c r="L23" s="4"/>
      <c r="M23" s="4"/>
    </row>
    <row r="24" spans="1:18" s="2" customFormat="1" ht="30" customHeight="1">
      <c r="A24" s="4"/>
      <c r="B24" s="4"/>
      <c r="G24" s="59" t="s">
        <v>47</v>
      </c>
      <c r="H24" s="39"/>
      <c r="I24" s="115" t="s">
        <v>48</v>
      </c>
      <c r="J24" s="40"/>
      <c r="K24" s="59" t="s">
        <v>49</v>
      </c>
      <c r="L24" s="4"/>
      <c r="M24" s="4"/>
    </row>
    <row r="25" spans="1:18" s="2" customFormat="1" ht="2.1" customHeight="1">
      <c r="A25" s="4"/>
      <c r="B25" s="4"/>
      <c r="G25" s="14"/>
      <c r="H25" s="14"/>
      <c r="I25" s="15"/>
      <c r="J25" s="15"/>
      <c r="K25" s="4"/>
      <c r="L25" s="4"/>
      <c r="M25" s="4"/>
    </row>
    <row r="26" spans="1:18" s="2" customFormat="1" ht="30" customHeight="1">
      <c r="A26" s="4"/>
      <c r="B26" s="4"/>
      <c r="G26" s="100">
        <v>458</v>
      </c>
      <c r="H26" s="101"/>
      <c r="I26" s="100">
        <v>5863</v>
      </c>
      <c r="J26" s="102"/>
      <c r="K26" s="108" t="b">
        <f>G26=I26</f>
        <v>0</v>
      </c>
      <c r="L26" s="4"/>
      <c r="M26" s="4"/>
      <c r="N26" s="4"/>
      <c r="O26" s="4"/>
      <c r="P26" s="4"/>
      <c r="Q26" s="4"/>
      <c r="R26" s="4"/>
    </row>
    <row r="27" spans="1:18" s="2" customFormat="1" ht="2.1" customHeight="1">
      <c r="A27" s="4"/>
      <c r="B27" s="4"/>
      <c r="G27" s="104"/>
      <c r="H27" s="104"/>
      <c r="I27" s="104"/>
      <c r="J27" s="104"/>
      <c r="K27" s="108"/>
      <c r="L27" s="4"/>
      <c r="M27" s="4"/>
      <c r="N27" s="4"/>
      <c r="O27" s="4"/>
      <c r="P27" s="4"/>
      <c r="Q27" s="4"/>
      <c r="R27" s="4"/>
    </row>
    <row r="28" spans="1:18" s="2" customFormat="1" ht="30" customHeight="1">
      <c r="A28" s="4"/>
      <c r="B28" s="4"/>
      <c r="G28" s="100">
        <v>12563</v>
      </c>
      <c r="H28" s="101"/>
      <c r="I28" s="100">
        <v>12563</v>
      </c>
      <c r="J28" s="102"/>
      <c r="K28" s="108" t="b">
        <f t="shared" ref="K27:K30" si="0">G28=I28</f>
        <v>1</v>
      </c>
      <c r="L28" s="4"/>
      <c r="M28" s="4"/>
      <c r="N28" s="4"/>
      <c r="O28" s="4"/>
      <c r="P28" s="4"/>
      <c r="Q28" s="4"/>
      <c r="R28" s="4"/>
    </row>
    <row r="29" spans="1:18" s="2" customFormat="1" ht="2.1" customHeight="1">
      <c r="A29" s="4"/>
      <c r="B29" s="4"/>
      <c r="G29" s="105"/>
      <c r="H29" s="106"/>
      <c r="I29" s="105"/>
      <c r="J29" s="105"/>
      <c r="K29" s="108"/>
      <c r="L29" s="4"/>
      <c r="M29" s="4"/>
      <c r="N29" s="4"/>
      <c r="O29" s="4"/>
      <c r="P29" s="4"/>
      <c r="Q29" s="4"/>
      <c r="R29" s="4"/>
    </row>
    <row r="30" spans="1:18" s="2" customFormat="1" ht="30" customHeight="1">
      <c r="A30" s="4"/>
      <c r="B30" s="4"/>
      <c r="E30" s="4"/>
      <c r="F30" s="4"/>
      <c r="G30" s="100">
        <v>526</v>
      </c>
      <c r="H30" s="101"/>
      <c r="I30" s="100">
        <v>5935</v>
      </c>
      <c r="J30" s="102"/>
      <c r="K30" s="108" t="b">
        <f t="shared" si="0"/>
        <v>0</v>
      </c>
      <c r="L30" s="4"/>
      <c r="M30" s="4"/>
      <c r="N30" s="4"/>
      <c r="O30" s="4"/>
      <c r="P30" s="4"/>
      <c r="Q30" s="4"/>
      <c r="R30" s="4"/>
    </row>
    <row r="31" spans="1:18" s="2" customFormat="1" ht="2.1" customHeight="1">
      <c r="A31" s="4"/>
      <c r="B31" s="4"/>
      <c r="E31" s="4"/>
      <c r="F31" s="4"/>
      <c r="G31" s="4"/>
      <c r="H31" s="4"/>
      <c r="I31" s="4"/>
      <c r="J31" s="4"/>
      <c r="K31" s="51"/>
      <c r="L31" s="4"/>
      <c r="M31" s="4"/>
      <c r="N31" s="4"/>
      <c r="O31" s="4"/>
      <c r="P31" s="4"/>
      <c r="Q31" s="4"/>
      <c r="R31" s="4"/>
    </row>
    <row r="32" spans="1:18" s="2" customFormat="1" ht="3" customHeight="1">
      <c r="A32" s="4"/>
      <c r="B32" s="4"/>
      <c r="E32" s="4"/>
      <c r="F32" s="4"/>
      <c r="G32" s="61"/>
      <c r="H32" s="4"/>
      <c r="I32" s="61"/>
      <c r="J32" s="4"/>
      <c r="K32" s="61"/>
      <c r="L32" s="4"/>
      <c r="M32" s="4"/>
      <c r="N32" s="4"/>
      <c r="O32" s="4"/>
      <c r="P32" s="4"/>
      <c r="Q32" s="4"/>
      <c r="R32" s="4"/>
    </row>
    <row r="33" spans="3:13" ht="20.100000000000001" customHeight="1">
      <c r="K33" s="4"/>
      <c r="L33" s="4"/>
      <c r="M33" s="4"/>
    </row>
    <row r="34" spans="3:13" ht="30" customHeight="1">
      <c r="C34" s="2"/>
      <c r="D34" s="2"/>
      <c r="E34" s="152" t="s">
        <v>21</v>
      </c>
      <c r="F34" s="153"/>
      <c r="G34" s="79" t="s">
        <v>106</v>
      </c>
      <c r="H34" s="7"/>
      <c r="I34" s="16"/>
      <c r="J34" s="16"/>
      <c r="K34" s="31"/>
      <c r="L34" s="17"/>
      <c r="M34" s="4"/>
    </row>
    <row r="35" spans="3:13" ht="15.75" customHeight="1">
      <c r="C35" s="2"/>
      <c r="D35" s="2"/>
      <c r="E35" s="2"/>
      <c r="F35" s="2"/>
      <c r="G35" s="4"/>
      <c r="H35" s="4"/>
      <c r="I35" s="4"/>
      <c r="J35" s="4"/>
      <c r="K35" s="4"/>
      <c r="L35" s="4"/>
      <c r="M35" s="4"/>
    </row>
    <row r="36" spans="3:13" ht="2.1" customHeight="1">
      <c r="C36" s="2"/>
      <c r="D36" s="2"/>
      <c r="E36" s="2"/>
      <c r="F36" s="2"/>
      <c r="G36" s="4"/>
      <c r="H36" s="4"/>
      <c r="I36" s="4"/>
      <c r="J36" s="4"/>
      <c r="K36" s="4"/>
      <c r="L36" s="4"/>
      <c r="M36" s="4"/>
    </row>
    <row r="37" spans="3:13" ht="3" customHeight="1">
      <c r="C37" s="2"/>
      <c r="D37" s="2"/>
      <c r="E37" s="2"/>
      <c r="F37" s="2"/>
      <c r="G37" s="61"/>
      <c r="H37" s="4"/>
      <c r="I37" s="61"/>
      <c r="J37" s="24"/>
      <c r="K37" s="2"/>
      <c r="L37" s="4"/>
      <c r="M37" s="4"/>
    </row>
    <row r="38" spans="3:13" ht="2.1" customHeight="1">
      <c r="C38" s="2"/>
      <c r="D38" s="2"/>
      <c r="E38" s="2"/>
      <c r="F38" s="2"/>
      <c r="G38" s="4"/>
      <c r="H38" s="4"/>
      <c r="I38" s="4"/>
      <c r="J38" s="4"/>
      <c r="K38" s="2"/>
      <c r="L38" s="4"/>
      <c r="M38" s="4"/>
    </row>
    <row r="39" spans="3:13" ht="30" customHeight="1">
      <c r="C39" s="2"/>
      <c r="D39" s="2"/>
      <c r="E39" s="2"/>
      <c r="F39" s="2"/>
      <c r="G39" s="63" t="s">
        <v>51</v>
      </c>
      <c r="H39" s="64"/>
      <c r="I39" s="71">
        <v>12563</v>
      </c>
      <c r="J39" s="25"/>
      <c r="K39" s="2"/>
      <c r="L39" s="4"/>
      <c r="M39" s="4"/>
    </row>
    <row r="40" spans="3:13" ht="2.1" customHeight="1">
      <c r="C40" s="2"/>
      <c r="D40" s="2"/>
      <c r="E40" s="2"/>
      <c r="F40" s="2"/>
      <c r="G40" s="66"/>
      <c r="H40" s="66"/>
      <c r="I40" s="88"/>
      <c r="J40" s="15"/>
      <c r="K40" s="2"/>
      <c r="L40" s="4"/>
      <c r="M40" s="4"/>
    </row>
    <row r="41" spans="3:13" ht="30" customHeight="1">
      <c r="C41" s="2"/>
      <c r="D41" s="2"/>
      <c r="E41" s="2"/>
      <c r="F41" s="2"/>
      <c r="G41" s="63" t="s">
        <v>50</v>
      </c>
      <c r="H41" s="64"/>
      <c r="I41" s="71">
        <v>12562</v>
      </c>
      <c r="J41" s="26"/>
      <c r="K41" s="2"/>
      <c r="L41" s="4"/>
      <c r="M41" s="4"/>
    </row>
    <row r="42" spans="3:13" ht="2.1" customHeight="1">
      <c r="C42" s="2"/>
      <c r="D42" s="2"/>
      <c r="E42" s="2"/>
      <c r="F42" s="2"/>
      <c r="G42" s="72"/>
      <c r="H42" s="72"/>
      <c r="I42" s="72"/>
      <c r="J42" s="4"/>
      <c r="K42" s="2"/>
      <c r="L42" s="4"/>
      <c r="M42" s="4"/>
    </row>
    <row r="43" spans="3:13" ht="2.1" customHeight="1">
      <c r="C43" s="2"/>
      <c r="D43" s="2"/>
      <c r="E43" s="2"/>
      <c r="F43" s="2"/>
      <c r="G43" s="73"/>
      <c r="H43" s="72"/>
      <c r="I43" s="73"/>
      <c r="J43" s="24"/>
      <c r="K43" s="2"/>
      <c r="L43" s="4"/>
      <c r="M43" s="4"/>
    </row>
    <row r="44" spans="3:13" ht="2.1" customHeight="1">
      <c r="G44" s="90"/>
      <c r="H44" s="90"/>
      <c r="I44" s="90"/>
      <c r="K44" s="4"/>
      <c r="L44" s="4"/>
      <c r="M44" s="4"/>
    </row>
    <row r="45" spans="3:13" ht="30" customHeight="1">
      <c r="G45" s="69" t="s">
        <v>29</v>
      </c>
      <c r="H45" s="73"/>
      <c r="I45" s="112" t="b">
        <f>I41=I39</f>
        <v>0</v>
      </c>
      <c r="J45" s="26"/>
      <c r="K45" s="4"/>
      <c r="L45" s="4"/>
      <c r="M45" s="4"/>
    </row>
    <row r="46" spans="3:13" ht="2.1" customHeight="1">
      <c r="K46" s="4"/>
      <c r="L46" s="4"/>
      <c r="M46" s="4"/>
    </row>
    <row r="47" spans="3:13" ht="3" customHeight="1">
      <c r="G47" s="94"/>
      <c r="I47" s="94"/>
      <c r="J47" s="32"/>
      <c r="K47" s="4"/>
      <c r="L47" s="4"/>
      <c r="M47" s="4"/>
    </row>
    <row r="48" spans="3:13" ht="30" customHeight="1">
      <c r="K48" s="4"/>
      <c r="L48" s="4"/>
      <c r="M48" s="4"/>
    </row>
    <row r="49" ht="30" customHeight="1"/>
  </sheetData>
  <sheetProtection selectLockedCells="1"/>
  <mergeCells count="5">
    <mergeCell ref="G1:K1"/>
    <mergeCell ref="E34:F34"/>
    <mergeCell ref="B3:C3"/>
    <mergeCell ref="E5:F5"/>
    <mergeCell ref="E20:F20"/>
  </mergeCells>
  <conditionalFormatting sqref="I45 K28 K30 K26 I16">
    <cfRule type="containsText" dxfId="0" priority="2" operator="containsText" text="FALSO">
      <formula>NOT(ISERROR(SEARCH("FALSO",I16)))</formula>
    </cfRule>
    <cfRule type="containsText" dxfId="1" priority="1" operator="containsText" text="VERDADERO">
      <formula>NOT(ISERROR(SEARCH("VERDADERO",I16)))</formula>
    </cfRule>
  </conditionalFormatting>
  <pageMargins left="0.75" right="0.75" top="1" bottom="1" header="0" footer="0"/>
  <pageSetup orientation="portrait" horizontalDpi="3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1"/>
  </sheetPr>
  <dimension ref="A1:T49"/>
  <sheetViews>
    <sheetView showGridLines="0" zoomScaleNormal="100" workbookViewId="0">
      <pane ySplit="1" topLeftCell="A2" activePane="bottomLeft" state="frozen"/>
      <selection pane="bottomLeft" activeCell="L16" sqref="L16"/>
    </sheetView>
  </sheetViews>
  <sheetFormatPr baseColWidth="10" defaultColWidth="11.44140625" defaultRowHeight="20.100000000000001" customHeight="1"/>
  <cols>
    <col min="1" max="1" width="3.109375" style="1" customWidth="1"/>
    <col min="2" max="2" width="14.88671875" style="1" customWidth="1"/>
    <col min="3" max="3" width="9.109375" style="1" customWidth="1"/>
    <col min="4" max="4" width="0.5546875" style="1" customWidth="1"/>
    <col min="5" max="5" width="16.6640625" style="1" customWidth="1"/>
    <col min="6" max="6" width="0.33203125" style="1" customWidth="1"/>
    <col min="7" max="7" width="23" style="1" customWidth="1"/>
    <col min="8" max="8" width="0.33203125" style="1" customWidth="1"/>
    <col min="9" max="9" width="26.33203125" style="1" customWidth="1"/>
    <col min="10" max="10" width="0.33203125" style="1" customWidth="1"/>
    <col min="11" max="11" width="20.33203125" style="1" customWidth="1"/>
    <col min="12" max="12" width="43.109375" style="1" customWidth="1"/>
    <col min="13" max="13" width="22.5546875" style="1" customWidth="1"/>
    <col min="14" max="14" width="14.44140625" style="1" customWidth="1"/>
    <col min="15" max="16384" width="11.44140625" style="1"/>
  </cols>
  <sheetData>
    <row r="1" spans="1:20" s="82" customFormat="1" ht="33.6" customHeight="1">
      <c r="C1" s="83"/>
      <c r="D1" s="83"/>
      <c r="G1" s="150" t="s">
        <v>75</v>
      </c>
      <c r="H1" s="150"/>
      <c r="I1" s="150"/>
      <c r="J1" s="150"/>
      <c r="K1" s="150"/>
      <c r="L1" s="55"/>
      <c r="M1" s="55"/>
      <c r="N1" s="55"/>
      <c r="O1" s="84"/>
      <c r="P1" s="84"/>
      <c r="Q1" s="84"/>
      <c r="R1" s="84"/>
      <c r="S1" s="84"/>
      <c r="T1" s="84"/>
    </row>
    <row r="2" spans="1:20" ht="12.75" customHeight="1"/>
    <row r="3" spans="1:20" ht="30" customHeight="1">
      <c r="B3" s="148" t="s">
        <v>72</v>
      </c>
      <c r="C3" s="149"/>
      <c r="D3" s="20"/>
      <c r="E3" s="81" t="s">
        <v>91</v>
      </c>
      <c r="F3" s="21"/>
      <c r="G3" s="21"/>
      <c r="H3" s="21"/>
      <c r="I3" s="21"/>
      <c r="J3" s="21"/>
      <c r="K3" s="22"/>
      <c r="L3" s="2"/>
      <c r="M3" s="2"/>
      <c r="N3" s="2"/>
      <c r="O3" s="2"/>
      <c r="P3" s="2"/>
    </row>
    <row r="4" spans="1:20" ht="18.75" customHeight="1"/>
    <row r="5" spans="1:20" s="2" customFormat="1" ht="30" customHeight="1">
      <c r="A5" s="4"/>
      <c r="E5" s="146" t="s">
        <v>19</v>
      </c>
      <c r="F5" s="147"/>
      <c r="G5" s="79" t="s">
        <v>107</v>
      </c>
      <c r="H5" s="7"/>
      <c r="I5" s="16"/>
      <c r="J5" s="16"/>
      <c r="K5" s="6"/>
      <c r="L5" s="28"/>
    </row>
    <row r="6" spans="1:20" s="2" customFormat="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20" s="2" customFormat="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20" s="2" customFormat="1" ht="3" customHeight="1">
      <c r="A8" s="4"/>
      <c r="B8" s="4"/>
      <c r="G8" s="61"/>
      <c r="H8" s="4"/>
      <c r="I8" s="61"/>
      <c r="J8" s="24"/>
      <c r="K8" s="4"/>
      <c r="L8" s="4"/>
      <c r="M8" s="4"/>
    </row>
    <row r="9" spans="1:20" s="2" customFormat="1" ht="2.1" customHeight="1">
      <c r="A9" s="4"/>
      <c r="B9" s="4"/>
      <c r="G9" s="4"/>
      <c r="H9" s="4"/>
      <c r="I9" s="4"/>
      <c r="J9" s="4"/>
      <c r="K9" s="4"/>
      <c r="L9" s="4"/>
      <c r="M9" s="4"/>
    </row>
    <row r="10" spans="1:20" s="2" customFormat="1" ht="30" customHeight="1">
      <c r="A10" s="4"/>
      <c r="B10" s="4"/>
      <c r="G10" s="63" t="s">
        <v>44</v>
      </c>
      <c r="H10" s="64"/>
      <c r="I10" s="71">
        <v>16589</v>
      </c>
      <c r="J10" s="30"/>
      <c r="K10" s="4"/>
      <c r="L10" s="4"/>
      <c r="M10" s="4"/>
    </row>
    <row r="11" spans="1:20" s="2" customFormat="1" ht="2.1" customHeight="1">
      <c r="A11" s="4"/>
      <c r="B11" s="4"/>
      <c r="G11" s="66"/>
      <c r="H11" s="66"/>
      <c r="I11" s="88"/>
      <c r="J11" s="30"/>
      <c r="K11" s="4"/>
      <c r="L11" s="4"/>
      <c r="M11" s="4"/>
    </row>
    <row r="12" spans="1:20" s="2" customFormat="1" ht="30" customHeight="1">
      <c r="A12" s="4"/>
      <c r="B12" s="4"/>
      <c r="G12" s="63" t="s">
        <v>45</v>
      </c>
      <c r="H12" s="64"/>
      <c r="I12" s="71">
        <v>12456</v>
      </c>
      <c r="J12" s="30"/>
      <c r="K12" s="4"/>
      <c r="L12" s="4"/>
      <c r="M12" s="4"/>
      <c r="N12" s="4"/>
      <c r="O12" s="4"/>
      <c r="P12" s="4"/>
      <c r="Q12" s="4"/>
      <c r="R12" s="4"/>
    </row>
    <row r="13" spans="1:20" s="2" customFormat="1" ht="2.1" customHeight="1">
      <c r="A13" s="4"/>
      <c r="B13" s="4"/>
      <c r="G13" s="72"/>
      <c r="H13" s="72"/>
      <c r="I13" s="72"/>
      <c r="J13" s="4"/>
      <c r="K13" s="4"/>
      <c r="L13" s="4"/>
      <c r="M13" s="4"/>
      <c r="N13" s="4"/>
      <c r="O13" s="4"/>
      <c r="P13" s="4"/>
      <c r="Q13" s="4"/>
      <c r="R13" s="4"/>
    </row>
    <row r="14" spans="1:20" s="2" customFormat="1" ht="3" customHeight="1">
      <c r="A14" s="4"/>
      <c r="B14" s="4"/>
      <c r="G14" s="73"/>
      <c r="H14" s="72"/>
      <c r="I14" s="73"/>
      <c r="J14" s="24"/>
      <c r="K14" s="4"/>
      <c r="L14" s="4"/>
      <c r="M14" s="4"/>
      <c r="N14" s="4"/>
      <c r="O14" s="4"/>
      <c r="P14" s="4"/>
      <c r="Q14" s="4"/>
      <c r="R14" s="4"/>
    </row>
    <row r="15" spans="1:20" s="2" customFormat="1" ht="2.1" customHeight="1">
      <c r="A15" s="4"/>
      <c r="B15" s="4"/>
      <c r="G15" s="72"/>
      <c r="H15" s="72"/>
      <c r="I15" s="72"/>
      <c r="J15" s="4"/>
      <c r="K15" s="4"/>
      <c r="L15" s="4"/>
      <c r="M15" s="4"/>
      <c r="N15" s="4"/>
      <c r="O15" s="4"/>
      <c r="P15" s="4"/>
      <c r="Q15" s="4"/>
      <c r="R15" s="4"/>
    </row>
    <row r="16" spans="1:20" s="2" customFormat="1" ht="30" customHeight="1">
      <c r="A16" s="4"/>
      <c r="B16" s="4"/>
      <c r="G16" s="69" t="s">
        <v>46</v>
      </c>
      <c r="H16" s="75"/>
      <c r="I16" s="113" t="b">
        <f>I10&lt;&gt;I12</f>
        <v>1</v>
      </c>
      <c r="J16" s="27"/>
      <c r="K16" s="165" t="s">
        <v>149</v>
      </c>
      <c r="L16" s="4"/>
      <c r="M16" s="4"/>
      <c r="N16" s="4"/>
      <c r="O16" s="4"/>
      <c r="P16" s="4"/>
      <c r="Q16" s="4"/>
      <c r="R16" s="4"/>
    </row>
    <row r="17" spans="1:18" s="2" customFormat="1" ht="2.1" customHeight="1">
      <c r="A17" s="4"/>
      <c r="B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s="2" customFormat="1" ht="3" customHeight="1">
      <c r="A18" s="4"/>
      <c r="B18" s="4"/>
      <c r="G18" s="61"/>
      <c r="H18" s="4"/>
      <c r="I18" s="61"/>
      <c r="J18" s="24"/>
      <c r="K18" s="4"/>
      <c r="L18" s="4"/>
      <c r="M18" s="4"/>
      <c r="N18" s="4"/>
      <c r="O18" s="4"/>
      <c r="P18" s="4"/>
      <c r="Q18" s="4"/>
      <c r="R18" s="4"/>
    </row>
    <row r="19" spans="1:18" ht="20.100000000000001" customHeight="1">
      <c r="K19" s="4"/>
      <c r="L19" s="4"/>
      <c r="M19" s="4"/>
    </row>
    <row r="20" spans="1:18" s="2" customFormat="1" ht="30" customHeight="1">
      <c r="A20" s="4"/>
      <c r="E20" s="152" t="s">
        <v>20</v>
      </c>
      <c r="F20" s="153"/>
      <c r="G20" s="79" t="s">
        <v>108</v>
      </c>
      <c r="H20" s="7"/>
      <c r="I20" s="16"/>
      <c r="J20" s="16"/>
      <c r="K20" s="6"/>
      <c r="L20" s="31"/>
      <c r="M20" s="28"/>
    </row>
    <row r="21" spans="1:18" s="2" customFormat="1" ht="12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8" s="2" customFormat="1" ht="3" customHeight="1">
      <c r="A22" s="4"/>
      <c r="B22" s="4"/>
      <c r="G22" s="4"/>
      <c r="H22" s="4"/>
      <c r="I22" s="4"/>
      <c r="J22" s="4"/>
      <c r="K22" s="4"/>
      <c r="L22" s="4"/>
      <c r="M22" s="4"/>
    </row>
    <row r="23" spans="1:18" s="2" customFormat="1" ht="2.1" customHeight="1">
      <c r="A23" s="4"/>
      <c r="B23" s="4"/>
      <c r="G23" s="4"/>
      <c r="H23" s="4"/>
      <c r="I23" s="4"/>
      <c r="J23" s="4"/>
      <c r="K23" s="4"/>
      <c r="L23" s="4"/>
      <c r="M23" s="4"/>
    </row>
    <row r="24" spans="1:18" s="2" customFormat="1" ht="30" customHeight="1">
      <c r="A24" s="4"/>
      <c r="B24" s="4"/>
      <c r="G24" s="59" t="s">
        <v>47</v>
      </c>
      <c r="H24" s="39"/>
      <c r="I24" s="115" t="s">
        <v>48</v>
      </c>
      <c r="J24" s="40"/>
      <c r="K24" s="59" t="s">
        <v>49</v>
      </c>
      <c r="L24" s="4"/>
      <c r="M24" s="4"/>
    </row>
    <row r="25" spans="1:18" s="2" customFormat="1" ht="2.1" customHeight="1">
      <c r="A25" s="4"/>
      <c r="B25" s="4"/>
      <c r="G25" s="14"/>
      <c r="H25" s="14"/>
      <c r="I25" s="15"/>
      <c r="J25" s="15"/>
      <c r="K25" s="4"/>
      <c r="L25" s="4"/>
      <c r="M25" s="4"/>
    </row>
    <row r="26" spans="1:18" s="2" customFormat="1" ht="30" customHeight="1">
      <c r="A26" s="4"/>
      <c r="B26" s="4"/>
      <c r="G26" s="100">
        <v>269</v>
      </c>
      <c r="H26" s="101"/>
      <c r="I26" s="100">
        <v>269</v>
      </c>
      <c r="J26" s="102"/>
      <c r="K26" s="108" t="b">
        <f>G26&lt;&gt;I26</f>
        <v>0</v>
      </c>
      <c r="L26" s="4"/>
      <c r="M26" s="4"/>
      <c r="N26" s="4"/>
      <c r="O26" s="4"/>
      <c r="P26" s="4"/>
      <c r="Q26" s="4"/>
      <c r="R26" s="4"/>
    </row>
    <row r="27" spans="1:18" s="2" customFormat="1" ht="2.1" customHeight="1">
      <c r="A27" s="4"/>
      <c r="B27" s="4"/>
      <c r="G27" s="104"/>
      <c r="H27" s="104"/>
      <c r="I27" s="104"/>
      <c r="J27" s="104"/>
      <c r="K27" s="108"/>
      <c r="L27" s="4"/>
      <c r="M27" s="4"/>
      <c r="N27" s="4"/>
      <c r="O27" s="4"/>
      <c r="P27" s="4"/>
      <c r="Q27" s="4"/>
      <c r="R27" s="4"/>
    </row>
    <row r="28" spans="1:18" s="2" customFormat="1" ht="30" customHeight="1">
      <c r="A28" s="4"/>
      <c r="B28" s="4"/>
      <c r="G28" s="100">
        <v>2356</v>
      </c>
      <c r="H28" s="101"/>
      <c r="I28" s="100">
        <v>2099.9</v>
      </c>
      <c r="J28" s="102"/>
      <c r="K28" s="108" t="b">
        <f t="shared" ref="K27:K30" si="0">G28&lt;&gt;I28</f>
        <v>1</v>
      </c>
      <c r="L28" s="4"/>
      <c r="M28" s="4"/>
      <c r="N28" s="4"/>
      <c r="O28" s="4"/>
      <c r="P28" s="4"/>
      <c r="Q28" s="4"/>
      <c r="R28" s="4"/>
    </row>
    <row r="29" spans="1:18" s="2" customFormat="1" ht="2.1" customHeight="1">
      <c r="A29" s="4"/>
      <c r="B29" s="4"/>
      <c r="G29" s="105"/>
      <c r="H29" s="101"/>
      <c r="I29" s="105"/>
      <c r="J29" s="105"/>
      <c r="K29" s="108"/>
      <c r="L29" s="4"/>
      <c r="M29" s="4"/>
      <c r="N29" s="4"/>
      <c r="O29" s="4"/>
      <c r="P29" s="4"/>
      <c r="Q29" s="4"/>
      <c r="R29" s="4"/>
    </row>
    <row r="30" spans="1:18" s="2" customFormat="1" ht="30" customHeight="1">
      <c r="A30" s="4"/>
      <c r="B30" s="4"/>
      <c r="E30" s="4"/>
      <c r="F30" s="4"/>
      <c r="G30" s="100">
        <v>9852</v>
      </c>
      <c r="H30" s="101"/>
      <c r="I30" s="100">
        <v>526</v>
      </c>
      <c r="J30" s="102"/>
      <c r="K30" s="108" t="b">
        <f t="shared" si="0"/>
        <v>1</v>
      </c>
      <c r="L30" s="4"/>
      <c r="M30" s="4"/>
      <c r="N30" s="4"/>
      <c r="O30" s="4"/>
      <c r="P30" s="4"/>
      <c r="Q30" s="4"/>
      <c r="R30" s="4"/>
    </row>
    <row r="31" spans="1:18" s="2" customFormat="1" ht="2.1" customHeight="1">
      <c r="A31" s="4"/>
      <c r="B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s="2" customFormat="1" ht="3" customHeight="1">
      <c r="A32" s="4"/>
      <c r="B32" s="4"/>
      <c r="E32" s="4"/>
      <c r="F32" s="4"/>
      <c r="G32" s="61"/>
      <c r="H32" s="4"/>
      <c r="I32" s="61"/>
      <c r="J32" s="4"/>
      <c r="K32" s="61"/>
      <c r="L32" s="4"/>
      <c r="M32" s="4"/>
      <c r="N32" s="4"/>
      <c r="O32" s="4"/>
      <c r="P32" s="4"/>
      <c r="Q32" s="4"/>
      <c r="R32" s="4"/>
    </row>
    <row r="33" spans="3:13" ht="20.100000000000001" customHeight="1">
      <c r="K33" s="4"/>
      <c r="L33" s="4"/>
      <c r="M33" s="4"/>
    </row>
    <row r="34" spans="3:13" ht="30" customHeight="1">
      <c r="C34" s="2"/>
      <c r="D34" s="2"/>
      <c r="E34" s="152" t="s">
        <v>21</v>
      </c>
      <c r="F34" s="153"/>
      <c r="G34" s="79" t="s">
        <v>109</v>
      </c>
      <c r="H34" s="7"/>
      <c r="I34" s="16"/>
      <c r="J34" s="16"/>
      <c r="K34" s="31"/>
      <c r="L34" s="17"/>
      <c r="M34" s="4"/>
    </row>
    <row r="35" spans="3:13" ht="15.75" customHeight="1">
      <c r="C35" s="2"/>
      <c r="D35" s="2"/>
      <c r="E35" s="2"/>
      <c r="F35" s="2"/>
      <c r="G35" s="4"/>
      <c r="H35" s="4"/>
      <c r="I35" s="4"/>
      <c r="J35" s="4"/>
      <c r="K35" s="4"/>
      <c r="L35" s="4"/>
      <c r="M35" s="4"/>
    </row>
    <row r="36" spans="3:13" ht="2.1" customHeight="1">
      <c r="C36" s="2"/>
      <c r="D36" s="2"/>
      <c r="E36" s="2"/>
      <c r="F36" s="2"/>
      <c r="G36" s="4"/>
      <c r="H36" s="4"/>
      <c r="I36" s="4"/>
      <c r="J36" s="4"/>
      <c r="K36" s="4"/>
      <c r="L36" s="4"/>
      <c r="M36" s="4"/>
    </row>
    <row r="37" spans="3:13" ht="3" customHeight="1">
      <c r="C37" s="2"/>
      <c r="D37" s="2"/>
      <c r="E37" s="2"/>
      <c r="F37" s="2"/>
      <c r="G37" s="61"/>
      <c r="H37" s="4"/>
      <c r="I37" s="61"/>
      <c r="J37" s="24"/>
      <c r="K37" s="2"/>
      <c r="L37" s="4"/>
      <c r="M37" s="4"/>
    </row>
    <row r="38" spans="3:13" ht="2.1" customHeight="1">
      <c r="C38" s="2"/>
      <c r="D38" s="2"/>
      <c r="E38" s="2"/>
      <c r="F38" s="2"/>
      <c r="G38" s="4"/>
      <c r="H38" s="4"/>
      <c r="I38" s="4"/>
      <c r="J38" s="4"/>
      <c r="K38" s="2"/>
      <c r="L38" s="4"/>
      <c r="M38" s="4"/>
    </row>
    <row r="39" spans="3:13" ht="30" customHeight="1">
      <c r="C39" s="2"/>
      <c r="D39" s="2"/>
      <c r="E39" s="2"/>
      <c r="F39" s="2"/>
      <c r="G39" s="63" t="s">
        <v>51</v>
      </c>
      <c r="H39" s="64"/>
      <c r="I39" s="71">
        <v>2563</v>
      </c>
      <c r="J39" s="15"/>
      <c r="K39" s="2"/>
      <c r="L39" s="4"/>
      <c r="M39" s="4"/>
    </row>
    <row r="40" spans="3:13" ht="2.1" customHeight="1">
      <c r="C40" s="2"/>
      <c r="D40" s="2"/>
      <c r="E40" s="2"/>
      <c r="F40" s="2"/>
      <c r="G40" s="66"/>
      <c r="H40" s="64"/>
      <c r="I40" s="88"/>
      <c r="J40" s="15"/>
      <c r="K40" s="2"/>
      <c r="L40" s="4"/>
      <c r="M40" s="4"/>
    </row>
    <row r="41" spans="3:13" ht="30" customHeight="1">
      <c r="C41" s="2"/>
      <c r="D41" s="2"/>
      <c r="E41" s="2"/>
      <c r="F41" s="2"/>
      <c r="G41" s="63" t="s">
        <v>50</v>
      </c>
      <c r="H41" s="64"/>
      <c r="I41" s="71">
        <v>2365</v>
      </c>
      <c r="J41" s="26"/>
      <c r="K41" s="2"/>
      <c r="L41" s="4"/>
      <c r="M41" s="4"/>
    </row>
    <row r="42" spans="3:13" ht="2.1" customHeight="1">
      <c r="C42" s="2"/>
      <c r="D42" s="2"/>
      <c r="E42" s="2"/>
      <c r="F42" s="2"/>
      <c r="G42" s="72"/>
      <c r="H42" s="73"/>
      <c r="I42" s="72"/>
      <c r="J42" s="4"/>
      <c r="K42" s="2"/>
      <c r="L42" s="4"/>
      <c r="M42" s="4"/>
    </row>
    <row r="43" spans="3:13" ht="2.1" customHeight="1">
      <c r="C43" s="2"/>
      <c r="D43" s="2"/>
      <c r="E43" s="2"/>
      <c r="F43" s="2"/>
      <c r="G43" s="73"/>
      <c r="H43" s="72"/>
      <c r="I43" s="73"/>
      <c r="J43" s="24"/>
      <c r="K43" s="2"/>
      <c r="L43" s="4"/>
      <c r="M43" s="4"/>
    </row>
    <row r="44" spans="3:13" ht="2.1" customHeight="1">
      <c r="G44" s="90"/>
      <c r="H44" s="90"/>
      <c r="I44" s="90"/>
      <c r="K44" s="4"/>
      <c r="L44" s="4"/>
      <c r="M44" s="4"/>
    </row>
    <row r="45" spans="3:13" ht="30" customHeight="1">
      <c r="G45" s="69" t="s">
        <v>29</v>
      </c>
      <c r="H45" s="73"/>
      <c r="I45" s="112" t="b">
        <f>I41&lt;&gt;I39</f>
        <v>1</v>
      </c>
      <c r="J45" s="26"/>
      <c r="K45" s="4"/>
      <c r="L45" s="4"/>
      <c r="M45" s="4"/>
    </row>
    <row r="46" spans="3:13" ht="2.1" customHeight="1">
      <c r="K46" s="4"/>
      <c r="L46" s="4"/>
      <c r="M46" s="4"/>
    </row>
    <row r="47" spans="3:13" ht="3" customHeight="1">
      <c r="G47" s="94"/>
      <c r="I47" s="94"/>
      <c r="J47" s="32"/>
      <c r="K47" s="4"/>
      <c r="L47" s="4"/>
      <c r="M47" s="4"/>
    </row>
    <row r="48" spans="3:13" ht="30" customHeight="1">
      <c r="K48" s="4"/>
      <c r="L48" s="4"/>
      <c r="M48" s="4"/>
    </row>
    <row r="49" ht="30" customHeight="1"/>
  </sheetData>
  <sheetProtection selectLockedCells="1"/>
  <mergeCells count="5">
    <mergeCell ref="G1:K1"/>
    <mergeCell ref="E34:F34"/>
    <mergeCell ref="B3:C3"/>
    <mergeCell ref="E5:F5"/>
    <mergeCell ref="E20:F20"/>
  </mergeCells>
  <conditionalFormatting sqref="I45 K30 K28 K26 I16">
    <cfRule type="containsText" dxfId="3" priority="2" operator="containsText" text="VERDADERO">
      <formula>NOT(ISERROR(SEARCH("VERDADERO",I16)))</formula>
    </cfRule>
    <cfRule type="containsText" dxfId="4" priority="1" operator="containsText" text="FALSO">
      <formula>NOT(ISERROR(SEARCH("FALSO",I16)))</formula>
    </cfRule>
  </conditionalFormatting>
  <pageMargins left="0.75" right="0.75" top="1" bottom="1" header="0" footer="0"/>
  <pageSetup orientation="portrait" horizontalDpi="3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1"/>
  </sheetPr>
  <dimension ref="B1:T24"/>
  <sheetViews>
    <sheetView showGridLines="0" tabSelected="1" zoomScaleNormal="100" workbookViewId="0">
      <pane ySplit="1" topLeftCell="A2" activePane="bottomLeft" state="frozen"/>
      <selection pane="bottomLeft" activeCell="I8" sqref="I8"/>
    </sheetView>
  </sheetViews>
  <sheetFormatPr baseColWidth="10" defaultColWidth="11.44140625" defaultRowHeight="21.9" customHeight="1"/>
  <cols>
    <col min="1" max="1" width="3.5546875" style="41" customWidth="1"/>
    <col min="2" max="2" width="5.109375" style="41" customWidth="1"/>
    <col min="3" max="3" width="22" style="41" customWidth="1"/>
    <col min="4" max="4" width="27.33203125" style="41" customWidth="1"/>
    <col min="5" max="5" width="22.88671875" style="41" customWidth="1"/>
    <col min="6" max="6" width="20" style="41" customWidth="1"/>
    <col min="7" max="7" width="29.44140625" style="41" customWidth="1"/>
    <col min="8" max="8" width="31.21875" style="41" customWidth="1"/>
    <col min="9" max="9" width="26.6640625" style="41" customWidth="1"/>
    <col min="10" max="10" width="28.5546875" style="41" customWidth="1"/>
    <col min="11" max="16384" width="11.44140625" style="41"/>
  </cols>
  <sheetData>
    <row r="1" spans="2:20" s="82" customFormat="1" ht="33" customHeight="1">
      <c r="C1" s="83"/>
      <c r="D1" s="83"/>
      <c r="E1" s="150" t="s">
        <v>76</v>
      </c>
      <c r="F1" s="150"/>
      <c r="G1" s="150"/>
      <c r="H1" s="55"/>
      <c r="I1" s="55"/>
      <c r="J1" s="55"/>
      <c r="K1" s="55"/>
      <c r="O1" s="84"/>
      <c r="P1" s="84"/>
      <c r="Q1" s="84"/>
      <c r="R1" s="84"/>
      <c r="S1" s="84"/>
      <c r="T1" s="84"/>
    </row>
    <row r="3" spans="2:20" ht="30.75" customHeight="1">
      <c r="C3" s="114" t="s">
        <v>72</v>
      </c>
      <c r="D3" s="81" t="s">
        <v>91</v>
      </c>
      <c r="E3" s="48"/>
      <c r="F3" s="47"/>
      <c r="G3" s="49"/>
    </row>
    <row r="4" spans="2:20" ht="3" customHeight="1"/>
    <row r="5" spans="2:20" ht="9.9" customHeight="1">
      <c r="C5" s="42"/>
      <c r="D5" s="42"/>
      <c r="E5" s="42"/>
      <c r="F5" s="42"/>
      <c r="G5" s="42"/>
      <c r="H5" s="42"/>
      <c r="I5" s="42"/>
    </row>
    <row r="6" spans="2:20" ht="30" customHeight="1">
      <c r="D6" s="118" t="s">
        <v>19</v>
      </c>
      <c r="E6" s="119" t="s">
        <v>110</v>
      </c>
      <c r="F6" s="43"/>
      <c r="G6" s="44"/>
      <c r="H6" s="42"/>
      <c r="I6" s="42"/>
    </row>
    <row r="7" spans="2:20" ht="3" customHeight="1" thickBot="1">
      <c r="D7" s="45"/>
      <c r="E7" s="46"/>
      <c r="F7" s="42"/>
      <c r="G7" s="42"/>
      <c r="H7" s="42"/>
      <c r="I7" s="42"/>
    </row>
    <row r="8" spans="2:20" ht="40.5" customHeight="1">
      <c r="E8" s="120" t="s">
        <v>52</v>
      </c>
      <c r="F8" s="121" t="s">
        <v>53</v>
      </c>
      <c r="G8" s="122" t="s">
        <v>46</v>
      </c>
      <c r="H8" s="42"/>
      <c r="I8" s="42"/>
    </row>
    <row r="9" spans="2:20" ht="30" customHeight="1">
      <c r="E9" s="123" t="s">
        <v>54</v>
      </c>
      <c r="F9" s="124" t="s">
        <v>55</v>
      </c>
      <c r="G9" s="125" t="str">
        <f>E9&amp;" "&amp;F9</f>
        <v>Tania Becerra</v>
      </c>
      <c r="H9" s="167" t="s">
        <v>150</v>
      </c>
      <c r="I9" s="42"/>
    </row>
    <row r="10" spans="2:20" ht="30" customHeight="1">
      <c r="E10" s="123" t="s">
        <v>56</v>
      </c>
      <c r="F10" s="124" t="s">
        <v>57</v>
      </c>
      <c r="G10" s="125" t="str">
        <f t="shared" ref="G10:G13" si="0">E10&amp;" "&amp;F10</f>
        <v>Rosa Mendoza</v>
      </c>
      <c r="H10" s="167" t="s">
        <v>151</v>
      </c>
    </row>
    <row r="11" spans="2:20" ht="30" customHeight="1">
      <c r="E11" s="123" t="s">
        <v>58</v>
      </c>
      <c r="F11" s="124" t="s">
        <v>59</v>
      </c>
      <c r="G11" s="125" t="str">
        <f t="shared" si="0"/>
        <v>Hilda Monago</v>
      </c>
      <c r="H11" s="167" t="s">
        <v>152</v>
      </c>
      <c r="I11" s="42"/>
    </row>
    <row r="12" spans="2:20" ht="30" customHeight="1">
      <c r="E12" s="123" t="s">
        <v>60</v>
      </c>
      <c r="F12" s="124" t="s">
        <v>61</v>
      </c>
      <c r="G12" s="125" t="str">
        <f t="shared" si="0"/>
        <v>Patricia Alvarado</v>
      </c>
      <c r="H12" s="167" t="s">
        <v>153</v>
      </c>
      <c r="I12" s="42"/>
    </row>
    <row r="13" spans="2:20" ht="30" customHeight="1" thickBot="1">
      <c r="E13" s="126" t="s">
        <v>62</v>
      </c>
      <c r="F13" s="127" t="s">
        <v>63</v>
      </c>
      <c r="G13" s="125" t="str">
        <f t="shared" si="0"/>
        <v>Janet Caceres</v>
      </c>
      <c r="H13" s="167" t="s">
        <v>154</v>
      </c>
      <c r="I13" s="42"/>
    </row>
    <row r="14" spans="2:20" ht="30" customHeight="1">
      <c r="B14" s="42"/>
      <c r="C14" s="42"/>
      <c r="D14" s="42"/>
      <c r="E14" s="42"/>
      <c r="F14" s="42"/>
      <c r="G14" s="42"/>
      <c r="H14" s="42"/>
      <c r="I14" s="42"/>
    </row>
    <row r="15" spans="2:20" ht="30" customHeight="1">
      <c r="E15" s="42"/>
      <c r="F15" s="42"/>
      <c r="G15" s="42"/>
      <c r="H15" s="42"/>
      <c r="I15" s="42"/>
      <c r="J15" s="50"/>
    </row>
    <row r="16" spans="2:20" ht="30" customHeight="1">
      <c r="D16" s="118" t="s">
        <v>73</v>
      </c>
      <c r="E16" s="154" t="s">
        <v>111</v>
      </c>
      <c r="F16" s="155"/>
      <c r="G16" s="155"/>
      <c r="H16" s="156"/>
      <c r="I16" s="42"/>
    </row>
    <row r="17" spans="2:9" ht="3" customHeight="1" thickBot="1">
      <c r="D17" s="45"/>
      <c r="E17" s="46"/>
      <c r="F17" s="46"/>
      <c r="G17" s="42"/>
      <c r="H17" s="42"/>
      <c r="I17" s="42"/>
    </row>
    <row r="18" spans="2:9" ht="33.75" customHeight="1">
      <c r="E18" s="128" t="s">
        <v>64</v>
      </c>
      <c r="F18" s="129" t="s">
        <v>65</v>
      </c>
      <c r="G18" s="129" t="s">
        <v>66</v>
      </c>
      <c r="H18" s="130" t="s">
        <v>46</v>
      </c>
      <c r="I18" s="42"/>
    </row>
    <row r="19" spans="2:9" ht="30" customHeight="1">
      <c r="E19" s="131" t="s">
        <v>54</v>
      </c>
      <c r="F19" s="132" t="s">
        <v>55</v>
      </c>
      <c r="G19" s="132" t="s">
        <v>67</v>
      </c>
      <c r="H19" s="133" t="str">
        <f>F19&amp;" "&amp;G19&amp;", "&amp;E19</f>
        <v>Becerra Cruzado, Tania</v>
      </c>
      <c r="I19" s="166" t="s">
        <v>155</v>
      </c>
    </row>
    <row r="20" spans="2:9" ht="30" customHeight="1">
      <c r="E20" s="131" t="s">
        <v>56</v>
      </c>
      <c r="F20" s="132" t="s">
        <v>57</v>
      </c>
      <c r="G20" s="132" t="s">
        <v>68</v>
      </c>
      <c r="H20" s="133" t="str">
        <f t="shared" ref="H20:H23" si="1">F20&amp;" "&amp;G20&amp;", "&amp;E20</f>
        <v>Mendoza Pereyra, Rosa</v>
      </c>
      <c r="I20" s="166" t="s">
        <v>156</v>
      </c>
    </row>
    <row r="21" spans="2:9" ht="30" customHeight="1">
      <c r="E21" s="131" t="s">
        <v>58</v>
      </c>
      <c r="F21" s="132" t="s">
        <v>59</v>
      </c>
      <c r="G21" s="132" t="s">
        <v>69</v>
      </c>
      <c r="H21" s="133" t="str">
        <f t="shared" si="1"/>
        <v>Monago Robles, Hilda</v>
      </c>
      <c r="I21" s="166" t="s">
        <v>157</v>
      </c>
    </row>
    <row r="22" spans="2:9" ht="30" customHeight="1">
      <c r="E22" s="131" t="s">
        <v>60</v>
      </c>
      <c r="F22" s="132" t="s">
        <v>61</v>
      </c>
      <c r="G22" s="132" t="s">
        <v>70</v>
      </c>
      <c r="H22" s="133" t="str">
        <f t="shared" si="1"/>
        <v>Alvarado Tirado, Patricia</v>
      </c>
      <c r="I22" s="166" t="s">
        <v>158</v>
      </c>
    </row>
    <row r="23" spans="2:9" ht="30" customHeight="1" thickBot="1">
      <c r="E23" s="134" t="s">
        <v>62</v>
      </c>
      <c r="F23" s="135" t="s">
        <v>63</v>
      </c>
      <c r="G23" s="135" t="s">
        <v>71</v>
      </c>
      <c r="H23" s="133" t="str">
        <f t="shared" si="1"/>
        <v>Caceres Dávila, Janet</v>
      </c>
      <c r="I23" s="166" t="s">
        <v>159</v>
      </c>
    </row>
    <row r="24" spans="2:9" ht="30" customHeight="1">
      <c r="B24" s="42"/>
      <c r="C24" s="42"/>
      <c r="D24" s="42"/>
      <c r="E24" s="42"/>
      <c r="F24" s="42"/>
      <c r="G24" s="42"/>
      <c r="H24" s="42"/>
      <c r="I24" s="42"/>
    </row>
  </sheetData>
  <sheetProtection selectLockedCells="1"/>
  <mergeCells count="2">
    <mergeCell ref="E16:H16"/>
    <mergeCell ref="E1:G1"/>
  </mergeCells>
  <phoneticPr fontId="49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Principal</vt:lpstr>
      <vt:lpstr>Multiplicación</vt:lpstr>
      <vt:lpstr>División</vt:lpstr>
      <vt:lpstr>Porcentaje</vt:lpstr>
      <vt:lpstr>Potencia</vt:lpstr>
      <vt:lpstr>Mayor que</vt:lpstr>
      <vt:lpstr>Menor que</vt:lpstr>
      <vt:lpstr>Mayor e Igual que</vt:lpstr>
      <vt:lpstr>Menor e Igual que</vt:lpstr>
      <vt:lpstr>Igualdad</vt:lpstr>
      <vt:lpstr>Diferente de</vt:lpstr>
      <vt:lpstr>Concatenar</vt:lpstr>
    </vt:vector>
  </TitlesOfParts>
  <Company>sise_ucsur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 Denilson Ramirez Bautista</cp:lastModifiedBy>
  <dcterms:created xsi:type="dcterms:W3CDTF">2008-10-21T20:24:20Z</dcterms:created>
  <dcterms:modified xsi:type="dcterms:W3CDTF">2025-12-23T12:08:27Z</dcterms:modified>
</cp:coreProperties>
</file>