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tables/table1.xml" ContentType="application/vnd.openxmlformats-officedocument.spreadsheetml.table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b\Nik Denilson\Cursos\EXCEL\NivelBasico\"/>
    </mc:Choice>
  </mc:AlternateContent>
  <xr:revisionPtr revIDLastSave="0" documentId="13_ncr:1_{8699388E-5BA5-46BD-8D0D-784B4856F994}" xr6:coauthVersionLast="47" xr6:coauthVersionMax="47" xr10:uidLastSave="{00000000-0000-0000-0000-000000000000}"/>
  <bookViews>
    <workbookView xWindow="-108" yWindow="-108" windowWidth="23256" windowHeight="12456" tabRatio="800" activeTab="6" xr2:uid="{00000000-000D-0000-FFFF-FFFF00000000}"/>
  </bookViews>
  <sheets>
    <sheet name="Principal" sheetId="14" r:id="rId1"/>
    <sheet name="Función Suma" sheetId="42" r:id="rId2"/>
    <sheet name="Función Producto" sheetId="53" r:id="rId3"/>
    <sheet name="Función Potencia" sheetId="45" r:id="rId4"/>
    <sheet name="Función Redondear" sheetId="47" r:id="rId5"/>
    <sheet name="Función Sumar.Si" sheetId="48" r:id="rId6"/>
    <sheet name="Función Sumar.Si.Conjunto" sheetId="55" r:id="rId7"/>
  </sheets>
  <definedNames>
    <definedName name="BANCO">'Función Sumar.Si.Conjunto'!$E$10:$E$18</definedName>
    <definedName name="CLIENTES">'Función Sumar.Si'!$G$12:$G$99</definedName>
    <definedName name="DEPARTAMENTO">'Función Sumar.Si.Conjunto'!$D$10:$D$18</definedName>
    <definedName name="libreria">libre[]</definedName>
    <definedName name="LIBRERIAS">'Función Sumar.Si'!$H$12:$H$99</definedName>
    <definedName name="LISTA_CLIENTES">'Función Sumar.Si'!$O$12:$O$15</definedName>
    <definedName name="LISTA_LIBRERIAS">'Función Sumar.Si'!$P$12:$P$16</definedName>
    <definedName name="LOCALIDAD">'Función Sumar.Si'!$J$12:$J$99</definedName>
    <definedName name="MES">'Función Sumar.Si.Conjunto'!$C$10:$C$18</definedName>
    <definedName name="MONEDA">'Función Sumar.Si.Conjunto'!$G$10:$G$18</definedName>
    <definedName name="MONTO">'Función Sumar.Si.Conjunto'!$H$10:$H$18</definedName>
    <definedName name="OPERACION">'Función Sumar.Si.Conjunto'!$F$10:$F$18</definedName>
    <definedName name="TOTAL">'Función Sumar.Si'!$M$12:$M$99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3" i="55" l="1"/>
  <c r="H25" i="55"/>
  <c r="H27" i="55"/>
  <c r="H21" i="55"/>
  <c r="G147" i="48"/>
  <c r="G141" i="48"/>
  <c r="G125" i="48"/>
  <c r="G127" i="48"/>
  <c r="G129" i="48"/>
  <c r="G131" i="48"/>
  <c r="G123" i="48"/>
  <c r="G107" i="48"/>
  <c r="G109" i="48"/>
  <c r="G111" i="48"/>
  <c r="G113" i="48"/>
  <c r="G105" i="48"/>
  <c r="G23" i="47"/>
  <c r="G24" i="47"/>
  <c r="G25" i="47"/>
  <c r="G26" i="47"/>
  <c r="G27" i="47"/>
  <c r="G28" i="47"/>
  <c r="G29" i="47"/>
  <c r="G30" i="47"/>
  <c r="G31" i="47"/>
  <c r="G32" i="47"/>
  <c r="G22" i="47"/>
  <c r="E13" i="47"/>
  <c r="E14" i="47"/>
  <c r="E15" i="47"/>
  <c r="E16" i="47"/>
  <c r="E17" i="47"/>
  <c r="E12" i="47"/>
  <c r="F57" i="45"/>
  <c r="F36" i="45"/>
  <c r="G13" i="45"/>
  <c r="G14" i="45"/>
  <c r="G15" i="45"/>
  <c r="G16" i="45"/>
  <c r="G17" i="45"/>
  <c r="G12" i="45"/>
  <c r="K87" i="53"/>
  <c r="K88" i="53"/>
  <c r="K89" i="53"/>
  <c r="K90" i="53"/>
  <c r="K91" i="53"/>
  <c r="K92" i="53"/>
  <c r="K93" i="53"/>
  <c r="K94" i="53"/>
  <c r="K95" i="53"/>
  <c r="K99" i="53" s="1"/>
  <c r="K86" i="53"/>
  <c r="J87" i="53"/>
  <c r="J88" i="53"/>
  <c r="J89" i="53"/>
  <c r="J90" i="53"/>
  <c r="J91" i="53"/>
  <c r="J92" i="53"/>
  <c r="J93" i="53"/>
  <c r="J94" i="53"/>
  <c r="J95" i="53"/>
  <c r="J86" i="53"/>
  <c r="I87" i="53"/>
  <c r="I88" i="53"/>
  <c r="I89" i="53"/>
  <c r="L89" i="53" s="1"/>
  <c r="I90" i="53"/>
  <c r="I91" i="53"/>
  <c r="I92" i="53"/>
  <c r="I93" i="53"/>
  <c r="I94" i="53"/>
  <c r="I95" i="53"/>
  <c r="I86" i="53"/>
  <c r="I99" i="53" s="1"/>
  <c r="J99" i="53"/>
  <c r="L87" i="53"/>
  <c r="L88" i="53"/>
  <c r="L90" i="53"/>
  <c r="L92" i="53"/>
  <c r="L86" i="53"/>
  <c r="F99" i="53"/>
  <c r="G99" i="53"/>
  <c r="H99" i="53"/>
  <c r="E99" i="53"/>
  <c r="H87" i="53"/>
  <c r="H88" i="53"/>
  <c r="H89" i="53"/>
  <c r="H90" i="53"/>
  <c r="H91" i="53"/>
  <c r="H92" i="53"/>
  <c r="H93" i="53"/>
  <c r="H94" i="53"/>
  <c r="H95" i="53"/>
  <c r="H86" i="53"/>
  <c r="J51" i="53"/>
  <c r="J52" i="53"/>
  <c r="L52" i="53" s="1"/>
  <c r="M52" i="53" s="1"/>
  <c r="J53" i="53"/>
  <c r="L53" i="53" s="1"/>
  <c r="M53" i="53" s="1"/>
  <c r="J54" i="53"/>
  <c r="L54" i="53" s="1"/>
  <c r="M54" i="53" s="1"/>
  <c r="J55" i="53"/>
  <c r="L55" i="53" s="1"/>
  <c r="M55" i="53" s="1"/>
  <c r="J56" i="53"/>
  <c r="L56" i="53" s="1"/>
  <c r="M56" i="53" s="1"/>
  <c r="J57" i="53"/>
  <c r="J58" i="53"/>
  <c r="J59" i="53"/>
  <c r="J60" i="53"/>
  <c r="J61" i="53"/>
  <c r="J62" i="53"/>
  <c r="J63" i="53"/>
  <c r="J64" i="53"/>
  <c r="L64" i="53" s="1"/>
  <c r="M64" i="53" s="1"/>
  <c r="J50" i="53"/>
  <c r="H68" i="53"/>
  <c r="M51" i="53"/>
  <c r="M57" i="53"/>
  <c r="M60" i="53"/>
  <c r="M63" i="53"/>
  <c r="L51" i="53"/>
  <c r="L57" i="53"/>
  <c r="L58" i="53"/>
  <c r="M58" i="53" s="1"/>
  <c r="L59" i="53"/>
  <c r="M59" i="53" s="1"/>
  <c r="L60" i="53"/>
  <c r="L61" i="53"/>
  <c r="M61" i="53" s="1"/>
  <c r="L62" i="53"/>
  <c r="M62" i="53" s="1"/>
  <c r="L63" i="53"/>
  <c r="L50" i="53"/>
  <c r="M50" i="53" s="1"/>
  <c r="K51" i="53"/>
  <c r="K52" i="53"/>
  <c r="K53" i="53"/>
  <c r="K68" i="53" s="1"/>
  <c r="K54" i="53"/>
  <c r="K55" i="53"/>
  <c r="K56" i="53"/>
  <c r="K57" i="53"/>
  <c r="K58" i="53"/>
  <c r="K59" i="53"/>
  <c r="K60" i="53"/>
  <c r="K61" i="53"/>
  <c r="K62" i="53"/>
  <c r="K63" i="53"/>
  <c r="K64" i="53"/>
  <c r="K50" i="53"/>
  <c r="I68" i="53"/>
  <c r="G68" i="53"/>
  <c r="I51" i="53"/>
  <c r="I52" i="53"/>
  <c r="I53" i="53"/>
  <c r="I54" i="53"/>
  <c r="I55" i="53"/>
  <c r="I56" i="53"/>
  <c r="I57" i="53"/>
  <c r="I58" i="53"/>
  <c r="I59" i="53"/>
  <c r="I60" i="53"/>
  <c r="I61" i="53"/>
  <c r="I62" i="53"/>
  <c r="I63" i="53"/>
  <c r="I64" i="53"/>
  <c r="I50" i="53"/>
  <c r="G34" i="53"/>
  <c r="H34" i="53"/>
  <c r="F34" i="53"/>
  <c r="G19" i="53"/>
  <c r="G20" i="53"/>
  <c r="G21" i="53"/>
  <c r="H21" i="53" s="1"/>
  <c r="G22" i="53"/>
  <c r="G23" i="53"/>
  <c r="H23" i="53" s="1"/>
  <c r="G24" i="53"/>
  <c r="H24" i="53" s="1"/>
  <c r="G25" i="53"/>
  <c r="G26" i="53"/>
  <c r="G27" i="53"/>
  <c r="G28" i="53"/>
  <c r="H28" i="53" s="1"/>
  <c r="G29" i="53"/>
  <c r="G30" i="53"/>
  <c r="G18" i="53"/>
  <c r="H19" i="53"/>
  <c r="H20" i="53"/>
  <c r="H22" i="53"/>
  <c r="H25" i="53"/>
  <c r="H26" i="53"/>
  <c r="H27" i="53"/>
  <c r="H29" i="53"/>
  <c r="H30" i="53"/>
  <c r="H18" i="53"/>
  <c r="F69" i="42"/>
  <c r="G69" i="42"/>
  <c r="H69" i="42"/>
  <c r="I69" i="42"/>
  <c r="J69" i="42"/>
  <c r="E69" i="42"/>
  <c r="F65" i="42"/>
  <c r="G65" i="42"/>
  <c r="H65" i="42"/>
  <c r="I65" i="42"/>
  <c r="J65" i="42"/>
  <c r="E65" i="42"/>
  <c r="F64" i="42"/>
  <c r="G64" i="42"/>
  <c r="H64" i="42"/>
  <c r="I64" i="42"/>
  <c r="J64" i="42"/>
  <c r="E64" i="42"/>
  <c r="I35" i="42"/>
  <c r="I39" i="42" s="1"/>
  <c r="I43" i="42" s="1"/>
  <c r="I34" i="42"/>
  <c r="H43" i="42"/>
  <c r="G43" i="42"/>
  <c r="F43" i="42"/>
  <c r="E43" i="42"/>
  <c r="F39" i="42"/>
  <c r="G39" i="42"/>
  <c r="H39" i="42"/>
  <c r="E39" i="42"/>
  <c r="F30" i="42"/>
  <c r="G30" i="42"/>
  <c r="H30" i="42"/>
  <c r="I30" i="42"/>
  <c r="E30" i="42"/>
  <c r="F35" i="42"/>
  <c r="G35" i="42"/>
  <c r="H35" i="42" s="1"/>
  <c r="G34" i="42"/>
  <c r="H34" i="42" s="1"/>
  <c r="F34" i="42"/>
  <c r="I23" i="42"/>
  <c r="I24" i="42"/>
  <c r="I25" i="42"/>
  <c r="I26" i="42"/>
  <c r="F24" i="42"/>
  <c r="G24" i="42" s="1"/>
  <c r="H24" i="42" s="1"/>
  <c r="F25" i="42"/>
  <c r="G25" i="42"/>
  <c r="H25" i="42"/>
  <c r="F26" i="42"/>
  <c r="G26" i="42"/>
  <c r="H26" i="42" s="1"/>
  <c r="G23" i="42"/>
  <c r="H23" i="42" s="1"/>
  <c r="F23" i="42"/>
  <c r="L99" i="48"/>
  <c r="M99" i="48" s="1"/>
  <c r="L98" i="48"/>
  <c r="M98" i="48" s="1"/>
  <c r="L97" i="48"/>
  <c r="M97" i="48" s="1"/>
  <c r="L96" i="48"/>
  <c r="M96" i="48" s="1"/>
  <c r="L95" i="48"/>
  <c r="M95" i="48" s="1"/>
  <c r="L94" i="48"/>
  <c r="M94" i="48" s="1"/>
  <c r="L93" i="48"/>
  <c r="M93" i="48" s="1"/>
  <c r="L92" i="48"/>
  <c r="M92" i="48" s="1"/>
  <c r="L91" i="48"/>
  <c r="M91" i="48" s="1"/>
  <c r="L90" i="48"/>
  <c r="M90" i="48" s="1"/>
  <c r="L89" i="48"/>
  <c r="M89" i="48" s="1"/>
  <c r="L88" i="48"/>
  <c r="M88" i="48" s="1"/>
  <c r="L87" i="48"/>
  <c r="M87" i="48" s="1"/>
  <c r="L86" i="48"/>
  <c r="M86" i="48" s="1"/>
  <c r="L85" i="48"/>
  <c r="M85" i="48" s="1"/>
  <c r="L84" i="48"/>
  <c r="M84" i="48" s="1"/>
  <c r="L83" i="48"/>
  <c r="M83" i="48" s="1"/>
  <c r="L82" i="48"/>
  <c r="M82" i="48" s="1"/>
  <c r="L81" i="48"/>
  <c r="M81" i="48" s="1"/>
  <c r="L80" i="48"/>
  <c r="M80" i="48" s="1"/>
  <c r="L79" i="48"/>
  <c r="M79" i="48" s="1"/>
  <c r="L78" i="48"/>
  <c r="M78" i="48" s="1"/>
  <c r="L77" i="48"/>
  <c r="M77" i="48" s="1"/>
  <c r="L76" i="48"/>
  <c r="M76" i="48" s="1"/>
  <c r="L75" i="48"/>
  <c r="M75" i="48" s="1"/>
  <c r="L74" i="48"/>
  <c r="M74" i="48" s="1"/>
  <c r="L73" i="48"/>
  <c r="M73" i="48" s="1"/>
  <c r="L72" i="48"/>
  <c r="M72" i="48" s="1"/>
  <c r="L71" i="48"/>
  <c r="M71" i="48" s="1"/>
  <c r="L70" i="48"/>
  <c r="M70" i="48" s="1"/>
  <c r="L69" i="48"/>
  <c r="M69" i="48" s="1"/>
  <c r="L68" i="48"/>
  <c r="M68" i="48" s="1"/>
  <c r="L67" i="48"/>
  <c r="M67" i="48" s="1"/>
  <c r="L66" i="48"/>
  <c r="M66" i="48" s="1"/>
  <c r="L65" i="48"/>
  <c r="M65" i="48" s="1"/>
  <c r="L64" i="48"/>
  <c r="M64" i="48" s="1"/>
  <c r="L63" i="48"/>
  <c r="M63" i="48" s="1"/>
  <c r="L62" i="48"/>
  <c r="M62" i="48" s="1"/>
  <c r="L61" i="48"/>
  <c r="M61" i="48" s="1"/>
  <c r="L60" i="48"/>
  <c r="M60" i="48" s="1"/>
  <c r="L59" i="48"/>
  <c r="M59" i="48" s="1"/>
  <c r="L58" i="48"/>
  <c r="M58" i="48" s="1"/>
  <c r="L57" i="48"/>
  <c r="M57" i="48" s="1"/>
  <c r="L56" i="48"/>
  <c r="M56" i="48" s="1"/>
  <c r="L55" i="48"/>
  <c r="M55" i="48" s="1"/>
  <c r="L54" i="48"/>
  <c r="M54" i="48" s="1"/>
  <c r="L53" i="48"/>
  <c r="M53" i="48" s="1"/>
  <c r="L52" i="48"/>
  <c r="M52" i="48" s="1"/>
  <c r="L51" i="48"/>
  <c r="M51" i="48" s="1"/>
  <c r="L50" i="48"/>
  <c r="M50" i="48" s="1"/>
  <c r="L49" i="48"/>
  <c r="M49" i="48" s="1"/>
  <c r="L48" i="48"/>
  <c r="M48" i="48" s="1"/>
  <c r="L47" i="48"/>
  <c r="M47" i="48" s="1"/>
  <c r="L46" i="48"/>
  <c r="M46" i="48" s="1"/>
  <c r="L45" i="48"/>
  <c r="M45" i="48" s="1"/>
  <c r="L44" i="48"/>
  <c r="M44" i="48" s="1"/>
  <c r="L43" i="48"/>
  <c r="M43" i="48" s="1"/>
  <c r="L42" i="48"/>
  <c r="M42" i="48" s="1"/>
  <c r="L41" i="48"/>
  <c r="M41" i="48" s="1"/>
  <c r="L40" i="48"/>
  <c r="M40" i="48" s="1"/>
  <c r="L39" i="48"/>
  <c r="M39" i="48" s="1"/>
  <c r="L38" i="48"/>
  <c r="M38" i="48" s="1"/>
  <c r="L37" i="48"/>
  <c r="M37" i="48" s="1"/>
  <c r="L36" i="48"/>
  <c r="L35" i="48"/>
  <c r="M35" i="48" s="1"/>
  <c r="L34" i="48"/>
  <c r="M34" i="48" s="1"/>
  <c r="L33" i="48"/>
  <c r="M33" i="48" s="1"/>
  <c r="L32" i="48"/>
  <c r="M32" i="48" s="1"/>
  <c r="L31" i="48"/>
  <c r="M31" i="48" s="1"/>
  <c r="L30" i="48"/>
  <c r="L29" i="48"/>
  <c r="M29" i="48" s="1"/>
  <c r="L28" i="48"/>
  <c r="M28" i="48" s="1"/>
  <c r="L27" i="48"/>
  <c r="M27" i="48" s="1"/>
  <c r="L26" i="48"/>
  <c r="M26" i="48" s="1"/>
  <c r="L25" i="48"/>
  <c r="M25" i="48" s="1"/>
  <c r="L24" i="48"/>
  <c r="L23" i="48"/>
  <c r="M23" i="48" s="1"/>
  <c r="L22" i="48"/>
  <c r="M22" i="48" s="1"/>
  <c r="L21" i="48"/>
  <c r="M21" i="48" s="1"/>
  <c r="L20" i="48"/>
  <c r="M20" i="48" s="1"/>
  <c r="L19" i="48"/>
  <c r="M19" i="48" s="1"/>
  <c r="L18" i="48"/>
  <c r="M18" i="48" s="1"/>
  <c r="L17" i="48"/>
  <c r="M17" i="48" s="1"/>
  <c r="L16" i="48"/>
  <c r="M16" i="48" s="1"/>
  <c r="L15" i="48"/>
  <c r="M15" i="48" s="1"/>
  <c r="L14" i="48"/>
  <c r="M14" i="48" s="1"/>
  <c r="L13" i="48"/>
  <c r="M13" i="48" s="1"/>
  <c r="L12" i="48"/>
  <c r="L91" i="53" l="1"/>
  <c r="L95" i="53"/>
  <c r="L94" i="53"/>
  <c r="L93" i="53"/>
  <c r="M68" i="53"/>
  <c r="L68" i="53"/>
  <c r="J68" i="53"/>
  <c r="E44" i="42"/>
  <c r="M12" i="48"/>
  <c r="M24" i="48"/>
  <c r="M30" i="48"/>
  <c r="M36" i="48"/>
  <c r="L99" i="5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JOSE HUANGAL</author>
  </authors>
  <commentList>
    <comment ref="F19" authorId="0" shapeId="0" xr:uid="{00000000-0006-0000-0100-000001000000}">
      <text>
        <r>
          <rPr>
            <b/>
            <sz val="10"/>
            <color indexed="81"/>
            <rFont val="Arial Unicode MS"/>
            <family val="2"/>
          </rPr>
          <t xml:space="preserve">
</t>
        </r>
        <r>
          <rPr>
            <sz val="10"/>
            <color indexed="81"/>
            <rFont val="Arial Unicode MS"/>
            <family val="2"/>
          </rPr>
          <t xml:space="preserve">Aplicar los porcentajes de incrementos para cada uno de los trimestres. </t>
        </r>
        <r>
          <rPr>
            <b/>
            <sz val="10"/>
            <color indexed="81"/>
            <rFont val="Arial Unicode MS"/>
            <family val="2"/>
          </rPr>
          <t>(Utilizar la fórmula del incremento y Referencias de celdas).</t>
        </r>
      </text>
    </comment>
    <comment ref="I19" authorId="0" shapeId="0" xr:uid="{00000000-0006-0000-0100-000002000000}">
      <text>
        <r>
          <rPr>
            <b/>
            <sz val="10"/>
            <color indexed="81"/>
            <rFont val="Arial Unicode MS"/>
            <family val="2"/>
          </rPr>
          <t xml:space="preserve">
Total Anual</t>
        </r>
        <r>
          <rPr>
            <sz val="10"/>
            <color indexed="81"/>
            <rFont val="Arial Unicode MS"/>
            <family val="2"/>
          </rPr>
          <t xml:space="preserve"> = Suma de los 4 trimestres.</t>
        </r>
        <r>
          <rPr>
            <b/>
            <sz val="10"/>
            <color indexed="81"/>
            <rFont val="Arial Unicode MS"/>
            <family val="2"/>
          </rPr>
          <t xml:space="preserve"> (Aplique la función Suma).</t>
        </r>
      </text>
    </comment>
    <comment ref="D30" authorId="0" shapeId="0" xr:uid="{00000000-0006-0000-0100-000003000000}">
      <text>
        <r>
          <rPr>
            <b/>
            <sz val="10"/>
            <color indexed="81"/>
            <rFont val="Arial Unicode MS"/>
            <family val="2"/>
          </rPr>
          <t xml:space="preserve">
</t>
        </r>
        <r>
          <rPr>
            <sz val="10"/>
            <color indexed="81"/>
            <rFont val="Arial Unicode MS"/>
            <family val="2"/>
          </rPr>
          <t>Totales de cada triemstre.</t>
        </r>
        <r>
          <rPr>
            <b/>
            <sz val="10"/>
            <color indexed="81"/>
            <rFont val="Arial Unicode MS"/>
            <family val="2"/>
          </rPr>
          <t xml:space="preserve"> (Aplique la función Suma).</t>
        </r>
      </text>
    </comment>
    <comment ref="D39" authorId="0" shapeId="0" xr:uid="{00000000-0006-0000-0100-000004000000}">
      <text>
        <r>
          <rPr>
            <b/>
            <sz val="10"/>
            <color indexed="81"/>
            <rFont val="Arial Unicode MS"/>
            <family val="2"/>
          </rPr>
          <t xml:space="preserve">
</t>
        </r>
        <r>
          <rPr>
            <sz val="10"/>
            <color indexed="81"/>
            <rFont val="Arial Unicode MS"/>
            <family val="2"/>
          </rPr>
          <t xml:space="preserve">Suma de Gastos fijos y Gastos variables. </t>
        </r>
        <r>
          <rPr>
            <b/>
            <sz val="10"/>
            <color indexed="81"/>
            <rFont val="Arial Unicode MS"/>
            <family val="2"/>
          </rPr>
          <t>(Aplique la función Suma).</t>
        </r>
      </text>
    </comment>
    <comment ref="D43" authorId="0" shapeId="0" xr:uid="{00000000-0006-0000-0100-000005000000}">
      <text>
        <r>
          <rPr>
            <b/>
            <sz val="10"/>
            <color indexed="81"/>
            <rFont val="Arial Unicode MS"/>
            <family val="2"/>
          </rPr>
          <t xml:space="preserve">
</t>
        </r>
        <r>
          <rPr>
            <sz val="10"/>
            <color indexed="81"/>
            <rFont val="Arial Unicode MS"/>
            <family val="2"/>
          </rPr>
          <t>Total Ingresos menos Total Gastos.</t>
        </r>
      </text>
    </comment>
    <comment ref="D44" authorId="0" shapeId="0" xr:uid="{00000000-0006-0000-0100-000006000000}">
      <text>
        <r>
          <rPr>
            <b/>
            <sz val="10"/>
            <color indexed="81"/>
            <rFont val="Arial Unicode MS"/>
            <family val="2"/>
          </rPr>
          <t xml:space="preserve">
</t>
        </r>
        <r>
          <rPr>
            <sz val="10"/>
            <color indexed="81"/>
            <rFont val="Arial Unicode MS"/>
            <family val="2"/>
          </rPr>
          <t>El beneficio acumulado se calcula sumando el total de beneficios de los 4 trimestres.</t>
        </r>
      </text>
    </comment>
    <comment ref="D64" authorId="0" shapeId="0" xr:uid="{00000000-0006-0000-0100-000007000000}">
      <text>
        <r>
          <rPr>
            <b/>
            <sz val="10"/>
            <color indexed="81"/>
            <rFont val="Arial Unicode MS"/>
            <family val="2"/>
          </rPr>
          <t xml:space="preserve">
</t>
        </r>
        <r>
          <rPr>
            <sz val="10"/>
            <color indexed="81"/>
            <rFont val="Arial Unicode MS"/>
            <family val="2"/>
          </rPr>
          <t>Ingresos = suma de Ventas más Ingresesos financieros más otros.</t>
        </r>
      </text>
    </comment>
    <comment ref="D65" authorId="0" shapeId="0" xr:uid="{00000000-0006-0000-0100-000008000000}">
      <text>
        <r>
          <rPr>
            <b/>
            <sz val="10"/>
            <color indexed="81"/>
            <rFont val="Arial Unicode MS"/>
            <family val="2"/>
          </rPr>
          <t xml:space="preserve">
E</t>
        </r>
        <r>
          <rPr>
            <sz val="10"/>
            <color indexed="81"/>
            <rFont val="Arial Unicode MS"/>
            <family val="2"/>
          </rPr>
          <t>gresos = suma de Compras más otros gastos.</t>
        </r>
      </text>
    </comment>
    <comment ref="D69" authorId="0" shapeId="0" xr:uid="{00000000-0006-0000-0100-000009000000}">
      <text>
        <r>
          <rPr>
            <b/>
            <sz val="10"/>
            <color indexed="81"/>
            <rFont val="Arial Unicode MS"/>
            <family val="2"/>
          </rPr>
          <t xml:space="preserve">
</t>
        </r>
        <r>
          <rPr>
            <sz val="10"/>
            <color indexed="81"/>
            <rFont val="Arial Unicode MS"/>
            <family val="2"/>
          </rPr>
          <t>Utilidad = Ingresos menos egresos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ALUMNO</author>
  </authors>
  <commentList>
    <comment ref="G14" authorId="0" shapeId="0" xr:uid="{00000000-0006-0000-0500-000001000000}">
      <text>
        <r>
          <rPr>
            <b/>
            <sz val="10"/>
            <color indexed="81"/>
            <rFont val="Arial Unicode MS"/>
            <family val="2"/>
          </rPr>
          <t xml:space="preserve">
Descuento = </t>
        </r>
        <r>
          <rPr>
            <sz val="10"/>
            <color indexed="81"/>
            <rFont val="Arial Unicode MS"/>
            <family val="2"/>
          </rPr>
          <t>Básico * el porcentaje del descuento.</t>
        </r>
      </text>
    </comment>
    <comment ref="H14" authorId="0" shapeId="0" xr:uid="{00000000-0006-0000-0500-000002000000}">
      <text>
        <r>
          <rPr>
            <b/>
            <sz val="10"/>
            <color indexed="81"/>
            <rFont val="Arial Unicode MS"/>
            <family val="2"/>
          </rPr>
          <t xml:space="preserve">
Neto = </t>
        </r>
        <r>
          <rPr>
            <sz val="10"/>
            <color indexed="81"/>
            <rFont val="Arial Unicode MS"/>
            <family val="2"/>
          </rPr>
          <t>Básico menos el descuento.</t>
        </r>
      </text>
    </comment>
    <comment ref="F34" authorId="0" shapeId="0" xr:uid="{00000000-0006-0000-0500-000003000000}">
      <text>
        <r>
          <rPr>
            <b/>
            <sz val="10"/>
            <color indexed="81"/>
            <rFont val="Arial Unicode MS"/>
            <family val="2"/>
          </rPr>
          <t xml:space="preserve">
</t>
        </r>
        <r>
          <rPr>
            <sz val="10"/>
            <color indexed="81"/>
            <rFont val="Arial Unicode MS"/>
            <family val="2"/>
          </rPr>
          <t>Totales de cada columna. (Utilice la función Suma)</t>
        </r>
      </text>
    </comment>
    <comment ref="I46" authorId="0" shapeId="0" xr:uid="{00000000-0006-0000-0500-000004000000}">
      <text>
        <r>
          <rPr>
            <b/>
            <sz val="10"/>
            <color indexed="81"/>
            <rFont val="Arial Unicode MS"/>
            <family val="2"/>
          </rPr>
          <t xml:space="preserve">
Valor Inicial = </t>
        </r>
        <r>
          <rPr>
            <sz val="10"/>
            <color indexed="81"/>
            <rFont val="Arial Unicode MS"/>
            <family val="2"/>
          </rPr>
          <t>Monto proyectado por la tasa. (Utilice la función producto.)</t>
        </r>
      </text>
    </comment>
    <comment ref="J46" authorId="0" shapeId="0" xr:uid="{00000000-0006-0000-0500-000005000000}">
      <text>
        <r>
          <rPr>
            <b/>
            <sz val="10"/>
            <color indexed="81"/>
            <rFont val="Arial Unicode MS"/>
            <family val="2"/>
          </rPr>
          <t xml:space="preserve">
Apertura = </t>
        </r>
        <r>
          <rPr>
            <sz val="10"/>
            <color indexed="81"/>
            <rFont val="Arial Unicode MS"/>
            <family val="2"/>
          </rPr>
          <t>Valor inicial por su porcentaje.</t>
        </r>
      </text>
    </comment>
    <comment ref="K46" authorId="0" shapeId="0" xr:uid="{00000000-0006-0000-0500-000006000000}">
      <text>
        <r>
          <rPr>
            <b/>
            <sz val="10"/>
            <color indexed="81"/>
            <rFont val="Arial Unicode MS"/>
            <family val="2"/>
          </rPr>
          <t xml:space="preserve">
Comisión = </t>
        </r>
        <r>
          <rPr>
            <sz val="10"/>
            <color indexed="81"/>
            <rFont val="Arial Unicode MS"/>
            <family val="2"/>
          </rPr>
          <t>Monto proyectado por su por su porcentaje. (Utilice la función Producto.)</t>
        </r>
      </text>
    </comment>
    <comment ref="L46" authorId="0" shapeId="0" xr:uid="{00000000-0006-0000-0500-000007000000}">
      <text>
        <r>
          <rPr>
            <b/>
            <sz val="10"/>
            <color indexed="81"/>
            <rFont val="Arial Unicode MS"/>
            <family val="2"/>
          </rPr>
          <t xml:space="preserve">
Monto Abonado = </t>
        </r>
        <r>
          <rPr>
            <sz val="10"/>
            <color indexed="81"/>
            <rFont val="Arial Unicode MS"/>
            <family val="2"/>
          </rPr>
          <t>suma de Valor inicial, Apertura y Comisión.</t>
        </r>
      </text>
    </comment>
    <comment ref="M46" authorId="0" shapeId="0" xr:uid="{00000000-0006-0000-0500-000008000000}">
      <text>
        <r>
          <rPr>
            <b/>
            <sz val="10"/>
            <color indexed="81"/>
            <rFont val="Arial Unicode MS"/>
            <family val="2"/>
          </rPr>
          <t xml:space="preserve">
Monto Pendiente = </t>
        </r>
        <r>
          <rPr>
            <sz val="10"/>
            <color indexed="81"/>
            <rFont val="Arial Unicode MS"/>
            <family val="2"/>
          </rPr>
          <t>Diferencia del Monto Proyectado y el Monto Abonado.</t>
        </r>
      </text>
    </comment>
    <comment ref="H82" authorId="0" shapeId="0" xr:uid="{00000000-0006-0000-0500-000009000000}">
      <text>
        <r>
          <rPr>
            <b/>
            <sz val="10"/>
            <color indexed="81"/>
            <rFont val="Arial Unicode MS"/>
            <family val="2"/>
          </rPr>
          <t xml:space="preserve">
Total = </t>
        </r>
        <r>
          <rPr>
            <sz val="10"/>
            <color indexed="81"/>
            <rFont val="Arial Unicode MS"/>
            <family val="2"/>
          </rPr>
          <t>suma de las ventas de los tres productos.</t>
        </r>
      </text>
    </comment>
    <comment ref="I82" authorId="0" shapeId="0" xr:uid="{00000000-0006-0000-0500-00000A000000}">
      <text>
        <r>
          <rPr>
            <b/>
            <sz val="10"/>
            <color indexed="81"/>
            <rFont val="Arial Unicode MS"/>
            <family val="2"/>
          </rPr>
          <t xml:space="preserve">
TV = Monto Total</t>
        </r>
        <r>
          <rPr>
            <sz val="10"/>
            <color indexed="81"/>
            <rFont val="Arial Unicode MS"/>
            <family val="2"/>
          </rPr>
          <t xml:space="preserve"> por su respectivo porcentaje. (Utilice </t>
        </r>
        <r>
          <rPr>
            <b/>
            <sz val="10"/>
            <color indexed="81"/>
            <rFont val="Arial Unicode MS"/>
            <family val="2"/>
          </rPr>
          <t>Referencias de celdas</t>
        </r>
        <r>
          <rPr>
            <sz val="10"/>
            <color indexed="81"/>
            <rFont val="Arial Unicode MS"/>
            <family val="2"/>
          </rPr>
          <t>)</t>
        </r>
      </text>
    </comment>
    <comment ref="J82" authorId="0" shapeId="0" xr:uid="{00000000-0006-0000-0500-00000B000000}">
      <text>
        <r>
          <rPr>
            <b/>
            <sz val="10"/>
            <color indexed="81"/>
            <rFont val="Arial Unicode MS"/>
            <family val="2"/>
          </rPr>
          <t xml:space="preserve">
Lavadora = Monto Total</t>
        </r>
        <r>
          <rPr>
            <sz val="10"/>
            <color indexed="81"/>
            <rFont val="Arial Unicode MS"/>
            <family val="2"/>
          </rPr>
          <t xml:space="preserve"> por su respectivo porcentaje. (Utilice </t>
        </r>
        <r>
          <rPr>
            <b/>
            <sz val="10"/>
            <color indexed="81"/>
            <rFont val="Arial Unicode MS"/>
            <family val="2"/>
          </rPr>
          <t>Referencias de celdas</t>
        </r>
        <r>
          <rPr>
            <sz val="10"/>
            <color indexed="81"/>
            <rFont val="Arial Unicode MS"/>
            <family val="2"/>
          </rPr>
          <t>).</t>
        </r>
      </text>
    </comment>
    <comment ref="K82" authorId="0" shapeId="0" xr:uid="{00000000-0006-0000-0500-00000C000000}">
      <text>
        <r>
          <rPr>
            <b/>
            <sz val="10"/>
            <color indexed="81"/>
            <rFont val="Arial Unicode MS"/>
            <family val="2"/>
          </rPr>
          <t xml:space="preserve">
Licuadora = Monto Total</t>
        </r>
        <r>
          <rPr>
            <sz val="10"/>
            <color indexed="81"/>
            <rFont val="Arial Unicode MS"/>
            <family val="2"/>
          </rPr>
          <t xml:space="preserve"> por su Porcentaje. (Utilice </t>
        </r>
        <r>
          <rPr>
            <b/>
            <sz val="10"/>
            <color indexed="81"/>
            <rFont val="Arial Unicode MS"/>
            <family val="2"/>
          </rPr>
          <t>Referencias de celdas</t>
        </r>
        <r>
          <rPr>
            <sz val="10"/>
            <color indexed="81"/>
            <rFont val="Arial Unicode MS"/>
            <family val="2"/>
          </rPr>
          <t>).</t>
        </r>
      </text>
    </comment>
    <comment ref="L82" authorId="0" shapeId="0" xr:uid="{00000000-0006-0000-0500-00000D000000}">
      <text>
        <r>
          <rPr>
            <b/>
            <sz val="10"/>
            <color indexed="81"/>
            <rFont val="Arial Unicode MS"/>
            <family val="2"/>
          </rPr>
          <t xml:space="preserve">
Total Comisión = </t>
        </r>
        <r>
          <rPr>
            <sz val="10"/>
            <color indexed="81"/>
            <rFont val="Arial Unicode MS"/>
            <family val="2"/>
          </rPr>
          <t>Suma de todas las comisiones. (Utilice la función Suma).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PROFESOR</author>
  </authors>
  <commentList>
    <comment ref="G11" authorId="0" shapeId="0" xr:uid="{00000000-0006-0000-0700-000001000000}">
      <text>
        <r>
          <rPr>
            <b/>
            <sz val="10"/>
            <color indexed="81"/>
            <rFont val="Arial Unicode MS"/>
            <family val="2"/>
          </rPr>
          <t xml:space="preserve">
Resultado = </t>
        </r>
        <r>
          <rPr>
            <sz val="10"/>
            <color indexed="81"/>
            <rFont val="Arial Unicode MS"/>
            <family val="2"/>
          </rPr>
          <t>Aplique la Función POTENCIA.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PROFESOR</author>
  </authors>
  <commentList>
    <comment ref="E11" authorId="0" shapeId="0" xr:uid="{00000000-0006-0000-0B00-000001000000}">
      <text>
        <r>
          <rPr>
            <b/>
            <sz val="10"/>
            <color indexed="81"/>
            <rFont val="Arial Unicode MS"/>
            <family val="2"/>
          </rPr>
          <t xml:space="preserve">
</t>
        </r>
        <r>
          <rPr>
            <sz val="10"/>
            <color indexed="81"/>
            <rFont val="Arial Unicode MS"/>
            <family val="2"/>
          </rPr>
          <t>Aplique la FUNCIÓN REDONDEAR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ALUMNO</author>
  </authors>
  <commentList>
    <comment ref="G139" authorId="0" shapeId="0" xr:uid="{735F76D1-A804-4F67-A995-D14B89A21DE6}">
      <text>
        <r>
          <rPr>
            <b/>
            <sz val="10"/>
            <color indexed="81"/>
            <rFont val="Arial Unicode MS"/>
            <family val="2"/>
          </rPr>
          <t xml:space="preserve">
</t>
        </r>
        <r>
          <rPr>
            <sz val="10"/>
            <color indexed="81"/>
            <rFont val="Arial Unicode MS"/>
            <family val="2"/>
          </rPr>
          <t xml:space="preserve">Crear </t>
        </r>
        <r>
          <rPr>
            <b/>
            <sz val="10"/>
            <color indexed="81"/>
            <rFont val="Arial Unicode MS"/>
            <family val="2"/>
          </rPr>
          <t>una Lista</t>
        </r>
        <r>
          <rPr>
            <sz val="10"/>
            <color indexed="81"/>
            <rFont val="Arial Unicode MS"/>
            <family val="2"/>
          </rPr>
          <t xml:space="preserve"> con los nombres de las Librerías.</t>
        </r>
      </text>
    </comment>
    <comment ref="G145" authorId="0" shapeId="0" xr:uid="{0CA5F7E4-CF80-484E-947F-C1F4FE52B3B6}">
      <text>
        <r>
          <rPr>
            <b/>
            <sz val="10"/>
            <color indexed="81"/>
            <rFont val="Arial Unicode MS"/>
            <family val="2"/>
          </rPr>
          <t xml:space="preserve">
</t>
        </r>
        <r>
          <rPr>
            <sz val="10"/>
            <color indexed="81"/>
            <rFont val="Arial Unicode MS"/>
            <family val="2"/>
          </rPr>
          <t xml:space="preserve">Crear </t>
        </r>
        <r>
          <rPr>
            <b/>
            <sz val="10"/>
            <color indexed="81"/>
            <rFont val="Arial Unicode MS"/>
            <family val="2"/>
          </rPr>
          <t>una Lista</t>
        </r>
        <r>
          <rPr>
            <sz val="10"/>
            <color indexed="81"/>
            <rFont val="Arial Unicode MS"/>
            <family val="2"/>
          </rPr>
          <t xml:space="preserve"> con los nombres de los Clientes..</t>
        </r>
      </text>
    </comment>
  </commentList>
</comments>
</file>

<file path=xl/sharedStrings.xml><?xml version="1.0" encoding="utf-8"?>
<sst xmlns="http://schemas.openxmlformats.org/spreadsheetml/2006/main" count="699" uniqueCount="252">
  <si>
    <t>Cliente</t>
  </si>
  <si>
    <t>IGV</t>
  </si>
  <si>
    <t>Producto</t>
  </si>
  <si>
    <t>Ejercicio 1:</t>
  </si>
  <si>
    <t>Ejemplo 1:</t>
  </si>
  <si>
    <t>Función Suma</t>
  </si>
  <si>
    <t>Función Potencia</t>
  </si>
  <si>
    <t>Función Redondear</t>
  </si>
  <si>
    <t>Función Sumar.Si</t>
  </si>
  <si>
    <t>Función Sumar.Si.Conjunto</t>
  </si>
  <si>
    <t>Fecha</t>
  </si>
  <si>
    <t>Subcuenta</t>
  </si>
  <si>
    <t>Importe de Compra</t>
  </si>
  <si>
    <t>Librerias</t>
  </si>
  <si>
    <t>Localidad</t>
  </si>
  <si>
    <t>Mendoza</t>
  </si>
  <si>
    <t>Crisol</t>
  </si>
  <si>
    <t>Lapices</t>
  </si>
  <si>
    <t>Lima</t>
  </si>
  <si>
    <t>Castillo</t>
  </si>
  <si>
    <t>Artesco</t>
  </si>
  <si>
    <t>La Libertad</t>
  </si>
  <si>
    <t>Stanford</t>
  </si>
  <si>
    <t>Piura</t>
  </si>
  <si>
    <t>Rodriguez</t>
  </si>
  <si>
    <t>Cuzco</t>
  </si>
  <si>
    <t>Isabel</t>
  </si>
  <si>
    <t>Loreto</t>
  </si>
  <si>
    <t>Bruño</t>
  </si>
  <si>
    <t>Palomino</t>
  </si>
  <si>
    <t>Grapas</t>
  </si>
  <si>
    <t>Carpetas</t>
  </si>
  <si>
    <t>Boligrafos</t>
  </si>
  <si>
    <t>Archivadores</t>
  </si>
  <si>
    <t>GRUPO GALATAR S.A.</t>
  </si>
  <si>
    <t>Incrementos Trimestrales 
por Categoría</t>
  </si>
  <si>
    <t>Incrementos de los gastos</t>
  </si>
  <si>
    <t>Bebidas</t>
  </si>
  <si>
    <t>Gastos fijos:</t>
  </si>
  <si>
    <t>Condimentos</t>
  </si>
  <si>
    <t>Gastos Variab.:</t>
  </si>
  <si>
    <t>Lácteos</t>
  </si>
  <si>
    <t>Frutas y Verduras</t>
  </si>
  <si>
    <t>Categoría</t>
  </si>
  <si>
    <t>2º Trim.</t>
  </si>
  <si>
    <t>4º Trim.</t>
  </si>
  <si>
    <t>Total anual</t>
  </si>
  <si>
    <t>Total Ingresos</t>
  </si>
  <si>
    <t>Gastos Fijos</t>
  </si>
  <si>
    <t>Gastos Variables</t>
  </si>
  <si>
    <t>Total Gastos</t>
  </si>
  <si>
    <t>Beneficio</t>
  </si>
  <si>
    <t>Beneficio Acumulado</t>
  </si>
  <si>
    <t>Enero</t>
  </si>
  <si>
    <t>Febrero</t>
  </si>
  <si>
    <t>Marzo</t>
  </si>
  <si>
    <t>Abril</t>
  </si>
  <si>
    <t>Mayo</t>
  </si>
  <si>
    <t>Junio</t>
  </si>
  <si>
    <t>Ventas</t>
  </si>
  <si>
    <t>Ingresos Financieros</t>
  </si>
  <si>
    <t>Otros</t>
  </si>
  <si>
    <t>Compras</t>
  </si>
  <si>
    <t>Otros Gastos</t>
  </si>
  <si>
    <t>Ingresos</t>
  </si>
  <si>
    <t>Egresos</t>
  </si>
  <si>
    <t>Utilidad</t>
  </si>
  <si>
    <t>Ejercicio 2:</t>
  </si>
  <si>
    <t>1. Función Suma</t>
  </si>
  <si>
    <t>Suma todos los valores de un Rango de Celdas</t>
  </si>
  <si>
    <t>Sintaxis:</t>
  </si>
  <si>
    <t xml:space="preserve"> =Suma(número1, [número],...)</t>
  </si>
  <si>
    <t xml:space="preserve"> = Producto(número1, [número],...)</t>
  </si>
  <si>
    <t>T001</t>
  </si>
  <si>
    <t>ANALISTA</t>
  </si>
  <si>
    <t>T002</t>
  </si>
  <si>
    <t>CAJERO</t>
  </si>
  <si>
    <t>T003</t>
  </si>
  <si>
    <t>PROGRAMADOR</t>
  </si>
  <si>
    <t>T004</t>
  </si>
  <si>
    <t>DIGITADOR</t>
  </si>
  <si>
    <t>T005</t>
  </si>
  <si>
    <t>GERENTE</t>
  </si>
  <si>
    <t>T006</t>
  </si>
  <si>
    <t>SECRETARIA</t>
  </si>
  <si>
    <t>T007</t>
  </si>
  <si>
    <t>TESORERO</t>
  </si>
  <si>
    <t>T008</t>
  </si>
  <si>
    <t>T009</t>
  </si>
  <si>
    <t>T010</t>
  </si>
  <si>
    <t>T011</t>
  </si>
  <si>
    <t>T012</t>
  </si>
  <si>
    <t>T013</t>
  </si>
  <si>
    <t>Descuento</t>
  </si>
  <si>
    <t>Empresa</t>
  </si>
  <si>
    <t>Nro
Licitación</t>
  </si>
  <si>
    <t>Fecha
Proyecto</t>
  </si>
  <si>
    <t>Tasa</t>
  </si>
  <si>
    <t>Valor
Inicial</t>
  </si>
  <si>
    <t>Apertura</t>
  </si>
  <si>
    <t>Comisión</t>
  </si>
  <si>
    <t>Monto
Abonado</t>
  </si>
  <si>
    <t>Monto
Pendiente</t>
  </si>
  <si>
    <t>Silsa</t>
  </si>
  <si>
    <t>Nutricsa</t>
  </si>
  <si>
    <t>Lavaquick</t>
  </si>
  <si>
    <t>Infordata</t>
  </si>
  <si>
    <t>Karvar</t>
  </si>
  <si>
    <t>HyC Data</t>
  </si>
  <si>
    <t>Medicion</t>
  </si>
  <si>
    <t>Arquitec</t>
  </si>
  <si>
    <t>Electrosa</t>
  </si>
  <si>
    <t>Esvicsa</t>
  </si>
  <si>
    <t>Comisiones</t>
  </si>
  <si>
    <t>TV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</si>
  <si>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</si>
  <si>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</si>
  <si>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</si>
  <si>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</si>
  <si>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</si>
  <si>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</si>
  <si>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</si>
  <si>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</si>
  <si>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</si>
  <si>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</si>
  <si>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Total Comisión</t>
  </si>
  <si>
    <t>Codigo</t>
  </si>
  <si>
    <t>Cargo</t>
  </si>
  <si>
    <t>Básico</t>
  </si>
  <si>
    <t>Neto</t>
  </si>
  <si>
    <t>Totales:</t>
  </si>
  <si>
    <t>Monto
Proyectado</t>
  </si>
  <si>
    <t>115151-2010</t>
  </si>
  <si>
    <t>115447-2010</t>
  </si>
  <si>
    <t>159811-2010</t>
  </si>
  <si>
    <t>169887-2010</t>
  </si>
  <si>
    <t>121955-2010</t>
  </si>
  <si>
    <t>169552-2010</t>
  </si>
  <si>
    <t>124445-2010</t>
  </si>
  <si>
    <t>115621-2010</t>
  </si>
  <si>
    <t>263655-2010</t>
  </si>
  <si>
    <t>145899-2010</t>
  </si>
  <si>
    <t>157888-2010</t>
  </si>
  <si>
    <t>199366-2010</t>
  </si>
  <si>
    <t>155455-2010</t>
  </si>
  <si>
    <t>158955-2010</t>
  </si>
  <si>
    <t>186599-2010</t>
  </si>
  <si>
    <t>Totales</t>
  </si>
  <si>
    <t>Ejercicio 3:</t>
  </si>
  <si>
    <t>Lavadora</t>
  </si>
  <si>
    <t>Licuadora</t>
  </si>
  <si>
    <t>314.22.309</t>
  </si>
  <si>
    <t>Código del Vendedor</t>
  </si>
  <si>
    <t>Monto Total</t>
  </si>
  <si>
    <t xml:space="preserve"> =POTENCIA(Número,potencia)</t>
  </si>
  <si>
    <t xml:space="preserve">Número </t>
  </si>
  <si>
    <t>Potencia</t>
  </si>
  <si>
    <t>Resultado</t>
  </si>
  <si>
    <t>Calcular las potencias de los siguientes números:</t>
  </si>
  <si>
    <t>Calcular el Valor Futuro (VF) de una cantidad de dinero depositada en una entidad bancaria.</t>
  </si>
  <si>
    <t>Fórmula</t>
  </si>
  <si>
    <t>VA</t>
  </si>
  <si>
    <t>i</t>
  </si>
  <si>
    <t>n</t>
  </si>
  <si>
    <t>VF</t>
  </si>
  <si>
    <t>3. Función POTENCIA</t>
  </si>
  <si>
    <t>2. Función PRODUCTO</t>
  </si>
  <si>
    <t>Multiplica todos los números proporcionados como argumentos.</t>
  </si>
  <si>
    <t>Eleva un número a una potencia especificada.</t>
  </si>
  <si>
    <t>Número</t>
  </si>
  <si>
    <t>Ejercicio 3</t>
  </si>
  <si>
    <t>5. Función REDONDEAR</t>
  </si>
  <si>
    <t xml:space="preserve"> =REDONDEAR(Número,num_decimales)</t>
  </si>
  <si>
    <t>Alumno</t>
  </si>
  <si>
    <t>Nota1</t>
  </si>
  <si>
    <t>Nota2</t>
  </si>
  <si>
    <t>Promedio</t>
  </si>
  <si>
    <t xml:space="preserve">Eliana </t>
  </si>
  <si>
    <t>Milagros</t>
  </si>
  <si>
    <t>José</t>
  </si>
  <si>
    <t>Carlos</t>
  </si>
  <si>
    <t>Rosa</t>
  </si>
  <si>
    <t>Carla</t>
  </si>
  <si>
    <t>Luis</t>
  </si>
  <si>
    <t>Marlene</t>
  </si>
  <si>
    <t>Patricia</t>
  </si>
  <si>
    <t>Karen</t>
  </si>
  <si>
    <t>Mary</t>
  </si>
  <si>
    <t>Redondear el promedio a 2 decimales</t>
  </si>
  <si>
    <t>La función SUMAR.SI en Excel nos permite hacer una suma de celdas que cumplen con un determinado criterio y de esta manera excluir aquellas celdas que no nos interesa incluir en la operación.</t>
  </si>
  <si>
    <t>6. Función SUMAR.SI</t>
  </si>
  <si>
    <t>Total de Compras</t>
  </si>
  <si>
    <t>Total Compra</t>
  </si>
  <si>
    <t>Ejemplo2:</t>
  </si>
  <si>
    <t>Robles</t>
  </si>
  <si>
    <t>Ejemplo3:</t>
  </si>
  <si>
    <t>Ejemplo4:</t>
  </si>
  <si>
    <t>6. Función SUMAR.SI.CONJUNTO</t>
  </si>
  <si>
    <t>Seleccione la Librería</t>
  </si>
  <si>
    <t>Seleccione el Cliente:</t>
  </si>
  <si>
    <t>Redondear a 2 Decimales</t>
  </si>
  <si>
    <t>FUNCIÓN SUMA</t>
  </si>
  <si>
    <t>FUNCIÓN PRODUCTO</t>
  </si>
  <si>
    <t>FUNCIÓN POTENCIA</t>
  </si>
  <si>
    <t>FUNCIÓN REDONDEAR</t>
  </si>
  <si>
    <t>FUNCIÓN SUMAR.SI</t>
  </si>
  <si>
    <t>Asignar nombre a cada columna.</t>
  </si>
  <si>
    <t>La función SUMAR.SI.CONJUNTO en Excel nos permite hacer una suma de celdas que cumplen con uno o varios criterios y de esta manera excluir aquellas celdas que no nos interesa incluir en la operación.</t>
  </si>
  <si>
    <t xml:space="preserve"> =SUMAR.SI.CONJUNTO([rango_suma], rango, criterio)</t>
  </si>
  <si>
    <t>FUNCIÓN SUMAR.SI.CONJUNTO</t>
  </si>
  <si>
    <t>MES</t>
  </si>
  <si>
    <t>DEPARTAMENTO</t>
  </si>
  <si>
    <t>BANCO</t>
  </si>
  <si>
    <t>OPERACIÓN</t>
  </si>
  <si>
    <t>MONEDA</t>
  </si>
  <si>
    <t>MONTO</t>
  </si>
  <si>
    <t>ENERO</t>
  </si>
  <si>
    <t>LIMA</t>
  </si>
  <si>
    <t>INTERBANK</t>
  </si>
  <si>
    <t>CAPTACION</t>
  </si>
  <si>
    <t>SOLES</t>
  </si>
  <si>
    <t>FEBRERO</t>
  </si>
  <si>
    <t>AREQUIPA</t>
  </si>
  <si>
    <t>BCP</t>
  </si>
  <si>
    <t>COLOCACION</t>
  </si>
  <si>
    <t>DOLARES</t>
  </si>
  <si>
    <t>MARZO</t>
  </si>
  <si>
    <t>CUZCO</t>
  </si>
  <si>
    <t>FINANCIERO</t>
  </si>
  <si>
    <t xml:space="preserve">  ¿Cuál es el Monto acumulado del Interbank en soles?</t>
  </si>
  <si>
    <t xml:space="preserve">  ¿Cuál es el Monto acumulado de las captaciones del Financiero en soles?</t>
  </si>
  <si>
    <t xml:space="preserve">  ¿Cuánto es la suma del Monto del BCP en febrero en dolares?</t>
  </si>
  <si>
    <t xml:space="preserve">  ¿Cuánto es el acumulado del Monto de las colocaciones en Arequipa?</t>
  </si>
  <si>
    <r>
      <t>1</t>
    </r>
    <r>
      <rPr>
        <b/>
        <vertAlign val="superscript"/>
        <sz val="12"/>
        <color theme="0"/>
        <rFont val="Arial Unicode MS"/>
        <family val="2"/>
      </rPr>
      <t>er</t>
    </r>
    <r>
      <rPr>
        <b/>
        <sz val="12"/>
        <color theme="0"/>
        <rFont val="Arial Unicode MS"/>
        <family val="2"/>
      </rPr>
      <t xml:space="preserve"> Trim.</t>
    </r>
  </si>
  <si>
    <r>
      <t>3</t>
    </r>
    <r>
      <rPr>
        <b/>
        <vertAlign val="superscript"/>
        <sz val="12"/>
        <color theme="0"/>
        <rFont val="Arial Unicode MS"/>
        <family val="2"/>
      </rPr>
      <t>er</t>
    </r>
    <r>
      <rPr>
        <b/>
        <sz val="12"/>
        <color theme="0"/>
        <rFont val="Arial Unicode MS"/>
        <family val="2"/>
      </rPr>
      <t xml:space="preserve"> Trim.</t>
    </r>
  </si>
  <si>
    <t>Productos</t>
  </si>
  <si>
    <r>
      <t>Calcular el</t>
    </r>
    <r>
      <rPr>
        <b/>
        <sz val="11"/>
        <color theme="1"/>
        <rFont val="Arial Unicode MS"/>
        <family val="2"/>
      </rPr>
      <t xml:space="preserve"> total de Compras </t>
    </r>
    <r>
      <rPr>
        <sz val="11"/>
        <color theme="1"/>
        <rFont val="Arial Unicode MS"/>
        <family val="2"/>
      </rPr>
      <t xml:space="preserve">de las siguientes </t>
    </r>
    <r>
      <rPr>
        <b/>
        <sz val="11"/>
        <color theme="1"/>
        <rFont val="Arial Unicode MS"/>
        <family val="2"/>
      </rPr>
      <t>Librerias</t>
    </r>
  </si>
  <si>
    <r>
      <t>Calcular los</t>
    </r>
    <r>
      <rPr>
        <b/>
        <sz val="12"/>
        <color rgb="FF002060"/>
        <rFont val="Arial Unicode MS"/>
        <family val="2"/>
      </rPr>
      <t xml:space="preserve"> incrementos</t>
    </r>
    <r>
      <rPr>
        <sz val="12"/>
        <color rgb="FF002060"/>
        <rFont val="Arial Unicode MS"/>
        <family val="2"/>
      </rPr>
      <t xml:space="preserve"> y las </t>
    </r>
    <r>
      <rPr>
        <b/>
        <sz val="12"/>
        <color rgb="FF002060"/>
        <rFont val="Arial Unicode MS"/>
        <family val="2"/>
      </rPr>
      <t>sumas respectivas:</t>
    </r>
  </si>
  <si>
    <r>
      <t>Calcular los</t>
    </r>
    <r>
      <rPr>
        <b/>
        <sz val="12"/>
        <color rgb="FF002060"/>
        <rFont val="Arial Unicode MS"/>
        <family val="2"/>
      </rPr>
      <t xml:space="preserve"> Ingresos, egresos y Utilidad </t>
    </r>
    <r>
      <rPr>
        <sz val="12"/>
        <color rgb="FF002060"/>
        <rFont val="Arial Unicode MS"/>
        <family val="2"/>
      </rPr>
      <t>en el siguiente cuadro.</t>
    </r>
  </si>
  <si>
    <r>
      <t xml:space="preserve">Calcular el </t>
    </r>
    <r>
      <rPr>
        <b/>
        <sz val="12"/>
        <color rgb="FF002060"/>
        <rFont val="Arial Unicode MS"/>
        <family val="2"/>
      </rPr>
      <t>Descuento</t>
    </r>
    <r>
      <rPr>
        <sz val="12"/>
        <color rgb="FF002060"/>
        <rFont val="Arial Unicode MS"/>
        <family val="2"/>
      </rPr>
      <t xml:space="preserve"> y el </t>
    </r>
    <r>
      <rPr>
        <b/>
        <sz val="12"/>
        <color rgb="FF002060"/>
        <rFont val="Arial Unicode MS"/>
        <family val="2"/>
      </rPr>
      <t>neto</t>
    </r>
    <r>
      <rPr>
        <sz val="12"/>
        <color rgb="FF002060"/>
        <rFont val="Arial Unicode MS"/>
        <family val="2"/>
      </rPr>
      <t xml:space="preserve"> del sigiuente cuadro:</t>
    </r>
  </si>
  <si>
    <r>
      <t xml:space="preserve">Calcular las </t>
    </r>
    <r>
      <rPr>
        <b/>
        <sz val="11"/>
        <color rgb="FF002060"/>
        <rFont val="Arial Unicode MS"/>
        <family val="2"/>
      </rPr>
      <t xml:space="preserve">Comisiones </t>
    </r>
    <r>
      <rPr>
        <sz val="11"/>
        <color rgb="FF002060"/>
        <rFont val="Arial Unicode MS"/>
        <family val="2"/>
      </rPr>
      <t>del sigiuente cuadro:</t>
    </r>
  </si>
  <si>
    <r>
      <t>Calcular las</t>
    </r>
    <r>
      <rPr>
        <b/>
        <sz val="12"/>
        <color rgb="FF002060"/>
        <rFont val="Arial Unicode MS"/>
        <family val="2"/>
      </rPr>
      <t xml:space="preserve"> Licitaciones</t>
    </r>
    <r>
      <rPr>
        <sz val="12"/>
        <color rgb="FF002060"/>
        <rFont val="Arial Unicode MS"/>
        <family val="2"/>
      </rPr>
      <t xml:space="preserve"> del sigiuente cuadro:</t>
    </r>
  </si>
  <si>
    <r>
      <t xml:space="preserve">Calcular el </t>
    </r>
    <r>
      <rPr>
        <b/>
        <sz val="12"/>
        <color rgb="FF002060"/>
        <rFont val="Arial Unicode MS"/>
        <family val="2"/>
      </rPr>
      <t xml:space="preserve">Valor Actual (VA), </t>
    </r>
    <r>
      <rPr>
        <sz val="12"/>
        <color rgb="FF002060"/>
        <rFont val="Arial Unicode MS"/>
        <family val="2"/>
      </rPr>
      <t>dada por la siguiente Fórmula:</t>
    </r>
  </si>
  <si>
    <r>
      <t xml:space="preserve">Redondear los siguientes números a </t>
    </r>
    <r>
      <rPr>
        <b/>
        <sz val="11"/>
        <color rgb="FF002060"/>
        <rFont val="Arial Unicode MS"/>
        <family val="2"/>
      </rPr>
      <t>2 decimales</t>
    </r>
    <r>
      <rPr>
        <sz val="11"/>
        <color rgb="FF002060"/>
        <rFont val="Arial Unicode MS"/>
        <family val="2"/>
      </rPr>
      <t xml:space="preserve"> utilizando la función redondear.    </t>
    </r>
  </si>
  <si>
    <r>
      <t xml:space="preserve">Dada la siguiente </t>
    </r>
    <r>
      <rPr>
        <b/>
        <sz val="12"/>
        <color rgb="FF002060"/>
        <rFont val="Arial Unicode MS"/>
        <family val="2"/>
      </rPr>
      <t>Base de Datos:</t>
    </r>
  </si>
  <si>
    <r>
      <t>Calcular el</t>
    </r>
    <r>
      <rPr>
        <b/>
        <sz val="12"/>
        <color rgb="FF002060"/>
        <rFont val="Arial Unicode MS"/>
        <family val="2"/>
      </rPr>
      <t xml:space="preserve"> Total compra </t>
    </r>
    <r>
      <rPr>
        <sz val="12"/>
        <color rgb="FF002060"/>
        <rFont val="Arial Unicode MS"/>
        <family val="2"/>
      </rPr>
      <t>de las siguientes</t>
    </r>
    <r>
      <rPr>
        <b/>
        <sz val="12"/>
        <color rgb="FF002060"/>
        <rFont val="Arial Unicode MS"/>
        <family val="2"/>
      </rPr>
      <t xml:space="preserve"> Localidades</t>
    </r>
  </si>
  <si>
    <t>Licitaciones - Relación de Proyectos - Mes Noviembre</t>
  </si>
  <si>
    <t>La función REDONDEAR en Excel nos ayuda a redondear un número a una cantidad de decimales  especificados. La cantidad de decimales especificados puede ser un
número positivo o cero.</t>
  </si>
  <si>
    <t xml:space="preserve"> =SUMAR.SI(rango, criterio, [rango_suma])</t>
  </si>
  <si>
    <r>
      <t>Calcular el</t>
    </r>
    <r>
      <rPr>
        <b/>
        <sz val="12"/>
        <color rgb="FF002060"/>
        <rFont val="Arial Unicode MS"/>
        <family val="2"/>
      </rPr>
      <t xml:space="preserve"> Total compra </t>
    </r>
    <r>
      <rPr>
        <sz val="12"/>
        <color rgb="FF002060"/>
        <rFont val="Arial Unicode MS"/>
        <family val="2"/>
      </rPr>
      <t>de las siguientes</t>
    </r>
    <r>
      <rPr>
        <b/>
        <sz val="12"/>
        <color rgb="FF002060"/>
        <rFont val="Arial Unicode MS"/>
        <family val="2"/>
      </rPr>
      <t xml:space="preserve"> Librerias. (Utilizando Listas)</t>
    </r>
  </si>
  <si>
    <r>
      <t>Calcular el</t>
    </r>
    <r>
      <rPr>
        <b/>
        <sz val="12"/>
        <color rgb="FF002060"/>
        <rFont val="Arial Unicode MS"/>
        <family val="2"/>
      </rPr>
      <t xml:space="preserve"> Total compra </t>
    </r>
    <r>
      <rPr>
        <sz val="12"/>
        <color rgb="FF002060"/>
        <rFont val="Arial Unicode MS"/>
        <family val="2"/>
      </rPr>
      <t>de los siguientes</t>
    </r>
    <r>
      <rPr>
        <b/>
        <sz val="12"/>
        <color rgb="FF002060"/>
        <rFont val="Arial Unicode MS"/>
        <family val="2"/>
      </rPr>
      <t xml:space="preserve"> Clientes. (Utilizando Listas)</t>
    </r>
  </si>
  <si>
    <t>Función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</si>
</sst>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-* #,##0_-;\-* #,##0_-;_-* &quot;-&quot;_-;_-@_-"/>
    <numFmt numFmtId="43" formatCode="_-* #,##0.00_-;\-* #,##0.00_-;_-* &quot;-&quot;??_-;_-@_-"/>
    <numFmt numFmtId="164" formatCode="_ &quot;S/.&quot;\ * #,##0.00_ ;_ &quot;S/.&quot;\ * \-#,##0.00_ ;_ &quot;S/.&quot;\ * &quot;-&quot;??_ ;_ @_ "/>
    <numFmt numFmtId="165" formatCode="&quot;S/.&quot;\ #,##0.00"/>
    <numFmt numFmtId="166" formatCode="_-[$€]* #,##0.00_-;\-[$€]* #,##0.00_-;_-[$€]* &quot;-&quot;??_-;_-@_-"/>
    <numFmt numFmtId="167" formatCode="&quot;S/.&quot;\ #,##0.00;[Red]&quot;S/.&quot;\ #,##0.00"/>
    <numFmt numFmtId="168" formatCode="_-&quot;S/.&quot;* #,##0.00_-;\-&quot;S/.&quot;* #,##0.00_-;_-&quot;S/.&quot;* &quot;-&quot;??_-;_-@_-"/>
    <numFmt numFmtId="169" formatCode="dd\-mm\-yy;@"/>
    <numFmt numFmtId="170" formatCode="&quot;S/.&quot;#,##0.00"/>
    <numFmt numFmtId="171" formatCode="0;[Red]0"/>
    <numFmt numFmtId="172" formatCode="00"/>
    <numFmt numFmtId="173" formatCode="#,##0.00_ ;\-#,##0.00\ "/>
    <numFmt numFmtId="174" formatCode="&quot;S/&quot;#,##0.00"/>
  </numFmts>
  <fonts count="6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2060"/>
      <name val="Bookman Old Style"/>
      <family val="1"/>
    </font>
    <font>
      <u/>
      <sz val="10"/>
      <color theme="10"/>
      <name val="Arial"/>
      <family val="2"/>
    </font>
    <font>
      <sz val="10"/>
      <name val="Arial"/>
      <family val="2"/>
    </font>
    <font>
      <b/>
      <sz val="14"/>
      <color indexed="12"/>
      <name val="Bookman Old Style"/>
      <family val="1"/>
    </font>
    <font>
      <sz val="14"/>
      <name val="Bookman Old Style"/>
      <family val="1"/>
    </font>
    <font>
      <u/>
      <sz val="10"/>
      <color indexed="12"/>
      <name val="Arial"/>
      <family val="2"/>
    </font>
    <font>
      <b/>
      <sz val="11"/>
      <color theme="0"/>
      <name val="Arial Unicode MS"/>
      <family val="2"/>
    </font>
    <font>
      <sz val="10"/>
      <color rgb="FF002060"/>
      <name val="Arial Unicode MS"/>
      <family val="2"/>
    </font>
    <font>
      <b/>
      <sz val="10"/>
      <color rgb="FF002060"/>
      <name val="Arial Unicode MS"/>
      <family val="2"/>
    </font>
    <font>
      <b/>
      <sz val="12"/>
      <color theme="0"/>
      <name val="Arial Unicode MS"/>
      <family val="2"/>
    </font>
    <font>
      <sz val="10"/>
      <name val="Bookman Old Style"/>
      <family val="1"/>
    </font>
    <font>
      <sz val="10"/>
      <name val="Arial"/>
      <family val="2"/>
    </font>
    <font>
      <b/>
      <sz val="10"/>
      <color theme="0"/>
      <name val="Arial Unicode MS"/>
      <family val="2"/>
    </font>
    <font>
      <sz val="10"/>
      <name val="Arial Unicode MS"/>
      <family val="2"/>
    </font>
    <font>
      <sz val="11"/>
      <color theme="1"/>
      <name val="Bookman Old Style"/>
      <family val="1"/>
    </font>
    <font>
      <b/>
      <sz val="10"/>
      <color indexed="81"/>
      <name val="Arial Unicode MS"/>
      <family val="2"/>
    </font>
    <font>
      <sz val="10"/>
      <color indexed="81"/>
      <name val="Arial Unicode MS"/>
      <family val="2"/>
    </font>
    <font>
      <b/>
      <sz val="10"/>
      <color indexed="56"/>
      <name val="Arial Unicode MS"/>
      <family val="2"/>
    </font>
    <font>
      <sz val="11"/>
      <name val="Bookman Old Style"/>
      <family val="1"/>
    </font>
    <font>
      <sz val="10"/>
      <name val="Arial"/>
      <family val="2"/>
    </font>
    <font>
      <b/>
      <sz val="11"/>
      <color rgb="FF002060"/>
      <name val="Arial Unicode MS"/>
      <family val="2"/>
    </font>
    <font>
      <sz val="10"/>
      <name val="MS Sans Serif"/>
      <family val="2"/>
    </font>
    <font>
      <sz val="12"/>
      <color rgb="FF002060"/>
      <name val="Bookman Old Style"/>
      <family val="1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2"/>
      <color rgb="FF0070C0"/>
      <name val="Arial"/>
      <family val="2"/>
    </font>
    <font>
      <b/>
      <sz val="12"/>
      <color rgb="FF0070C0"/>
      <name val="Arial Unicode MS"/>
      <family val="2"/>
    </font>
    <font>
      <b/>
      <sz val="16"/>
      <color theme="0"/>
      <name val="Arial Unicode MS"/>
      <family val="2"/>
    </font>
    <font>
      <b/>
      <sz val="16"/>
      <color rgb="FFC0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4"/>
      <color rgb="FF0070C0"/>
      <name val="Calibri"/>
      <family val="2"/>
      <scheme val="minor"/>
    </font>
    <font>
      <b/>
      <sz val="12"/>
      <color rgb="FF002060"/>
      <name val="Arial Unicode MS"/>
    </font>
    <font>
      <b/>
      <sz val="11"/>
      <color rgb="FF0070C0"/>
      <name val="Arial"/>
      <family val="2"/>
    </font>
    <font>
      <b/>
      <sz val="10"/>
      <color rgb="FF002060"/>
      <name val="Arial Unicode MS"/>
    </font>
    <font>
      <b/>
      <sz val="16"/>
      <color theme="0"/>
      <name val="Gilroy ExtraBold"/>
      <family val="3"/>
    </font>
    <font>
      <b/>
      <sz val="20"/>
      <color theme="0"/>
      <name val="Gilroy ExtraBold"/>
      <family val="3"/>
    </font>
    <font>
      <sz val="11"/>
      <color theme="1"/>
      <name val="Arial Unicode MS"/>
      <family val="2"/>
    </font>
    <font>
      <b/>
      <sz val="11"/>
      <color theme="1"/>
      <name val="Arial Unicode MS"/>
      <family val="2"/>
    </font>
    <font>
      <sz val="12"/>
      <color theme="1"/>
      <name val="Arial Unicode MS"/>
      <family val="2"/>
    </font>
    <font>
      <b/>
      <vertAlign val="superscript"/>
      <sz val="12"/>
      <color theme="0"/>
      <name val="Arial Unicode MS"/>
      <family val="2"/>
    </font>
    <font>
      <sz val="11"/>
      <color theme="1"/>
      <name val="Arial"/>
      <family val="2"/>
    </font>
    <font>
      <sz val="14"/>
      <name val="Gilroy ExtraBold"/>
      <family val="3"/>
    </font>
    <font>
      <b/>
      <sz val="14"/>
      <color indexed="12"/>
      <name val="Gilroy ExtraBold"/>
      <family val="3"/>
    </font>
    <font>
      <b/>
      <sz val="12"/>
      <color theme="0"/>
      <name val="Gilroy ExtraBold"/>
      <family val="3"/>
    </font>
    <font>
      <b/>
      <sz val="14"/>
      <color theme="0"/>
      <name val="Arial Unicode MS"/>
      <family val="2"/>
    </font>
    <font>
      <sz val="12"/>
      <color theme="1"/>
      <name val="Arial"/>
      <family val="2"/>
    </font>
    <font>
      <b/>
      <sz val="14"/>
      <color theme="1"/>
      <name val="Calibri"/>
      <family val="2"/>
      <scheme val="minor"/>
    </font>
    <font>
      <sz val="12"/>
      <color rgb="FF002060"/>
      <name val="Arial Unicode MS"/>
      <family val="2"/>
    </font>
    <font>
      <b/>
      <sz val="12"/>
      <color rgb="FF002060"/>
      <name val="Arial Unicode MS"/>
      <family val="2"/>
    </font>
    <font>
      <sz val="11"/>
      <color rgb="FF002060"/>
      <name val="Arial Unicode MS"/>
      <family val="2"/>
    </font>
    <font>
      <sz val="11"/>
      <color rgb="FF002060"/>
      <name val="Arial"/>
      <family val="2"/>
    </font>
    <font>
      <b/>
      <sz val="11"/>
      <color rgb="FF002060"/>
      <name val="Bookman Old Style"/>
      <family val="1"/>
    </font>
    <font>
      <sz val="11"/>
      <color rgb="FF002060"/>
      <name val="Arial Unicode MS"/>
    </font>
    <font>
      <sz val="10"/>
      <color rgb="FF002060"/>
      <name val="Arial"/>
      <family val="2"/>
    </font>
    <font>
      <b/>
      <sz val="10"/>
      <color rgb="FF002060"/>
      <name val="Arial"/>
      <family val="2"/>
    </font>
    <font>
      <sz val="12"/>
      <color rgb="FF002060"/>
      <name val="Arial"/>
      <family val="2"/>
    </font>
    <font>
      <sz val="12"/>
      <color rgb="FF002060"/>
      <name val="Arial Unicode MS"/>
    </font>
    <font>
      <b/>
      <sz val="16"/>
      <color rgb="FF002060"/>
      <name val="Arial Unicode MS"/>
    </font>
    <font>
      <b/>
      <sz val="16"/>
      <color rgb="FF002060"/>
      <name val="Calibri"/>
      <family val="2"/>
      <scheme val="minor"/>
    </font>
    <font>
      <b/>
      <sz val="16"/>
      <color rgb="FF002060"/>
      <name val="Arial Unicode MS"/>
      <family val="2"/>
    </font>
    <font>
      <sz val="16"/>
      <color rgb="FF002060"/>
      <name val="Bookman Old Style"/>
      <family val="1"/>
    </font>
    <font>
      <sz val="16"/>
      <color theme="1"/>
      <name val="Arial"/>
      <family val="2"/>
    </font>
    <font>
      <b/>
      <sz val="16"/>
      <color theme="1"/>
      <name val="Arial Unicode MS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</fills>
  <borders count="63">
    <border>
      <left/>
      <right/>
      <top/>
      <bottom/>
      <diagonal/>
    </border>
    <border>
      <left style="hair">
        <color rgb="FF0070C0"/>
      </left>
      <right style="hair">
        <color rgb="FF0070C0"/>
      </right>
      <top style="hair">
        <color rgb="FF0070C0"/>
      </top>
      <bottom style="hair">
        <color rgb="FF0070C0"/>
      </bottom>
      <diagonal/>
    </border>
    <border>
      <left style="hair">
        <color rgb="FF0070C0"/>
      </left>
      <right/>
      <top style="hair">
        <color rgb="FF0070C0"/>
      </top>
      <bottom/>
      <diagonal/>
    </border>
    <border>
      <left/>
      <right style="hair">
        <color rgb="FF0070C0"/>
      </right>
      <top/>
      <bottom/>
      <diagonal/>
    </border>
    <border>
      <left style="hair">
        <color rgb="FF0070C0"/>
      </left>
      <right/>
      <top/>
      <bottom style="hair">
        <color rgb="FF0070C0"/>
      </bottom>
      <diagonal/>
    </border>
    <border>
      <left/>
      <right style="hair">
        <color rgb="FF0070C0"/>
      </right>
      <top/>
      <bottom style="hair">
        <color rgb="FF0070C0"/>
      </bottom>
      <diagonal/>
    </border>
    <border>
      <left style="hair">
        <color rgb="FF0070C0"/>
      </left>
      <right style="hair">
        <color rgb="FF0070C0"/>
      </right>
      <top style="hair">
        <color rgb="FF0070C0"/>
      </top>
      <bottom/>
      <diagonal/>
    </border>
    <border>
      <left style="hair">
        <color rgb="FF0070C0"/>
      </left>
      <right/>
      <top style="hair">
        <color rgb="FF0070C0"/>
      </top>
      <bottom style="hair">
        <color rgb="FF0070C0"/>
      </bottom>
      <diagonal/>
    </border>
    <border>
      <left/>
      <right style="hair">
        <color rgb="FF0070C0"/>
      </right>
      <top style="hair">
        <color rgb="FF0070C0"/>
      </top>
      <bottom style="hair">
        <color rgb="FF0070C0"/>
      </bottom>
      <diagonal/>
    </border>
    <border>
      <left/>
      <right/>
      <top style="hair">
        <color rgb="FF0070C0"/>
      </top>
      <bottom style="hair">
        <color rgb="FF0070C0"/>
      </bottom>
      <diagonal/>
    </border>
    <border>
      <left/>
      <right style="hair">
        <color rgb="FF0070C0"/>
      </right>
      <top style="hair">
        <color rgb="FF0070C0"/>
      </top>
      <bottom/>
      <diagonal/>
    </border>
    <border>
      <left style="hair">
        <color rgb="FF0070C0"/>
      </left>
      <right/>
      <top style="medium">
        <color rgb="FF0070C0"/>
      </top>
      <bottom/>
      <diagonal/>
    </border>
    <border>
      <left style="hair">
        <color rgb="FF0070C0"/>
      </left>
      <right style="hair">
        <color rgb="FF0070C0"/>
      </right>
      <top/>
      <bottom/>
      <diagonal/>
    </border>
    <border>
      <left style="hair">
        <color rgb="FF0070C0"/>
      </left>
      <right/>
      <top/>
      <bottom/>
      <diagonal/>
    </border>
    <border>
      <left/>
      <right/>
      <top style="hair">
        <color rgb="FF0070C0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/>
      <right style="thick">
        <color theme="0"/>
      </right>
      <top/>
      <bottom/>
      <diagonal/>
    </border>
    <border>
      <left/>
      <right style="thick">
        <color theme="0"/>
      </right>
      <top/>
      <bottom style="hair">
        <color rgb="FF0070C0"/>
      </bottom>
      <diagonal/>
    </border>
    <border>
      <left style="thick">
        <color theme="0"/>
      </left>
      <right/>
      <top/>
      <bottom style="hair">
        <color rgb="FF0070C0"/>
      </bottom>
      <diagonal/>
    </border>
    <border>
      <left style="thick">
        <color theme="0"/>
      </left>
      <right/>
      <top/>
      <bottom/>
      <diagonal/>
    </border>
    <border>
      <left/>
      <right/>
      <top/>
      <bottom style="hair">
        <color rgb="FF0070C0"/>
      </bottom>
      <diagonal/>
    </border>
    <border>
      <left style="thick">
        <color theme="0"/>
      </left>
      <right style="thick">
        <color theme="0"/>
      </right>
      <top/>
      <bottom/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thin">
        <color theme="0" tint="-0.14996795556505021"/>
      </left>
      <right style="hair">
        <color rgb="FF0070C0"/>
      </right>
      <top style="hair">
        <color rgb="FF0070C0"/>
      </top>
      <bottom style="hair">
        <color rgb="FF0070C0"/>
      </bottom>
      <diagonal/>
    </border>
    <border>
      <left/>
      <right style="thin">
        <color theme="0" tint="-0.14996795556505021"/>
      </right>
      <top/>
      <bottom style="thin">
        <color theme="0" tint="-0.14993743705557422"/>
      </bottom>
      <diagonal/>
    </border>
    <border>
      <left/>
      <right style="thin">
        <color theme="0" tint="-0.14996795556505021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 tint="-0.14996795556505021"/>
      </right>
      <top style="thin">
        <color theme="0" tint="-0.14993743705557422"/>
      </top>
      <bottom/>
      <diagonal/>
    </border>
    <border>
      <left/>
      <right/>
      <top/>
      <bottom style="thin">
        <color theme="0" tint="-0.14996795556505021"/>
      </bottom>
      <diagonal/>
    </border>
    <border>
      <left style="hair">
        <color rgb="FF0070C0"/>
      </left>
      <right style="hair">
        <color rgb="FF0070C0"/>
      </right>
      <top style="medium">
        <color rgb="FF0070C0"/>
      </top>
      <bottom style="hair">
        <color rgb="FF0070C0"/>
      </bottom>
      <diagonal/>
    </border>
    <border>
      <left/>
      <right style="hair">
        <color rgb="FF0070C0"/>
      </right>
      <top/>
      <bottom style="hair">
        <color theme="0"/>
      </bottom>
      <diagonal/>
    </border>
    <border>
      <left/>
      <right style="hair">
        <color rgb="FF0070C0"/>
      </right>
      <top style="hair">
        <color theme="0"/>
      </top>
      <bottom/>
      <diagonal/>
    </border>
    <border>
      <left style="hair">
        <color rgb="FF0070C0"/>
      </left>
      <right style="hair">
        <color rgb="FF0070C0"/>
      </right>
      <top style="medium">
        <color rgb="FF0070C0"/>
      </top>
      <bottom/>
      <diagonal/>
    </border>
    <border>
      <left style="dotted">
        <color rgb="FF0070C0"/>
      </left>
      <right style="dotted">
        <color rgb="FF0070C0"/>
      </right>
      <top style="dotted">
        <color rgb="FF0070C0"/>
      </top>
      <bottom style="dotted">
        <color rgb="FF0070C0"/>
      </bottom>
      <diagonal/>
    </border>
    <border>
      <left/>
      <right/>
      <top/>
      <bottom style="medium">
        <color theme="0" tint="-0.34998626667073579"/>
      </bottom>
      <diagonal/>
    </border>
    <border>
      <left style="thick">
        <color theme="0"/>
      </left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1"/>
      </left>
      <right style="hair">
        <color theme="1"/>
      </right>
      <top style="medium">
        <color theme="1"/>
      </top>
      <bottom style="hair">
        <color theme="1"/>
      </bottom>
      <diagonal/>
    </border>
    <border>
      <left style="hair">
        <color theme="1"/>
      </left>
      <right style="medium">
        <color theme="1"/>
      </right>
      <top style="medium">
        <color theme="1"/>
      </top>
      <bottom style="hair">
        <color theme="1"/>
      </bottom>
      <diagonal/>
    </border>
    <border>
      <left style="medium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medium">
        <color theme="1"/>
      </right>
      <top style="hair">
        <color theme="1"/>
      </top>
      <bottom style="hair">
        <color theme="1"/>
      </bottom>
      <diagonal/>
    </border>
    <border>
      <left style="medium">
        <color theme="1"/>
      </left>
      <right style="hair">
        <color theme="1"/>
      </right>
      <top style="hair">
        <color theme="1"/>
      </top>
      <bottom style="medium">
        <color theme="1"/>
      </bottom>
      <diagonal/>
    </border>
    <border>
      <left style="hair">
        <color theme="1"/>
      </left>
      <right style="medium">
        <color theme="1"/>
      </right>
      <top style="hair">
        <color theme="1"/>
      </top>
      <bottom style="medium">
        <color theme="1"/>
      </bottom>
      <diagonal/>
    </border>
    <border>
      <left style="medium">
        <color theme="1"/>
      </left>
      <right style="hair">
        <color rgb="FF0070C0"/>
      </right>
      <top style="medium">
        <color theme="1"/>
      </top>
      <bottom style="medium">
        <color theme="1"/>
      </bottom>
      <diagonal/>
    </border>
    <border>
      <left style="hair">
        <color rgb="FF0070C0"/>
      </left>
      <right style="hair">
        <color rgb="FF0070C0"/>
      </right>
      <top style="medium">
        <color theme="1"/>
      </top>
      <bottom style="medium">
        <color theme="1"/>
      </bottom>
      <diagonal/>
    </border>
    <border>
      <left style="hair">
        <color rgb="FF0070C0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 style="hair">
        <color rgb="FF0070C0"/>
      </left>
      <right/>
      <top style="medium">
        <color theme="1"/>
      </top>
      <bottom/>
      <diagonal/>
    </border>
    <border>
      <left style="medium">
        <color theme="1"/>
      </left>
      <right/>
      <top style="medium">
        <color rgb="FF0070C0"/>
      </top>
      <bottom/>
      <diagonal/>
    </border>
    <border>
      <left style="medium">
        <color theme="1"/>
      </left>
      <right/>
      <top style="hair">
        <color rgb="FF0070C0"/>
      </top>
      <bottom/>
      <diagonal/>
    </border>
    <border>
      <left style="medium">
        <color theme="1"/>
      </left>
      <right/>
      <top style="hair">
        <color rgb="FF0070C0"/>
      </top>
      <bottom style="medium">
        <color theme="1"/>
      </bottom>
      <diagonal/>
    </border>
    <border>
      <left style="hair">
        <color rgb="FF0070C0"/>
      </left>
      <right/>
      <top style="hair">
        <color rgb="FF0070C0"/>
      </top>
      <bottom style="medium">
        <color theme="1"/>
      </bottom>
      <diagonal/>
    </border>
    <border>
      <left style="hair">
        <color rgb="FF0070C0"/>
      </left>
      <right style="medium">
        <color theme="1"/>
      </right>
      <top style="hair">
        <color rgb="FF0070C0"/>
      </top>
      <bottom style="medium">
        <color theme="1"/>
      </bottom>
      <diagonal/>
    </border>
    <border>
      <left style="hair">
        <color rgb="FF0070C0"/>
      </left>
      <right/>
      <top style="medium">
        <color theme="1"/>
      </top>
      <bottom style="medium">
        <color rgb="FF0070C0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medium">
        <color theme="1"/>
      </top>
      <bottom/>
      <diagonal/>
    </border>
    <border>
      <left style="thin">
        <color indexed="64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hair">
        <color rgb="FF0070C0"/>
      </right>
      <top style="medium">
        <color rgb="FF0070C0"/>
      </top>
      <bottom style="hair">
        <color rgb="FF0070C0"/>
      </bottom>
      <diagonal/>
    </border>
    <border>
      <left style="hair">
        <color rgb="FF0070C0"/>
      </left>
      <right style="medium">
        <color theme="1"/>
      </right>
      <top style="medium">
        <color rgb="FF0070C0"/>
      </top>
      <bottom style="hair">
        <color rgb="FF0070C0"/>
      </bottom>
      <diagonal/>
    </border>
    <border>
      <left style="medium">
        <color theme="1"/>
      </left>
      <right style="hair">
        <color rgb="FF0070C0"/>
      </right>
      <top style="hair">
        <color rgb="FF0070C0"/>
      </top>
      <bottom style="hair">
        <color rgb="FF0070C0"/>
      </bottom>
      <diagonal/>
    </border>
    <border>
      <left style="hair">
        <color rgb="FF0070C0"/>
      </left>
      <right style="medium">
        <color theme="1"/>
      </right>
      <top style="hair">
        <color rgb="FF0070C0"/>
      </top>
      <bottom style="hair">
        <color rgb="FF0070C0"/>
      </bottom>
      <diagonal/>
    </border>
    <border>
      <left style="medium">
        <color theme="1"/>
      </left>
      <right style="hair">
        <color rgb="FF0070C0"/>
      </right>
      <top style="hair">
        <color rgb="FF0070C0"/>
      </top>
      <bottom style="medium">
        <color theme="1"/>
      </bottom>
      <diagonal/>
    </border>
    <border>
      <left style="hair">
        <color rgb="FF0070C0"/>
      </left>
      <right style="hair">
        <color rgb="FF0070C0"/>
      </right>
      <top style="hair">
        <color rgb="FF0070C0"/>
      </top>
      <bottom style="medium">
        <color theme="1"/>
      </bottom>
      <diagonal/>
    </border>
    <border>
      <left/>
      <right/>
      <top style="medium">
        <color rgb="FF0070C0"/>
      </top>
      <bottom/>
      <diagonal/>
    </border>
  </borders>
  <cellStyleXfs count="26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166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0" fontId="3" fillId="0" borderId="0"/>
    <xf numFmtId="0" fontId="2" fillId="0" borderId="0"/>
    <xf numFmtId="0" fontId="6" fillId="0" borderId="0"/>
    <xf numFmtId="0" fontId="6" fillId="0" borderId="0"/>
    <xf numFmtId="168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164" fontId="15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5" fillId="0" borderId="0"/>
    <xf numFmtId="43" fontId="27" fillId="0" borderId="0" applyFont="0" applyFill="0" applyBorder="0" applyAlignment="0" applyProtection="0"/>
    <xf numFmtId="0" fontId="1" fillId="0" borderId="0"/>
  </cellStyleXfs>
  <cellXfs count="317">
    <xf numFmtId="0" fontId="0" fillId="0" borderId="0" xfId="0"/>
    <xf numFmtId="0" fontId="11" fillId="2" borderId="0" xfId="16" applyFont="1" applyFill="1" applyProtection="1">
      <protection locked="0"/>
    </xf>
    <xf numFmtId="0" fontId="14" fillId="2" borderId="0" xfId="0" applyFont="1" applyFill="1" applyProtection="1">
      <protection locked="0"/>
    </xf>
    <xf numFmtId="0" fontId="4" fillId="2" borderId="9" xfId="17" applyFont="1" applyFill="1" applyBorder="1" applyProtection="1">
      <protection locked="0"/>
    </xf>
    <xf numFmtId="0" fontId="4" fillId="2" borderId="8" xfId="17" applyFont="1" applyFill="1" applyBorder="1" applyProtection="1">
      <protection locked="0"/>
    </xf>
    <xf numFmtId="0" fontId="11" fillId="2" borderId="0" xfId="0" applyFont="1" applyFill="1"/>
    <xf numFmtId="0" fontId="11" fillId="2" borderId="0" xfId="0" applyFont="1" applyFill="1" applyAlignment="1">
      <alignment horizontal="center"/>
    </xf>
    <xf numFmtId="0" fontId="16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 textRotation="90"/>
    </xf>
    <xf numFmtId="0" fontId="10" fillId="2" borderId="16" xfId="0" applyFont="1" applyFill="1" applyBorder="1" applyAlignment="1">
      <alignment horizontal="center" vertical="center" textRotation="90"/>
    </xf>
    <xf numFmtId="0" fontId="10" fillId="2" borderId="17" xfId="0" applyFont="1" applyFill="1" applyBorder="1" applyAlignment="1">
      <alignment horizontal="center" vertical="center" textRotation="90"/>
    </xf>
    <xf numFmtId="0" fontId="10" fillId="2" borderId="19" xfId="0" applyFont="1" applyFill="1" applyBorder="1" applyAlignment="1">
      <alignment horizontal="center" vertical="center" textRotation="90"/>
    </xf>
    <xf numFmtId="0" fontId="10" fillId="2" borderId="18" xfId="0" applyFont="1" applyFill="1" applyBorder="1" applyAlignment="1">
      <alignment horizontal="center" vertical="center" textRotation="90"/>
    </xf>
    <xf numFmtId="0" fontId="10" fillId="2" borderId="20" xfId="0" applyFont="1" applyFill="1" applyBorder="1" applyAlignment="1">
      <alignment horizontal="center" vertical="center" textRotation="90"/>
    </xf>
    <xf numFmtId="0" fontId="14" fillId="2" borderId="8" xfId="0" applyFont="1" applyFill="1" applyBorder="1" applyProtection="1">
      <protection locked="0"/>
    </xf>
    <xf numFmtId="0" fontId="18" fillId="0" borderId="0" xfId="0" applyFont="1"/>
    <xf numFmtId="0" fontId="18" fillId="2" borderId="0" xfId="0" applyFont="1" applyFill="1"/>
    <xf numFmtId="0" fontId="0" fillId="2" borderId="0" xfId="0" applyFill="1"/>
    <xf numFmtId="0" fontId="17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2" fillId="2" borderId="0" xfId="0" applyFont="1" applyFill="1" applyProtection="1">
      <protection locked="0"/>
    </xf>
    <xf numFmtId="0" fontId="11" fillId="2" borderId="14" xfId="0" applyFont="1" applyFill="1" applyBorder="1" applyProtection="1">
      <protection locked="0"/>
    </xf>
    <xf numFmtId="0" fontId="11" fillId="2" borderId="10" xfId="0" applyFont="1" applyFill="1" applyBorder="1" applyProtection="1">
      <protection locked="0"/>
    </xf>
    <xf numFmtId="0" fontId="11" fillId="2" borderId="0" xfId="0" applyFont="1" applyFill="1" applyProtection="1">
      <protection locked="0"/>
    </xf>
    <xf numFmtId="0" fontId="11" fillId="2" borderId="3" xfId="0" applyFont="1" applyFill="1" applyBorder="1" applyProtection="1">
      <protection locked="0"/>
    </xf>
    <xf numFmtId="0" fontId="11" fillId="2" borderId="20" xfId="0" applyFont="1" applyFill="1" applyBorder="1" applyProtection="1">
      <protection locked="0"/>
    </xf>
    <xf numFmtId="0" fontId="11" fillId="2" borderId="5" xfId="0" applyFont="1" applyFill="1" applyBorder="1" applyProtection="1"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0" fillId="2" borderId="9" xfId="0" applyFill="1" applyBorder="1"/>
    <xf numFmtId="0" fontId="0" fillId="2" borderId="8" xfId="0" applyFill="1" applyBorder="1"/>
    <xf numFmtId="0" fontId="17" fillId="2" borderId="4" xfId="0" applyFont="1" applyFill="1" applyBorder="1"/>
    <xf numFmtId="0" fontId="11" fillId="2" borderId="7" xfId="0" applyFont="1" applyFill="1" applyBorder="1" applyAlignment="1" applyProtection="1">
      <alignment horizontal="center" vertical="center"/>
      <protection locked="0"/>
    </xf>
    <xf numFmtId="0" fontId="17" fillId="2" borderId="2" xfId="0" applyFont="1" applyFill="1" applyBorder="1"/>
    <xf numFmtId="0" fontId="17" fillId="2" borderId="14" xfId="0" applyFont="1" applyFill="1" applyBorder="1"/>
    <xf numFmtId="0" fontId="0" fillId="2" borderId="10" xfId="0" applyFill="1" applyBorder="1"/>
    <xf numFmtId="0" fontId="17" fillId="2" borderId="20" xfId="0" applyFont="1" applyFill="1" applyBorder="1"/>
    <xf numFmtId="0" fontId="0" fillId="2" borderId="5" xfId="0" applyFill="1" applyBorder="1"/>
    <xf numFmtId="0" fontId="17" fillId="2" borderId="9" xfId="0" applyFont="1" applyFill="1" applyBorder="1" applyAlignment="1" applyProtection="1">
      <alignment vertical="center"/>
      <protection locked="0"/>
    </xf>
    <xf numFmtId="0" fontId="22" fillId="2" borderId="9" xfId="0" applyFont="1" applyFill="1" applyBorder="1" applyAlignment="1" applyProtection="1">
      <alignment vertical="center"/>
      <protection locked="0"/>
    </xf>
    <xf numFmtId="0" fontId="17" fillId="2" borderId="8" xfId="0" applyFont="1" applyFill="1" applyBorder="1" applyProtection="1">
      <protection locked="0"/>
    </xf>
    <xf numFmtId="0" fontId="17" fillId="2" borderId="2" xfId="0" applyFont="1" applyFill="1" applyBorder="1" applyProtection="1">
      <protection locked="0"/>
    </xf>
    <xf numFmtId="0" fontId="17" fillId="2" borderId="14" xfId="0" applyFont="1" applyFill="1" applyBorder="1" applyProtection="1">
      <protection locked="0"/>
    </xf>
    <xf numFmtId="0" fontId="17" fillId="2" borderId="10" xfId="0" applyFont="1" applyFill="1" applyBorder="1" applyProtection="1">
      <protection locked="0"/>
    </xf>
    <xf numFmtId="0" fontId="17" fillId="2" borderId="4" xfId="0" applyFont="1" applyFill="1" applyBorder="1" applyProtection="1">
      <protection locked="0"/>
    </xf>
    <xf numFmtId="0" fontId="17" fillId="2" borderId="20" xfId="0" applyFont="1" applyFill="1" applyBorder="1" applyProtection="1">
      <protection locked="0"/>
    </xf>
    <xf numFmtId="0" fontId="17" fillId="2" borderId="5" xfId="0" applyFont="1" applyFill="1" applyBorder="1" applyProtection="1">
      <protection locked="0"/>
    </xf>
    <xf numFmtId="0" fontId="11" fillId="2" borderId="9" xfId="0" applyFont="1" applyFill="1" applyBorder="1" applyAlignment="1" applyProtection="1">
      <alignment horizontal="center" vertical="center"/>
      <protection locked="0"/>
    </xf>
    <xf numFmtId="0" fontId="11" fillId="2" borderId="8" xfId="23" applyFont="1" applyFill="1" applyBorder="1" applyAlignment="1" applyProtection="1">
      <alignment horizontal="center"/>
      <protection locked="0"/>
    </xf>
    <xf numFmtId="0" fontId="10" fillId="2" borderId="0" xfId="10" applyFont="1" applyFill="1" applyAlignment="1" applyProtection="1">
      <alignment vertical="center"/>
      <protection locked="0"/>
    </xf>
    <xf numFmtId="0" fontId="11" fillId="2" borderId="0" xfId="23" applyFont="1" applyFill="1" applyAlignment="1" applyProtection="1">
      <alignment horizontal="center"/>
      <protection locked="0"/>
    </xf>
    <xf numFmtId="0" fontId="26" fillId="2" borderId="0" xfId="17" applyFont="1" applyFill="1" applyProtection="1">
      <protection locked="0"/>
    </xf>
    <xf numFmtId="172" fontId="11" fillId="2" borderId="14" xfId="0" applyNumberFormat="1" applyFont="1" applyFill="1" applyBorder="1" applyAlignment="1" applyProtection="1">
      <alignment horizontal="center"/>
      <protection locked="0"/>
    </xf>
    <xf numFmtId="0" fontId="11" fillId="2" borderId="0" xfId="17" applyFont="1" applyFill="1" applyAlignment="1" applyProtection="1">
      <alignment vertical="center" wrapText="1"/>
      <protection locked="0"/>
    </xf>
    <xf numFmtId="0" fontId="0" fillId="2" borderId="0" xfId="0" applyFill="1" applyProtection="1">
      <protection locked="0"/>
    </xf>
    <xf numFmtId="0" fontId="11" fillId="2" borderId="11" xfId="0" applyFont="1" applyFill="1" applyBorder="1" applyAlignment="1" applyProtection="1">
      <alignment horizontal="center" vertical="center"/>
      <protection locked="0"/>
    </xf>
    <xf numFmtId="0" fontId="11" fillId="2" borderId="2" xfId="0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0" fontId="11" fillId="2" borderId="32" xfId="0" applyFont="1" applyFill="1" applyBorder="1" applyAlignment="1" applyProtection="1">
      <alignment horizontal="center" vertical="center"/>
      <protection locked="0"/>
    </xf>
    <xf numFmtId="0" fontId="17" fillId="2" borderId="0" xfId="0" applyFont="1" applyFill="1" applyAlignment="1" applyProtection="1">
      <alignment horizontal="center" vertical="center"/>
      <protection locked="0"/>
    </xf>
    <xf numFmtId="0" fontId="24" fillId="2" borderId="0" xfId="0" applyFont="1" applyFill="1" applyAlignment="1" applyProtection="1">
      <alignment horizontal="center" vertical="center"/>
      <protection locked="0"/>
    </xf>
    <xf numFmtId="0" fontId="32" fillId="2" borderId="0" xfId="0" applyFont="1" applyFill="1" applyProtection="1">
      <protection locked="0"/>
    </xf>
    <xf numFmtId="0" fontId="1" fillId="0" borderId="0" xfId="25"/>
    <xf numFmtId="0" fontId="34" fillId="0" borderId="0" xfId="25" applyFont="1"/>
    <xf numFmtId="0" fontId="35" fillId="2" borderId="0" xfId="0" applyFont="1" applyFill="1"/>
    <xf numFmtId="0" fontId="30" fillId="2" borderId="0" xfId="16" applyFont="1" applyFill="1" applyProtection="1">
      <protection locked="0"/>
    </xf>
    <xf numFmtId="0" fontId="11" fillId="5" borderId="0" xfId="16" applyFont="1" applyFill="1" applyProtection="1">
      <protection locked="0"/>
    </xf>
    <xf numFmtId="0" fontId="37" fillId="5" borderId="0" xfId="16" applyFont="1" applyFill="1" applyProtection="1">
      <protection locked="0"/>
    </xf>
    <xf numFmtId="0" fontId="8" fillId="5" borderId="0" xfId="0" applyFont="1" applyFill="1" applyProtection="1">
      <protection locked="0"/>
    </xf>
    <xf numFmtId="0" fontId="7" fillId="5" borderId="0" xfId="0" applyFont="1" applyFill="1" applyAlignment="1" applyProtection="1">
      <alignment horizontal="left"/>
      <protection locked="0"/>
    </xf>
    <xf numFmtId="0" fontId="13" fillId="5" borderId="0" xfId="0" applyFont="1" applyFill="1" applyAlignment="1" applyProtection="1">
      <alignment vertical="center"/>
      <protection locked="0"/>
    </xf>
    <xf numFmtId="0" fontId="13" fillId="5" borderId="3" xfId="0" applyFont="1" applyFill="1" applyBorder="1" applyAlignment="1">
      <alignment horizontal="center" vertical="center"/>
    </xf>
    <xf numFmtId="0" fontId="13" fillId="5" borderId="12" xfId="0" applyFont="1" applyFill="1" applyBorder="1" applyAlignment="1">
      <alignment horizontal="center" vertical="center"/>
    </xf>
    <xf numFmtId="0" fontId="14" fillId="5" borderId="0" xfId="0" applyFont="1" applyFill="1" applyProtection="1">
      <protection locked="0"/>
    </xf>
    <xf numFmtId="0" fontId="10" fillId="5" borderId="23" xfId="0" applyFont="1" applyFill="1" applyBorder="1" applyAlignment="1">
      <alignment horizontal="center" vertical="center" textRotation="90"/>
    </xf>
    <xf numFmtId="0" fontId="10" fillId="5" borderId="15" xfId="0" applyFont="1" applyFill="1" applyBorder="1" applyAlignment="1">
      <alignment horizontal="center" vertical="center" textRotation="90"/>
    </xf>
    <xf numFmtId="0" fontId="10" fillId="5" borderId="22" xfId="0" applyFont="1" applyFill="1" applyBorder="1" applyAlignment="1">
      <alignment horizontal="center" vertical="center" textRotation="90"/>
    </xf>
    <xf numFmtId="0" fontId="14" fillId="5" borderId="19" xfId="0" applyFont="1" applyFill="1" applyBorder="1" applyProtection="1">
      <protection locked="0"/>
    </xf>
    <xf numFmtId="0" fontId="14" fillId="5" borderId="21" xfId="0" applyFont="1" applyFill="1" applyBorder="1" applyProtection="1">
      <protection locked="0"/>
    </xf>
    <xf numFmtId="0" fontId="14" fillId="5" borderId="16" xfId="0" applyFont="1" applyFill="1" applyBorder="1" applyProtection="1">
      <protection locked="0"/>
    </xf>
    <xf numFmtId="0" fontId="10" fillId="5" borderId="16" xfId="0" applyFont="1" applyFill="1" applyBorder="1" applyAlignment="1">
      <alignment horizontal="center" vertical="center" textRotation="90"/>
    </xf>
    <xf numFmtId="0" fontId="10" fillId="5" borderId="21" xfId="0" applyFont="1" applyFill="1" applyBorder="1" applyAlignment="1">
      <alignment horizontal="center" vertical="center" textRotation="90"/>
    </xf>
    <xf numFmtId="0" fontId="10" fillId="5" borderId="0" xfId="0" applyFont="1" applyFill="1" applyAlignment="1">
      <alignment horizontal="center" vertical="center" textRotation="90"/>
    </xf>
    <xf numFmtId="0" fontId="45" fillId="5" borderId="0" xfId="0" applyFont="1" applyFill="1" applyProtection="1">
      <protection locked="0"/>
    </xf>
    <xf numFmtId="0" fontId="46" fillId="5" borderId="0" xfId="0" applyFont="1" applyFill="1" applyAlignment="1" applyProtection="1">
      <alignment horizontal="left"/>
      <protection locked="0"/>
    </xf>
    <xf numFmtId="0" fontId="47" fillId="5" borderId="0" xfId="0" applyFont="1" applyFill="1" applyAlignment="1" applyProtection="1">
      <alignment vertical="center"/>
      <protection locked="0"/>
    </xf>
    <xf numFmtId="0" fontId="38" fillId="5" borderId="0" xfId="0" applyFont="1" applyFill="1" applyAlignment="1" applyProtection="1">
      <alignment vertical="center"/>
      <protection locked="0"/>
    </xf>
    <xf numFmtId="9" fontId="42" fillId="2" borderId="1" xfId="0" applyNumberFormat="1" applyFont="1" applyFill="1" applyBorder="1" applyAlignment="1" applyProtection="1">
      <alignment horizontal="center" vertical="center"/>
      <protection locked="0"/>
    </xf>
    <xf numFmtId="0" fontId="41" fillId="2" borderId="0" xfId="0" applyFont="1" applyFill="1" applyAlignment="1" applyProtection="1">
      <alignment horizontal="center" vertical="center"/>
      <protection locked="0"/>
    </xf>
    <xf numFmtId="0" fontId="13" fillId="5" borderId="42" xfId="0" applyFont="1" applyFill="1" applyBorder="1" applyAlignment="1" applyProtection="1">
      <alignment horizontal="center" vertical="center"/>
      <protection locked="0"/>
    </xf>
    <xf numFmtId="0" fontId="13" fillId="5" borderId="43" xfId="0" applyFont="1" applyFill="1" applyBorder="1" applyAlignment="1" applyProtection="1">
      <alignment horizontal="center" vertical="center"/>
      <protection locked="0"/>
    </xf>
    <xf numFmtId="0" fontId="13" fillId="5" borderId="44" xfId="0" applyFont="1" applyFill="1" applyBorder="1" applyAlignment="1" applyProtection="1">
      <alignment horizontal="center" vertical="center"/>
      <protection locked="0"/>
    </xf>
    <xf numFmtId="0" fontId="0" fillId="5" borderId="16" xfId="0" applyFill="1" applyBorder="1" applyProtection="1">
      <protection locked="0"/>
    </xf>
    <xf numFmtId="0" fontId="0" fillId="5" borderId="21" xfId="0" applyFill="1" applyBorder="1" applyProtection="1">
      <protection locked="0"/>
    </xf>
    <xf numFmtId="0" fontId="0" fillId="5" borderId="19" xfId="0" applyFill="1" applyBorder="1" applyProtection="1">
      <protection locked="0"/>
    </xf>
    <xf numFmtId="0" fontId="16" fillId="2" borderId="1" xfId="0" applyFont="1" applyFill="1" applyBorder="1" applyAlignment="1" applyProtection="1">
      <alignment horizontal="center" vertical="center"/>
      <protection locked="0"/>
    </xf>
    <xf numFmtId="0" fontId="16" fillId="5" borderId="1" xfId="0" applyFont="1" applyFill="1" applyBorder="1" applyAlignment="1" applyProtection="1">
      <alignment horizontal="center" vertical="center"/>
      <protection locked="0"/>
    </xf>
    <xf numFmtId="0" fontId="16" fillId="5" borderId="1" xfId="0" applyFont="1" applyFill="1" applyBorder="1" applyAlignment="1" applyProtection="1">
      <alignment horizontal="center" vertical="center" wrapText="1"/>
      <protection locked="0"/>
    </xf>
    <xf numFmtId="0" fontId="10" fillId="5" borderId="1" xfId="0" applyFont="1" applyFill="1" applyBorder="1" applyAlignment="1" applyProtection="1">
      <alignment horizontal="center" vertical="center"/>
      <protection locked="0"/>
    </xf>
    <xf numFmtId="0" fontId="10" fillId="5" borderId="1" xfId="0" applyFont="1" applyFill="1" applyBorder="1" applyAlignment="1" applyProtection="1">
      <alignment horizontal="center" vertical="center" wrapText="1"/>
      <protection locked="0"/>
    </xf>
    <xf numFmtId="0" fontId="44" fillId="2" borderId="0" xfId="0" applyFont="1" applyFill="1" applyProtection="1">
      <protection locked="0"/>
    </xf>
    <xf numFmtId="0" fontId="44" fillId="2" borderId="0" xfId="0" applyFont="1" applyFill="1"/>
    <xf numFmtId="0" fontId="44" fillId="5" borderId="16" xfId="0" applyFont="1" applyFill="1" applyBorder="1" applyProtection="1">
      <protection locked="0"/>
    </xf>
    <xf numFmtId="0" fontId="44" fillId="5" borderId="21" xfId="0" applyFont="1" applyFill="1" applyBorder="1" applyProtection="1">
      <protection locked="0"/>
    </xf>
    <xf numFmtId="0" fontId="44" fillId="5" borderId="21" xfId="0" applyFont="1" applyFill="1" applyBorder="1"/>
    <xf numFmtId="0" fontId="44" fillId="5" borderId="19" xfId="0" applyFont="1" applyFill="1" applyBorder="1"/>
    <xf numFmtId="0" fontId="16" fillId="5" borderId="36" xfId="0" applyFont="1" applyFill="1" applyBorder="1" applyAlignment="1" applyProtection="1">
      <alignment horizontal="center" vertical="center"/>
      <protection locked="0"/>
    </xf>
    <xf numFmtId="0" fontId="16" fillId="5" borderId="37" xfId="0" applyFont="1" applyFill="1" applyBorder="1" applyAlignment="1" applyProtection="1">
      <alignment horizontal="center" vertical="center"/>
      <protection locked="0"/>
    </xf>
    <xf numFmtId="0" fontId="0" fillId="2" borderId="16" xfId="0" applyFill="1" applyBorder="1" applyProtection="1">
      <protection locked="0"/>
    </xf>
    <xf numFmtId="0" fontId="0" fillId="2" borderId="21" xfId="0" applyFill="1" applyBorder="1" applyProtection="1">
      <protection locked="0"/>
    </xf>
    <xf numFmtId="0" fontId="0" fillId="2" borderId="19" xfId="0" applyFill="1" applyBorder="1" applyProtection="1">
      <protection locked="0"/>
    </xf>
    <xf numFmtId="0" fontId="11" fillId="5" borderId="16" xfId="0" applyFont="1" applyFill="1" applyBorder="1" applyProtection="1">
      <protection locked="0"/>
    </xf>
    <xf numFmtId="0" fontId="11" fillId="5" borderId="21" xfId="0" applyFont="1" applyFill="1" applyBorder="1" applyProtection="1">
      <protection locked="0"/>
    </xf>
    <xf numFmtId="0" fontId="11" fillId="5" borderId="21" xfId="0" applyFont="1" applyFill="1" applyBorder="1"/>
    <xf numFmtId="0" fontId="11" fillId="5" borderId="19" xfId="0" applyFont="1" applyFill="1" applyBorder="1"/>
    <xf numFmtId="0" fontId="11" fillId="5" borderId="19" xfId="0" applyFont="1" applyFill="1" applyBorder="1" applyProtection="1">
      <protection locked="0"/>
    </xf>
    <xf numFmtId="0" fontId="10" fillId="5" borderId="7" xfId="0" applyFont="1" applyFill="1" applyBorder="1" applyAlignment="1" applyProtection="1">
      <alignment horizontal="center" vertical="center"/>
      <protection locked="0"/>
    </xf>
    <xf numFmtId="0" fontId="17" fillId="5" borderId="0" xfId="0" applyFont="1" applyFill="1" applyProtection="1">
      <protection locked="0"/>
    </xf>
    <xf numFmtId="0" fontId="31" fillId="5" borderId="0" xfId="0" applyFont="1" applyFill="1" applyAlignment="1" applyProtection="1">
      <alignment vertical="center"/>
      <protection locked="0"/>
    </xf>
    <xf numFmtId="0" fontId="10" fillId="5" borderId="45" xfId="0" applyFont="1" applyFill="1" applyBorder="1" applyAlignment="1">
      <alignment horizontal="center" vertical="center"/>
    </xf>
    <xf numFmtId="0" fontId="10" fillId="5" borderId="46" xfId="0" applyFont="1" applyFill="1" applyBorder="1" applyAlignment="1">
      <alignment horizontal="center" vertical="center"/>
    </xf>
    <xf numFmtId="0" fontId="16" fillId="5" borderId="52" xfId="0" applyFont="1" applyFill="1" applyBorder="1" applyAlignment="1">
      <alignment horizontal="center" vertical="center"/>
    </xf>
    <xf numFmtId="0" fontId="16" fillId="5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42" fillId="3" borderId="0" xfId="0" applyFont="1" applyFill="1" applyAlignment="1">
      <alignment horizontal="center" vertical="center"/>
    </xf>
    <xf numFmtId="0" fontId="42" fillId="5" borderId="0" xfId="0" applyFont="1" applyFill="1"/>
    <xf numFmtId="0" fontId="49" fillId="2" borderId="0" xfId="0" applyFont="1" applyFill="1"/>
    <xf numFmtId="0" fontId="14" fillId="2" borderId="0" xfId="0" applyFont="1" applyFill="1" applyAlignment="1" applyProtection="1">
      <alignment horizontal="left"/>
      <protection locked="0"/>
    </xf>
    <xf numFmtId="0" fontId="33" fillId="5" borderId="53" xfId="0" applyFont="1" applyFill="1" applyBorder="1" applyAlignment="1">
      <alignment horizontal="center" vertical="center" wrapText="1"/>
    </xf>
    <xf numFmtId="0" fontId="33" fillId="5" borderId="54" xfId="0" applyFont="1" applyFill="1" applyBorder="1" applyAlignment="1">
      <alignment horizontal="center" vertical="center" wrapText="1"/>
    </xf>
    <xf numFmtId="0" fontId="33" fillId="5" borderId="55" xfId="0" applyFont="1" applyFill="1" applyBorder="1" applyAlignment="1">
      <alignment horizontal="center" vertical="center" wrapText="1"/>
    </xf>
    <xf numFmtId="0" fontId="28" fillId="5" borderId="34" xfId="0" applyFont="1" applyFill="1" applyBorder="1" applyAlignment="1">
      <alignment vertical="center"/>
    </xf>
    <xf numFmtId="0" fontId="50" fillId="0" borderId="0" xfId="25" applyFont="1"/>
    <xf numFmtId="0" fontId="13" fillId="6" borderId="0" xfId="0" applyFont="1" applyFill="1" applyAlignment="1" applyProtection="1">
      <alignment vertical="center"/>
      <protection locked="0"/>
    </xf>
    <xf numFmtId="0" fontId="16" fillId="6" borderId="0" xfId="0" applyFont="1" applyFill="1" applyAlignment="1" applyProtection="1">
      <alignment vertical="center"/>
      <protection locked="0"/>
    </xf>
    <xf numFmtId="0" fontId="10" fillId="6" borderId="0" xfId="17" applyFont="1" applyFill="1" applyAlignment="1" applyProtection="1">
      <alignment vertical="center"/>
      <protection locked="0"/>
    </xf>
    <xf numFmtId="0" fontId="51" fillId="2" borderId="2" xfId="0" applyFont="1" applyFill="1" applyBorder="1" applyProtection="1">
      <protection locked="0"/>
    </xf>
    <xf numFmtId="0" fontId="52" fillId="2" borderId="13" xfId="0" applyFont="1" applyFill="1" applyBorder="1" applyProtection="1">
      <protection locked="0"/>
    </xf>
    <xf numFmtId="0" fontId="52" fillId="2" borderId="4" xfId="0" applyFont="1" applyFill="1" applyBorder="1" applyProtection="1">
      <protection locked="0"/>
    </xf>
    <xf numFmtId="0" fontId="51" fillId="2" borderId="7" xfId="17" applyFont="1" applyFill="1" applyBorder="1" applyAlignment="1" applyProtection="1">
      <alignment horizontal="left" vertical="center"/>
      <protection locked="0"/>
    </xf>
    <xf numFmtId="0" fontId="51" fillId="2" borderId="38" xfId="0" applyFont="1" applyFill="1" applyBorder="1" applyAlignment="1">
      <alignment horizontal="center" vertical="center"/>
    </xf>
    <xf numFmtId="10" fontId="51" fillId="2" borderId="39" xfId="0" applyNumberFormat="1" applyFont="1" applyFill="1" applyBorder="1" applyAlignment="1">
      <alignment horizontal="center" vertical="center"/>
    </xf>
    <xf numFmtId="0" fontId="51" fillId="2" borderId="40" xfId="0" applyFont="1" applyFill="1" applyBorder="1" applyAlignment="1">
      <alignment horizontal="center" vertical="center"/>
    </xf>
    <xf numFmtId="10" fontId="51" fillId="2" borderId="41" xfId="0" applyNumberFormat="1" applyFont="1" applyFill="1" applyBorder="1" applyAlignment="1">
      <alignment horizontal="center" vertical="center"/>
    </xf>
    <xf numFmtId="0" fontId="53" fillId="2" borderId="8" xfId="0" applyFont="1" applyFill="1" applyBorder="1" applyAlignment="1">
      <alignment horizontal="center" vertical="center"/>
    </xf>
    <xf numFmtId="0" fontId="4" fillId="2" borderId="0" xfId="0" applyFont="1" applyFill="1" applyProtection="1">
      <protection locked="0"/>
    </xf>
    <xf numFmtId="0" fontId="4" fillId="5" borderId="0" xfId="0" applyFont="1" applyFill="1" applyProtection="1">
      <protection locked="0"/>
    </xf>
    <xf numFmtId="0" fontId="24" fillId="3" borderId="3" xfId="0" applyFont="1" applyFill="1" applyBorder="1" applyAlignment="1">
      <alignment horizontal="right" vertical="center"/>
    </xf>
    <xf numFmtId="0" fontId="4" fillId="3" borderId="0" xfId="0" applyFont="1" applyFill="1" applyProtection="1">
      <protection locked="0"/>
    </xf>
    <xf numFmtId="165" fontId="4" fillId="3" borderId="0" xfId="21" applyNumberFormat="1" applyFont="1" applyFill="1" applyAlignment="1" applyProtection="1">
      <alignment horizontal="center"/>
      <protection locked="0"/>
    </xf>
    <xf numFmtId="165" fontId="4" fillId="5" borderId="0" xfId="21" applyNumberFormat="1" applyFont="1" applyFill="1" applyAlignment="1" applyProtection="1">
      <alignment horizontal="center"/>
      <protection locked="0"/>
    </xf>
    <xf numFmtId="165" fontId="4" fillId="2" borderId="0" xfId="21" applyNumberFormat="1" applyFont="1" applyFill="1" applyAlignment="1" applyProtection="1">
      <alignment horizontal="center"/>
      <protection locked="0"/>
    </xf>
    <xf numFmtId="0" fontId="53" fillId="2" borderId="8" xfId="0" applyFont="1" applyFill="1" applyBorder="1" applyAlignment="1">
      <alignment vertical="center"/>
    </xf>
    <xf numFmtId="165" fontId="53" fillId="2" borderId="1" xfId="21" applyNumberFormat="1" applyFont="1" applyFill="1" applyBorder="1" applyAlignment="1">
      <alignment horizontal="center" vertical="center"/>
    </xf>
    <xf numFmtId="0" fontId="53" fillId="2" borderId="10" xfId="0" applyFont="1" applyFill="1" applyBorder="1" applyAlignment="1">
      <alignment vertical="center"/>
    </xf>
    <xf numFmtId="0" fontId="24" fillId="3" borderId="3" xfId="0" applyFont="1" applyFill="1" applyBorder="1" applyAlignment="1">
      <alignment vertical="center"/>
    </xf>
    <xf numFmtId="0" fontId="24" fillId="0" borderId="0" xfId="0" applyFont="1" applyAlignment="1">
      <alignment horizontal="right" vertical="center"/>
    </xf>
    <xf numFmtId="165" fontId="53" fillId="0" borderId="24" xfId="0" applyNumberFormat="1" applyFont="1" applyBorder="1" applyAlignment="1">
      <alignment horizontal="center" vertical="center"/>
    </xf>
    <xf numFmtId="165" fontId="53" fillId="0" borderId="1" xfId="0" applyNumberFormat="1" applyFont="1" applyBorder="1" applyAlignment="1">
      <alignment horizontal="center" vertical="center"/>
    </xf>
    <xf numFmtId="165" fontId="53" fillId="0" borderId="7" xfId="0" applyNumberFormat="1" applyFont="1" applyBorder="1" applyAlignment="1">
      <alignment horizontal="center" vertical="center"/>
    </xf>
    <xf numFmtId="0" fontId="24" fillId="0" borderId="25" xfId="0" applyFont="1" applyBorder="1" applyAlignment="1">
      <alignment horizontal="right" vertical="center"/>
    </xf>
    <xf numFmtId="0" fontId="24" fillId="0" borderId="26" xfId="0" applyFont="1" applyBorder="1" applyAlignment="1">
      <alignment horizontal="right" vertical="center"/>
    </xf>
    <xf numFmtId="0" fontId="54" fillId="2" borderId="0" xfId="0" applyFont="1" applyFill="1"/>
    <xf numFmtId="0" fontId="24" fillId="0" borderId="27" xfId="0" applyFont="1" applyBorder="1" applyAlignment="1">
      <alignment horizontal="right" vertical="center"/>
    </xf>
    <xf numFmtId="0" fontId="55" fillId="0" borderId="0" xfId="0" applyFont="1" applyAlignment="1">
      <alignment horizontal="right"/>
    </xf>
    <xf numFmtId="0" fontId="4" fillId="5" borderId="16" xfId="0" applyFont="1" applyFill="1" applyBorder="1"/>
    <xf numFmtId="0" fontId="4" fillId="5" borderId="21" xfId="0" applyFont="1" applyFill="1" applyBorder="1"/>
    <xf numFmtId="0" fontId="4" fillId="5" borderId="19" xfId="0" applyFont="1" applyFill="1" applyBorder="1"/>
    <xf numFmtId="0" fontId="24" fillId="0" borderId="28" xfId="0" applyFont="1" applyBorder="1" applyAlignment="1">
      <alignment horizontal="right" vertical="center"/>
    </xf>
    <xf numFmtId="0" fontId="10" fillId="6" borderId="30" xfId="17" applyFont="1" applyFill="1" applyBorder="1" applyAlignment="1" applyProtection="1">
      <alignment vertical="center"/>
      <protection locked="0"/>
    </xf>
    <xf numFmtId="0" fontId="10" fillId="6" borderId="31" xfId="17" applyFont="1" applyFill="1" applyBorder="1" applyAlignment="1" applyProtection="1">
      <alignment vertical="center"/>
      <protection locked="0"/>
    </xf>
    <xf numFmtId="0" fontId="13" fillId="6" borderId="0" xfId="17" applyFont="1" applyFill="1" applyAlignment="1" applyProtection="1">
      <alignment vertical="center"/>
      <protection locked="0"/>
    </xf>
    <xf numFmtId="0" fontId="53" fillId="2" borderId="2" xfId="0" applyFont="1" applyFill="1" applyBorder="1" applyProtection="1">
      <protection locked="0"/>
    </xf>
    <xf numFmtId="0" fontId="24" fillId="2" borderId="13" xfId="0" applyFont="1" applyFill="1" applyBorder="1" applyProtection="1">
      <protection locked="0"/>
    </xf>
    <xf numFmtId="0" fontId="24" fillId="2" borderId="4" xfId="0" applyFont="1" applyFill="1" applyBorder="1" applyProtection="1">
      <protection locked="0"/>
    </xf>
    <xf numFmtId="0" fontId="56" fillId="2" borderId="1" xfId="0" applyFont="1" applyFill="1" applyBorder="1" applyAlignment="1" applyProtection="1">
      <alignment horizontal="center" vertical="center"/>
      <protection locked="0"/>
    </xf>
    <xf numFmtId="0" fontId="56" fillId="2" borderId="1" xfId="0" applyFont="1" applyFill="1" applyBorder="1" applyAlignment="1" applyProtection="1">
      <alignment horizontal="left" vertical="center"/>
      <protection locked="0"/>
    </xf>
    <xf numFmtId="170" fontId="56" fillId="2" borderId="1" xfId="0" applyNumberFormat="1" applyFont="1" applyFill="1" applyBorder="1" applyAlignment="1" applyProtection="1">
      <alignment horizontal="center" vertical="center"/>
      <protection locked="0"/>
    </xf>
    <xf numFmtId="0" fontId="57" fillId="2" borderId="0" xfId="0" applyFont="1" applyFill="1" applyProtection="1">
      <protection locked="0"/>
    </xf>
    <xf numFmtId="0" fontId="57" fillId="5" borderId="16" xfId="0" applyFont="1" applyFill="1" applyBorder="1" applyProtection="1">
      <protection locked="0"/>
    </xf>
    <xf numFmtId="0" fontId="57" fillId="5" borderId="21" xfId="0" applyFont="1" applyFill="1" applyBorder="1" applyProtection="1">
      <protection locked="0"/>
    </xf>
    <xf numFmtId="0" fontId="57" fillId="5" borderId="19" xfId="0" applyFont="1" applyFill="1" applyBorder="1" applyProtection="1">
      <protection locked="0"/>
    </xf>
    <xf numFmtId="0" fontId="58" fillId="2" borderId="0" xfId="0" applyFont="1" applyFill="1" applyProtection="1">
      <protection locked="0"/>
    </xf>
    <xf numFmtId="0" fontId="52" fillId="2" borderId="0" xfId="0" applyFont="1" applyFill="1" applyAlignment="1" applyProtection="1">
      <alignment horizontal="center" vertical="center"/>
      <protection locked="0"/>
    </xf>
    <xf numFmtId="9" fontId="51" fillId="2" borderId="1" xfId="0" applyNumberFormat="1" applyFont="1" applyFill="1" applyBorder="1" applyAlignment="1" applyProtection="1">
      <alignment horizontal="center" vertical="center"/>
      <protection locked="0"/>
    </xf>
    <xf numFmtId="0" fontId="53" fillId="2" borderId="1" xfId="0" applyFont="1" applyFill="1" applyBorder="1" applyAlignment="1" applyProtection="1">
      <alignment horizontal="left" vertical="center"/>
      <protection locked="0"/>
    </xf>
    <xf numFmtId="0" fontId="53" fillId="2" borderId="1" xfId="0" applyFont="1" applyFill="1" applyBorder="1" applyAlignment="1" applyProtection="1">
      <alignment horizontal="center" vertical="center"/>
      <protection locked="0"/>
    </xf>
    <xf numFmtId="14" fontId="53" fillId="2" borderId="1" xfId="0" applyNumberFormat="1" applyFont="1" applyFill="1" applyBorder="1" applyAlignment="1" applyProtection="1">
      <alignment horizontal="center" vertical="center"/>
      <protection locked="0"/>
    </xf>
    <xf numFmtId="170" fontId="53" fillId="2" borderId="1" xfId="0" applyNumberFormat="1" applyFont="1" applyFill="1" applyBorder="1" applyAlignment="1" applyProtection="1">
      <alignment horizontal="center" vertical="center"/>
      <protection locked="0"/>
    </xf>
    <xf numFmtId="10" fontId="53" fillId="2" borderId="1" xfId="22" applyNumberFormat="1" applyFont="1" applyFill="1" applyBorder="1" applyAlignment="1" applyProtection="1">
      <alignment horizontal="center" vertical="center"/>
      <protection locked="0"/>
    </xf>
    <xf numFmtId="0" fontId="53" fillId="2" borderId="7" xfId="17" applyFont="1" applyFill="1" applyBorder="1" applyAlignment="1" applyProtection="1">
      <alignment horizontal="left" vertical="center"/>
      <protection locked="0"/>
    </xf>
    <xf numFmtId="0" fontId="53" fillId="2" borderId="38" xfId="0" applyFont="1" applyFill="1" applyBorder="1" applyAlignment="1" applyProtection="1">
      <alignment vertical="center"/>
      <protection locked="0"/>
    </xf>
    <xf numFmtId="9" fontId="53" fillId="2" borderId="39" xfId="0" applyNumberFormat="1" applyFont="1" applyFill="1" applyBorder="1" applyAlignment="1" applyProtection="1">
      <alignment horizontal="center" vertical="center"/>
      <protection locked="0"/>
    </xf>
    <xf numFmtId="0" fontId="53" fillId="2" borderId="40" xfId="0" applyFont="1" applyFill="1" applyBorder="1" applyAlignment="1" applyProtection="1">
      <alignment vertical="center"/>
      <protection locked="0"/>
    </xf>
    <xf numFmtId="9" fontId="53" fillId="2" borderId="41" xfId="0" applyNumberFormat="1" applyFont="1" applyFill="1" applyBorder="1" applyAlignment="1" applyProtection="1">
      <alignment horizontal="center" vertical="center"/>
      <protection locked="0"/>
    </xf>
    <xf numFmtId="0" fontId="57" fillId="2" borderId="0" xfId="0" applyFont="1" applyFill="1"/>
    <xf numFmtId="0" fontId="10" fillId="6" borderId="0" xfId="0" applyFont="1" applyFill="1" applyAlignment="1" applyProtection="1">
      <alignment vertical="center"/>
      <protection locked="0"/>
    </xf>
    <xf numFmtId="0" fontId="13" fillId="6" borderId="0" xfId="17" applyFont="1" applyFill="1" applyAlignment="1" applyProtection="1">
      <alignment horizontal="center" vertical="center"/>
      <protection locked="0"/>
    </xf>
    <xf numFmtId="0" fontId="52" fillId="2" borderId="20" xfId="0" applyFont="1" applyFill="1" applyBorder="1" applyAlignment="1" applyProtection="1">
      <alignment horizontal="center" vertical="center"/>
      <protection locked="0"/>
    </xf>
    <xf numFmtId="0" fontId="52" fillId="5" borderId="0" xfId="0" applyFont="1" applyFill="1" applyAlignment="1" applyProtection="1">
      <alignment horizontal="center"/>
      <protection locked="0"/>
    </xf>
    <xf numFmtId="170" fontId="51" fillId="2" borderId="20" xfId="0" applyNumberFormat="1" applyFont="1" applyFill="1" applyBorder="1" applyAlignment="1" applyProtection="1">
      <alignment horizontal="center" vertical="center"/>
      <protection locked="0"/>
    </xf>
    <xf numFmtId="0" fontId="52" fillId="2" borderId="0" xfId="0" applyFont="1" applyFill="1" applyAlignment="1" applyProtection="1">
      <alignment horizontal="center"/>
      <protection locked="0"/>
    </xf>
    <xf numFmtId="164" fontId="51" fillId="2" borderId="0" xfId="0" applyNumberFormat="1" applyFont="1" applyFill="1" applyAlignment="1" applyProtection="1">
      <alignment horizontal="center" vertical="center"/>
      <protection locked="0"/>
    </xf>
    <xf numFmtId="0" fontId="51" fillId="2" borderId="20" xfId="0" applyFont="1" applyFill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horizontal="center" vertical="center"/>
      <protection locked="0"/>
    </xf>
    <xf numFmtId="0" fontId="52" fillId="5" borderId="20" xfId="0" applyFont="1" applyFill="1" applyBorder="1" applyAlignment="1" applyProtection="1">
      <alignment horizontal="center"/>
      <protection locked="0"/>
    </xf>
    <xf numFmtId="9" fontId="51" fillId="2" borderId="20" xfId="0" applyNumberFormat="1" applyFont="1" applyFill="1" applyBorder="1" applyAlignment="1" applyProtection="1">
      <alignment horizontal="center" vertical="center"/>
      <protection locked="0"/>
    </xf>
    <xf numFmtId="0" fontId="51" fillId="2" borderId="0" xfId="0" applyFont="1" applyFill="1" applyProtection="1">
      <protection locked="0"/>
    </xf>
    <xf numFmtId="0" fontId="51" fillId="5" borderId="0" xfId="0" applyFont="1" applyFill="1" applyProtection="1">
      <protection locked="0"/>
    </xf>
    <xf numFmtId="0" fontId="52" fillId="5" borderId="0" xfId="0" applyFont="1" applyFill="1" applyAlignment="1" applyProtection="1">
      <alignment horizontal="center" vertical="center"/>
      <protection locked="0"/>
    </xf>
    <xf numFmtId="0" fontId="51" fillId="2" borderId="9" xfId="0" applyFont="1" applyFill="1" applyBorder="1" applyAlignment="1" applyProtection="1">
      <alignment vertical="center"/>
      <protection locked="0"/>
    </xf>
    <xf numFmtId="164" fontId="51" fillId="2" borderId="20" xfId="0" applyNumberFormat="1" applyFont="1" applyFill="1" applyBorder="1" applyAlignment="1" applyProtection="1">
      <alignment horizontal="center" vertical="center"/>
      <protection locked="0"/>
    </xf>
    <xf numFmtId="0" fontId="51" fillId="2" borderId="7" xfId="0" applyFont="1" applyFill="1" applyBorder="1" applyAlignment="1" applyProtection="1">
      <alignment horizontal="center" vertical="center"/>
      <protection locked="0"/>
    </xf>
    <xf numFmtId="0" fontId="59" fillId="2" borderId="0" xfId="0" applyFont="1" applyFill="1"/>
    <xf numFmtId="0" fontId="51" fillId="2" borderId="1" xfId="0" applyFont="1" applyFill="1" applyBorder="1" applyAlignment="1" applyProtection="1">
      <alignment horizontal="center" vertical="center"/>
      <protection locked="0"/>
    </xf>
    <xf numFmtId="0" fontId="10" fillId="6" borderId="0" xfId="17" applyFont="1" applyFill="1" applyAlignment="1" applyProtection="1">
      <alignment horizontal="center" vertical="center"/>
      <protection locked="0"/>
    </xf>
    <xf numFmtId="0" fontId="12" fillId="2" borderId="13" xfId="0" applyFont="1" applyFill="1" applyBorder="1" applyProtection="1">
      <protection locked="0"/>
    </xf>
    <xf numFmtId="0" fontId="12" fillId="2" borderId="4" xfId="0" applyFont="1" applyFill="1" applyBorder="1" applyProtection="1">
      <protection locked="0"/>
    </xf>
    <xf numFmtId="0" fontId="10" fillId="6" borderId="0" xfId="10" applyFont="1" applyFill="1" applyAlignment="1" applyProtection="1">
      <alignment horizontal="center" vertical="center"/>
      <protection locked="0"/>
    </xf>
    <xf numFmtId="14" fontId="60" fillId="2" borderId="7" xfId="0" applyNumberFormat="1" applyFont="1" applyFill="1" applyBorder="1" applyAlignment="1" applyProtection="1">
      <alignment horizontal="left" vertical="center"/>
      <protection locked="0"/>
    </xf>
    <xf numFmtId="0" fontId="56" fillId="2" borderId="1" xfId="0" applyFont="1" applyFill="1" applyBorder="1" applyAlignment="1" applyProtection="1">
      <alignment vertical="center"/>
      <protection locked="0"/>
    </xf>
    <xf numFmtId="172" fontId="56" fillId="2" borderId="1" xfId="0" applyNumberFormat="1" applyFont="1" applyFill="1" applyBorder="1" applyAlignment="1" applyProtection="1">
      <alignment horizontal="center" vertical="center"/>
      <protection locked="0"/>
    </xf>
    <xf numFmtId="169" fontId="53" fillId="2" borderId="47" xfId="0" applyNumberFormat="1" applyFont="1" applyFill="1" applyBorder="1" applyAlignment="1">
      <alignment horizontal="center" vertical="center"/>
    </xf>
    <xf numFmtId="0" fontId="53" fillId="2" borderId="11" xfId="0" applyFont="1" applyFill="1" applyBorder="1" applyAlignment="1">
      <alignment horizontal="center" vertical="center"/>
    </xf>
    <xf numFmtId="165" fontId="53" fillId="2" borderId="11" xfId="0" applyNumberFormat="1" applyFont="1" applyFill="1" applyBorder="1" applyAlignment="1">
      <alignment horizontal="center" vertical="center"/>
    </xf>
    <xf numFmtId="169" fontId="53" fillId="2" borderId="48" xfId="0" applyNumberFormat="1" applyFont="1" applyFill="1" applyBorder="1" applyAlignment="1">
      <alignment horizontal="center" vertical="center"/>
    </xf>
    <xf numFmtId="0" fontId="53" fillId="2" borderId="2" xfId="0" applyFont="1" applyFill="1" applyBorder="1" applyAlignment="1">
      <alignment horizontal="center" vertical="center"/>
    </xf>
    <xf numFmtId="165" fontId="53" fillId="2" borderId="2" xfId="0" applyNumberFormat="1" applyFont="1" applyFill="1" applyBorder="1" applyAlignment="1">
      <alignment horizontal="center" vertical="center"/>
    </xf>
    <xf numFmtId="169" fontId="53" fillId="2" borderId="49" xfId="0" applyNumberFormat="1" applyFont="1" applyFill="1" applyBorder="1" applyAlignment="1">
      <alignment horizontal="center" vertical="center"/>
    </xf>
    <xf numFmtId="0" fontId="53" fillId="2" borderId="50" xfId="0" applyFont="1" applyFill="1" applyBorder="1" applyAlignment="1">
      <alignment horizontal="center" vertical="center"/>
    </xf>
    <xf numFmtId="0" fontId="51" fillId="3" borderId="0" xfId="0" applyFont="1" applyFill="1" applyAlignment="1">
      <alignment horizontal="center" vertical="center"/>
    </xf>
    <xf numFmtId="0" fontId="51" fillId="5" borderId="0" xfId="0" applyFont="1" applyFill="1"/>
    <xf numFmtId="0" fontId="61" fillId="2" borderId="33" xfId="0" applyFont="1" applyFill="1" applyBorder="1" applyAlignment="1" applyProtection="1">
      <alignment horizontal="center" vertical="center"/>
      <protection locked="0"/>
    </xf>
    <xf numFmtId="165" fontId="61" fillId="2" borderId="1" xfId="0" applyNumberFormat="1" applyFont="1" applyFill="1" applyBorder="1" applyAlignment="1" applyProtection="1">
      <alignment horizontal="center" vertical="center"/>
      <protection locked="0"/>
    </xf>
    <xf numFmtId="0" fontId="53" fillId="2" borderId="0" xfId="0" applyFont="1" applyFill="1" applyProtection="1">
      <protection locked="0"/>
    </xf>
    <xf numFmtId="0" fontId="53" fillId="2" borderId="3" xfId="0" applyFont="1" applyFill="1" applyBorder="1" applyProtection="1">
      <protection locked="0"/>
    </xf>
    <xf numFmtId="0" fontId="53" fillId="2" borderId="20" xfId="0" applyFont="1" applyFill="1" applyBorder="1" applyProtection="1">
      <protection locked="0"/>
    </xf>
    <xf numFmtId="0" fontId="53" fillId="2" borderId="5" xfId="0" applyFont="1" applyFill="1" applyBorder="1" applyProtection="1">
      <protection locked="0"/>
    </xf>
    <xf numFmtId="0" fontId="57" fillId="0" borderId="56" xfId="0" applyFont="1" applyBorder="1" applyAlignment="1">
      <alignment horizontal="center" vertical="center"/>
    </xf>
    <xf numFmtId="0" fontId="57" fillId="0" borderId="29" xfId="0" applyFont="1" applyBorder="1" applyAlignment="1">
      <alignment horizontal="center" vertical="center"/>
    </xf>
    <xf numFmtId="43" fontId="57" fillId="0" borderId="57" xfId="24" applyFont="1" applyBorder="1" applyAlignment="1">
      <alignment horizontal="center" vertical="center"/>
    </xf>
    <xf numFmtId="0" fontId="57" fillId="0" borderId="58" xfId="0" applyFont="1" applyBorder="1" applyAlignment="1">
      <alignment horizontal="center" vertical="center"/>
    </xf>
    <xf numFmtId="0" fontId="57" fillId="0" borderId="1" xfId="0" applyFont="1" applyBorder="1" applyAlignment="1">
      <alignment horizontal="center" vertical="center"/>
    </xf>
    <xf numFmtId="43" fontId="57" fillId="0" borderId="59" xfId="24" applyFont="1" applyBorder="1" applyAlignment="1">
      <alignment horizontal="center" vertical="center"/>
    </xf>
    <xf numFmtId="0" fontId="57" fillId="0" borderId="60" xfId="0" applyFont="1" applyBorder="1" applyAlignment="1">
      <alignment horizontal="center" vertical="center"/>
    </xf>
    <xf numFmtId="0" fontId="57" fillId="0" borderId="61" xfId="0" applyFont="1" applyBorder="1" applyAlignment="1">
      <alignment horizontal="center" vertical="center"/>
    </xf>
    <xf numFmtId="43" fontId="57" fillId="0" borderId="51" xfId="24" applyFont="1" applyBorder="1" applyAlignment="1">
      <alignment horizontal="center" vertical="center"/>
    </xf>
    <xf numFmtId="165" fontId="63" fillId="3" borderId="12" xfId="21" applyNumberFormat="1" applyFont="1" applyFill="1" applyBorder="1" applyAlignment="1">
      <alignment horizontal="center" vertical="center"/>
    </xf>
    <xf numFmtId="165" fontId="61" fillId="2" borderId="1" xfId="21" applyNumberFormat="1" applyFont="1" applyFill="1" applyBorder="1" applyAlignment="1">
      <alignment horizontal="center" vertical="center"/>
    </xf>
    <xf numFmtId="0" fontId="64" fillId="2" borderId="0" xfId="0" applyFont="1" applyFill="1" applyProtection="1">
      <protection locked="0"/>
    </xf>
    <xf numFmtId="0" fontId="64" fillId="5" borderId="0" xfId="0" applyFont="1" applyFill="1" applyProtection="1">
      <protection locked="0"/>
    </xf>
    <xf numFmtId="165" fontId="61" fillId="2" borderId="6" xfId="21" applyNumberFormat="1" applyFont="1" applyFill="1" applyBorder="1" applyAlignment="1">
      <alignment horizontal="center" vertical="center"/>
    </xf>
    <xf numFmtId="165" fontId="61" fillId="3" borderId="8" xfId="0" applyNumberFormat="1" applyFont="1" applyFill="1" applyBorder="1" applyAlignment="1">
      <alignment horizontal="center" vertical="center"/>
    </xf>
    <xf numFmtId="0" fontId="64" fillId="2" borderId="0" xfId="0" applyFont="1" applyFill="1"/>
    <xf numFmtId="0" fontId="64" fillId="5" borderId="16" xfId="0" applyFont="1" applyFill="1" applyBorder="1" applyProtection="1">
      <protection locked="0"/>
    </xf>
    <xf numFmtId="0" fontId="64" fillId="5" borderId="21" xfId="0" applyFont="1" applyFill="1" applyBorder="1" applyProtection="1">
      <protection locked="0"/>
    </xf>
    <xf numFmtId="0" fontId="64" fillId="5" borderId="19" xfId="0" applyFont="1" applyFill="1" applyBorder="1" applyProtection="1">
      <protection locked="0"/>
    </xf>
    <xf numFmtId="174" fontId="53" fillId="2" borderId="1" xfId="0" applyNumberFormat="1" applyFont="1" applyFill="1" applyBorder="1" applyAlignment="1">
      <alignment horizontal="center" vertical="center"/>
    </xf>
    <xf numFmtId="174" fontId="61" fillId="2" borderId="1" xfId="0" applyNumberFormat="1" applyFont="1" applyFill="1" applyBorder="1" applyAlignment="1">
      <alignment horizontal="center" vertical="center"/>
    </xf>
    <xf numFmtId="174" fontId="56" fillId="2" borderId="1" xfId="0" applyNumberFormat="1" applyFont="1" applyFill="1" applyBorder="1" applyAlignment="1" applyProtection="1">
      <alignment horizontal="center" vertical="center"/>
      <protection locked="0"/>
    </xf>
    <xf numFmtId="170" fontId="61" fillId="3" borderId="1" xfId="0" applyNumberFormat="1" applyFont="1" applyFill="1" applyBorder="1" applyAlignment="1">
      <alignment horizontal="center" vertical="center"/>
    </xf>
    <xf numFmtId="170" fontId="63" fillId="3" borderId="0" xfId="0" applyNumberFormat="1" applyFont="1" applyFill="1" applyAlignment="1" applyProtection="1">
      <alignment horizontal="center" vertical="center"/>
      <protection locked="0"/>
    </xf>
    <xf numFmtId="170" fontId="65" fillId="3" borderId="0" xfId="0" applyNumberFormat="1" applyFont="1" applyFill="1" applyAlignment="1">
      <alignment horizontal="center" vertical="center"/>
    </xf>
    <xf numFmtId="170" fontId="63" fillId="2" borderId="0" xfId="0" applyNumberFormat="1" applyFont="1" applyFill="1" applyAlignment="1">
      <alignment horizontal="center" vertical="center"/>
    </xf>
    <xf numFmtId="43" fontId="0" fillId="2" borderId="0" xfId="0" applyNumberFormat="1" applyFill="1"/>
    <xf numFmtId="9" fontId="0" fillId="2" borderId="0" xfId="0" applyNumberFormat="1" applyFill="1"/>
    <xf numFmtId="171" fontId="61" fillId="3" borderId="1" xfId="0" applyNumberFormat="1" applyFont="1" applyFill="1" applyBorder="1" applyAlignment="1">
      <alignment horizontal="center" vertical="center"/>
    </xf>
    <xf numFmtId="164" fontId="63" fillId="2" borderId="0" xfId="0" applyNumberFormat="1" applyFont="1" applyFill="1" applyAlignment="1">
      <alignment horizontal="center" vertical="center"/>
    </xf>
    <xf numFmtId="0" fontId="61" fillId="3" borderId="1" xfId="0" applyFont="1" applyFill="1" applyBorder="1" applyAlignment="1">
      <alignment horizontal="center" vertical="center"/>
    </xf>
    <xf numFmtId="2" fontId="61" fillId="3" borderId="1" xfId="0" applyNumberFormat="1" applyFont="1" applyFill="1" applyBorder="1" applyAlignment="1">
      <alignment horizontal="center" vertical="center"/>
    </xf>
    <xf numFmtId="165" fontId="66" fillId="3" borderId="0" xfId="0" applyNumberFormat="1" applyFont="1" applyFill="1" applyAlignment="1">
      <alignment horizontal="center" vertical="center"/>
    </xf>
    <xf numFmtId="165" fontId="61" fillId="3" borderId="0" xfId="0" applyNumberFormat="1" applyFont="1" applyFill="1" applyAlignment="1">
      <alignment horizontal="center" vertical="center"/>
    </xf>
    <xf numFmtId="173" fontId="62" fillId="3" borderId="35" xfId="21" applyNumberFormat="1" applyFont="1" applyFill="1" applyBorder="1" applyAlignment="1" applyProtection="1">
      <alignment horizontal="center" vertical="center"/>
      <protection locked="0"/>
    </xf>
    <xf numFmtId="0" fontId="36" fillId="4" borderId="0" xfId="1" applyFont="1" applyFill="1" applyAlignment="1" applyProtection="1">
      <alignment horizontal="center" vertical="center"/>
      <protection locked="0"/>
    </xf>
    <xf numFmtId="0" fontId="29" fillId="4" borderId="0" xfId="1" applyFont="1" applyFill="1" applyAlignment="1" applyProtection="1">
      <alignment horizontal="center" vertical="center"/>
      <protection locked="0"/>
    </xf>
    <xf numFmtId="0" fontId="29" fillId="4" borderId="0" xfId="1" applyFont="1" applyFill="1" applyAlignment="1" applyProtection="1">
      <alignment horizontal="center" vertical="center" wrapText="1"/>
      <protection locked="0"/>
    </xf>
    <xf numFmtId="0" fontId="10" fillId="6" borderId="0" xfId="17" applyFont="1" applyFill="1" applyAlignment="1" applyProtection="1">
      <alignment horizontal="center" vertical="center"/>
      <protection locked="0"/>
    </xf>
    <xf numFmtId="0" fontId="10" fillId="6" borderId="3" xfId="17" applyFont="1" applyFill="1" applyBorder="1" applyAlignment="1" applyProtection="1">
      <alignment horizontal="center" vertical="center"/>
      <protection locked="0"/>
    </xf>
    <xf numFmtId="0" fontId="13" fillId="5" borderId="0" xfId="0" applyFont="1" applyFill="1" applyAlignment="1">
      <alignment horizontal="center" vertical="center"/>
    </xf>
    <xf numFmtId="0" fontId="13" fillId="5" borderId="36" xfId="0" applyFont="1" applyFill="1" applyBorder="1" applyAlignment="1">
      <alignment horizontal="center" vertical="center" wrapText="1"/>
    </xf>
    <xf numFmtId="0" fontId="13" fillId="5" borderId="37" xfId="0" applyFont="1" applyFill="1" applyBorder="1" applyAlignment="1">
      <alignment horizontal="center" vertical="center"/>
    </xf>
    <xf numFmtId="0" fontId="13" fillId="5" borderId="36" xfId="0" applyFont="1" applyFill="1" applyBorder="1" applyAlignment="1">
      <alignment horizontal="center" vertical="center"/>
    </xf>
    <xf numFmtId="0" fontId="39" fillId="5" borderId="0" xfId="0" applyFont="1" applyFill="1" applyAlignment="1" applyProtection="1">
      <alignment horizontal="center" vertical="center"/>
      <protection locked="0"/>
    </xf>
    <xf numFmtId="0" fontId="48" fillId="5" borderId="7" xfId="0" applyFont="1" applyFill="1" applyBorder="1" applyAlignment="1" applyProtection="1">
      <alignment horizontal="center" vertical="center"/>
      <protection locked="0"/>
    </xf>
    <xf numFmtId="0" fontId="48" fillId="5" borderId="9" xfId="0" applyFont="1" applyFill="1" applyBorder="1" applyAlignment="1" applyProtection="1">
      <alignment horizontal="center" vertical="center"/>
      <protection locked="0"/>
    </xf>
    <xf numFmtId="0" fontId="48" fillId="5" borderId="8" xfId="0" applyFont="1" applyFill="1" applyBorder="1" applyAlignment="1" applyProtection="1">
      <alignment horizontal="center" vertical="center"/>
      <protection locked="0"/>
    </xf>
    <xf numFmtId="0" fontId="31" fillId="5" borderId="0" xfId="0" applyFont="1" applyFill="1" applyAlignment="1" applyProtection="1">
      <alignment horizontal="center" vertical="center"/>
      <protection locked="0"/>
    </xf>
    <xf numFmtId="0" fontId="13" fillId="5" borderId="13" xfId="0" applyFont="1" applyFill="1" applyBorder="1" applyAlignment="1">
      <alignment horizontal="center" vertical="center"/>
    </xf>
    <xf numFmtId="0" fontId="48" fillId="5" borderId="0" xfId="0" applyFont="1" applyFill="1" applyAlignment="1" applyProtection="1">
      <alignment horizontal="center" vertical="center"/>
      <protection locked="0"/>
    </xf>
    <xf numFmtId="0" fontId="11" fillId="2" borderId="2" xfId="0" applyFont="1" applyFill="1" applyBorder="1" applyAlignment="1" applyProtection="1">
      <alignment horizontal="left" wrapText="1"/>
      <protection locked="0"/>
    </xf>
    <xf numFmtId="0" fontId="11" fillId="2" borderId="14" xfId="0" applyFont="1" applyFill="1" applyBorder="1" applyAlignment="1" applyProtection="1">
      <alignment horizontal="left" wrapText="1"/>
      <protection locked="0"/>
    </xf>
    <xf numFmtId="0" fontId="11" fillId="2" borderId="10" xfId="0" applyFont="1" applyFill="1" applyBorder="1" applyAlignment="1" applyProtection="1">
      <alignment horizontal="left" wrapText="1"/>
      <protection locked="0"/>
    </xf>
    <xf numFmtId="0" fontId="53" fillId="2" borderId="7" xfId="17" applyFont="1" applyFill="1" applyBorder="1" applyAlignment="1" applyProtection="1">
      <alignment vertical="center" wrapText="1"/>
      <protection locked="0"/>
    </xf>
    <xf numFmtId="0" fontId="53" fillId="2" borderId="9" xfId="17" applyFont="1" applyFill="1" applyBorder="1" applyAlignment="1" applyProtection="1">
      <alignment vertical="center" wrapText="1"/>
      <protection locked="0"/>
    </xf>
    <xf numFmtId="0" fontId="53" fillId="2" borderId="8" xfId="17" applyFont="1" applyFill="1" applyBorder="1" applyAlignment="1" applyProtection="1">
      <alignment vertical="center" wrapText="1"/>
      <protection locked="0"/>
    </xf>
    <xf numFmtId="0" fontId="51" fillId="2" borderId="7" xfId="17" applyFont="1" applyFill="1" applyBorder="1" applyAlignment="1" applyProtection="1">
      <alignment horizontal="left" vertical="center" wrapText="1"/>
      <protection locked="0"/>
    </xf>
    <xf numFmtId="0" fontId="51" fillId="2" borderId="9" xfId="17" applyFont="1" applyFill="1" applyBorder="1" applyAlignment="1" applyProtection="1">
      <alignment horizontal="left" vertical="center" wrapText="1"/>
      <protection locked="0"/>
    </xf>
    <xf numFmtId="0" fontId="51" fillId="2" borderId="8" xfId="17" applyFont="1" applyFill="1" applyBorder="1" applyAlignment="1" applyProtection="1">
      <alignment horizontal="left" vertical="center" wrapText="1"/>
      <protection locked="0"/>
    </xf>
    <xf numFmtId="0" fontId="51" fillId="2" borderId="2" xfId="0" applyFont="1" applyFill="1" applyBorder="1" applyAlignment="1" applyProtection="1">
      <alignment horizontal="left" wrapText="1"/>
      <protection locked="0"/>
    </xf>
    <xf numFmtId="0" fontId="51" fillId="2" borderId="14" xfId="0" applyFont="1" applyFill="1" applyBorder="1" applyAlignment="1" applyProtection="1">
      <alignment horizontal="left" wrapText="1"/>
      <protection locked="0"/>
    </xf>
    <xf numFmtId="0" fontId="51" fillId="2" borderId="10" xfId="0" applyFont="1" applyFill="1" applyBorder="1" applyAlignment="1" applyProtection="1">
      <alignment horizontal="left" wrapText="1"/>
      <protection locked="0"/>
    </xf>
    <xf numFmtId="0" fontId="51" fillId="2" borderId="7" xfId="17" applyFont="1" applyFill="1" applyBorder="1" applyAlignment="1" applyProtection="1">
      <alignment vertical="center" wrapText="1"/>
      <protection locked="0"/>
    </xf>
    <xf numFmtId="0" fontId="51" fillId="2" borderId="9" xfId="17" applyFont="1" applyFill="1" applyBorder="1" applyAlignment="1" applyProtection="1">
      <alignment vertical="center" wrapText="1"/>
      <protection locked="0"/>
    </xf>
    <xf numFmtId="0" fontId="51" fillId="2" borderId="8" xfId="17" applyFont="1" applyFill="1" applyBorder="1" applyAlignment="1" applyProtection="1">
      <alignment vertical="center" wrapText="1"/>
      <protection locked="0"/>
    </xf>
    <xf numFmtId="0" fontId="40" fillId="2" borderId="7" xfId="17" applyFont="1" applyFill="1" applyBorder="1" applyAlignment="1" applyProtection="1">
      <alignment horizontal="left" vertical="center" wrapText="1"/>
      <protection locked="0"/>
    </xf>
    <xf numFmtId="0" fontId="40" fillId="2" borderId="9" xfId="17" applyFont="1" applyFill="1" applyBorder="1" applyAlignment="1" applyProtection="1">
      <alignment horizontal="left" vertical="center" wrapText="1"/>
      <protection locked="0"/>
    </xf>
    <xf numFmtId="0" fontId="40" fillId="2" borderId="8" xfId="17" applyFont="1" applyFill="1" applyBorder="1" applyAlignment="1" applyProtection="1">
      <alignment horizontal="left" vertical="center" wrapText="1"/>
      <protection locked="0"/>
    </xf>
    <xf numFmtId="0" fontId="51" fillId="2" borderId="13" xfId="17" applyFont="1" applyFill="1" applyBorder="1" applyAlignment="1" applyProtection="1">
      <alignment horizontal="left" vertical="center" wrapText="1"/>
      <protection locked="0"/>
    </xf>
    <xf numFmtId="0" fontId="51" fillId="2" borderId="0" xfId="17" applyFont="1" applyFill="1" applyAlignment="1" applyProtection="1">
      <alignment horizontal="left" vertical="center" wrapText="1"/>
      <protection locked="0"/>
    </xf>
    <xf numFmtId="0" fontId="53" fillId="2" borderId="2" xfId="0" applyFont="1" applyFill="1" applyBorder="1" applyAlignment="1" applyProtection="1">
      <alignment horizontal="left" wrapText="1"/>
      <protection locked="0"/>
    </xf>
    <xf numFmtId="0" fontId="53" fillId="2" borderId="14" xfId="0" applyFont="1" applyFill="1" applyBorder="1" applyAlignment="1" applyProtection="1">
      <alignment horizontal="left" wrapText="1"/>
      <protection locked="0"/>
    </xf>
    <xf numFmtId="0" fontId="53" fillId="2" borderId="10" xfId="0" applyFont="1" applyFill="1" applyBorder="1" applyAlignment="1" applyProtection="1">
      <alignment horizontal="left" wrapText="1"/>
      <protection locked="0"/>
    </xf>
    <xf numFmtId="165" fontId="14" fillId="2" borderId="0" xfId="0" applyNumberFormat="1" applyFont="1" applyFill="1" applyProtection="1">
      <protection locked="0"/>
    </xf>
    <xf numFmtId="0" fontId="53" fillId="2" borderId="62" xfId="0" applyFont="1" applyFill="1" applyBorder="1" applyAlignment="1">
      <alignment horizontal="center" vertical="center"/>
    </xf>
    <xf numFmtId="0" fontId="53" fillId="2" borderId="14" xfId="0" applyFont="1" applyFill="1" applyBorder="1" applyAlignment="1">
      <alignment horizontal="center" vertical="center"/>
    </xf>
    <xf numFmtId="0" fontId="10" fillId="5" borderId="0" xfId="0" applyFont="1" applyFill="1" applyBorder="1" applyAlignment="1">
      <alignment horizontal="center" vertical="center"/>
    </xf>
    <xf numFmtId="0" fontId="10" fillId="5" borderId="13" xfId="0" applyFont="1" applyFill="1" applyBorder="1" applyAlignment="1">
      <alignment horizontal="center" vertical="center"/>
    </xf>
    <xf numFmtId="0" fontId="10" fillId="5" borderId="13" xfId="0" applyFont="1" applyFill="1" applyBorder="1" applyAlignment="1">
      <alignment horizontal="center" vertical="center" wrapText="1"/>
    </xf>
  </cellXfs>
  <cellStyles count="26">
    <cellStyle name="Euro" xfId="2" xr:uid="{00000000-0005-0000-0000-000000000000}"/>
    <cellStyle name="Hipervínculo" xfId="1" builtinId="8"/>
    <cellStyle name="Hipervínculo 2" xfId="13" xr:uid="{00000000-0005-0000-0000-000002000000}"/>
    <cellStyle name="Millares" xfId="24" builtinId="3"/>
    <cellStyle name="Millares [0] 2" xfId="3" xr:uid="{00000000-0005-0000-0000-000003000000}"/>
    <cellStyle name="Millares [0] 3" xfId="20" xr:uid="{00000000-0005-0000-0000-000004000000}"/>
    <cellStyle name="Millares 2" xfId="4" xr:uid="{00000000-0005-0000-0000-000005000000}"/>
    <cellStyle name="Millares 3" xfId="5" xr:uid="{00000000-0005-0000-0000-000006000000}"/>
    <cellStyle name="Millares 4" xfId="6" xr:uid="{00000000-0005-0000-0000-000007000000}"/>
    <cellStyle name="Millares 5" xfId="12" xr:uid="{00000000-0005-0000-0000-000008000000}"/>
    <cellStyle name="Moneda" xfId="21" builtinId="4"/>
    <cellStyle name="Moneda 2" xfId="7" xr:uid="{00000000-0005-0000-0000-00000A000000}"/>
    <cellStyle name="Moneda 3" xfId="8" xr:uid="{00000000-0005-0000-0000-00000B000000}"/>
    <cellStyle name="Moneda 4" xfId="19" xr:uid="{00000000-0005-0000-0000-00000C000000}"/>
    <cellStyle name="Normal" xfId="0" builtinId="0"/>
    <cellStyle name="Normal 2" xfId="9" xr:uid="{00000000-0005-0000-0000-00000E000000}"/>
    <cellStyle name="Normal 2 2" xfId="15" xr:uid="{00000000-0005-0000-0000-00000F000000}"/>
    <cellStyle name="Normal 2 2 2" xfId="18" xr:uid="{00000000-0005-0000-0000-000010000000}"/>
    <cellStyle name="Normal 2 3" xfId="25" xr:uid="{A1048B29-E3A8-48C9-A2D1-28C8AB557993}"/>
    <cellStyle name="Normal 3" xfId="10" xr:uid="{00000000-0005-0000-0000-000011000000}"/>
    <cellStyle name="Normal 3 2" xfId="17" xr:uid="{00000000-0005-0000-0000-000012000000}"/>
    <cellStyle name="Normal 4" xfId="16" xr:uid="{00000000-0005-0000-0000-000013000000}"/>
    <cellStyle name="Normal_SALES93" xfId="23" xr:uid="{00000000-0005-0000-0000-000014000000}"/>
    <cellStyle name="Porcentaje" xfId="22" builtinId="5"/>
    <cellStyle name="Porcentaje 2" xfId="14" xr:uid="{00000000-0005-0000-0000-000016000000}"/>
    <cellStyle name="Porcentual 2" xfId="11" xr:uid="{00000000-0005-0000-0000-000017000000}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 Unicode MS"/>
        <family val="2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 Unicode MS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 Unicode MS"/>
        <family val="2"/>
        <scheme val="none"/>
      </font>
      <numFmt numFmtId="165" formatCode="&quot;S/.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rgb="FF0070C0"/>
        </left>
        <right/>
        <top style="hair">
          <color rgb="FF0070C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 Unicode MS"/>
        <family val="2"/>
        <scheme val="none"/>
      </font>
      <numFmt numFmtId="165" formatCode="&quot;S/.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rgb="FF0070C0"/>
        </left>
        <right/>
        <top style="hair">
          <color rgb="FF0070C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 Unicode MS"/>
        <family val="2"/>
        <scheme val="none"/>
      </font>
      <numFmt numFmtId="165" formatCode="&quot;S/.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rgb="FF0070C0"/>
        </left>
        <right/>
        <top style="hair">
          <color rgb="FF0070C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 Unicode MS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rgb="FF0070C0"/>
        </left>
        <right/>
        <top style="hair">
          <color rgb="FF0070C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 Unicode MS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rgb="FF0070C0"/>
        </left>
        <right/>
        <top style="hair">
          <color rgb="FF0070C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 Unicode MS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rgb="FF0070C0"/>
        </left>
        <right/>
        <top style="hair">
          <color rgb="FF0070C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 Unicode MS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hair">
          <color rgb="FF0070C0"/>
        </top>
        <bottom/>
        <vertical/>
        <horizontal/>
      </border>
    </dxf>
    <dxf>
      <border outline="0">
        <left style="hair">
          <color rgb="FF0070C0"/>
        </left>
        <right style="medium">
          <color theme="1"/>
        </right>
        <top style="medium">
          <color theme="1"/>
        </top>
        <bottom style="medium">
          <color theme="1"/>
        </bottom>
      </border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181929</xdr:colOff>
      <xdr:row>0</xdr:row>
      <xdr:rowOff>0</xdr:rowOff>
    </xdr:from>
    <xdr:ext cx="7874592" cy="940642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50668253-BCDB-4788-9D2D-0EEF1DC5E20E}"/>
            </a:ext>
          </a:extLst>
        </xdr:cNvPr>
        <xdr:cNvSpPr/>
      </xdr:nvSpPr>
      <xdr:spPr>
        <a:xfrm>
          <a:off x="1103949" y="161925"/>
          <a:ext cx="7874592" cy="940642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i="0" cap="none" spc="0" baseline="0">
              <a:ln w="9525">
                <a:noFill/>
                <a:prstDash val="solid"/>
              </a:ln>
              <a:solidFill>
                <a:schemeClr val="tx1"/>
              </a:solidFill>
              <a:effectLst/>
              <a:latin typeface="Gilroy ExtraBold" panose="00000900000000000000" pitchFamily="50" charset="0"/>
            </a:rPr>
            <a:t>Funciones Matemáticas</a:t>
          </a:r>
          <a:endParaRPr lang="es-ES" sz="5400" b="1" i="0" cap="none" spc="0">
            <a:ln w="9525">
              <a:noFill/>
              <a:prstDash val="solid"/>
            </a:ln>
            <a:solidFill>
              <a:schemeClr val="tx1"/>
            </a:solidFill>
            <a:effectLst/>
            <a:latin typeface="Gilroy ExtraBold" panose="00000900000000000000" pitchFamily="50" charset="0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563217</xdr:colOff>
      <xdr:row>16</xdr:row>
      <xdr:rowOff>86140</xdr:rowOff>
    </xdr:from>
    <xdr:to>
      <xdr:col>6</xdr:col>
      <xdr:colOff>1000539</xdr:colOff>
      <xdr:row>17</xdr:row>
      <xdr:rowOff>218661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021954B1-9D8A-28E3-C735-D9C715305486}"/>
            </a:ext>
          </a:extLst>
        </xdr:cNvPr>
        <xdr:cNvSpPr/>
      </xdr:nvSpPr>
      <xdr:spPr>
        <a:xfrm>
          <a:off x="6016487" y="5102088"/>
          <a:ext cx="1769165" cy="516834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PE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 Black" panose="020B0A04020102020204" pitchFamily="34" charset="0"/>
            </a:rPr>
            <a:t>INCREMENTOS</a:t>
          </a:r>
        </a:p>
        <a:p>
          <a:pPr algn="ctr"/>
          <a:r>
            <a:rPr lang="es-PE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 Black" panose="020B0A04020102020204" pitchFamily="34" charset="0"/>
            </a:rPr>
            <a:t>(1+N%)*VALOR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370283</xdr:colOff>
      <xdr:row>21</xdr:row>
      <xdr:rowOff>60721</xdr:rowOff>
    </xdr:from>
    <xdr:ext cx="2070497" cy="62984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00000000-0008-0000-0700-000005000000}"/>
                </a:ext>
              </a:extLst>
            </xdr:cNvPr>
            <xdr:cNvSpPr txBox="1"/>
          </xdr:nvSpPr>
          <xdr:spPr>
            <a:xfrm>
              <a:off x="3123008" y="8347471"/>
              <a:ext cx="2070497" cy="629841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 anchorCtr="0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200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</a:rPr>
                      <m:t>𝐕𝐅</m:t>
                    </m:r>
                    <m:r>
                      <a:rPr lang="es-PE" sz="200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</a:rPr>
                      <m:t>=</m:t>
                    </m:r>
                    <m:r>
                      <a:rPr lang="es-PE" sz="200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</a:rPr>
                      <m:t>𝐕𝐀</m:t>
                    </m:r>
                    <m:sSup>
                      <m:sSupPr>
                        <m:ctrlPr>
                          <a:rPr lang="es-PE" sz="2000" b="1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s-PE" sz="2000" b="1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PE" sz="2000" b="1" i="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</a:rPr>
                              <m:t>𝟏</m:t>
                            </m:r>
                            <m:r>
                              <a:rPr lang="es-PE" sz="2000" b="1" i="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</a:rPr>
                              <m:t>+</m:t>
                            </m:r>
                            <m:r>
                              <a:rPr lang="es-PE" sz="2000" b="1" i="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</a:rPr>
                              <m:t>𝐢</m:t>
                            </m:r>
                          </m:e>
                        </m:d>
                      </m:e>
                      <m:sup>
                        <m:r>
                          <a:rPr lang="es-PE" sz="2000" b="1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𝐧</m:t>
                        </m:r>
                      </m:sup>
                    </m:sSup>
                  </m:oMath>
                </m:oMathPara>
              </a14:m>
              <a:endParaRPr lang="es-PE" sz="2000" b="1" i="0">
                <a:solidFill>
                  <a:schemeClr val="tx1"/>
                </a:solidFill>
                <a:latin typeface="Britannic Bold" panose="020B0903060703020204" pitchFamily="34" charset="0"/>
              </a:endParaRPr>
            </a:p>
          </xdr:txBody>
        </xdr:sp>
      </mc:Choice>
      <mc:Fallback xmlns="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00000000-0008-0000-0700-000005000000}"/>
                </a:ext>
              </a:extLst>
            </xdr:cNvPr>
            <xdr:cNvSpPr txBox="1"/>
          </xdr:nvSpPr>
          <xdr:spPr>
            <a:xfrm>
              <a:off x="3123008" y="8347471"/>
              <a:ext cx="2070497" cy="629841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 anchorCtr="0">
              <a:noAutofit/>
            </a:bodyPr>
            <a:lstStyle/>
            <a:p>
              <a:pPr/>
              <a:r>
                <a:rPr lang="es-PE" sz="2000" b="1" i="0">
                  <a:solidFill>
                    <a:schemeClr val="tx1"/>
                  </a:solidFill>
                  <a:latin typeface="Cambria Math" panose="02040503050406030204" pitchFamily="18" charset="0"/>
                </a:rPr>
                <a:t>𝐕𝐅=𝐕𝐀(𝟏+𝐢)^𝐧</a:t>
              </a:r>
              <a:endParaRPr lang="es-PE" sz="2000" b="1" i="0">
                <a:solidFill>
                  <a:schemeClr val="tx1"/>
                </a:solidFill>
                <a:latin typeface="Britannic Bold" panose="020B0903060703020204" pitchFamily="34" charset="0"/>
              </a:endParaRPr>
            </a:p>
          </xdr:txBody>
        </xdr:sp>
      </mc:Fallback>
    </mc:AlternateContent>
    <xdr:clientData/>
  </xdr:oneCellAnchor>
  <xdr:oneCellAnchor>
    <xdr:from>
      <xdr:col>3</xdr:col>
      <xdr:colOff>804863</xdr:colOff>
      <xdr:row>43</xdr:row>
      <xdr:rowOff>155971</xdr:rowOff>
    </xdr:from>
    <xdr:ext cx="1353256" cy="51962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00000000-0008-0000-0700-000006000000}"/>
                </a:ext>
              </a:extLst>
            </xdr:cNvPr>
            <xdr:cNvSpPr txBox="1"/>
          </xdr:nvSpPr>
          <xdr:spPr>
            <a:xfrm>
              <a:off x="3557588" y="12681346"/>
              <a:ext cx="1353256" cy="519629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600" b="1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Arial Unicode MS" panose="020B0604020202020204" pitchFamily="34" charset="-128"/>
                        <a:cs typeface="Arial Unicode MS" panose="020B0604020202020204" pitchFamily="34" charset="-128"/>
                      </a:rPr>
                      <m:t>𝑽𝑨</m:t>
                    </m:r>
                    <m:r>
                      <a:rPr lang="es-PE" sz="1600" b="1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Arial Unicode MS" panose="020B0604020202020204" pitchFamily="34" charset="-128"/>
                        <a:cs typeface="Arial Unicode MS" panose="020B0604020202020204" pitchFamily="34" charset="-128"/>
                      </a:rPr>
                      <m:t>=</m:t>
                    </m:r>
                    <m:f>
                      <m:fPr>
                        <m:ctrlPr>
                          <a:rPr lang="es-PE" sz="1600" b="1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Arial Unicode MS" panose="020B0604020202020204" pitchFamily="34" charset="-128"/>
                            <a:cs typeface="Arial Unicode MS" panose="020B0604020202020204" pitchFamily="34" charset="-128"/>
                          </a:rPr>
                        </m:ctrlPr>
                      </m:fPr>
                      <m:num>
                        <m:r>
                          <a:rPr lang="es-PE" sz="1600" b="1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Arial Unicode MS" panose="020B0604020202020204" pitchFamily="34" charset="-128"/>
                            <a:cs typeface="Arial Unicode MS" panose="020B0604020202020204" pitchFamily="34" charset="-128"/>
                          </a:rPr>
                          <m:t>𝑽𝑭</m:t>
                        </m:r>
                      </m:num>
                      <m:den>
                        <m:sSup>
                          <m:sSupPr>
                            <m:ctrlPr>
                              <a:rPr lang="es-PE" sz="1600" b="1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Arial Unicode MS" panose="020B0604020202020204" pitchFamily="34" charset="-128"/>
                                <a:cs typeface="Arial Unicode MS" panose="020B0604020202020204" pitchFamily="34" charset="-128"/>
                              </a:rPr>
                            </m:ctrlPr>
                          </m:sSupPr>
                          <m:e>
                            <m:r>
                              <a:rPr lang="es-PE" sz="1600" b="1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Arial Unicode MS" panose="020B0604020202020204" pitchFamily="34" charset="-128"/>
                                <a:cs typeface="Arial Unicode MS" panose="020B0604020202020204" pitchFamily="34" charset="-128"/>
                              </a:rPr>
                              <m:t>(</m:t>
                            </m:r>
                            <m:r>
                              <a:rPr lang="es-PE" sz="1600" b="1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Arial Unicode MS" panose="020B0604020202020204" pitchFamily="34" charset="-128"/>
                                <a:cs typeface="Arial Unicode MS" panose="020B0604020202020204" pitchFamily="34" charset="-128"/>
                              </a:rPr>
                              <m:t>𝟏</m:t>
                            </m:r>
                            <m:r>
                              <a:rPr lang="es-PE" sz="1600" b="1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Arial Unicode MS" panose="020B0604020202020204" pitchFamily="34" charset="-128"/>
                                <a:cs typeface="Arial Unicode MS" panose="020B0604020202020204" pitchFamily="34" charset="-128"/>
                              </a:rPr>
                              <m:t>+</m:t>
                            </m:r>
                            <m:r>
                              <a:rPr lang="es-PE" sz="1600" b="1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Arial Unicode MS" panose="020B0604020202020204" pitchFamily="34" charset="-128"/>
                                <a:cs typeface="Arial Unicode MS" panose="020B0604020202020204" pitchFamily="34" charset="-128"/>
                              </a:rPr>
                              <m:t>𝒊</m:t>
                            </m:r>
                            <m:r>
                              <a:rPr lang="es-PE" sz="1600" b="1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Arial Unicode MS" panose="020B0604020202020204" pitchFamily="34" charset="-128"/>
                                <a:cs typeface="Arial Unicode MS" panose="020B0604020202020204" pitchFamily="34" charset="-128"/>
                              </a:rPr>
                              <m:t>)</m:t>
                            </m:r>
                          </m:e>
                          <m:sup>
                            <m:r>
                              <a:rPr lang="es-PE" sz="1600" b="1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Arial Unicode MS" panose="020B0604020202020204" pitchFamily="34" charset="-128"/>
                                <a:cs typeface="Arial Unicode MS" panose="020B0604020202020204" pitchFamily="34" charset="-128"/>
                              </a:rPr>
                              <m:t>𝒏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s-PE" sz="1600" b="1" i="0">
                <a:solidFill>
                  <a:srgbClr val="002060"/>
                </a:solidFill>
                <a:latin typeface="Arial Unicode MS" panose="020B0604020202020204" pitchFamily="34" charset="-128"/>
                <a:ea typeface="Arial Unicode MS" panose="020B0604020202020204" pitchFamily="34" charset="-128"/>
                <a:cs typeface="Arial Unicode MS" panose="020B0604020202020204" pitchFamily="34" charset="-128"/>
              </a:endParaRPr>
            </a:p>
          </xdr:txBody>
        </xdr:sp>
      </mc:Choice>
      <mc:Fallback xmlns="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00000000-0008-0000-0700-000006000000}"/>
                </a:ext>
              </a:extLst>
            </xdr:cNvPr>
            <xdr:cNvSpPr txBox="1"/>
          </xdr:nvSpPr>
          <xdr:spPr>
            <a:xfrm>
              <a:off x="3557588" y="12681346"/>
              <a:ext cx="1353256" cy="519629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1600" b="1" i="0">
                  <a:solidFill>
                    <a:schemeClr val="tx1"/>
                  </a:solidFill>
                  <a:latin typeface="Cambria Math" panose="02040503050406030204" pitchFamily="18" charset="0"/>
                  <a:ea typeface="Arial Unicode MS" panose="020B0604020202020204" pitchFamily="34" charset="-128"/>
                  <a:cs typeface="Arial Unicode MS" panose="020B0604020202020204" pitchFamily="34" charset="-128"/>
                </a:rPr>
                <a:t>𝑽𝑨=𝑽𝑭/〖(𝟏+𝒊)〗^𝒏 </a:t>
              </a:r>
              <a:endParaRPr lang="es-PE" sz="1600" b="1" i="0">
                <a:solidFill>
                  <a:srgbClr val="002060"/>
                </a:solidFill>
                <a:latin typeface="Arial Unicode MS" panose="020B0604020202020204" pitchFamily="34" charset="-128"/>
                <a:ea typeface="Arial Unicode MS" panose="020B0604020202020204" pitchFamily="34" charset="-128"/>
                <a:cs typeface="Arial Unicode MS" panose="020B0604020202020204" pitchFamily="34" charset="-128"/>
              </a:endParaRPr>
            </a:p>
          </xdr:txBody>
        </xdr:sp>
      </mc:Fallback>
    </mc:AlternateContent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346B5F-B5AA-4199-9124-EA4122131406}" name="libre" displayName="libre" ref="G11:M99" totalsRowShown="0" headerRowDxfId="0" dataDxfId="1" tableBorderDxfId="9">
  <autoFilter ref="G11:M99" xr:uid="{00346B5F-B5AA-4199-9124-EA4122131406}"/>
  <tableColumns count="7">
    <tableColumn id="1" xr3:uid="{54519A57-FBC1-4702-B0D6-BF3A49B77034}" name="Cliente" dataDxfId="8"/>
    <tableColumn id="2" xr3:uid="{513F86D7-45C9-42CB-94E8-152446ED205B}" name="Librerias" dataDxfId="7"/>
    <tableColumn id="3" xr3:uid="{4C124013-AD4B-42CA-8CC9-A75EAD2318A7}" name="Producto" dataDxfId="6"/>
    <tableColumn id="4" xr3:uid="{DD0C9296-C302-4A00-84F4-1D061F0AFBE7}" name="Localidad" dataDxfId="5"/>
    <tableColumn id="5" xr3:uid="{94DE2E16-E89D-48B7-8935-8DC0828B0B57}" name="Importe de Compra" dataDxfId="4"/>
    <tableColumn id="6" xr3:uid="{C943AD7F-1F9A-4EE6-AC22-F7A6EBF275EC}" name="IGV" dataDxfId="3">
      <calculatedColumnFormula>K12*0.18</calculatedColumnFormula>
    </tableColumn>
    <tableColumn id="7" xr3:uid="{CCAE2BDA-DDD2-4B5A-BB09-C9CCB034C307}" name="Total de Compras" dataDxfId="2">
      <calculatedColumnFormula>K12+L12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:Q30"/>
  <sheetViews>
    <sheetView zoomScaleNormal="100" workbookViewId="0">
      <selection activeCell="C9" sqref="C9:E9"/>
    </sheetView>
  </sheetViews>
  <sheetFormatPr baseColWidth="10" defaultColWidth="0" defaultRowHeight="13.2" zeroHeight="1"/>
  <cols>
    <col min="1" max="1" width="2" style="1" customWidth="1"/>
    <col min="2" max="2" width="11.44140625" style="1" customWidth="1"/>
    <col min="3" max="3" width="8.109375" style="1" customWidth="1"/>
    <col min="4" max="4" width="15.33203125" style="1" customWidth="1"/>
    <col min="5" max="5" width="15.5546875" style="1" customWidth="1"/>
    <col min="6" max="6" width="1" style="1" customWidth="1"/>
    <col min="7" max="7" width="11.44140625" style="1" customWidth="1"/>
    <col min="8" max="8" width="13" style="1" customWidth="1"/>
    <col min="9" max="9" width="14.33203125" style="1" customWidth="1"/>
    <col min="10" max="10" width="1" style="1" customWidth="1"/>
    <col min="11" max="11" width="11.44140625" style="1" customWidth="1"/>
    <col min="12" max="12" width="14.109375" style="1" customWidth="1"/>
    <col min="13" max="13" width="17.33203125" style="1" customWidth="1"/>
    <col min="14" max="14" width="14" style="1" customWidth="1"/>
    <col min="15" max="17" width="0" style="1" hidden="1" customWidth="1"/>
    <col min="18" max="16384" width="11.44140625" style="1" hidden="1"/>
  </cols>
  <sheetData>
    <row r="1" spans="2:17"/>
    <row r="2" spans="2:17"/>
    <row r="3" spans="2:17"/>
    <row r="4" spans="2:17"/>
    <row r="5" spans="2:17"/>
    <row r="6" spans="2:17"/>
    <row r="7" spans="2:17" ht="2.1" customHeight="1">
      <c r="B7" s="65"/>
      <c r="C7" s="65"/>
      <c r="D7" s="65"/>
      <c r="E7" s="65"/>
      <c r="G7" s="65"/>
      <c r="H7" s="65"/>
      <c r="I7" s="65"/>
      <c r="K7" s="65"/>
      <c r="L7" s="65"/>
      <c r="M7" s="65"/>
      <c r="N7" s="65"/>
    </row>
    <row r="8" spans="2:17" ht="2.1" customHeight="1"/>
    <row r="9" spans="2:17" ht="50.1" customHeight="1">
      <c r="C9" s="273" t="s">
        <v>5</v>
      </c>
      <c r="D9" s="273"/>
      <c r="E9" s="273"/>
      <c r="F9" s="64"/>
      <c r="G9" s="273" t="s">
        <v>251</v>
      </c>
      <c r="H9" s="273"/>
      <c r="I9" s="273"/>
      <c r="J9" s="64"/>
      <c r="K9" s="273" t="s">
        <v>6</v>
      </c>
      <c r="L9" s="273"/>
      <c r="M9" s="273"/>
      <c r="Q9"/>
    </row>
    <row r="10" spans="2:17" ht="4.8" customHeight="1"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</row>
    <row r="11" spans="2:17" ht="50.1" customHeight="1">
      <c r="C11" s="274" t="s">
        <v>7</v>
      </c>
      <c r="D11" s="274"/>
      <c r="E11" s="274"/>
      <c r="F11" s="64"/>
      <c r="G11" s="274" t="s">
        <v>8</v>
      </c>
      <c r="H11" s="274"/>
      <c r="I11" s="274"/>
      <c r="J11" s="64"/>
      <c r="K11" s="272" t="s">
        <v>9</v>
      </c>
      <c r="L11" s="272"/>
      <c r="M11" s="272"/>
    </row>
    <row r="12" spans="2:17" ht="4.8" customHeight="1"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</row>
    <row r="13" spans="2:17" ht="2.1" customHeight="1"/>
    <row r="14" spans="2:17" ht="2.1" customHeight="1">
      <c r="B14" s="66"/>
      <c r="C14" s="66"/>
      <c r="D14" s="66"/>
      <c r="E14" s="66"/>
      <c r="G14" s="66"/>
      <c r="H14" s="66"/>
      <c r="I14" s="66"/>
      <c r="K14" s="65"/>
      <c r="L14" s="65"/>
      <c r="M14" s="65"/>
      <c r="N14" s="65"/>
    </row>
    <row r="15" spans="2:17" ht="8.4" customHeight="1"/>
    <row r="16" spans="2:17"/>
    <row r="30"/>
  </sheetData>
  <sheetProtection selectLockedCells="1"/>
  <mergeCells count="6">
    <mergeCell ref="K11:M11"/>
    <mergeCell ref="C9:E9"/>
    <mergeCell ref="G9:I9"/>
    <mergeCell ref="K9:M9"/>
    <mergeCell ref="C11:E11"/>
    <mergeCell ref="G11:I11"/>
  </mergeCells>
  <hyperlinks>
    <hyperlink ref="G9:I9" location="'Función Producto'!A1" display="Función producto" xr:uid="{00000000-0004-0000-0000-000001000000}"/>
    <hyperlink ref="K9:M9" location="'Función Potencia'!A1" display="Función Potencia" xr:uid="{00000000-0004-0000-0000-000002000000}"/>
    <hyperlink ref="C9:E9" location="'Función Suma'!A1" display="Función Suma" xr:uid="{00000000-0004-0000-0000-000004000000}"/>
    <hyperlink ref="C11:E11" location="'Función Redondear'!A1" display="Función Redondear" xr:uid="{00000000-0004-0000-0000-000005000000}"/>
    <hyperlink ref="G11:I11" location="'Función Sumar.Si'!A1" display="Función Sumar.Si" xr:uid="{00000000-0004-0000-0000-000006000000}"/>
    <hyperlink ref="K11:M11" location="'Función Sumar.Si.Conjunto'!A1" display="Función Sumar.Si.Conjunto" xr:uid="{00000000-0004-0000-0000-000007000000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B1:K74"/>
  <sheetViews>
    <sheetView topLeftCell="C55" zoomScale="115" zoomScaleNormal="115" workbookViewId="0">
      <selection activeCell="F73" sqref="F73"/>
    </sheetView>
  </sheetViews>
  <sheetFormatPr baseColWidth="10" defaultColWidth="11.44140625" defaultRowHeight="13.2"/>
  <cols>
    <col min="1" max="1" width="4.109375" style="17" customWidth="1"/>
    <col min="2" max="2" width="11.44140625" style="17"/>
    <col min="3" max="3" width="17.33203125" style="17" customWidth="1"/>
    <col min="4" max="4" width="25" style="17" customWidth="1"/>
    <col min="5" max="5" width="21.6640625" style="17" customWidth="1"/>
    <col min="6" max="7" width="19.44140625" style="17" bestFit="1" customWidth="1"/>
    <col min="8" max="8" width="19.6640625" style="17" customWidth="1"/>
    <col min="9" max="9" width="20.33203125" style="17" customWidth="1"/>
    <col min="10" max="10" width="19.44140625" style="17" bestFit="1" customWidth="1"/>
    <col min="11" max="16384" width="11.44140625" style="17"/>
  </cols>
  <sheetData>
    <row r="1" spans="2:11" s="67" customFormat="1" ht="34.200000000000003" customHeight="1">
      <c r="C1" s="68"/>
      <c r="D1" s="69"/>
      <c r="E1" s="69"/>
      <c r="F1" s="69"/>
      <c r="G1" s="281" t="s">
        <v>201</v>
      </c>
      <c r="H1" s="281"/>
      <c r="I1" s="69"/>
      <c r="J1" s="69"/>
    </row>
    <row r="2" spans="2:11" ht="26.4" customHeight="1"/>
    <row r="3" spans="2:11" ht="30" customHeight="1">
      <c r="B3" s="132" t="s">
        <v>68</v>
      </c>
      <c r="C3" s="133"/>
      <c r="D3" s="18"/>
      <c r="E3" s="18"/>
    </row>
    <row r="4" spans="2:11" ht="6.75" customHeight="1">
      <c r="B4" s="19"/>
      <c r="C4" s="18"/>
      <c r="D4" s="18"/>
      <c r="E4" s="18"/>
    </row>
    <row r="5" spans="2:11" ht="20.100000000000001" customHeight="1">
      <c r="B5" s="20"/>
      <c r="C5" s="135" t="s">
        <v>69</v>
      </c>
      <c r="D5" s="21"/>
      <c r="E5" s="22"/>
    </row>
    <row r="6" spans="2:11" ht="20.100000000000001" customHeight="1">
      <c r="B6" s="20"/>
      <c r="C6" s="136" t="s">
        <v>70</v>
      </c>
      <c r="D6" s="23"/>
      <c r="E6" s="24"/>
    </row>
    <row r="7" spans="2:11" ht="20.100000000000001" customHeight="1">
      <c r="B7" s="20"/>
      <c r="C7" s="137" t="s">
        <v>71</v>
      </c>
      <c r="D7" s="25"/>
      <c r="E7" s="26"/>
    </row>
    <row r="8" spans="2:11" ht="12" customHeight="1"/>
    <row r="9" spans="2:11" ht="30" customHeight="1">
      <c r="C9" s="134" t="s">
        <v>3</v>
      </c>
      <c r="D9" s="138" t="s">
        <v>237</v>
      </c>
      <c r="E9" s="3"/>
      <c r="F9" s="4"/>
      <c r="G9" s="2"/>
      <c r="H9" s="2"/>
      <c r="I9" s="2"/>
      <c r="J9" s="2"/>
      <c r="K9" s="2"/>
    </row>
    <row r="10" spans="2:11" ht="9" customHeight="1"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2:11" ht="30" customHeight="1">
      <c r="B11" s="2"/>
      <c r="C11" s="2"/>
      <c r="D11" s="277" t="s">
        <v>34</v>
      </c>
      <c r="E11" s="277"/>
      <c r="F11" s="277"/>
      <c r="G11" s="277"/>
      <c r="H11" s="277"/>
      <c r="I11" s="277"/>
      <c r="J11" s="2"/>
      <c r="K11" s="2"/>
    </row>
    <row r="12" spans="2:11" ht="30" customHeight="1" thickBot="1">
      <c r="B12" s="2"/>
      <c r="C12" s="2"/>
      <c r="D12" s="5"/>
      <c r="E12" s="5"/>
      <c r="F12" s="5"/>
      <c r="G12" s="5"/>
      <c r="H12" s="5"/>
      <c r="I12" s="5"/>
      <c r="J12" s="2"/>
      <c r="K12" s="2"/>
    </row>
    <row r="13" spans="2:11" ht="34.799999999999997" customHeight="1">
      <c r="B13" s="2"/>
      <c r="C13" s="2"/>
      <c r="D13" s="278" t="s">
        <v>35</v>
      </c>
      <c r="E13" s="279"/>
      <c r="F13" s="6"/>
      <c r="G13" s="5"/>
      <c r="H13" s="280" t="s">
        <v>36</v>
      </c>
      <c r="I13" s="279"/>
      <c r="J13" s="2"/>
      <c r="K13" s="2"/>
    </row>
    <row r="14" spans="2:11" ht="30" customHeight="1">
      <c r="B14" s="2"/>
      <c r="C14" s="2"/>
      <c r="D14" s="139" t="s">
        <v>37</v>
      </c>
      <c r="E14" s="140">
        <v>0.05</v>
      </c>
      <c r="F14" s="5"/>
      <c r="G14" s="5"/>
      <c r="H14" s="139" t="s">
        <v>38</v>
      </c>
      <c r="I14" s="140">
        <v>0.02</v>
      </c>
      <c r="J14" s="2"/>
      <c r="K14" s="2"/>
    </row>
    <row r="15" spans="2:11" ht="30" customHeight="1" thickBot="1">
      <c r="B15" s="2"/>
      <c r="C15" s="2"/>
      <c r="D15" s="139" t="s">
        <v>39</v>
      </c>
      <c r="E15" s="140">
        <v>0.08</v>
      </c>
      <c r="F15" s="5"/>
      <c r="G15" s="5"/>
      <c r="H15" s="141" t="s">
        <v>40</v>
      </c>
      <c r="I15" s="142">
        <v>0.03</v>
      </c>
      <c r="J15" s="2"/>
      <c r="K15" s="2"/>
    </row>
    <row r="16" spans="2:11" ht="30" customHeight="1">
      <c r="B16" s="2"/>
      <c r="C16" s="2"/>
      <c r="D16" s="139" t="s">
        <v>41</v>
      </c>
      <c r="E16" s="140">
        <v>0.03</v>
      </c>
      <c r="F16" s="5"/>
      <c r="G16" s="5"/>
      <c r="H16" s="5"/>
      <c r="I16" s="5"/>
      <c r="J16" s="2"/>
      <c r="K16" s="2"/>
    </row>
    <row r="17" spans="2:11" ht="30" customHeight="1" thickBot="1">
      <c r="B17" s="2"/>
      <c r="C17" s="2"/>
      <c r="D17" s="141" t="s">
        <v>42</v>
      </c>
      <c r="E17" s="142">
        <v>0.04</v>
      </c>
      <c r="F17" s="5"/>
      <c r="G17" s="63"/>
      <c r="H17" s="5"/>
      <c r="I17" s="5"/>
      <c r="J17" s="2"/>
      <c r="K17" s="2"/>
    </row>
    <row r="18" spans="2:11" ht="30" customHeight="1">
      <c r="B18" s="2"/>
      <c r="C18" s="2"/>
      <c r="D18" s="5"/>
      <c r="E18" s="5"/>
      <c r="F18" s="5"/>
      <c r="G18" s="5"/>
      <c r="H18" s="5"/>
      <c r="I18" s="5"/>
      <c r="J18" s="2"/>
      <c r="K18" s="2"/>
    </row>
    <row r="19" spans="2:11" ht="30" customHeight="1">
      <c r="B19" s="2"/>
      <c r="C19" s="2"/>
      <c r="D19" s="70" t="s">
        <v>43</v>
      </c>
      <c r="E19" s="71" t="s">
        <v>233</v>
      </c>
      <c r="F19" s="71" t="s">
        <v>44</v>
      </c>
      <c r="G19" s="71" t="s">
        <v>234</v>
      </c>
      <c r="H19" s="71" t="s">
        <v>45</v>
      </c>
      <c r="I19" s="71" t="s">
        <v>46</v>
      </c>
      <c r="J19" s="2"/>
      <c r="K19" s="2"/>
    </row>
    <row r="20" spans="2:11" ht="2.1" customHeight="1">
      <c r="B20" s="2"/>
      <c r="C20" s="2"/>
      <c r="D20" s="7"/>
      <c r="E20" s="7"/>
      <c r="F20" s="7"/>
      <c r="G20" s="7"/>
      <c r="H20" s="7"/>
      <c r="I20" s="7"/>
      <c r="J20" s="2"/>
      <c r="K20" s="2"/>
    </row>
    <row r="21" spans="2:11" ht="2.1" customHeight="1">
      <c r="B21" s="2"/>
      <c r="C21" s="2"/>
      <c r="D21" s="72"/>
      <c r="E21" s="72"/>
      <c r="F21" s="72"/>
      <c r="G21" s="72"/>
      <c r="H21" s="72"/>
      <c r="I21" s="72"/>
      <c r="J21" s="2"/>
      <c r="K21" s="2"/>
    </row>
    <row r="22" spans="2:11" ht="2.1" customHeight="1"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2:11" ht="30" customHeight="1">
      <c r="B23" s="2"/>
      <c r="C23" s="2"/>
      <c r="D23" s="143" t="s">
        <v>37</v>
      </c>
      <c r="E23" s="256">
        <v>65.150000000000006</v>
      </c>
      <c r="F23" s="257">
        <f>(1+$E14)*E23</f>
        <v>68.407500000000013</v>
      </c>
      <c r="G23" s="257">
        <f t="shared" ref="G23:H23" si="0">(1+$E14)*F23</f>
        <v>71.82787500000002</v>
      </c>
      <c r="H23" s="257">
        <f t="shared" si="0"/>
        <v>75.419268750000029</v>
      </c>
      <c r="I23" s="257">
        <f t="shared" ref="I23:I26" si="1">SUM(E23:H23)</f>
        <v>280.80464375000003</v>
      </c>
      <c r="J23" s="2"/>
      <c r="K23" s="2"/>
    </row>
    <row r="24" spans="2:11" ht="30" customHeight="1">
      <c r="B24" s="2"/>
      <c r="C24" s="2"/>
      <c r="D24" s="143" t="s">
        <v>39</v>
      </c>
      <c r="E24" s="256">
        <v>44.75</v>
      </c>
      <c r="F24" s="257">
        <f t="shared" ref="F24:H24" si="2">(1+$E15)*E24</f>
        <v>48.330000000000005</v>
      </c>
      <c r="G24" s="257">
        <f t="shared" si="2"/>
        <v>52.196400000000011</v>
      </c>
      <c r="H24" s="257">
        <f t="shared" si="2"/>
        <v>56.372112000000016</v>
      </c>
      <c r="I24" s="257">
        <f t="shared" si="1"/>
        <v>201.64851200000004</v>
      </c>
      <c r="J24" s="2"/>
      <c r="K24" s="2"/>
    </row>
    <row r="25" spans="2:11" ht="30" customHeight="1">
      <c r="B25" s="2"/>
      <c r="C25" s="2"/>
      <c r="D25" s="143" t="s">
        <v>41</v>
      </c>
      <c r="E25" s="256">
        <v>83.12</v>
      </c>
      <c r="F25" s="257">
        <f t="shared" ref="F25:H25" si="3">(1+$E16)*E25</f>
        <v>85.613600000000005</v>
      </c>
      <c r="G25" s="257">
        <f t="shared" si="3"/>
        <v>88.18200800000001</v>
      </c>
      <c r="H25" s="257">
        <f t="shared" si="3"/>
        <v>90.827468240000016</v>
      </c>
      <c r="I25" s="257">
        <f t="shared" si="1"/>
        <v>347.74307624000005</v>
      </c>
      <c r="J25" s="2"/>
      <c r="K25" s="2"/>
    </row>
    <row r="26" spans="2:11" ht="30" customHeight="1">
      <c r="B26" s="2"/>
      <c r="C26" s="2"/>
      <c r="D26" s="143" t="s">
        <v>42</v>
      </c>
      <c r="E26" s="256">
        <v>50.35</v>
      </c>
      <c r="F26" s="257">
        <f t="shared" ref="F26:H26" si="4">(1+$E17)*E26</f>
        <v>52.364000000000004</v>
      </c>
      <c r="G26" s="257">
        <f t="shared" si="4"/>
        <v>54.458560000000006</v>
      </c>
      <c r="H26" s="257">
        <f t="shared" si="4"/>
        <v>56.636902400000011</v>
      </c>
      <c r="I26" s="257">
        <f t="shared" si="1"/>
        <v>213.80946240000003</v>
      </c>
      <c r="J26" s="311"/>
      <c r="K26" s="2"/>
    </row>
    <row r="27" spans="2:11" ht="2.1" customHeight="1">
      <c r="B27" s="2"/>
      <c r="C27" s="2"/>
      <c r="D27" s="144"/>
      <c r="E27" s="144"/>
      <c r="F27" s="144"/>
      <c r="G27" s="144"/>
      <c r="H27" s="144"/>
      <c r="I27" s="144"/>
      <c r="J27" s="2"/>
      <c r="K27" s="2"/>
    </row>
    <row r="28" spans="2:11" ht="2.1" customHeight="1">
      <c r="B28" s="2"/>
      <c r="C28" s="2"/>
      <c r="D28" s="145"/>
      <c r="E28" s="145"/>
      <c r="F28" s="145"/>
      <c r="G28" s="145"/>
      <c r="H28" s="145"/>
      <c r="I28" s="145"/>
      <c r="J28" s="2"/>
      <c r="K28" s="2"/>
    </row>
    <row r="29" spans="2:11" ht="2.1" customHeight="1">
      <c r="B29" s="2"/>
      <c r="C29" s="2"/>
      <c r="D29" s="144"/>
      <c r="E29" s="144"/>
      <c r="F29" s="144"/>
      <c r="G29" s="144"/>
      <c r="H29" s="144"/>
      <c r="I29" s="144"/>
      <c r="J29" s="2"/>
      <c r="K29" s="2"/>
    </row>
    <row r="30" spans="2:11" ht="30" customHeight="1">
      <c r="B30" s="2"/>
      <c r="C30" s="2"/>
      <c r="D30" s="146" t="s">
        <v>47</v>
      </c>
      <c r="E30" s="246">
        <f>SUM(E23:E26)</f>
        <v>243.37</v>
      </c>
      <c r="F30" s="246">
        <f t="shared" ref="F30:I30" si="5">SUM(F23:F26)</f>
        <v>254.71510000000004</v>
      </c>
      <c r="G30" s="246">
        <f t="shared" si="5"/>
        <v>266.66484300000002</v>
      </c>
      <c r="H30" s="246">
        <f t="shared" si="5"/>
        <v>279.25575139000006</v>
      </c>
      <c r="I30" s="246">
        <f t="shared" si="5"/>
        <v>1044.0056943900001</v>
      </c>
      <c r="J30" s="2"/>
      <c r="K30" s="2"/>
    </row>
    <row r="31" spans="2:11" ht="2.1" customHeight="1">
      <c r="B31" s="2"/>
      <c r="C31" s="2"/>
      <c r="D31" s="147"/>
      <c r="E31" s="148"/>
      <c r="F31" s="148"/>
      <c r="G31" s="148"/>
      <c r="H31" s="148"/>
      <c r="I31" s="148"/>
      <c r="J31" s="2"/>
      <c r="K31" s="2"/>
    </row>
    <row r="32" spans="2:11" ht="2.1" customHeight="1">
      <c r="B32" s="2"/>
      <c r="C32" s="2"/>
      <c r="D32" s="145"/>
      <c r="E32" s="149"/>
      <c r="F32" s="149"/>
      <c r="G32" s="149"/>
      <c r="H32" s="149"/>
      <c r="I32" s="149"/>
      <c r="J32" s="2"/>
      <c r="K32" s="2"/>
    </row>
    <row r="33" spans="2:11" ht="2.1" customHeight="1">
      <c r="B33" s="2"/>
      <c r="C33" s="2"/>
      <c r="D33" s="144"/>
      <c r="E33" s="150"/>
      <c r="F33" s="150"/>
      <c r="G33" s="150"/>
      <c r="H33" s="150"/>
      <c r="I33" s="150"/>
      <c r="J33" s="2"/>
      <c r="K33" s="2"/>
    </row>
    <row r="34" spans="2:11" ht="30" customHeight="1">
      <c r="B34" s="2"/>
      <c r="C34" s="2"/>
      <c r="D34" s="151" t="s">
        <v>48</v>
      </c>
      <c r="E34" s="152">
        <v>12</v>
      </c>
      <c r="F34" s="247">
        <f>(1+$I14)*E34</f>
        <v>12.24</v>
      </c>
      <c r="G34" s="247">
        <f t="shared" ref="G34:I35" si="6">(1+$I14)*F34</f>
        <v>12.4848</v>
      </c>
      <c r="H34" s="247">
        <f t="shared" si="6"/>
        <v>12.734496</v>
      </c>
      <c r="I34" s="247">
        <f>SUM(E34:H34)</f>
        <v>49.459296000000002</v>
      </c>
      <c r="J34" s="2"/>
      <c r="K34" s="2"/>
    </row>
    <row r="35" spans="2:11" ht="30" customHeight="1">
      <c r="B35" s="2"/>
      <c r="C35" s="2"/>
      <c r="D35" s="151" t="s">
        <v>49</v>
      </c>
      <c r="E35" s="152">
        <v>15.5</v>
      </c>
      <c r="F35" s="247">
        <f>(1+$I15)*E35</f>
        <v>15.965</v>
      </c>
      <c r="G35" s="247">
        <f t="shared" si="6"/>
        <v>16.443950000000001</v>
      </c>
      <c r="H35" s="247">
        <f t="shared" si="6"/>
        <v>16.937268500000002</v>
      </c>
      <c r="I35" s="247">
        <f>SUM(E35:H35)</f>
        <v>64.846218500000006</v>
      </c>
      <c r="J35" s="2"/>
      <c r="K35" s="2"/>
    </row>
    <row r="36" spans="2:11" ht="2.1" customHeight="1">
      <c r="B36" s="2"/>
      <c r="C36" s="2"/>
      <c r="D36" s="144"/>
      <c r="E36" s="248"/>
      <c r="F36" s="248"/>
      <c r="G36" s="248"/>
      <c r="H36" s="248"/>
      <c r="I36" s="248"/>
      <c r="J36" s="2"/>
      <c r="K36" s="2"/>
    </row>
    <row r="37" spans="2:11" ht="2.1" customHeight="1">
      <c r="B37" s="2"/>
      <c r="C37" s="2"/>
      <c r="D37" s="145"/>
      <c r="E37" s="249"/>
      <c r="F37" s="249"/>
      <c r="G37" s="249"/>
      <c r="H37" s="249"/>
      <c r="I37" s="249"/>
      <c r="J37" s="2"/>
      <c r="K37" s="2"/>
    </row>
    <row r="38" spans="2:11" ht="2.1" customHeight="1">
      <c r="B38" s="2"/>
      <c r="C38" s="2"/>
      <c r="D38" s="144"/>
      <c r="E38" s="248"/>
      <c r="F38" s="248"/>
      <c r="G38" s="248"/>
      <c r="H38" s="248"/>
      <c r="I38" s="248"/>
      <c r="J38" s="2"/>
      <c r="K38" s="2"/>
    </row>
    <row r="39" spans="2:11" ht="30" customHeight="1">
      <c r="B39" s="2"/>
      <c r="C39" s="2"/>
      <c r="D39" s="146" t="s">
        <v>50</v>
      </c>
      <c r="E39" s="246">
        <f>SUM(E34:E35)</f>
        <v>27.5</v>
      </c>
      <c r="F39" s="246">
        <f t="shared" ref="F39:I39" si="7">SUM(F34:F35)</f>
        <v>28.204999999999998</v>
      </c>
      <c r="G39" s="246">
        <f t="shared" si="7"/>
        <v>28.928750000000001</v>
      </c>
      <c r="H39" s="246">
        <f t="shared" si="7"/>
        <v>29.671764500000002</v>
      </c>
      <c r="I39" s="246">
        <f t="shared" si="7"/>
        <v>114.30551450000002</v>
      </c>
      <c r="J39" s="2"/>
      <c r="K39" s="2"/>
    </row>
    <row r="40" spans="2:11" ht="2.1" customHeight="1">
      <c r="B40" s="2"/>
      <c r="C40" s="2"/>
      <c r="D40" s="144"/>
      <c r="E40" s="248"/>
      <c r="F40" s="248"/>
      <c r="G40" s="248"/>
      <c r="H40" s="248"/>
      <c r="I40" s="248"/>
      <c r="J40" s="2"/>
      <c r="K40" s="2"/>
    </row>
    <row r="41" spans="2:11" ht="2.1" customHeight="1">
      <c r="B41" s="2"/>
      <c r="C41" s="2"/>
      <c r="D41" s="145"/>
      <c r="E41" s="249"/>
      <c r="F41" s="249"/>
      <c r="G41" s="249"/>
      <c r="H41" s="249"/>
      <c r="I41" s="249"/>
      <c r="J41" s="2"/>
      <c r="K41" s="2"/>
    </row>
    <row r="42" spans="2:11" ht="2.1" customHeight="1">
      <c r="B42" s="2"/>
      <c r="C42" s="2"/>
      <c r="D42" s="144"/>
      <c r="E42" s="248"/>
      <c r="F42" s="248"/>
      <c r="G42" s="248"/>
      <c r="H42" s="248"/>
      <c r="I42" s="248"/>
      <c r="J42" s="2"/>
      <c r="K42" s="2"/>
    </row>
    <row r="43" spans="2:11" ht="30" customHeight="1">
      <c r="B43" s="2"/>
      <c r="C43" s="2"/>
      <c r="D43" s="153" t="s">
        <v>51</v>
      </c>
      <c r="E43" s="250">
        <f>E30-E39</f>
        <v>215.87</v>
      </c>
      <c r="F43" s="250">
        <f>F30-F39</f>
        <v>226.51010000000002</v>
      </c>
      <c r="G43" s="250">
        <f>G30-G39</f>
        <v>237.73609300000001</v>
      </c>
      <c r="H43" s="250">
        <f>H30-H39</f>
        <v>249.58398689000006</v>
      </c>
      <c r="I43" s="250">
        <f>I30-I39</f>
        <v>929.70017989000007</v>
      </c>
      <c r="J43" s="2"/>
      <c r="K43" s="2"/>
    </row>
    <row r="44" spans="2:11" ht="30" customHeight="1">
      <c r="B44" s="2"/>
      <c r="C44" s="2"/>
      <c r="D44" s="154" t="s">
        <v>52</v>
      </c>
      <c r="E44" s="246">
        <f>SUM(E43:H43)</f>
        <v>929.70017989000007</v>
      </c>
      <c r="F44" s="246"/>
      <c r="G44" s="246"/>
      <c r="H44" s="246"/>
      <c r="I44" s="246"/>
      <c r="J44" s="2"/>
      <c r="K44" s="2"/>
    </row>
    <row r="45" spans="2:11" ht="2.1" customHeight="1"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2:11" ht="2.1" customHeight="1">
      <c r="B46" s="2"/>
      <c r="C46" s="2"/>
      <c r="D46" s="72"/>
      <c r="E46" s="72"/>
      <c r="F46" s="72"/>
      <c r="G46" s="72"/>
      <c r="H46" s="72"/>
      <c r="I46" s="72"/>
      <c r="J46" s="2"/>
      <c r="K46" s="2"/>
    </row>
    <row r="47" spans="2:11" ht="2.1" customHeight="1"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2:11" ht="30" customHeight="1"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2:11" ht="30" customHeight="1">
      <c r="B49" s="275" t="s">
        <v>67</v>
      </c>
      <c r="C49" s="276"/>
      <c r="D49" s="138" t="s">
        <v>238</v>
      </c>
      <c r="E49" s="3"/>
      <c r="F49" s="3"/>
      <c r="G49" s="14"/>
      <c r="H49" s="2"/>
      <c r="I49" s="2"/>
      <c r="J49" s="2"/>
      <c r="K49" s="2"/>
    </row>
    <row r="50" spans="2:11" ht="30" customHeight="1" thickBot="1"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2:11" ht="55.5" customHeight="1">
      <c r="B51" s="2"/>
      <c r="C51" s="2"/>
      <c r="D51" s="15"/>
      <c r="E51" s="73" t="s">
        <v>53</v>
      </c>
      <c r="F51" s="74" t="s">
        <v>54</v>
      </c>
      <c r="G51" s="74" t="s">
        <v>55</v>
      </c>
      <c r="H51" s="74" t="s">
        <v>56</v>
      </c>
      <c r="I51" s="74" t="s">
        <v>57</v>
      </c>
      <c r="J51" s="75" t="s">
        <v>58</v>
      </c>
      <c r="K51" s="2"/>
    </row>
    <row r="52" spans="2:11" ht="2.1" customHeight="1">
      <c r="B52" s="2"/>
      <c r="C52" s="2"/>
      <c r="D52" s="16"/>
      <c r="E52" s="9"/>
      <c r="F52" s="11"/>
      <c r="G52" s="8"/>
      <c r="H52" s="8"/>
      <c r="I52" s="8"/>
      <c r="J52" s="8"/>
      <c r="K52" s="2"/>
    </row>
    <row r="53" spans="2:11" ht="2.1" customHeight="1">
      <c r="B53" s="2"/>
      <c r="C53" s="2"/>
      <c r="D53" s="16"/>
      <c r="E53" s="79"/>
      <c r="F53" s="80"/>
      <c r="G53" s="79"/>
      <c r="H53" s="79"/>
      <c r="I53" s="80"/>
      <c r="J53" s="81"/>
      <c r="K53" s="2"/>
    </row>
    <row r="54" spans="2:11" ht="2.1" customHeight="1">
      <c r="B54" s="2"/>
      <c r="C54" s="2"/>
      <c r="D54" s="16"/>
      <c r="E54" s="10"/>
      <c r="F54" s="12"/>
      <c r="G54" s="13"/>
      <c r="H54" s="13"/>
      <c r="I54" s="13"/>
      <c r="J54" s="13"/>
      <c r="K54" s="2"/>
    </row>
    <row r="55" spans="2:11" ht="30" customHeight="1">
      <c r="B55" s="2"/>
      <c r="C55" s="2"/>
      <c r="D55" s="155" t="s">
        <v>59</v>
      </c>
      <c r="E55" s="156">
        <v>18900</v>
      </c>
      <c r="F55" s="157">
        <v>18750</v>
      </c>
      <c r="G55" s="157">
        <v>22526</v>
      </c>
      <c r="H55" s="157">
        <v>19526</v>
      </c>
      <c r="I55" s="157">
        <v>18963</v>
      </c>
      <c r="J55" s="158">
        <v>19636</v>
      </c>
      <c r="K55" s="2"/>
    </row>
    <row r="56" spans="2:11" ht="30" customHeight="1">
      <c r="B56" s="2"/>
      <c r="C56" s="2"/>
      <c r="D56" s="159" t="s">
        <v>60</v>
      </c>
      <c r="E56" s="156">
        <v>3000</v>
      </c>
      <c r="F56" s="157">
        <v>3000</v>
      </c>
      <c r="G56" s="157">
        <v>3000</v>
      </c>
      <c r="H56" s="157">
        <v>3000</v>
      </c>
      <c r="I56" s="157">
        <v>3000</v>
      </c>
      <c r="J56" s="158">
        <v>3000</v>
      </c>
      <c r="K56" s="2"/>
    </row>
    <row r="57" spans="2:11" ht="30" customHeight="1">
      <c r="B57" s="2"/>
      <c r="C57" s="2"/>
      <c r="D57" s="160" t="s">
        <v>61</v>
      </c>
      <c r="E57" s="156">
        <v>18000</v>
      </c>
      <c r="F57" s="157">
        <v>1652</v>
      </c>
      <c r="G57" s="157">
        <v>2365</v>
      </c>
      <c r="H57" s="157">
        <v>1635</v>
      </c>
      <c r="I57" s="157">
        <v>1869</v>
      </c>
      <c r="J57" s="158">
        <v>1365</v>
      </c>
      <c r="K57" s="2"/>
    </row>
    <row r="58" spans="2:11" ht="15" customHeight="1">
      <c r="B58" s="2"/>
      <c r="D58" s="161"/>
      <c r="E58" s="161"/>
      <c r="F58" s="161"/>
      <c r="G58" s="161"/>
      <c r="H58" s="161"/>
      <c r="I58" s="161"/>
      <c r="J58" s="161"/>
    </row>
    <row r="59" spans="2:11" ht="30" customHeight="1">
      <c r="B59" s="2"/>
      <c r="C59" s="2"/>
      <c r="D59" s="160" t="s">
        <v>62</v>
      </c>
      <c r="E59" s="156">
        <v>13965</v>
      </c>
      <c r="F59" s="157">
        <v>12398</v>
      </c>
      <c r="G59" s="157">
        <v>13687</v>
      </c>
      <c r="H59" s="157">
        <v>15638</v>
      </c>
      <c r="I59" s="157">
        <v>14635</v>
      </c>
      <c r="J59" s="158">
        <v>12563</v>
      </c>
      <c r="K59" s="2"/>
    </row>
    <row r="60" spans="2:11" ht="30" customHeight="1">
      <c r="B60" s="2"/>
      <c r="C60" s="2"/>
      <c r="D60" s="162" t="s">
        <v>63</v>
      </c>
      <c r="E60" s="156">
        <v>1365</v>
      </c>
      <c r="F60" s="157">
        <v>1698</v>
      </c>
      <c r="G60" s="157">
        <v>1639</v>
      </c>
      <c r="H60" s="157">
        <v>1785</v>
      </c>
      <c r="I60" s="157">
        <v>1365</v>
      </c>
      <c r="J60" s="158">
        <v>1478</v>
      </c>
      <c r="K60" s="2"/>
    </row>
    <row r="61" spans="2:11" ht="2.1" customHeight="1">
      <c r="B61" s="2"/>
      <c r="C61" s="2"/>
      <c r="D61" s="161"/>
      <c r="E61" s="161"/>
      <c r="F61" s="161"/>
      <c r="G61" s="161"/>
      <c r="H61" s="161"/>
      <c r="I61" s="161"/>
      <c r="J61" s="161"/>
    </row>
    <row r="62" spans="2:11" ht="2.1" customHeight="1">
      <c r="B62" s="2"/>
      <c r="C62" s="2"/>
      <c r="D62" s="163"/>
      <c r="E62" s="164"/>
      <c r="F62" s="165"/>
      <c r="G62" s="165"/>
      <c r="H62" s="165"/>
      <c r="I62" s="165"/>
      <c r="J62" s="166"/>
      <c r="K62" s="2"/>
    </row>
    <row r="63" spans="2:11" ht="2.1" customHeight="1">
      <c r="B63" s="2"/>
      <c r="D63" s="161"/>
      <c r="E63" s="161"/>
      <c r="F63" s="161"/>
      <c r="G63" s="161"/>
      <c r="H63" s="161"/>
      <c r="I63" s="161"/>
      <c r="J63" s="161"/>
    </row>
    <row r="64" spans="2:11" ht="30" customHeight="1">
      <c r="B64" s="2"/>
      <c r="C64" s="2"/>
      <c r="D64" s="155" t="s">
        <v>64</v>
      </c>
      <c r="E64" s="251">
        <f>SUM(E55:E57)</f>
        <v>39900</v>
      </c>
      <c r="F64" s="251">
        <f t="shared" ref="F64:J64" si="8">SUM(F55:F57)</f>
        <v>23402</v>
      </c>
      <c r="G64" s="251">
        <f t="shared" si="8"/>
        <v>27891</v>
      </c>
      <c r="H64" s="251">
        <f t="shared" si="8"/>
        <v>24161</v>
      </c>
      <c r="I64" s="251">
        <f t="shared" si="8"/>
        <v>23832</v>
      </c>
      <c r="J64" s="251">
        <f t="shared" si="8"/>
        <v>24001</v>
      </c>
      <c r="K64" s="2"/>
    </row>
    <row r="65" spans="2:11" ht="30" customHeight="1">
      <c r="B65" s="2"/>
      <c r="C65" s="2"/>
      <c r="D65" s="155" t="s">
        <v>65</v>
      </c>
      <c r="E65" s="251">
        <f>SUM(E59:E60)</f>
        <v>15330</v>
      </c>
      <c r="F65" s="251">
        <f t="shared" ref="F65:J65" si="9">SUM(F59:F60)</f>
        <v>14096</v>
      </c>
      <c r="G65" s="251">
        <f t="shared" si="9"/>
        <v>15326</v>
      </c>
      <c r="H65" s="251">
        <f t="shared" si="9"/>
        <v>17423</v>
      </c>
      <c r="I65" s="251">
        <f t="shared" si="9"/>
        <v>16000</v>
      </c>
      <c r="J65" s="251">
        <f t="shared" si="9"/>
        <v>14041</v>
      </c>
      <c r="K65" s="2"/>
    </row>
    <row r="66" spans="2:11" ht="3" customHeight="1">
      <c r="B66" s="2"/>
      <c r="C66" s="2"/>
      <c r="D66" s="163"/>
      <c r="E66" s="252"/>
      <c r="F66" s="252"/>
      <c r="G66" s="252"/>
      <c r="H66" s="252"/>
      <c r="I66" s="252"/>
      <c r="J66" s="252"/>
      <c r="K66" s="2"/>
    </row>
    <row r="67" spans="2:11" ht="2.1" customHeight="1">
      <c r="B67" s="2"/>
      <c r="C67" s="2"/>
      <c r="D67" s="144"/>
      <c r="E67" s="253"/>
      <c r="F67" s="254"/>
      <c r="G67" s="254"/>
      <c r="H67" s="254"/>
      <c r="I67" s="254"/>
      <c r="J67" s="255"/>
      <c r="K67" s="2"/>
    </row>
    <row r="68" spans="2:11" ht="3" customHeight="1">
      <c r="B68" s="2"/>
      <c r="C68" s="2"/>
      <c r="D68" s="144"/>
      <c r="E68" s="248"/>
      <c r="F68" s="248"/>
      <c r="G68" s="248"/>
      <c r="H68" s="248"/>
      <c r="I68" s="248"/>
      <c r="J68" s="248"/>
      <c r="K68" s="2"/>
    </row>
    <row r="69" spans="2:11" ht="30" customHeight="1">
      <c r="B69" s="2"/>
      <c r="C69" s="2"/>
      <c r="D69" s="167" t="s">
        <v>66</v>
      </c>
      <c r="E69" s="251">
        <f>E64-E65</f>
        <v>24570</v>
      </c>
      <c r="F69" s="251">
        <f t="shared" ref="F69:J69" si="10">F64-F65</f>
        <v>9306</v>
      </c>
      <c r="G69" s="251">
        <f t="shared" si="10"/>
        <v>12565</v>
      </c>
      <c r="H69" s="251">
        <f t="shared" si="10"/>
        <v>6738</v>
      </c>
      <c r="I69" s="251">
        <f t="shared" si="10"/>
        <v>7832</v>
      </c>
      <c r="J69" s="251">
        <f t="shared" si="10"/>
        <v>9960</v>
      </c>
      <c r="K69" s="2"/>
    </row>
    <row r="70" spans="2:11" ht="3" customHeight="1"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2:11" ht="2.1" customHeight="1">
      <c r="B71" s="2"/>
      <c r="C71" s="2"/>
      <c r="D71" s="2"/>
      <c r="E71" s="78"/>
      <c r="F71" s="77"/>
      <c r="G71" s="77"/>
      <c r="H71" s="77"/>
      <c r="I71" s="77"/>
      <c r="J71" s="76"/>
      <c r="K71" s="2"/>
    </row>
    <row r="72" spans="2:11" ht="2.1" customHeight="1"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2:11" ht="30" customHeight="1"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2:11" ht="30" customHeight="1">
      <c r="B74" s="2"/>
      <c r="C74" s="2"/>
      <c r="D74" s="2"/>
      <c r="E74" s="2"/>
      <c r="F74" s="2"/>
      <c r="G74" s="2"/>
      <c r="H74" s="2"/>
      <c r="I74" s="2"/>
      <c r="J74" s="2"/>
      <c r="K74" s="2"/>
    </row>
  </sheetData>
  <mergeCells count="5">
    <mergeCell ref="B49:C49"/>
    <mergeCell ref="D11:I11"/>
    <mergeCell ref="D13:E13"/>
    <mergeCell ref="H13:I13"/>
    <mergeCell ref="G1:H1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B1:N102"/>
  <sheetViews>
    <sheetView topLeftCell="E7" zoomScaleNormal="100" workbookViewId="0">
      <selection activeCell="K87" sqref="K87"/>
    </sheetView>
  </sheetViews>
  <sheetFormatPr baseColWidth="10" defaultColWidth="11.44140625" defaultRowHeight="13.2"/>
  <cols>
    <col min="1" max="1" width="4.109375" style="53" customWidth="1"/>
    <col min="2" max="2" width="11.44140625" style="53"/>
    <col min="3" max="3" width="17.33203125" style="53" customWidth="1"/>
    <col min="4" max="4" width="20.6640625" style="53" customWidth="1"/>
    <col min="5" max="5" width="31.109375" style="53" customWidth="1"/>
    <col min="6" max="6" width="20" style="53" customWidth="1"/>
    <col min="7" max="7" width="26.21875" style="53" bestFit="1" customWidth="1"/>
    <col min="8" max="8" width="18.33203125" style="53" customWidth="1"/>
    <col min="9" max="9" width="26.21875" style="53" bestFit="1" customWidth="1"/>
    <col min="10" max="10" width="23" style="53" bestFit="1" customWidth="1"/>
    <col min="11" max="11" width="24.6640625" style="53" bestFit="1" customWidth="1"/>
    <col min="12" max="13" width="26.21875" style="53" bestFit="1" customWidth="1"/>
    <col min="14" max="14" width="11.44140625" style="53"/>
    <col min="15" max="15" width="19.5546875" style="53" customWidth="1"/>
    <col min="16" max="16" width="16.33203125" style="53" customWidth="1"/>
    <col min="17" max="17" width="14.88671875" style="53" customWidth="1"/>
    <col min="18" max="18" width="13.109375" style="53" customWidth="1"/>
    <col min="19" max="26" width="15.6640625" style="53" customWidth="1"/>
    <col min="27" max="16384" width="11.44140625" style="53"/>
  </cols>
  <sheetData>
    <row r="1" spans="2:14" s="82" customFormat="1" ht="34.200000000000003" customHeight="1">
      <c r="C1" s="83"/>
      <c r="D1" s="84"/>
      <c r="E1" s="281" t="s">
        <v>202</v>
      </c>
      <c r="F1" s="281"/>
      <c r="G1" s="281"/>
      <c r="H1" s="85"/>
      <c r="I1" s="84"/>
      <c r="J1" s="84"/>
    </row>
    <row r="2" spans="2:14" ht="30" customHeight="1"/>
    <row r="3" spans="2:14" ht="30" customHeight="1">
      <c r="B3" s="132" t="s">
        <v>166</v>
      </c>
      <c r="C3" s="132"/>
      <c r="D3" s="18"/>
      <c r="E3" s="18"/>
    </row>
    <row r="4" spans="2:14" ht="6.75" customHeight="1">
      <c r="B4" s="19"/>
      <c r="C4" s="18"/>
      <c r="D4" s="18"/>
      <c r="E4" s="18"/>
    </row>
    <row r="5" spans="2:14" ht="20.100000000000001" customHeight="1">
      <c r="B5" s="20"/>
      <c r="C5" s="171" t="s">
        <v>167</v>
      </c>
      <c r="D5" s="21"/>
      <c r="E5" s="22"/>
    </row>
    <row r="6" spans="2:14" ht="20.100000000000001" customHeight="1">
      <c r="B6" s="20"/>
      <c r="C6" s="172" t="s">
        <v>70</v>
      </c>
      <c r="D6" s="23"/>
      <c r="E6" s="24"/>
    </row>
    <row r="7" spans="2:14" ht="20.100000000000001" customHeight="1">
      <c r="B7" s="20"/>
      <c r="C7" s="173" t="s">
        <v>72</v>
      </c>
      <c r="D7" s="25"/>
      <c r="E7" s="26"/>
    </row>
    <row r="8" spans="2:14" ht="12" customHeight="1"/>
    <row r="9" spans="2:14" ht="30" customHeight="1">
      <c r="C9" s="134" t="s">
        <v>3</v>
      </c>
      <c r="D9" s="138" t="s">
        <v>239</v>
      </c>
      <c r="E9" s="3"/>
      <c r="F9" s="4"/>
      <c r="G9" s="2"/>
      <c r="H9" s="2"/>
      <c r="I9" s="2"/>
      <c r="J9" s="2"/>
      <c r="K9" s="2"/>
      <c r="L9" s="2"/>
      <c r="M9" s="2"/>
      <c r="N9" s="2"/>
    </row>
    <row r="10" spans="2:14" ht="9" customHeight="1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2:14" ht="11.25" customHeight="1">
      <c r="B11" s="2"/>
      <c r="C11" s="2"/>
    </row>
    <row r="12" spans="2:14" ht="30" customHeight="1">
      <c r="B12" s="2"/>
      <c r="C12" s="2"/>
      <c r="D12" s="134" t="s">
        <v>93</v>
      </c>
      <c r="E12" s="86">
        <v>0.1</v>
      </c>
    </row>
    <row r="13" spans="2:14" ht="30" customHeight="1" thickBot="1">
      <c r="B13" s="2"/>
      <c r="C13" s="2"/>
    </row>
    <row r="14" spans="2:14" ht="30" customHeight="1" thickBot="1">
      <c r="B14" s="2"/>
      <c r="D14" s="88" t="s">
        <v>126</v>
      </c>
      <c r="E14" s="89" t="s">
        <v>127</v>
      </c>
      <c r="F14" s="89" t="s">
        <v>128</v>
      </c>
      <c r="G14" s="89" t="s">
        <v>93</v>
      </c>
      <c r="H14" s="90" t="s">
        <v>129</v>
      </c>
    </row>
    <row r="15" spans="2:14" ht="3" customHeight="1">
      <c r="B15" s="2"/>
    </row>
    <row r="16" spans="2:14" ht="2.1" customHeight="1">
      <c r="B16" s="2"/>
      <c r="D16" s="91"/>
      <c r="E16" s="92"/>
      <c r="F16" s="92"/>
      <c r="G16" s="92"/>
      <c r="H16" s="93"/>
    </row>
    <row r="17" spans="2:8" ht="2.1" customHeight="1">
      <c r="B17" s="2"/>
    </row>
    <row r="18" spans="2:8" ht="30" customHeight="1">
      <c r="B18" s="2"/>
      <c r="D18" s="174" t="s">
        <v>73</v>
      </c>
      <c r="E18" s="175" t="s">
        <v>74</v>
      </c>
      <c r="F18" s="258">
        <v>2500</v>
      </c>
      <c r="G18" s="259">
        <f>PRODUCT(F18,$E$12)</f>
        <v>250</v>
      </c>
      <c r="H18" s="259">
        <f>F18-G18</f>
        <v>2250</v>
      </c>
    </row>
    <row r="19" spans="2:8" ht="30" customHeight="1">
      <c r="B19" s="2"/>
      <c r="D19" s="174" t="s">
        <v>75</v>
      </c>
      <c r="E19" s="175" t="s">
        <v>76</v>
      </c>
      <c r="F19" s="258">
        <v>1200</v>
      </c>
      <c r="G19" s="259">
        <f t="shared" ref="G19:G30" si="0">PRODUCT(F19,$E$12)</f>
        <v>120</v>
      </c>
      <c r="H19" s="259">
        <f t="shared" ref="H19:H30" si="1">F19-G19</f>
        <v>1080</v>
      </c>
    </row>
    <row r="20" spans="2:8" ht="30" customHeight="1">
      <c r="B20" s="2"/>
      <c r="D20" s="174" t="s">
        <v>77</v>
      </c>
      <c r="E20" s="175" t="s">
        <v>78</v>
      </c>
      <c r="F20" s="258">
        <v>1800</v>
      </c>
      <c r="G20" s="259">
        <f t="shared" si="0"/>
        <v>180</v>
      </c>
      <c r="H20" s="259">
        <f t="shared" si="1"/>
        <v>1620</v>
      </c>
    </row>
    <row r="21" spans="2:8" ht="30" customHeight="1">
      <c r="B21" s="2"/>
      <c r="D21" s="174" t="s">
        <v>79</v>
      </c>
      <c r="E21" s="175" t="s">
        <v>80</v>
      </c>
      <c r="F21" s="258">
        <v>1500</v>
      </c>
      <c r="G21" s="259">
        <f t="shared" si="0"/>
        <v>150</v>
      </c>
      <c r="H21" s="259">
        <f t="shared" si="1"/>
        <v>1350</v>
      </c>
    </row>
    <row r="22" spans="2:8" ht="30" customHeight="1">
      <c r="B22" s="2"/>
      <c r="D22" s="174" t="s">
        <v>81</v>
      </c>
      <c r="E22" s="175" t="s">
        <v>82</v>
      </c>
      <c r="F22" s="258">
        <v>3450</v>
      </c>
      <c r="G22" s="259">
        <f t="shared" si="0"/>
        <v>345</v>
      </c>
      <c r="H22" s="259">
        <f t="shared" si="1"/>
        <v>3105</v>
      </c>
    </row>
    <row r="23" spans="2:8" ht="30" customHeight="1">
      <c r="B23" s="2"/>
      <c r="D23" s="174" t="s">
        <v>83</v>
      </c>
      <c r="E23" s="175" t="s">
        <v>84</v>
      </c>
      <c r="F23" s="258">
        <v>1000</v>
      </c>
      <c r="G23" s="259">
        <f t="shared" si="0"/>
        <v>100</v>
      </c>
      <c r="H23" s="259">
        <f t="shared" si="1"/>
        <v>900</v>
      </c>
    </row>
    <row r="24" spans="2:8" ht="30" customHeight="1">
      <c r="B24" s="2"/>
      <c r="D24" s="174" t="s">
        <v>85</v>
      </c>
      <c r="E24" s="175" t="s">
        <v>86</v>
      </c>
      <c r="F24" s="258">
        <v>1200</v>
      </c>
      <c r="G24" s="259">
        <f t="shared" si="0"/>
        <v>120</v>
      </c>
      <c r="H24" s="259">
        <f t="shared" si="1"/>
        <v>1080</v>
      </c>
    </row>
    <row r="25" spans="2:8" ht="30" customHeight="1">
      <c r="B25" s="2"/>
      <c r="D25" s="174" t="s">
        <v>87</v>
      </c>
      <c r="E25" s="175" t="s">
        <v>74</v>
      </c>
      <c r="F25" s="258">
        <v>2500</v>
      </c>
      <c r="G25" s="259">
        <f t="shared" si="0"/>
        <v>250</v>
      </c>
      <c r="H25" s="259">
        <f t="shared" si="1"/>
        <v>2250</v>
      </c>
    </row>
    <row r="26" spans="2:8" ht="30" customHeight="1">
      <c r="B26" s="2"/>
      <c r="D26" s="174" t="s">
        <v>88</v>
      </c>
      <c r="E26" s="175" t="s">
        <v>78</v>
      </c>
      <c r="F26" s="258">
        <v>1800</v>
      </c>
      <c r="G26" s="259">
        <f t="shared" si="0"/>
        <v>180</v>
      </c>
      <c r="H26" s="259">
        <f t="shared" si="1"/>
        <v>1620</v>
      </c>
    </row>
    <row r="27" spans="2:8" ht="30" customHeight="1">
      <c r="B27" s="2"/>
      <c r="D27" s="174" t="s">
        <v>89</v>
      </c>
      <c r="E27" s="175" t="s">
        <v>78</v>
      </c>
      <c r="F27" s="258">
        <v>1800</v>
      </c>
      <c r="G27" s="259">
        <f t="shared" si="0"/>
        <v>180</v>
      </c>
      <c r="H27" s="259">
        <f t="shared" si="1"/>
        <v>1620</v>
      </c>
    </row>
    <row r="28" spans="2:8" ht="30" customHeight="1">
      <c r="B28" s="2"/>
      <c r="D28" s="174" t="s">
        <v>90</v>
      </c>
      <c r="E28" s="175" t="s">
        <v>80</v>
      </c>
      <c r="F28" s="258">
        <v>1500</v>
      </c>
      <c r="G28" s="259">
        <f t="shared" si="0"/>
        <v>150</v>
      </c>
      <c r="H28" s="259">
        <f t="shared" si="1"/>
        <v>1350</v>
      </c>
    </row>
    <row r="29" spans="2:8" ht="30" customHeight="1">
      <c r="B29" s="2"/>
      <c r="D29" s="174" t="s">
        <v>91</v>
      </c>
      <c r="E29" s="175" t="s">
        <v>84</v>
      </c>
      <c r="F29" s="258">
        <v>1000</v>
      </c>
      <c r="G29" s="259">
        <f t="shared" si="0"/>
        <v>100</v>
      </c>
      <c r="H29" s="259">
        <f t="shared" si="1"/>
        <v>900</v>
      </c>
    </row>
    <row r="30" spans="2:8" ht="30" customHeight="1">
      <c r="B30" s="2"/>
      <c r="D30" s="174" t="s">
        <v>92</v>
      </c>
      <c r="E30" s="175" t="s">
        <v>82</v>
      </c>
      <c r="F30" s="258">
        <v>3450</v>
      </c>
      <c r="G30" s="259">
        <f t="shared" si="0"/>
        <v>345</v>
      </c>
      <c r="H30" s="259">
        <f t="shared" si="1"/>
        <v>3105</v>
      </c>
    </row>
    <row r="31" spans="2:8" ht="3" customHeight="1">
      <c r="B31" s="2"/>
      <c r="D31" s="177"/>
      <c r="E31" s="177"/>
      <c r="F31" s="177"/>
      <c r="G31" s="177"/>
      <c r="H31" s="177"/>
    </row>
    <row r="32" spans="2:8" ht="3" customHeight="1">
      <c r="B32" s="2"/>
      <c r="D32" s="178"/>
      <c r="E32" s="179"/>
      <c r="F32" s="179"/>
      <c r="G32" s="179"/>
      <c r="H32" s="180"/>
    </row>
    <row r="33" spans="2:13" ht="2.1" customHeight="1">
      <c r="B33" s="2"/>
      <c r="D33" s="177"/>
      <c r="E33" s="177"/>
      <c r="F33" s="181"/>
      <c r="G33" s="181"/>
      <c r="H33" s="181"/>
    </row>
    <row r="34" spans="2:13" ht="30" customHeight="1">
      <c r="B34" s="2"/>
      <c r="D34" s="182" t="s">
        <v>130</v>
      </c>
      <c r="E34" s="59"/>
      <c r="F34" s="260">
        <f>SUM(F18:F30)</f>
        <v>24700</v>
      </c>
      <c r="G34" s="260">
        <f t="shared" ref="G34:H34" si="2">SUM(G18:G30)</f>
        <v>2470</v>
      </c>
      <c r="H34" s="260">
        <f t="shared" si="2"/>
        <v>22230</v>
      </c>
    </row>
    <row r="35" spans="2:13" ht="2.1" customHeight="1">
      <c r="B35" s="2"/>
    </row>
    <row r="36" spans="2:13" ht="3" customHeight="1">
      <c r="B36" s="2"/>
      <c r="D36" s="91"/>
      <c r="E36" s="92"/>
      <c r="F36" s="92"/>
      <c r="G36" s="92"/>
      <c r="H36" s="93"/>
    </row>
    <row r="37" spans="2:13" ht="2.1" customHeight="1">
      <c r="B37" s="2"/>
    </row>
    <row r="38" spans="2:13" ht="30" customHeight="1">
      <c r="B38" s="2"/>
    </row>
    <row r="39" spans="2:13" ht="30" customHeight="1">
      <c r="B39" s="2"/>
      <c r="C39" s="134" t="s">
        <v>67</v>
      </c>
      <c r="D39" s="138" t="s">
        <v>241</v>
      </c>
      <c r="E39" s="3"/>
      <c r="F39" s="4"/>
    </row>
    <row r="40" spans="2:13" ht="30" customHeight="1">
      <c r="B40" s="2"/>
    </row>
    <row r="41" spans="2:13" ht="30" customHeight="1">
      <c r="B41" s="2"/>
      <c r="D41" s="282" t="s">
        <v>246</v>
      </c>
      <c r="E41" s="283"/>
      <c r="F41" s="283"/>
      <c r="G41" s="283"/>
      <c r="H41" s="283"/>
      <c r="I41" s="283"/>
      <c r="J41" s="283"/>
      <c r="K41" s="283"/>
      <c r="L41" s="283"/>
      <c r="M41" s="284"/>
    </row>
    <row r="42" spans="2:13" ht="18" customHeight="1">
      <c r="B42" s="2"/>
    </row>
    <row r="43" spans="2:13" ht="30" customHeight="1">
      <c r="B43" s="2"/>
      <c r="D43" s="168" t="s">
        <v>99</v>
      </c>
      <c r="E43" s="183">
        <v>0.05</v>
      </c>
    </row>
    <row r="44" spans="2:13" ht="30" customHeight="1">
      <c r="B44" s="2"/>
      <c r="D44" s="169" t="s">
        <v>100</v>
      </c>
      <c r="E44" s="183">
        <v>0.15</v>
      </c>
    </row>
    <row r="45" spans="2:13" ht="18" customHeight="1">
      <c r="B45" s="2"/>
    </row>
    <row r="46" spans="2:13" ht="37.5" customHeight="1">
      <c r="B46" s="2"/>
      <c r="D46" s="97" t="s">
        <v>94</v>
      </c>
      <c r="E46" s="98" t="s">
        <v>95</v>
      </c>
      <c r="F46" s="98" t="s">
        <v>96</v>
      </c>
      <c r="G46" s="98" t="s">
        <v>131</v>
      </c>
      <c r="H46" s="97" t="s">
        <v>97</v>
      </c>
      <c r="I46" s="98" t="s">
        <v>98</v>
      </c>
      <c r="J46" s="97" t="s">
        <v>99</v>
      </c>
      <c r="K46" s="97" t="s">
        <v>100</v>
      </c>
      <c r="L46" s="98" t="s">
        <v>101</v>
      </c>
      <c r="M46" s="98" t="s">
        <v>102</v>
      </c>
    </row>
    <row r="47" spans="2:13" ht="2.1" customHeight="1">
      <c r="B47" s="2"/>
      <c r="D47" s="94"/>
    </row>
    <row r="48" spans="2:13" ht="3" customHeight="1">
      <c r="B48" s="2"/>
      <c r="D48" s="94"/>
    </row>
    <row r="49" spans="2:13" ht="2.1" customHeight="1">
      <c r="B49" s="2"/>
      <c r="D49" s="94"/>
    </row>
    <row r="50" spans="2:13" ht="30" customHeight="1">
      <c r="B50" s="2"/>
      <c r="D50" s="184" t="s">
        <v>103</v>
      </c>
      <c r="E50" s="185" t="s">
        <v>132</v>
      </c>
      <c r="F50" s="186">
        <v>42065</v>
      </c>
      <c r="G50" s="187">
        <v>2312563</v>
      </c>
      <c r="H50" s="188">
        <v>0.2999</v>
      </c>
      <c r="I50" s="259">
        <f>PRODUCT(G50,H50)</f>
        <v>693537.64370000002</v>
      </c>
      <c r="J50" s="259">
        <f>PRODUCT(I50,$E$43)</f>
        <v>34676.882185000002</v>
      </c>
      <c r="K50" s="259">
        <f>PRODUCT(G50,$E$44)</f>
        <v>346884.45</v>
      </c>
      <c r="L50" s="259">
        <f>SUM(I50:K50)</f>
        <v>1075098.9758850001</v>
      </c>
      <c r="M50" s="259">
        <f>G50-L50</f>
        <v>1237464.0241149999</v>
      </c>
    </row>
    <row r="51" spans="2:13" ht="30" customHeight="1">
      <c r="B51" s="2"/>
      <c r="D51" s="184" t="s">
        <v>104</v>
      </c>
      <c r="E51" s="185" t="s">
        <v>133</v>
      </c>
      <c r="F51" s="186">
        <v>42433</v>
      </c>
      <c r="G51" s="187">
        <v>23564125</v>
      </c>
      <c r="H51" s="188">
        <v>0.24360000000000001</v>
      </c>
      <c r="I51" s="259">
        <f t="shared" ref="I51:I64" si="3">PRODUCT(G51,H51)</f>
        <v>5740220.8500000006</v>
      </c>
      <c r="J51" s="259">
        <f t="shared" ref="J51:J64" si="4">PRODUCT(I51,$E$43)</f>
        <v>287011.04250000004</v>
      </c>
      <c r="K51" s="259">
        <f t="shared" ref="K51:K64" si="5">PRODUCT(G51,$E$44)</f>
        <v>3534618.75</v>
      </c>
      <c r="L51" s="259">
        <f t="shared" ref="L51:L64" si="6">SUM(I51:K51)</f>
        <v>9561850.6425000019</v>
      </c>
      <c r="M51" s="259">
        <f t="shared" ref="M51:M64" si="7">G51-L51</f>
        <v>14002274.357499998</v>
      </c>
    </row>
    <row r="52" spans="2:13" ht="30" customHeight="1">
      <c r="B52" s="2"/>
      <c r="D52" s="184" t="s">
        <v>105</v>
      </c>
      <c r="E52" s="185" t="s">
        <v>134</v>
      </c>
      <c r="F52" s="186">
        <v>41702</v>
      </c>
      <c r="G52" s="187">
        <v>85693256</v>
      </c>
      <c r="H52" s="188">
        <v>0.25359999999999999</v>
      </c>
      <c r="I52" s="259">
        <f t="shared" si="3"/>
        <v>21731809.7216</v>
      </c>
      <c r="J52" s="259">
        <f t="shared" si="4"/>
        <v>1086590.4860799999</v>
      </c>
      <c r="K52" s="259">
        <f t="shared" si="5"/>
        <v>12853988.4</v>
      </c>
      <c r="L52" s="259">
        <f t="shared" si="6"/>
        <v>35672388.60768</v>
      </c>
      <c r="M52" s="259">
        <f t="shared" si="7"/>
        <v>50020867.39232</v>
      </c>
    </row>
    <row r="53" spans="2:13" ht="30" customHeight="1">
      <c r="B53" s="2"/>
      <c r="D53" s="184" t="s">
        <v>106</v>
      </c>
      <c r="E53" s="185" t="s">
        <v>135</v>
      </c>
      <c r="F53" s="186">
        <v>42434</v>
      </c>
      <c r="G53" s="187">
        <v>21456358</v>
      </c>
      <c r="H53" s="188">
        <v>0.35260000000000002</v>
      </c>
      <c r="I53" s="259">
        <f t="shared" si="3"/>
        <v>7565511.8308000006</v>
      </c>
      <c r="J53" s="259">
        <f t="shared" si="4"/>
        <v>378275.59154000005</v>
      </c>
      <c r="K53" s="259">
        <f t="shared" si="5"/>
        <v>3218453.6999999997</v>
      </c>
      <c r="L53" s="259">
        <f t="shared" si="6"/>
        <v>11162241.122340001</v>
      </c>
      <c r="M53" s="259">
        <f t="shared" si="7"/>
        <v>10294116.877659999</v>
      </c>
    </row>
    <row r="54" spans="2:13" ht="30" customHeight="1">
      <c r="B54" s="2"/>
      <c r="D54" s="184" t="s">
        <v>104</v>
      </c>
      <c r="E54" s="185" t="s">
        <v>136</v>
      </c>
      <c r="F54" s="186">
        <v>42801</v>
      </c>
      <c r="G54" s="187">
        <v>45632568</v>
      </c>
      <c r="H54" s="188">
        <v>0.23449999999999999</v>
      </c>
      <c r="I54" s="259">
        <f t="shared" si="3"/>
        <v>10700837.195999999</v>
      </c>
      <c r="J54" s="259">
        <f t="shared" si="4"/>
        <v>535041.85979999998</v>
      </c>
      <c r="K54" s="259">
        <f t="shared" si="5"/>
        <v>6844885.2000000002</v>
      </c>
      <c r="L54" s="259">
        <f t="shared" si="6"/>
        <v>18080764.255799998</v>
      </c>
      <c r="M54" s="259">
        <f t="shared" si="7"/>
        <v>27551803.744200002</v>
      </c>
    </row>
    <row r="55" spans="2:13" ht="30" customHeight="1">
      <c r="B55" s="2"/>
      <c r="D55" s="184" t="s">
        <v>107</v>
      </c>
      <c r="E55" s="185" t="s">
        <v>137</v>
      </c>
      <c r="F55" s="186">
        <v>42442</v>
      </c>
      <c r="G55" s="187">
        <v>1234567</v>
      </c>
      <c r="H55" s="188">
        <v>0.36659999999999998</v>
      </c>
      <c r="I55" s="259">
        <f t="shared" si="3"/>
        <v>452592.2622</v>
      </c>
      <c r="J55" s="259">
        <f t="shared" si="4"/>
        <v>22629.613110000002</v>
      </c>
      <c r="K55" s="259">
        <f t="shared" si="5"/>
        <v>185185.05</v>
      </c>
      <c r="L55" s="259">
        <f t="shared" si="6"/>
        <v>660406.92530999996</v>
      </c>
      <c r="M55" s="259">
        <f t="shared" si="7"/>
        <v>574160.07469000004</v>
      </c>
    </row>
    <row r="56" spans="2:13" ht="30" customHeight="1">
      <c r="B56" s="2"/>
      <c r="D56" s="184" t="s">
        <v>103</v>
      </c>
      <c r="E56" s="185" t="s">
        <v>138</v>
      </c>
      <c r="F56" s="186">
        <v>42443</v>
      </c>
      <c r="G56" s="187">
        <v>2589634</v>
      </c>
      <c r="H56" s="188">
        <v>0.2989</v>
      </c>
      <c r="I56" s="259">
        <f t="shared" si="3"/>
        <v>774041.60259999998</v>
      </c>
      <c r="J56" s="259">
        <f t="shared" si="4"/>
        <v>38702.080130000002</v>
      </c>
      <c r="K56" s="259">
        <f t="shared" si="5"/>
        <v>388445.1</v>
      </c>
      <c r="L56" s="259">
        <f t="shared" si="6"/>
        <v>1201188.7827300001</v>
      </c>
      <c r="M56" s="259">
        <f t="shared" si="7"/>
        <v>1388445.2172699999</v>
      </c>
    </row>
    <row r="57" spans="2:13" ht="30" customHeight="1">
      <c r="B57" s="2"/>
      <c r="D57" s="184" t="s">
        <v>103</v>
      </c>
      <c r="E57" s="185" t="s">
        <v>139</v>
      </c>
      <c r="F57" s="186">
        <v>42808</v>
      </c>
      <c r="G57" s="187">
        <v>24578951</v>
      </c>
      <c r="H57" s="188">
        <v>0.25359999999999999</v>
      </c>
      <c r="I57" s="259">
        <f t="shared" si="3"/>
        <v>6233221.9736000001</v>
      </c>
      <c r="J57" s="259">
        <f t="shared" si="4"/>
        <v>311661.09868</v>
      </c>
      <c r="K57" s="259">
        <f t="shared" si="5"/>
        <v>3686842.65</v>
      </c>
      <c r="L57" s="259">
        <f t="shared" si="6"/>
        <v>10231725.722279999</v>
      </c>
      <c r="M57" s="259">
        <f t="shared" si="7"/>
        <v>14347225.277720001</v>
      </c>
    </row>
    <row r="58" spans="2:13" ht="30" customHeight="1">
      <c r="B58" s="2"/>
      <c r="D58" s="184" t="s">
        <v>104</v>
      </c>
      <c r="E58" s="185" t="s">
        <v>140</v>
      </c>
      <c r="F58" s="186">
        <v>42445</v>
      </c>
      <c r="G58" s="187">
        <v>1234567</v>
      </c>
      <c r="H58" s="188">
        <v>0.189</v>
      </c>
      <c r="I58" s="259">
        <f t="shared" si="3"/>
        <v>233333.163</v>
      </c>
      <c r="J58" s="259">
        <f t="shared" si="4"/>
        <v>11666.658150000001</v>
      </c>
      <c r="K58" s="259">
        <f t="shared" si="5"/>
        <v>185185.05</v>
      </c>
      <c r="L58" s="259">
        <f t="shared" si="6"/>
        <v>430184.87115000002</v>
      </c>
      <c r="M58" s="259">
        <f t="shared" si="7"/>
        <v>804382.12884999998</v>
      </c>
    </row>
    <row r="59" spans="2:13" ht="30" customHeight="1">
      <c r="B59" s="2"/>
      <c r="D59" s="184" t="s">
        <v>108</v>
      </c>
      <c r="E59" s="185" t="s">
        <v>141</v>
      </c>
      <c r="F59" s="186">
        <v>42446</v>
      </c>
      <c r="G59" s="187">
        <v>2453565</v>
      </c>
      <c r="H59" s="188">
        <v>0.1988</v>
      </c>
      <c r="I59" s="259">
        <f t="shared" si="3"/>
        <v>487768.72200000001</v>
      </c>
      <c r="J59" s="259">
        <f t="shared" si="4"/>
        <v>24388.436100000003</v>
      </c>
      <c r="K59" s="259">
        <f t="shared" si="5"/>
        <v>368034.75</v>
      </c>
      <c r="L59" s="259">
        <f t="shared" si="6"/>
        <v>880191.9081</v>
      </c>
      <c r="M59" s="259">
        <f t="shared" si="7"/>
        <v>1573373.0918999999</v>
      </c>
    </row>
    <row r="60" spans="2:13" ht="30" customHeight="1">
      <c r="B60" s="2"/>
      <c r="D60" s="184" t="s">
        <v>109</v>
      </c>
      <c r="E60" s="185" t="s">
        <v>142</v>
      </c>
      <c r="F60" s="186">
        <v>42813</v>
      </c>
      <c r="G60" s="187">
        <v>12456389</v>
      </c>
      <c r="H60" s="188">
        <v>0.1963</v>
      </c>
      <c r="I60" s="259">
        <f t="shared" si="3"/>
        <v>2445189.1606999999</v>
      </c>
      <c r="J60" s="259">
        <f t="shared" si="4"/>
        <v>122259.458035</v>
      </c>
      <c r="K60" s="259">
        <f t="shared" si="5"/>
        <v>1868458.3499999999</v>
      </c>
      <c r="L60" s="259">
        <f t="shared" si="6"/>
        <v>4435906.9687350001</v>
      </c>
      <c r="M60" s="259">
        <f t="shared" si="7"/>
        <v>8020482.0312649999</v>
      </c>
    </row>
    <row r="61" spans="2:13" ht="30" customHeight="1">
      <c r="B61" s="2"/>
      <c r="D61" s="184" t="s">
        <v>110</v>
      </c>
      <c r="E61" s="185" t="s">
        <v>143</v>
      </c>
      <c r="F61" s="186">
        <v>42086</v>
      </c>
      <c r="G61" s="187">
        <v>4785456</v>
      </c>
      <c r="H61" s="188">
        <v>0.39250000000000002</v>
      </c>
      <c r="I61" s="259">
        <f t="shared" si="3"/>
        <v>1878291.48</v>
      </c>
      <c r="J61" s="259">
        <f t="shared" si="4"/>
        <v>93914.574000000008</v>
      </c>
      <c r="K61" s="259">
        <f t="shared" si="5"/>
        <v>717818.4</v>
      </c>
      <c r="L61" s="259">
        <f t="shared" si="6"/>
        <v>2690024.4539999999</v>
      </c>
      <c r="M61" s="259">
        <f t="shared" si="7"/>
        <v>2095431.5460000001</v>
      </c>
    </row>
    <row r="62" spans="2:13" ht="30" customHeight="1">
      <c r="B62" s="2"/>
      <c r="D62" s="184" t="s">
        <v>111</v>
      </c>
      <c r="E62" s="185" t="s">
        <v>144</v>
      </c>
      <c r="F62" s="186">
        <v>42452</v>
      </c>
      <c r="G62" s="187">
        <v>1245632</v>
      </c>
      <c r="H62" s="188">
        <v>0.3458</v>
      </c>
      <c r="I62" s="259">
        <f t="shared" si="3"/>
        <v>430739.54560000001</v>
      </c>
      <c r="J62" s="259">
        <f t="shared" si="4"/>
        <v>21536.977280000003</v>
      </c>
      <c r="K62" s="259">
        <f t="shared" si="5"/>
        <v>186844.79999999999</v>
      </c>
      <c r="L62" s="259">
        <f t="shared" si="6"/>
        <v>639121.32287999999</v>
      </c>
      <c r="M62" s="259">
        <f t="shared" si="7"/>
        <v>606510.67712000001</v>
      </c>
    </row>
    <row r="63" spans="2:13" ht="30" customHeight="1">
      <c r="B63" s="2"/>
      <c r="D63" s="184" t="s">
        <v>108</v>
      </c>
      <c r="E63" s="185" t="s">
        <v>145</v>
      </c>
      <c r="F63" s="186">
        <v>42453</v>
      </c>
      <c r="G63" s="187">
        <v>85425654</v>
      </c>
      <c r="H63" s="188">
        <v>0.3256</v>
      </c>
      <c r="I63" s="259">
        <f t="shared" si="3"/>
        <v>27814592.942400001</v>
      </c>
      <c r="J63" s="259">
        <f t="shared" si="4"/>
        <v>1390729.6471200001</v>
      </c>
      <c r="K63" s="259">
        <f t="shared" si="5"/>
        <v>12813848.1</v>
      </c>
      <c r="L63" s="259">
        <f t="shared" si="6"/>
        <v>42019170.689520001</v>
      </c>
      <c r="M63" s="259">
        <f t="shared" si="7"/>
        <v>43406483.310479999</v>
      </c>
    </row>
    <row r="64" spans="2:13" ht="30" customHeight="1">
      <c r="B64" s="2"/>
      <c r="D64" s="184" t="s">
        <v>112</v>
      </c>
      <c r="E64" s="185" t="s">
        <v>146</v>
      </c>
      <c r="F64" s="186">
        <v>42454</v>
      </c>
      <c r="G64" s="187">
        <v>52456825</v>
      </c>
      <c r="H64" s="188">
        <v>0.34250000000000003</v>
      </c>
      <c r="I64" s="259">
        <f t="shared" si="3"/>
        <v>17966462.5625</v>
      </c>
      <c r="J64" s="259">
        <f t="shared" si="4"/>
        <v>898323.12812500005</v>
      </c>
      <c r="K64" s="259">
        <f t="shared" si="5"/>
        <v>7868523.75</v>
      </c>
      <c r="L64" s="259">
        <f t="shared" si="6"/>
        <v>26733309.440625001</v>
      </c>
      <c r="M64" s="259">
        <f t="shared" si="7"/>
        <v>25723515.559374999</v>
      </c>
    </row>
    <row r="65" spans="2:13" ht="2.1" customHeight="1">
      <c r="B65" s="2"/>
      <c r="D65" s="99"/>
      <c r="E65" s="99"/>
      <c r="F65" s="99"/>
      <c r="G65" s="99"/>
      <c r="H65" s="99"/>
      <c r="I65" s="100"/>
      <c r="J65" s="100"/>
      <c r="K65" s="100"/>
      <c r="L65" s="100"/>
      <c r="M65" s="100"/>
    </row>
    <row r="66" spans="2:13" ht="3" customHeight="1">
      <c r="B66" s="2"/>
      <c r="D66" s="99"/>
      <c r="E66" s="101"/>
      <c r="F66" s="102"/>
      <c r="G66" s="102"/>
      <c r="H66" s="102"/>
      <c r="I66" s="103"/>
      <c r="J66" s="103"/>
      <c r="K66" s="103"/>
      <c r="L66" s="103"/>
      <c r="M66" s="104"/>
    </row>
    <row r="67" spans="2:13" ht="2.1" customHeight="1">
      <c r="B67" s="2"/>
      <c r="D67" s="99"/>
      <c r="E67" s="99"/>
      <c r="F67" s="99"/>
      <c r="G67" s="99"/>
      <c r="H67" s="99"/>
      <c r="I67" s="100"/>
      <c r="J67" s="100"/>
      <c r="K67" s="100"/>
      <c r="L67" s="100"/>
      <c r="M67" s="100"/>
    </row>
    <row r="68" spans="2:13" ht="30" customHeight="1">
      <c r="B68" s="2"/>
      <c r="D68" s="99"/>
      <c r="E68" s="87" t="s">
        <v>147</v>
      </c>
      <c r="F68" s="87"/>
      <c r="G68" s="261">
        <f>SUM(G50:G64)</f>
        <v>367120110</v>
      </c>
      <c r="H68" s="188">
        <f>SUM(H50:H64)</f>
        <v>4.2938000000000001</v>
      </c>
      <c r="I68" s="261">
        <f t="shared" ref="H68:M68" si="8">SUM(I50:I64)</f>
        <v>105148150.6567</v>
      </c>
      <c r="J68" s="261">
        <f t="shared" si="8"/>
        <v>5257407.5328350002</v>
      </c>
      <c r="K68" s="261">
        <f t="shared" si="8"/>
        <v>55068016.5</v>
      </c>
      <c r="L68" s="261">
        <f t="shared" si="8"/>
        <v>165473574.68953499</v>
      </c>
      <c r="M68" s="261">
        <f t="shared" si="8"/>
        <v>201646535.31046501</v>
      </c>
    </row>
    <row r="69" spans="2:13" ht="2.1" customHeight="1">
      <c r="B69" s="2"/>
    </row>
    <row r="70" spans="2:13" ht="3" customHeight="1">
      <c r="B70" s="2"/>
      <c r="E70" s="91"/>
      <c r="F70" s="92"/>
      <c r="G70" s="92"/>
      <c r="H70" s="92"/>
      <c r="I70" s="92"/>
      <c r="J70" s="92"/>
      <c r="K70" s="92"/>
      <c r="L70" s="92"/>
      <c r="M70" s="93"/>
    </row>
    <row r="71" spans="2:13" ht="2.1" customHeight="1">
      <c r="B71" s="2"/>
    </row>
    <row r="72" spans="2:13" ht="30" customHeight="1">
      <c r="B72" s="2"/>
    </row>
    <row r="73" spans="2:13" ht="30" customHeight="1">
      <c r="B73" s="2"/>
      <c r="C73" s="170" t="s">
        <v>148</v>
      </c>
      <c r="D73" s="189" t="s">
        <v>240</v>
      </c>
      <c r="E73" s="3"/>
      <c r="F73" s="4"/>
    </row>
    <row r="74" spans="2:13" ht="30" customHeight="1">
      <c r="B74" s="2"/>
    </row>
    <row r="75" spans="2:13" ht="30" customHeight="1">
      <c r="B75" s="2"/>
      <c r="D75" s="285" t="s">
        <v>113</v>
      </c>
      <c r="E75" s="285"/>
      <c r="F75" s="285"/>
      <c r="G75" s="285"/>
      <c r="H75" s="285"/>
      <c r="I75" s="285"/>
      <c r="J75" s="285"/>
      <c r="K75" s="285"/>
      <c r="L75" s="285"/>
    </row>
    <row r="76" spans="2:13" ht="16.5" customHeight="1" thickBot="1">
      <c r="B76" s="2"/>
      <c r="D76" s="23"/>
      <c r="E76" s="23"/>
      <c r="F76" s="23"/>
      <c r="G76" s="23"/>
      <c r="H76" s="23"/>
      <c r="I76" s="23"/>
      <c r="J76" s="23"/>
      <c r="K76" s="23"/>
      <c r="L76" s="23"/>
    </row>
    <row r="77" spans="2:13" ht="30" customHeight="1">
      <c r="B77" s="2"/>
      <c r="D77" s="105" t="s">
        <v>235</v>
      </c>
      <c r="E77" s="106" t="s">
        <v>113</v>
      </c>
      <c r="F77" s="23"/>
      <c r="G77" s="23"/>
      <c r="H77" s="23"/>
      <c r="I77" s="23"/>
      <c r="J77" s="23"/>
      <c r="K77" s="23"/>
      <c r="L77" s="23"/>
    </row>
    <row r="78" spans="2:13" ht="30" customHeight="1">
      <c r="B78" s="2"/>
      <c r="D78" s="190" t="s">
        <v>114</v>
      </c>
      <c r="E78" s="191">
        <v>0.02</v>
      </c>
      <c r="F78" s="23"/>
      <c r="G78" s="23"/>
      <c r="H78" s="23"/>
      <c r="I78" s="23"/>
      <c r="J78" s="23"/>
      <c r="K78" s="23"/>
      <c r="L78" s="23"/>
    </row>
    <row r="79" spans="2:13" ht="30" customHeight="1">
      <c r="B79" s="2"/>
      <c r="D79" s="190" t="s">
        <v>149</v>
      </c>
      <c r="E79" s="191">
        <v>0.04</v>
      </c>
      <c r="F79" s="23"/>
      <c r="G79" s="23"/>
      <c r="H79" s="23"/>
      <c r="I79" s="23"/>
      <c r="J79" s="23"/>
      <c r="K79" s="23"/>
      <c r="L79" s="23"/>
    </row>
    <row r="80" spans="2:13" ht="30" customHeight="1" thickBot="1">
      <c r="B80" s="2"/>
      <c r="D80" s="192" t="s">
        <v>150</v>
      </c>
      <c r="E80" s="193">
        <v>0.1</v>
      </c>
      <c r="F80" s="23"/>
      <c r="G80" s="23"/>
      <c r="H80" s="23"/>
      <c r="I80" s="23"/>
      <c r="J80" s="23"/>
      <c r="K80" s="23"/>
      <c r="L80" s="23"/>
    </row>
    <row r="81" spans="2:14" ht="16.5" customHeight="1">
      <c r="B81" s="2"/>
      <c r="D81" s="23"/>
      <c r="E81" s="23"/>
      <c r="F81" s="23"/>
      <c r="G81" s="23"/>
      <c r="H81" s="23"/>
      <c r="I81" s="23"/>
      <c r="J81" s="23"/>
      <c r="K81" s="23"/>
      <c r="L81" s="23"/>
    </row>
    <row r="82" spans="2:14" ht="44.25" customHeight="1">
      <c r="B82" s="2"/>
      <c r="D82" s="98" t="s">
        <v>152</v>
      </c>
      <c r="E82" s="97" t="s">
        <v>114</v>
      </c>
      <c r="F82" s="97" t="s">
        <v>149</v>
      </c>
      <c r="G82" s="97" t="s">
        <v>150</v>
      </c>
      <c r="H82" s="97" t="s">
        <v>153</v>
      </c>
      <c r="I82" s="97" t="s">
        <v>114</v>
      </c>
      <c r="J82" s="97" t="s">
        <v>149</v>
      </c>
      <c r="K82" s="97" t="s">
        <v>150</v>
      </c>
      <c r="L82" s="97" t="s">
        <v>125</v>
      </c>
    </row>
    <row r="83" spans="2:14" ht="2.1" customHeight="1">
      <c r="B83" s="2"/>
    </row>
    <row r="84" spans="2:14" ht="3" customHeight="1">
      <c r="B84" s="2"/>
      <c r="D84" s="107"/>
      <c r="E84" s="108"/>
      <c r="F84" s="108"/>
      <c r="G84" s="108"/>
      <c r="H84" s="108"/>
      <c r="I84" s="108"/>
      <c r="J84" s="108"/>
      <c r="K84" s="108"/>
      <c r="L84" s="109"/>
    </row>
    <row r="85" spans="2:14" ht="2.1" customHeight="1">
      <c r="B85" s="2"/>
    </row>
    <row r="86" spans="2:14" ht="30" customHeight="1">
      <c r="B86" s="2"/>
      <c r="D86" s="174" t="s">
        <v>115</v>
      </c>
      <c r="E86" s="176">
        <v>2560</v>
      </c>
      <c r="F86" s="176">
        <v>899.99</v>
      </c>
      <c r="G86" s="176">
        <v>310.33</v>
      </c>
      <c r="H86" s="259">
        <f>SUM(E86:G86)</f>
        <v>3770.3199999999997</v>
      </c>
      <c r="I86" s="259">
        <f>PRODUCT(H86,$E$78)</f>
        <v>75.406399999999991</v>
      </c>
      <c r="J86" s="259">
        <f>PRODUCT(H86,$E$79)</f>
        <v>150.81279999999998</v>
      </c>
      <c r="K86" s="259">
        <f>PRODUCT(H86,$E$80)</f>
        <v>377.03199999999998</v>
      </c>
      <c r="L86" s="259">
        <f>SUM(I86:K86)</f>
        <v>603.25119999999993</v>
      </c>
    </row>
    <row r="87" spans="2:14" ht="30" customHeight="1">
      <c r="B87" s="2"/>
      <c r="C87" s="2"/>
      <c r="D87" s="174" t="s">
        <v>116</v>
      </c>
      <c r="E87" s="176">
        <v>6350</v>
      </c>
      <c r="F87" s="176">
        <v>999.99</v>
      </c>
      <c r="G87" s="176" t="s">
        <v>151</v>
      </c>
      <c r="H87" s="259">
        <f t="shared" ref="H87:H95" si="9">SUM(E87:G87)</f>
        <v>7349.99</v>
      </c>
      <c r="I87" s="259">
        <f t="shared" ref="I87:I95" si="10">PRODUCT(H87,$E$78)</f>
        <v>146.99979999999999</v>
      </c>
      <c r="J87" s="259">
        <f t="shared" ref="J87:J95" si="11">PRODUCT(H87,$E$79)</f>
        <v>293.99959999999999</v>
      </c>
      <c r="K87" s="259">
        <f t="shared" ref="K87:K95" si="12">PRODUCT(H87,$E$80)</f>
        <v>734.99900000000002</v>
      </c>
      <c r="L87" s="259">
        <f t="shared" ref="L87:L95" si="13">SUM(I87:K87)</f>
        <v>1175.9983999999999</v>
      </c>
      <c r="M87" s="2"/>
      <c r="N87" s="2"/>
    </row>
    <row r="88" spans="2:14" ht="30" customHeight="1">
      <c r="B88" s="2"/>
      <c r="C88" s="2"/>
      <c r="D88" s="174" t="s">
        <v>117</v>
      </c>
      <c r="E88" s="176">
        <v>1456</v>
      </c>
      <c r="F88" s="176">
        <v>1099</v>
      </c>
      <c r="G88" s="176">
        <v>355.3</v>
      </c>
      <c r="H88" s="259">
        <f t="shared" si="9"/>
        <v>2910.3</v>
      </c>
      <c r="I88" s="259">
        <f t="shared" si="10"/>
        <v>58.206000000000003</v>
      </c>
      <c r="J88" s="259">
        <f t="shared" si="11"/>
        <v>116.41200000000001</v>
      </c>
      <c r="K88" s="259">
        <f t="shared" si="12"/>
        <v>291.03000000000003</v>
      </c>
      <c r="L88" s="259">
        <f t="shared" si="13"/>
        <v>465.64800000000002</v>
      </c>
      <c r="M88" s="2"/>
      <c r="N88" s="2"/>
    </row>
    <row r="89" spans="2:14" ht="30" customHeight="1">
      <c r="B89" s="2"/>
      <c r="C89" s="2"/>
      <c r="D89" s="174" t="s">
        <v>118</v>
      </c>
      <c r="E89" s="176">
        <v>9630</v>
      </c>
      <c r="F89" s="176">
        <v>1200</v>
      </c>
      <c r="G89" s="176">
        <v>199.9</v>
      </c>
      <c r="H89" s="259">
        <f t="shared" si="9"/>
        <v>11029.9</v>
      </c>
      <c r="I89" s="259">
        <f t="shared" si="10"/>
        <v>220.59799999999998</v>
      </c>
      <c r="J89" s="259">
        <f t="shared" si="11"/>
        <v>441.19599999999997</v>
      </c>
      <c r="K89" s="259">
        <f t="shared" si="12"/>
        <v>1102.99</v>
      </c>
      <c r="L89" s="259">
        <f t="shared" si="13"/>
        <v>1764.7840000000001</v>
      </c>
      <c r="M89" s="2"/>
      <c r="N89" s="2"/>
    </row>
    <row r="90" spans="2:14" ht="30" customHeight="1">
      <c r="B90" s="2"/>
      <c r="C90" s="2"/>
      <c r="D90" s="174" t="s">
        <v>119</v>
      </c>
      <c r="E90" s="176">
        <v>5892</v>
      </c>
      <c r="F90" s="176">
        <v>1111.99</v>
      </c>
      <c r="G90" s="176">
        <v>245.36</v>
      </c>
      <c r="H90" s="259">
        <f t="shared" si="9"/>
        <v>7249.3499999999995</v>
      </c>
      <c r="I90" s="259">
        <f t="shared" si="10"/>
        <v>144.98699999999999</v>
      </c>
      <c r="J90" s="259">
        <f t="shared" si="11"/>
        <v>289.97399999999999</v>
      </c>
      <c r="K90" s="259">
        <f t="shared" si="12"/>
        <v>724.93499999999995</v>
      </c>
      <c r="L90" s="259">
        <f t="shared" si="13"/>
        <v>1159.896</v>
      </c>
      <c r="M90" s="2"/>
      <c r="N90" s="2"/>
    </row>
    <row r="91" spans="2:14" ht="30" customHeight="1">
      <c r="B91" s="2"/>
      <c r="C91" s="2"/>
      <c r="D91" s="174" t="s">
        <v>120</v>
      </c>
      <c r="E91" s="176">
        <v>2312</v>
      </c>
      <c r="F91" s="176">
        <v>1056.33</v>
      </c>
      <c r="G91" s="176">
        <v>289.33</v>
      </c>
      <c r="H91" s="259">
        <f t="shared" si="9"/>
        <v>3657.66</v>
      </c>
      <c r="I91" s="259">
        <f t="shared" si="10"/>
        <v>73.153199999999998</v>
      </c>
      <c r="J91" s="259">
        <f t="shared" si="11"/>
        <v>146.3064</v>
      </c>
      <c r="K91" s="259">
        <f t="shared" si="12"/>
        <v>365.76600000000002</v>
      </c>
      <c r="L91" s="259">
        <f t="shared" si="13"/>
        <v>585.22559999999999</v>
      </c>
      <c r="M91" s="2"/>
      <c r="N91" s="2"/>
    </row>
    <row r="92" spans="2:14" ht="30" customHeight="1">
      <c r="B92" s="2"/>
      <c r="C92" s="2"/>
      <c r="D92" s="174" t="s">
        <v>121</v>
      </c>
      <c r="E92" s="176">
        <v>1450</v>
      </c>
      <c r="F92" s="176">
        <v>989.99</v>
      </c>
      <c r="G92" s="176">
        <v>197.3</v>
      </c>
      <c r="H92" s="259">
        <f t="shared" si="9"/>
        <v>2637.29</v>
      </c>
      <c r="I92" s="259">
        <f t="shared" si="10"/>
        <v>52.745800000000003</v>
      </c>
      <c r="J92" s="259">
        <f t="shared" si="11"/>
        <v>105.49160000000001</v>
      </c>
      <c r="K92" s="259">
        <f t="shared" si="12"/>
        <v>263.72899999999998</v>
      </c>
      <c r="L92" s="259">
        <f t="shared" si="13"/>
        <v>421.96640000000002</v>
      </c>
      <c r="M92" s="2"/>
      <c r="N92" s="2"/>
    </row>
    <row r="93" spans="2:14" ht="30" customHeight="1">
      <c r="B93" s="2"/>
      <c r="C93" s="2"/>
      <c r="D93" s="174" t="s">
        <v>122</v>
      </c>
      <c r="E93" s="176">
        <v>1999.99</v>
      </c>
      <c r="F93" s="176">
        <v>947.26</v>
      </c>
      <c r="G93" s="176">
        <v>289.44</v>
      </c>
      <c r="H93" s="259">
        <f t="shared" si="9"/>
        <v>3236.69</v>
      </c>
      <c r="I93" s="259">
        <f t="shared" si="10"/>
        <v>64.733800000000002</v>
      </c>
      <c r="J93" s="259">
        <f t="shared" si="11"/>
        <v>129.4676</v>
      </c>
      <c r="K93" s="259">
        <f t="shared" si="12"/>
        <v>323.66900000000004</v>
      </c>
      <c r="L93" s="259">
        <f t="shared" si="13"/>
        <v>517.87040000000002</v>
      </c>
      <c r="M93" s="2"/>
      <c r="N93" s="2"/>
    </row>
    <row r="94" spans="2:14" ht="30" customHeight="1">
      <c r="B94" s="2"/>
      <c r="C94" s="2"/>
      <c r="D94" s="174" t="s">
        <v>123</v>
      </c>
      <c r="E94" s="176">
        <v>1230</v>
      </c>
      <c r="F94" s="176">
        <v>1025</v>
      </c>
      <c r="G94" s="176">
        <v>235.74</v>
      </c>
      <c r="H94" s="259">
        <f t="shared" si="9"/>
        <v>2490.7399999999998</v>
      </c>
      <c r="I94" s="259">
        <f t="shared" si="10"/>
        <v>49.814799999999998</v>
      </c>
      <c r="J94" s="259">
        <f t="shared" si="11"/>
        <v>99.629599999999996</v>
      </c>
      <c r="K94" s="259">
        <f t="shared" si="12"/>
        <v>249.07399999999998</v>
      </c>
      <c r="L94" s="259">
        <f t="shared" si="13"/>
        <v>398.51839999999999</v>
      </c>
      <c r="M94" s="2"/>
      <c r="N94" s="2"/>
    </row>
    <row r="95" spans="2:14" ht="30" customHeight="1">
      <c r="D95" s="174" t="s">
        <v>124</v>
      </c>
      <c r="E95" s="176">
        <v>1450</v>
      </c>
      <c r="F95" s="176">
        <v>1023</v>
      </c>
      <c r="G95" s="176">
        <v>301.99</v>
      </c>
      <c r="H95" s="259">
        <f t="shared" si="9"/>
        <v>2774.99</v>
      </c>
      <c r="I95" s="259">
        <f t="shared" si="10"/>
        <v>55.499799999999993</v>
      </c>
      <c r="J95" s="259">
        <f t="shared" si="11"/>
        <v>110.99959999999999</v>
      </c>
      <c r="K95" s="259">
        <f t="shared" si="12"/>
        <v>277.49899999999997</v>
      </c>
      <c r="L95" s="259">
        <f t="shared" si="13"/>
        <v>443.99839999999995</v>
      </c>
    </row>
    <row r="96" spans="2:14" ht="2.1" customHeight="1">
      <c r="D96" s="23"/>
      <c r="E96" s="23"/>
      <c r="F96" s="23"/>
      <c r="G96" s="23"/>
      <c r="H96" s="5"/>
      <c r="I96" s="5"/>
      <c r="J96" s="5"/>
      <c r="K96" s="5"/>
      <c r="L96" s="5"/>
    </row>
    <row r="97" spans="4:12" ht="3" customHeight="1">
      <c r="D97" s="110"/>
      <c r="E97" s="111"/>
      <c r="F97" s="111"/>
      <c r="G97" s="111"/>
      <c r="H97" s="112"/>
      <c r="I97" s="112"/>
      <c r="J97" s="112"/>
      <c r="K97" s="112"/>
      <c r="L97" s="113"/>
    </row>
    <row r="98" spans="4:12" ht="2.1" customHeight="1">
      <c r="D98" s="23"/>
      <c r="E98" s="177"/>
      <c r="F98" s="177"/>
      <c r="G98" s="177"/>
      <c r="H98" s="194"/>
      <c r="I98" s="5"/>
      <c r="J98" s="5"/>
      <c r="K98" s="5"/>
      <c r="L98" s="5"/>
    </row>
    <row r="99" spans="4:12" ht="30" customHeight="1">
      <c r="D99" s="59" t="s">
        <v>130</v>
      </c>
      <c r="E99" s="262">
        <f>SUM(E86:E95)</f>
        <v>34329.990000000005</v>
      </c>
      <c r="F99" s="262">
        <f t="shared" ref="F99:L99" si="14">SUM(F86:F95)</f>
        <v>10352.549999999999</v>
      </c>
      <c r="G99" s="262">
        <f t="shared" si="14"/>
        <v>2424.6899999999996</v>
      </c>
      <c r="H99" s="262">
        <f t="shared" si="14"/>
        <v>47107.23</v>
      </c>
      <c r="I99" s="262">
        <f t="shared" si="14"/>
        <v>942.14459999999985</v>
      </c>
      <c r="J99" s="262">
        <f t="shared" si="14"/>
        <v>1884.2891999999997</v>
      </c>
      <c r="K99" s="262">
        <f t="shared" si="14"/>
        <v>4710.722999999999</v>
      </c>
      <c r="L99" s="262">
        <f t="shared" si="14"/>
        <v>7537.1567999999988</v>
      </c>
    </row>
    <row r="100" spans="4:12" ht="2.1" customHeight="1">
      <c r="D100" s="23"/>
      <c r="I100" s="23"/>
      <c r="J100" s="23"/>
      <c r="K100" s="23"/>
      <c r="L100" s="23"/>
    </row>
    <row r="101" spans="4:12" ht="3" customHeight="1">
      <c r="D101" s="110"/>
      <c r="E101" s="92"/>
      <c r="F101" s="92"/>
      <c r="G101" s="92"/>
      <c r="H101" s="92"/>
      <c r="I101" s="111"/>
      <c r="J101" s="111"/>
      <c r="K101" s="111"/>
      <c r="L101" s="114"/>
    </row>
    <row r="102" spans="4:12" ht="2.1" customHeight="1"/>
  </sheetData>
  <sheetProtection selectLockedCells="1"/>
  <mergeCells count="3">
    <mergeCell ref="D41:M41"/>
    <mergeCell ref="D75:L75"/>
    <mergeCell ref="E1:G1"/>
  </mergeCells>
  <dataValidations disablePrompts="1" count="2">
    <dataValidation operator="greaterThan" allowBlank="1" errorTitle="SOLO CARACTERES" error="SOLO TEXTO EN MAYUSCULAS" promptTitle="SOLO MAYUSCULAS" prompt="Ingrese Texto en Mayúsculas" sqref="E18:E30 E38:E40 E81:E92 E43:E74 E76" xr:uid="{00000000-0002-0000-0500-000000000000}"/>
    <dataValidation type="textLength" operator="greaterThan" allowBlank="1" showInputMessage="1" showErrorMessage="1" errorTitle="SOLO CARACTERES" error="SOLO TEXTO EN MAYUSCULAS" promptTitle="SOLO MAYUSCULAS" prompt="Ingrese Texto en Mayúsculas" sqref="E35:E37 E31:E33 E42" xr:uid="{00000000-0002-0000-0500-000001000000}">
      <formula1>1</formula1>
    </dataValidation>
  </dataValidation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1"/>
  </sheetPr>
  <dimension ref="B1:K60"/>
  <sheetViews>
    <sheetView topLeftCell="A37" zoomScaleNormal="100" workbookViewId="0">
      <selection activeCell="F58" sqref="F58"/>
    </sheetView>
  </sheetViews>
  <sheetFormatPr baseColWidth="10" defaultColWidth="11.44140625" defaultRowHeight="13.2"/>
  <cols>
    <col min="1" max="1" width="4.109375" style="17" customWidth="1"/>
    <col min="2" max="2" width="11.44140625" style="17"/>
    <col min="3" max="3" width="25.6640625" style="17" customWidth="1"/>
    <col min="4" max="4" width="25.5546875" style="17" customWidth="1"/>
    <col min="5" max="5" width="0.33203125" style="17" customWidth="1"/>
    <col min="6" max="6" width="23.33203125" style="17" customWidth="1"/>
    <col min="7" max="7" width="16.6640625" style="17" customWidth="1"/>
    <col min="8" max="8" width="19.6640625" style="17" customWidth="1"/>
    <col min="9" max="9" width="20.33203125" style="17" customWidth="1"/>
    <col min="10" max="10" width="17.5546875" style="17" customWidth="1"/>
    <col min="11" max="16384" width="11.44140625" style="17"/>
  </cols>
  <sheetData>
    <row r="1" spans="2:11" s="67" customFormat="1" ht="34.799999999999997" customHeight="1">
      <c r="C1" s="68"/>
      <c r="D1" s="69"/>
      <c r="E1" s="69"/>
      <c r="F1" s="69"/>
      <c r="G1" s="281" t="s">
        <v>203</v>
      </c>
      <c r="H1" s="281"/>
      <c r="I1" s="69"/>
      <c r="J1" s="69"/>
    </row>
    <row r="2" spans="2:11" ht="30" customHeight="1"/>
    <row r="3" spans="2:11" ht="30" customHeight="1">
      <c r="B3" s="132" t="s">
        <v>165</v>
      </c>
      <c r="C3" s="195"/>
      <c r="D3" s="18"/>
      <c r="E3" s="18"/>
    </row>
    <row r="4" spans="2:11" ht="6.75" customHeight="1">
      <c r="B4" s="19"/>
      <c r="C4" s="18"/>
      <c r="D4" s="18"/>
      <c r="E4" s="18"/>
    </row>
    <row r="5" spans="2:11" ht="20.100000000000001" customHeight="1">
      <c r="B5" s="20"/>
      <c r="C5" s="171" t="s">
        <v>168</v>
      </c>
      <c r="D5" s="21"/>
      <c r="E5" s="22"/>
    </row>
    <row r="6" spans="2:11" ht="20.100000000000001" customHeight="1">
      <c r="B6" s="20"/>
      <c r="C6" s="172" t="s">
        <v>70</v>
      </c>
      <c r="D6" s="23"/>
      <c r="E6" s="24"/>
    </row>
    <row r="7" spans="2:11" ht="20.100000000000001" customHeight="1">
      <c r="B7" s="20"/>
      <c r="C7" s="173" t="s">
        <v>154</v>
      </c>
      <c r="D7" s="25"/>
      <c r="E7" s="26"/>
    </row>
    <row r="8" spans="2:11" ht="12" customHeight="1"/>
    <row r="9" spans="2:11" ht="30" customHeight="1">
      <c r="C9" s="196" t="s">
        <v>3</v>
      </c>
      <c r="D9" s="138" t="s">
        <v>158</v>
      </c>
      <c r="E9" s="3"/>
      <c r="F9" s="4"/>
      <c r="G9" s="2"/>
      <c r="H9" s="2"/>
      <c r="I9" s="2"/>
      <c r="J9" s="2"/>
      <c r="K9" s="2"/>
    </row>
    <row r="10" spans="2:11" ht="9" customHeight="1"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2:11" ht="30" customHeight="1">
      <c r="D11" s="115" t="s">
        <v>155</v>
      </c>
      <c r="F11" s="97" t="s">
        <v>156</v>
      </c>
      <c r="G11" s="97" t="s">
        <v>157</v>
      </c>
    </row>
    <row r="12" spans="2:11" ht="30" customHeight="1">
      <c r="D12" s="211">
        <v>1</v>
      </c>
      <c r="E12" s="212"/>
      <c r="F12" s="213">
        <v>4</v>
      </c>
      <c r="G12" s="265">
        <f>POWER(D12,F12)</f>
        <v>1</v>
      </c>
    </row>
    <row r="13" spans="2:11" ht="30" customHeight="1">
      <c r="D13" s="211">
        <v>2</v>
      </c>
      <c r="E13" s="212"/>
      <c r="F13" s="213">
        <v>5</v>
      </c>
      <c r="G13" s="265">
        <f t="shared" ref="G13:G17" si="0">POWER(D13,F13)</f>
        <v>32</v>
      </c>
    </row>
    <row r="14" spans="2:11" ht="30" customHeight="1">
      <c r="D14" s="211">
        <v>3</v>
      </c>
      <c r="E14" s="212"/>
      <c r="F14" s="213">
        <v>3</v>
      </c>
      <c r="G14" s="265">
        <f t="shared" si="0"/>
        <v>27</v>
      </c>
    </row>
    <row r="15" spans="2:11" ht="30" customHeight="1">
      <c r="D15" s="211">
        <v>4</v>
      </c>
      <c r="E15" s="212"/>
      <c r="F15" s="213">
        <v>6</v>
      </c>
      <c r="G15" s="265">
        <f t="shared" si="0"/>
        <v>4096</v>
      </c>
    </row>
    <row r="16" spans="2:11" ht="30" customHeight="1">
      <c r="D16" s="211">
        <v>5</v>
      </c>
      <c r="E16" s="212"/>
      <c r="F16" s="213">
        <v>7</v>
      </c>
      <c r="G16" s="265">
        <f t="shared" si="0"/>
        <v>78125</v>
      </c>
    </row>
    <row r="17" spans="3:8" ht="30" customHeight="1">
      <c r="D17" s="211">
        <v>6</v>
      </c>
      <c r="E17" s="212"/>
      <c r="F17" s="213">
        <v>2</v>
      </c>
      <c r="G17" s="265">
        <f t="shared" si="0"/>
        <v>36</v>
      </c>
    </row>
    <row r="18" spans="3:8" ht="30" customHeight="1"/>
    <row r="19" spans="3:8" ht="30" customHeight="1">
      <c r="C19" s="196" t="s">
        <v>67</v>
      </c>
      <c r="D19" s="138" t="s">
        <v>159</v>
      </c>
      <c r="E19" s="3"/>
      <c r="F19" s="3"/>
      <c r="G19" s="28"/>
      <c r="H19" s="29"/>
    </row>
    <row r="20" spans="3:8" ht="30" customHeight="1"/>
    <row r="21" spans="3:8" ht="30" customHeight="1">
      <c r="D21" s="286" t="s">
        <v>160</v>
      </c>
      <c r="E21" s="277"/>
      <c r="F21" s="277"/>
    </row>
    <row r="22" spans="3:8" ht="30" customHeight="1">
      <c r="D22" s="32"/>
      <c r="E22" s="33"/>
      <c r="F22" s="34"/>
      <c r="H22" s="264"/>
    </row>
    <row r="23" spans="3:8" ht="30" customHeight="1">
      <c r="D23" s="30"/>
      <c r="E23" s="35"/>
      <c r="F23" s="36"/>
    </row>
    <row r="24" spans="3:8" ht="12.75" customHeight="1"/>
    <row r="25" spans="3:8" ht="2.1" customHeight="1">
      <c r="D25" s="18"/>
      <c r="E25" s="18"/>
      <c r="F25" s="18"/>
    </row>
    <row r="26" spans="3:8" ht="3" customHeight="1">
      <c r="D26" s="116"/>
      <c r="E26" s="18"/>
      <c r="F26" s="116"/>
    </row>
    <row r="27" spans="3:8" ht="2.1" customHeight="1">
      <c r="D27" s="18"/>
      <c r="E27" s="18"/>
      <c r="F27" s="18"/>
    </row>
    <row r="28" spans="3:8" ht="30" customHeight="1">
      <c r="D28" s="197" t="s">
        <v>161</v>
      </c>
      <c r="E28" s="198"/>
      <c r="F28" s="210">
        <v>26532</v>
      </c>
    </row>
    <row r="29" spans="3:8" ht="2.1" customHeight="1">
      <c r="D29" s="200"/>
      <c r="E29" s="200"/>
      <c r="F29" s="201"/>
    </row>
    <row r="30" spans="3:8" ht="30" customHeight="1">
      <c r="D30" s="197" t="s">
        <v>163</v>
      </c>
      <c r="E30" s="198"/>
      <c r="F30" s="202">
        <v>6</v>
      </c>
      <c r="H30" s="263"/>
    </row>
    <row r="31" spans="3:8" ht="2.1" customHeight="1">
      <c r="D31" s="182"/>
      <c r="E31" s="198"/>
      <c r="F31" s="203"/>
    </row>
    <row r="32" spans="3:8" ht="30" customHeight="1">
      <c r="D32" s="197" t="s">
        <v>162</v>
      </c>
      <c r="E32" s="198"/>
      <c r="F32" s="205">
        <v>0.08</v>
      </c>
    </row>
    <row r="33" spans="2:7" ht="2.1" customHeight="1">
      <c r="D33" s="206"/>
      <c r="E33" s="206"/>
      <c r="F33" s="206"/>
    </row>
    <row r="34" spans="2:7" ht="3" customHeight="1">
      <c r="D34" s="207"/>
      <c r="E34" s="206"/>
      <c r="F34" s="207"/>
    </row>
    <row r="35" spans="2:7" ht="2.1" customHeight="1">
      <c r="D35" s="206"/>
      <c r="E35" s="206"/>
      <c r="F35" s="206"/>
    </row>
    <row r="36" spans="2:7" ht="30" customHeight="1">
      <c r="D36" s="182" t="s">
        <v>164</v>
      </c>
      <c r="E36" s="208"/>
      <c r="F36" s="266">
        <f>PRODUCT(F28,POWER(SUM(1,F32),F30))</f>
        <v>42102.949536350221</v>
      </c>
    </row>
    <row r="37" spans="2:7" ht="2.1" customHeight="1">
      <c r="D37" s="18"/>
      <c r="E37" s="18"/>
      <c r="F37" s="18"/>
    </row>
    <row r="38" spans="2:7" ht="3" customHeight="1">
      <c r="D38" s="116"/>
      <c r="E38" s="18"/>
      <c r="F38" s="116"/>
    </row>
    <row r="39" spans="2:7" ht="2.1" customHeight="1">
      <c r="D39" s="2"/>
      <c r="E39" s="2"/>
      <c r="F39" s="2"/>
    </row>
    <row r="40" spans="2:7" ht="30" customHeight="1"/>
    <row r="41" spans="2:7" ht="30" customHeight="1">
      <c r="C41" s="196" t="s">
        <v>170</v>
      </c>
      <c r="D41" s="209" t="s">
        <v>242</v>
      </c>
      <c r="E41" s="37"/>
      <c r="F41" s="38"/>
      <c r="G41" s="39"/>
    </row>
    <row r="42" spans="2:7" ht="30" customHeight="1">
      <c r="B42" s="18"/>
      <c r="C42" s="18"/>
      <c r="D42" s="18"/>
      <c r="E42" s="18"/>
      <c r="F42" s="18"/>
      <c r="G42" s="18"/>
    </row>
    <row r="43" spans="2:7" ht="30" customHeight="1">
      <c r="B43" s="18"/>
      <c r="C43" s="18"/>
      <c r="D43" s="287" t="s">
        <v>160</v>
      </c>
      <c r="E43" s="287"/>
      <c r="F43" s="287"/>
      <c r="G43" s="18"/>
    </row>
    <row r="44" spans="2:7" ht="30" customHeight="1">
      <c r="B44" s="18"/>
      <c r="C44" s="18"/>
      <c r="D44" s="40"/>
      <c r="E44" s="41"/>
      <c r="F44" s="42"/>
      <c r="G44" s="18"/>
    </row>
    <row r="45" spans="2:7" ht="30" customHeight="1">
      <c r="B45" s="18"/>
      <c r="C45" s="18"/>
      <c r="D45" s="43"/>
      <c r="E45" s="44"/>
      <c r="F45" s="45"/>
      <c r="G45" s="18"/>
    </row>
    <row r="46" spans="2:7" ht="30" customHeight="1">
      <c r="B46" s="18"/>
      <c r="C46" s="18"/>
      <c r="D46" s="18"/>
      <c r="E46" s="18"/>
      <c r="F46" s="18"/>
      <c r="G46" s="18"/>
    </row>
    <row r="47" spans="2:7" ht="3" customHeight="1">
      <c r="B47" s="20"/>
      <c r="C47" s="20"/>
      <c r="D47" s="116"/>
      <c r="E47" s="18"/>
      <c r="F47" s="116"/>
      <c r="G47" s="18"/>
    </row>
    <row r="48" spans="2:7" ht="2.1" customHeight="1">
      <c r="B48" s="20"/>
      <c r="C48" s="20"/>
      <c r="D48" s="18"/>
      <c r="E48" s="18"/>
      <c r="F48" s="18"/>
      <c r="G48" s="18"/>
    </row>
    <row r="49" spans="2:7" ht="30" customHeight="1">
      <c r="B49" s="20"/>
      <c r="C49" s="20"/>
      <c r="D49" s="197" t="s">
        <v>164</v>
      </c>
      <c r="E49" s="198"/>
      <c r="F49" s="199">
        <v>7852</v>
      </c>
      <c r="G49" s="18"/>
    </row>
    <row r="50" spans="2:7" ht="2.1" customHeight="1">
      <c r="B50" s="20"/>
      <c r="C50" s="20"/>
      <c r="D50" s="200"/>
      <c r="E50" s="200"/>
      <c r="F50" s="201"/>
      <c r="G50" s="18"/>
    </row>
    <row r="51" spans="2:7" ht="30" customHeight="1">
      <c r="B51" s="20"/>
      <c r="C51" s="20"/>
      <c r="D51" s="197" t="s">
        <v>163</v>
      </c>
      <c r="E51" s="198"/>
      <c r="F51" s="202">
        <v>4</v>
      </c>
      <c r="G51" s="18"/>
    </row>
    <row r="52" spans="2:7" ht="2.1" customHeight="1">
      <c r="B52" s="20"/>
      <c r="C52" s="20"/>
      <c r="D52" s="182"/>
      <c r="E52" s="200"/>
      <c r="F52" s="203"/>
      <c r="G52" s="18"/>
    </row>
    <row r="53" spans="2:7" ht="30" customHeight="1">
      <c r="B53" s="20"/>
      <c r="C53" s="20"/>
      <c r="D53" s="197" t="s">
        <v>162</v>
      </c>
      <c r="E53" s="204"/>
      <c r="F53" s="205">
        <v>0.15</v>
      </c>
      <c r="G53" s="18"/>
    </row>
    <row r="54" spans="2:7" ht="2.1" customHeight="1">
      <c r="B54" s="20"/>
      <c r="C54" s="20"/>
      <c r="D54" s="206"/>
      <c r="E54" s="206"/>
      <c r="F54" s="206"/>
      <c r="G54" s="18"/>
    </row>
    <row r="55" spans="2:7" ht="3" customHeight="1">
      <c r="B55" s="20"/>
      <c r="C55" s="20"/>
      <c r="D55" s="207"/>
      <c r="E55" s="206"/>
      <c r="F55" s="207"/>
      <c r="G55" s="18"/>
    </row>
    <row r="56" spans="2:7" ht="2.1" customHeight="1">
      <c r="B56" s="20"/>
      <c r="C56" s="20"/>
      <c r="D56" s="206"/>
      <c r="E56" s="206"/>
      <c r="F56" s="206"/>
      <c r="G56" s="18"/>
    </row>
    <row r="57" spans="2:7" ht="30" customHeight="1">
      <c r="B57" s="20"/>
      <c r="C57" s="20"/>
      <c r="D57" s="182" t="s">
        <v>161</v>
      </c>
      <c r="E57" s="208"/>
      <c r="F57" s="262">
        <f>F49/POWER(SUM(1,F53),F51)</f>
        <v>4489.4064843964979</v>
      </c>
      <c r="G57" s="18"/>
    </row>
    <row r="58" spans="2:7" ht="2.1" customHeight="1">
      <c r="B58" s="20"/>
      <c r="C58" s="20"/>
      <c r="D58" s="18"/>
      <c r="E58" s="18"/>
      <c r="F58" s="18"/>
      <c r="G58" s="18"/>
    </row>
    <row r="59" spans="2:7" ht="3" customHeight="1">
      <c r="B59" s="20"/>
      <c r="C59" s="20"/>
      <c r="D59" s="116"/>
      <c r="E59" s="18"/>
      <c r="F59" s="116"/>
      <c r="G59" s="18"/>
    </row>
    <row r="60" spans="2:7" ht="30" customHeight="1">
      <c r="B60" s="2"/>
      <c r="C60" s="2"/>
      <c r="D60" s="2"/>
      <c r="E60" s="2"/>
      <c r="F60" s="2"/>
      <c r="G60" s="18"/>
    </row>
  </sheetData>
  <mergeCells count="3">
    <mergeCell ref="D21:F21"/>
    <mergeCell ref="D43:F43"/>
    <mergeCell ref="G1:H1"/>
  </mergeCell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1"/>
  </sheetPr>
  <dimension ref="B1:K120"/>
  <sheetViews>
    <sheetView topLeftCell="A13" zoomScale="115" zoomScaleNormal="115" workbookViewId="0">
      <selection activeCell="G22" sqref="G22:G32"/>
    </sheetView>
  </sheetViews>
  <sheetFormatPr baseColWidth="10" defaultColWidth="11.44140625" defaultRowHeight="13.2"/>
  <cols>
    <col min="1" max="1" width="4.109375" style="17" customWidth="1"/>
    <col min="2" max="2" width="11.44140625" style="17"/>
    <col min="3" max="3" width="22.88671875" style="17" customWidth="1"/>
    <col min="4" max="4" width="28.33203125" style="17" customWidth="1"/>
    <col min="5" max="5" width="25.6640625" style="17" customWidth="1"/>
    <col min="6" max="6" width="23.44140625" style="17" customWidth="1"/>
    <col min="7" max="7" width="24.33203125" style="17" customWidth="1"/>
    <col min="8" max="8" width="19.6640625" style="17" customWidth="1"/>
    <col min="9" max="9" width="20.33203125" style="17" customWidth="1"/>
    <col min="10" max="10" width="17.5546875" style="17" customWidth="1"/>
    <col min="11" max="16384" width="11.44140625" style="17"/>
  </cols>
  <sheetData>
    <row r="1" spans="2:11" s="67" customFormat="1" ht="28.8" customHeight="1">
      <c r="C1" s="68"/>
      <c r="D1" s="69"/>
      <c r="E1" s="285" t="s">
        <v>204</v>
      </c>
      <c r="F1" s="285"/>
      <c r="G1" s="285"/>
      <c r="H1" s="117"/>
      <c r="I1" s="69"/>
      <c r="J1" s="69"/>
    </row>
    <row r="2" spans="2:11" ht="30" customHeight="1"/>
    <row r="3" spans="2:11" ht="30" customHeight="1">
      <c r="B3" s="195" t="s">
        <v>171</v>
      </c>
      <c r="C3" s="195"/>
      <c r="D3" s="18"/>
      <c r="E3" s="18"/>
    </row>
    <row r="4" spans="2:11" ht="6.75" customHeight="1">
      <c r="B4" s="19"/>
      <c r="C4" s="18"/>
      <c r="D4" s="18"/>
      <c r="E4" s="18"/>
    </row>
    <row r="5" spans="2:11" ht="46.5" customHeight="1">
      <c r="B5" s="20"/>
      <c r="C5" s="288" t="s">
        <v>247</v>
      </c>
      <c r="D5" s="289"/>
      <c r="E5" s="290"/>
    </row>
    <row r="6" spans="2:11" ht="20.100000000000001" customHeight="1">
      <c r="B6" s="20"/>
      <c r="C6" s="215" t="s">
        <v>70</v>
      </c>
      <c r="D6" s="23"/>
      <c r="E6" s="24"/>
    </row>
    <row r="7" spans="2:11" ht="20.100000000000001" customHeight="1">
      <c r="B7" s="20"/>
      <c r="C7" s="216" t="s">
        <v>172</v>
      </c>
      <c r="D7" s="25"/>
      <c r="E7" s="26"/>
    </row>
    <row r="8" spans="2:11" ht="12" customHeight="1"/>
    <row r="9" spans="2:11" ht="30" customHeight="1">
      <c r="C9" s="214" t="s">
        <v>3</v>
      </c>
      <c r="D9" s="291" t="s">
        <v>243</v>
      </c>
      <c r="E9" s="292"/>
      <c r="F9" s="293"/>
      <c r="G9" s="2"/>
      <c r="H9" s="2"/>
      <c r="I9" s="2"/>
      <c r="J9" s="2"/>
      <c r="K9" s="2"/>
    </row>
    <row r="10" spans="2:11" ht="9" customHeight="1"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2:11" ht="36" customHeight="1">
      <c r="D11" s="95" t="s">
        <v>169</v>
      </c>
      <c r="E11" s="96" t="s">
        <v>200</v>
      </c>
      <c r="K11" s="2"/>
    </row>
    <row r="12" spans="2:11" ht="30" customHeight="1">
      <c r="D12" s="174">
        <v>4.3456780000000004</v>
      </c>
      <c r="E12" s="267">
        <f>ROUND(D12,2)</f>
        <v>4.3499999999999996</v>
      </c>
      <c r="K12" s="2"/>
    </row>
    <row r="13" spans="2:11" ht="30" customHeight="1">
      <c r="D13" s="174">
        <v>16.356789007</v>
      </c>
      <c r="E13" s="267">
        <f t="shared" ref="E13:E17" si="0">ROUND(D13,2)</f>
        <v>16.36</v>
      </c>
      <c r="K13" s="2"/>
    </row>
    <row r="14" spans="2:11" ht="30" customHeight="1">
      <c r="D14" s="174">
        <v>36.236345440000001</v>
      </c>
      <c r="E14" s="267">
        <f t="shared" si="0"/>
        <v>36.24</v>
      </c>
      <c r="K14" s="2"/>
    </row>
    <row r="15" spans="2:11" ht="30" customHeight="1">
      <c r="D15" s="174">
        <v>64.645433299999993</v>
      </c>
      <c r="E15" s="267">
        <f t="shared" si="0"/>
        <v>64.650000000000006</v>
      </c>
      <c r="K15" s="2"/>
    </row>
    <row r="16" spans="2:11" ht="30" customHeight="1">
      <c r="D16" s="174">
        <v>27.789234560000001</v>
      </c>
      <c r="E16" s="267">
        <f t="shared" si="0"/>
        <v>27.79</v>
      </c>
      <c r="K16" s="2"/>
    </row>
    <row r="17" spans="3:11" ht="30" customHeight="1">
      <c r="D17" s="174">
        <v>144.46875660000001</v>
      </c>
      <c r="E17" s="267">
        <f t="shared" si="0"/>
        <v>144.47</v>
      </c>
      <c r="K17" s="2"/>
    </row>
    <row r="18" spans="3:11" ht="30" customHeight="1">
      <c r="K18" s="2"/>
    </row>
    <row r="19" spans="3:11" ht="30" customHeight="1">
      <c r="C19" s="217" t="s">
        <v>67</v>
      </c>
      <c r="D19" s="218" t="s">
        <v>188</v>
      </c>
      <c r="E19" s="46"/>
      <c r="F19" s="47"/>
      <c r="K19" s="2"/>
    </row>
    <row r="20" spans="3:11" ht="30" customHeight="1">
      <c r="C20" s="48"/>
      <c r="D20" s="23"/>
      <c r="E20" s="23"/>
      <c r="F20" s="49"/>
      <c r="K20" s="2"/>
    </row>
    <row r="21" spans="3:11" ht="30" customHeight="1">
      <c r="D21" s="97" t="s">
        <v>173</v>
      </c>
      <c r="E21" s="97" t="s">
        <v>174</v>
      </c>
      <c r="F21" s="97" t="s">
        <v>175</v>
      </c>
      <c r="G21" s="97" t="s">
        <v>176</v>
      </c>
    </row>
    <row r="22" spans="3:11" ht="30" customHeight="1">
      <c r="D22" s="219" t="s">
        <v>177</v>
      </c>
      <c r="E22" s="220">
        <v>12</v>
      </c>
      <c r="F22" s="220">
        <v>13</v>
      </c>
      <c r="G22" s="268">
        <f>ROUND(AVERAGE(E22:F22),2)</f>
        <v>12.5</v>
      </c>
    </row>
    <row r="23" spans="3:11" ht="30" customHeight="1">
      <c r="D23" s="219" t="s">
        <v>178</v>
      </c>
      <c r="E23" s="220">
        <v>13</v>
      </c>
      <c r="F23" s="220">
        <v>13</v>
      </c>
      <c r="G23" s="268">
        <f t="shared" ref="G23:G32" si="1">ROUND(AVERAGE(E23:F23),2)</f>
        <v>13</v>
      </c>
    </row>
    <row r="24" spans="3:11" ht="30" customHeight="1">
      <c r="D24" s="219" t="s">
        <v>179</v>
      </c>
      <c r="E24" s="220">
        <v>11</v>
      </c>
      <c r="F24" s="220">
        <v>12</v>
      </c>
      <c r="G24" s="268">
        <f t="shared" si="1"/>
        <v>11.5</v>
      </c>
    </row>
    <row r="25" spans="3:11" ht="30" customHeight="1">
      <c r="D25" s="219" t="s">
        <v>180</v>
      </c>
      <c r="E25" s="220">
        <v>9</v>
      </c>
      <c r="F25" s="220">
        <v>15</v>
      </c>
      <c r="G25" s="268">
        <f t="shared" si="1"/>
        <v>12</v>
      </c>
    </row>
    <row r="26" spans="3:11" ht="30" customHeight="1">
      <c r="D26" s="219" t="s">
        <v>181</v>
      </c>
      <c r="E26" s="220">
        <v>8</v>
      </c>
      <c r="F26" s="220">
        <v>14</v>
      </c>
      <c r="G26" s="268">
        <f t="shared" si="1"/>
        <v>11</v>
      </c>
    </row>
    <row r="27" spans="3:11" ht="30" customHeight="1">
      <c r="D27" s="219" t="s">
        <v>182</v>
      </c>
      <c r="E27" s="220">
        <v>11</v>
      </c>
      <c r="F27" s="220">
        <v>13</v>
      </c>
      <c r="G27" s="268">
        <f t="shared" si="1"/>
        <v>12</v>
      </c>
    </row>
    <row r="28" spans="3:11" ht="30" customHeight="1">
      <c r="D28" s="219" t="s">
        <v>183</v>
      </c>
      <c r="E28" s="220">
        <v>13</v>
      </c>
      <c r="F28" s="220">
        <v>10</v>
      </c>
      <c r="G28" s="268">
        <f t="shared" si="1"/>
        <v>11.5</v>
      </c>
    </row>
    <row r="29" spans="3:11" ht="30" customHeight="1">
      <c r="D29" s="219" t="s">
        <v>184</v>
      </c>
      <c r="E29" s="220">
        <v>12</v>
      </c>
      <c r="F29" s="220">
        <v>9</v>
      </c>
      <c r="G29" s="268">
        <f t="shared" si="1"/>
        <v>10.5</v>
      </c>
    </row>
    <row r="30" spans="3:11" ht="30" customHeight="1">
      <c r="D30" s="219" t="s">
        <v>185</v>
      </c>
      <c r="E30" s="220">
        <v>11</v>
      </c>
      <c r="F30" s="220">
        <v>8</v>
      </c>
      <c r="G30" s="268">
        <f t="shared" si="1"/>
        <v>9.5</v>
      </c>
    </row>
    <row r="31" spans="3:11" ht="30" customHeight="1">
      <c r="D31" s="219" t="s">
        <v>186</v>
      </c>
      <c r="E31" s="220">
        <v>12</v>
      </c>
      <c r="F31" s="220">
        <v>7</v>
      </c>
      <c r="G31" s="268">
        <f t="shared" si="1"/>
        <v>9.5</v>
      </c>
    </row>
    <row r="32" spans="3:11" ht="2.1" customHeight="1">
      <c r="D32" s="21" t="s">
        <v>187</v>
      </c>
      <c r="E32" s="51">
        <v>10</v>
      </c>
      <c r="F32" s="51">
        <v>10</v>
      </c>
      <c r="G32" s="268">
        <f t="shared" si="1"/>
        <v>10</v>
      </c>
    </row>
    <row r="33" spans="2:11" ht="2.1" customHeight="1"/>
    <row r="34" spans="2:11" ht="30" customHeight="1"/>
    <row r="35" spans="2:11" ht="2.1" customHeight="1">
      <c r="B35" s="50"/>
    </row>
    <row r="36" spans="2:11" ht="30" customHeight="1">
      <c r="K36" s="2"/>
    </row>
    <row r="37" spans="2:11" ht="30" customHeight="1"/>
    <row r="38" spans="2:11" ht="30" customHeight="1">
      <c r="K38" s="2"/>
    </row>
    <row r="39" spans="2:11" ht="30" customHeight="1"/>
    <row r="40" spans="2:11" ht="30" customHeight="1">
      <c r="K40" s="2"/>
    </row>
    <row r="41" spans="2:11" ht="30" customHeight="1">
      <c r="K41" s="2"/>
    </row>
    <row r="42" spans="2:11" ht="30" customHeight="1">
      <c r="K42" s="2"/>
    </row>
    <row r="43" spans="2:11" ht="30" customHeight="1">
      <c r="K43" s="2"/>
    </row>
    <row r="44" spans="2:11" ht="30" customHeight="1">
      <c r="K44" s="2"/>
    </row>
    <row r="45" spans="2:11" ht="30" customHeight="1">
      <c r="K45" s="2"/>
    </row>
    <row r="46" spans="2:11" ht="30" customHeight="1">
      <c r="K46" s="2"/>
    </row>
    <row r="47" spans="2:11" ht="30" customHeight="1">
      <c r="K47" s="2"/>
    </row>
    <row r="48" spans="2:11" ht="30" customHeight="1">
      <c r="K48" s="2"/>
    </row>
    <row r="49" spans="2:11" ht="30" customHeight="1">
      <c r="K49" s="2"/>
    </row>
    <row r="50" spans="2:11" ht="30" customHeight="1">
      <c r="B50" s="2"/>
      <c r="G50" s="2"/>
      <c r="H50" s="2"/>
      <c r="I50" s="2"/>
      <c r="J50" s="2"/>
      <c r="K50" s="2"/>
    </row>
    <row r="51" spans="2:11" ht="30" customHeight="1">
      <c r="B51" s="2"/>
      <c r="G51" s="2"/>
      <c r="H51" s="2"/>
      <c r="I51" s="2"/>
      <c r="J51" s="2"/>
      <c r="K51" s="2"/>
    </row>
    <row r="52" spans="2:11" ht="30" customHeight="1">
      <c r="B52" s="2"/>
      <c r="G52" s="2"/>
      <c r="H52" s="2"/>
      <c r="I52" s="2"/>
      <c r="J52" s="2"/>
      <c r="K52" s="2"/>
    </row>
    <row r="53" spans="2:11" ht="30" customHeight="1"/>
    <row r="54" spans="2:11" ht="30" customHeight="1"/>
    <row r="55" spans="2:11" ht="30" customHeight="1"/>
    <row r="56" spans="2:11" ht="30" customHeight="1"/>
    <row r="57" spans="2:11" ht="30" customHeight="1"/>
    <row r="58" spans="2:11" ht="30" customHeight="1"/>
    <row r="59" spans="2:11" ht="30" customHeight="1"/>
    <row r="60" spans="2:11" ht="30" customHeight="1"/>
    <row r="61" spans="2:11" ht="30" customHeight="1"/>
    <row r="62" spans="2:11" ht="30" customHeight="1"/>
    <row r="63" spans="2:11" ht="30" customHeight="1"/>
    <row r="64" spans="2:11" ht="30" customHeight="1"/>
    <row r="65" ht="30" customHeight="1"/>
    <row r="66" ht="30" customHeight="1"/>
    <row r="67" ht="30" customHeight="1"/>
    <row r="68" ht="30" customHeight="1"/>
    <row r="69" ht="30" customHeight="1"/>
    <row r="70" ht="30" customHeight="1"/>
    <row r="71" ht="30" customHeight="1"/>
    <row r="72" ht="30" customHeight="1"/>
    <row r="73" ht="30" customHeight="1"/>
    <row r="74" ht="30" customHeight="1"/>
    <row r="75" ht="30" customHeight="1"/>
    <row r="76" ht="30" customHeight="1"/>
    <row r="77" ht="30" customHeight="1"/>
    <row r="78" ht="30" customHeight="1"/>
    <row r="79" ht="30" customHeight="1"/>
    <row r="80" ht="30" customHeight="1"/>
    <row r="81" ht="30" customHeight="1"/>
    <row r="82" ht="30" customHeight="1"/>
    <row r="83" ht="30" customHeight="1"/>
    <row r="84" ht="30" customHeight="1"/>
    <row r="85" ht="30" customHeight="1"/>
    <row r="86" ht="30" customHeight="1"/>
    <row r="87" ht="30" customHeight="1"/>
    <row r="88" ht="30" customHeight="1"/>
    <row r="89" ht="30" customHeight="1"/>
    <row r="90" ht="30" customHeight="1"/>
    <row r="91" ht="30" customHeight="1"/>
    <row r="92" ht="30" customHeight="1"/>
    <row r="93" ht="30" customHeight="1"/>
    <row r="94" ht="30" customHeight="1"/>
    <row r="95" ht="30" customHeight="1"/>
    <row r="96" ht="30" customHeight="1"/>
    <row r="97" ht="30" customHeight="1"/>
    <row r="98" ht="30" customHeight="1"/>
    <row r="99" ht="30" customHeight="1"/>
    <row r="100" ht="30" customHeight="1"/>
    <row r="101" ht="30" customHeight="1"/>
    <row r="102" ht="30" customHeight="1"/>
    <row r="103" ht="30" customHeight="1"/>
    <row r="104" ht="30" customHeight="1"/>
    <row r="105" ht="30" customHeight="1"/>
    <row r="106" ht="30" customHeight="1"/>
    <row r="107" ht="30" customHeight="1"/>
    <row r="108" ht="30" customHeight="1"/>
    <row r="109" ht="30" customHeight="1"/>
    <row r="110" ht="30" customHeight="1"/>
    <row r="111" ht="30" customHeight="1"/>
    <row r="112" ht="30" customHeight="1"/>
    <row r="113" ht="30" customHeight="1"/>
    <row r="114" ht="30" customHeight="1"/>
    <row r="115" ht="30" customHeight="1"/>
    <row r="116" ht="30" customHeight="1"/>
    <row r="117" ht="30" customHeight="1"/>
    <row r="118" ht="30" customHeight="1"/>
    <row r="119" ht="30" customHeight="1"/>
    <row r="120" ht="30" customHeight="1"/>
  </sheetData>
  <mergeCells count="3">
    <mergeCell ref="C5:E5"/>
    <mergeCell ref="D9:F9"/>
    <mergeCell ref="E1:G1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1"/>
  </sheetPr>
  <dimension ref="B1:R210"/>
  <sheetViews>
    <sheetView showGridLines="0" topLeftCell="A145" zoomScaleNormal="100" workbookViewId="0">
      <selection activeCell="H8" sqref="H8"/>
    </sheetView>
  </sheetViews>
  <sheetFormatPr baseColWidth="10" defaultColWidth="11.44140625" defaultRowHeight="20.100000000000001" customHeight="1"/>
  <cols>
    <col min="1" max="1" width="3.109375" style="2" customWidth="1"/>
    <col min="2" max="2" width="14.88671875" style="2" customWidth="1"/>
    <col min="3" max="3" width="16.6640625" style="2" customWidth="1"/>
    <col min="4" max="4" width="15.88671875" style="2" customWidth="1"/>
    <col min="5" max="5" width="21.88671875" style="2" customWidth="1"/>
    <col min="6" max="6" width="0.33203125" style="2" customWidth="1"/>
    <col min="7" max="7" width="23.109375" style="2" customWidth="1"/>
    <col min="8" max="8" width="17.109375" style="2" customWidth="1"/>
    <col min="9" max="9" width="18.5546875" style="2" customWidth="1"/>
    <col min="10" max="10" width="12.21875" style="2" customWidth="1"/>
    <col min="11" max="11" width="21.6640625" style="2" customWidth="1"/>
    <col min="12" max="12" width="15" style="2" customWidth="1"/>
    <col min="13" max="13" width="20" style="2" customWidth="1"/>
    <col min="14" max="15" width="11.44140625" style="2"/>
    <col min="16" max="16" width="14.77734375" style="2" customWidth="1"/>
    <col min="17" max="17" width="14.88671875" style="2" customWidth="1"/>
    <col min="18" max="18" width="14.109375" style="2" customWidth="1"/>
    <col min="19" max="16384" width="11.44140625" style="2"/>
  </cols>
  <sheetData>
    <row r="1" spans="2:18" s="67" customFormat="1" ht="31.8" customHeight="1">
      <c r="C1" s="68"/>
      <c r="D1" s="69"/>
      <c r="E1" s="69"/>
      <c r="F1" s="69"/>
      <c r="G1" s="281" t="s">
        <v>205</v>
      </c>
      <c r="H1" s="281"/>
      <c r="I1" s="69"/>
      <c r="J1" s="69"/>
    </row>
    <row r="2" spans="2:18" ht="12.75" customHeight="1"/>
    <row r="3" spans="2:18" ht="30" customHeight="1">
      <c r="B3" s="132" t="s">
        <v>190</v>
      </c>
      <c r="C3" s="133"/>
      <c r="D3" s="18"/>
      <c r="E3" s="18"/>
      <c r="F3" s="18"/>
      <c r="G3" s="18"/>
      <c r="H3" s="18"/>
      <c r="I3" s="18"/>
      <c r="J3" s="17"/>
    </row>
    <row r="4" spans="2:18" ht="16.8" customHeight="1">
      <c r="B4" s="19"/>
      <c r="C4" s="18"/>
      <c r="D4" s="18"/>
      <c r="E4" s="18"/>
      <c r="F4" s="18"/>
      <c r="G4" s="18"/>
      <c r="H4" s="18"/>
      <c r="I4" s="18"/>
      <c r="J4" s="17"/>
    </row>
    <row r="5" spans="2:18" ht="30" customHeight="1">
      <c r="B5" s="20"/>
      <c r="C5" s="297" t="s">
        <v>189</v>
      </c>
      <c r="D5" s="298"/>
      <c r="E5" s="298"/>
      <c r="F5" s="298"/>
      <c r="G5" s="298"/>
      <c r="H5" s="298"/>
      <c r="I5" s="299"/>
      <c r="J5" s="17"/>
    </row>
    <row r="6" spans="2:18" ht="30" customHeight="1">
      <c r="B6" s="20"/>
      <c r="C6" s="136" t="s">
        <v>70</v>
      </c>
      <c r="D6" s="23"/>
      <c r="E6" s="23"/>
      <c r="F6" s="23"/>
      <c r="G6" s="23"/>
      <c r="H6" s="23"/>
      <c r="I6" s="24"/>
      <c r="J6" s="17"/>
    </row>
    <row r="7" spans="2:18" ht="30" customHeight="1">
      <c r="B7" s="20"/>
      <c r="C7" s="137" t="s">
        <v>248</v>
      </c>
      <c r="D7" s="25"/>
      <c r="E7" s="25"/>
      <c r="F7" s="25"/>
      <c r="G7" s="25"/>
      <c r="H7" s="25"/>
      <c r="I7" s="26"/>
      <c r="J7" s="17"/>
    </row>
    <row r="8" spans="2:18" ht="30" customHeight="1">
      <c r="B8" s="17"/>
      <c r="C8" s="17"/>
      <c r="D8" s="17"/>
      <c r="E8" s="17"/>
      <c r="F8" s="17"/>
      <c r="G8" s="17"/>
      <c r="H8" s="17"/>
      <c r="I8" s="17"/>
      <c r="J8" s="17"/>
    </row>
    <row r="9" spans="2:18" ht="30" customHeight="1">
      <c r="B9" s="17"/>
      <c r="C9" s="196" t="s">
        <v>3</v>
      </c>
      <c r="D9" s="300" t="s">
        <v>244</v>
      </c>
      <c r="E9" s="301"/>
      <c r="F9" s="301"/>
      <c r="G9" s="301"/>
      <c r="H9" s="301"/>
      <c r="I9" s="301"/>
      <c r="J9" s="302"/>
      <c r="O9" s="60" t="s">
        <v>206</v>
      </c>
    </row>
    <row r="10" spans="2:18" ht="15.75" customHeight="1" thickBot="1">
      <c r="H10" s="52"/>
      <c r="I10" s="52"/>
      <c r="J10" s="52"/>
    </row>
    <row r="11" spans="2:18" ht="37.5" customHeight="1" thickBot="1">
      <c r="D11" s="118" t="s">
        <v>10</v>
      </c>
      <c r="E11" s="119" t="s">
        <v>11</v>
      </c>
      <c r="F11" s="119"/>
      <c r="G11" s="314" t="s">
        <v>0</v>
      </c>
      <c r="H11" s="315" t="s">
        <v>13</v>
      </c>
      <c r="I11" s="315" t="s">
        <v>2</v>
      </c>
      <c r="J11" s="315" t="s">
        <v>14</v>
      </c>
      <c r="K11" s="316" t="s">
        <v>12</v>
      </c>
      <c r="L11" s="315" t="s">
        <v>1</v>
      </c>
      <c r="M11" s="316" t="s">
        <v>191</v>
      </c>
      <c r="O11" s="120" t="s">
        <v>0</v>
      </c>
      <c r="P11" s="120" t="s">
        <v>13</v>
      </c>
      <c r="Q11" s="120" t="s">
        <v>2</v>
      </c>
      <c r="R11" s="120" t="s">
        <v>14</v>
      </c>
    </row>
    <row r="12" spans="2:18" ht="30" customHeight="1">
      <c r="D12" s="221">
        <v>41641</v>
      </c>
      <c r="E12" s="222">
        <v>4000002</v>
      </c>
      <c r="F12" s="222"/>
      <c r="G12" s="312" t="s">
        <v>15</v>
      </c>
      <c r="H12" s="222" t="s">
        <v>16</v>
      </c>
      <c r="I12" s="222" t="s">
        <v>17</v>
      </c>
      <c r="J12" s="222" t="s">
        <v>18</v>
      </c>
      <c r="K12" s="223">
        <v>570</v>
      </c>
      <c r="L12" s="223">
        <f>K12*0.18</f>
        <v>102.6</v>
      </c>
      <c r="M12" s="223">
        <f>K12+L12</f>
        <v>672.6</v>
      </c>
      <c r="O12" s="54" t="s">
        <v>15</v>
      </c>
      <c r="P12" s="54" t="s">
        <v>16</v>
      </c>
      <c r="Q12" s="54" t="s">
        <v>17</v>
      </c>
      <c r="R12" s="57" t="s">
        <v>18</v>
      </c>
    </row>
    <row r="13" spans="2:18" ht="30" customHeight="1">
      <c r="D13" s="224">
        <v>41641</v>
      </c>
      <c r="E13" s="225">
        <v>4000004</v>
      </c>
      <c r="F13" s="225"/>
      <c r="G13" s="313" t="s">
        <v>19</v>
      </c>
      <c r="H13" s="225" t="s">
        <v>20</v>
      </c>
      <c r="I13" s="225" t="s">
        <v>17</v>
      </c>
      <c r="J13" s="225" t="s">
        <v>21</v>
      </c>
      <c r="K13" s="226">
        <v>315</v>
      </c>
      <c r="L13" s="226">
        <f t="shared" ref="L13:L76" si="0">K13*0.18</f>
        <v>56.699999999999996</v>
      </c>
      <c r="M13" s="226">
        <f t="shared" ref="M13:M76" si="1">K13+L13</f>
        <v>371.7</v>
      </c>
      <c r="O13" s="55" t="s">
        <v>19</v>
      </c>
      <c r="P13" s="55" t="s">
        <v>20</v>
      </c>
      <c r="Q13" s="55" t="s">
        <v>30</v>
      </c>
      <c r="R13" s="56" t="s">
        <v>21</v>
      </c>
    </row>
    <row r="14" spans="2:18" ht="30" customHeight="1">
      <c r="D14" s="224">
        <v>41641</v>
      </c>
      <c r="E14" s="225">
        <v>4000002</v>
      </c>
      <c r="F14" s="225"/>
      <c r="G14" s="313" t="s">
        <v>15</v>
      </c>
      <c r="H14" s="225" t="s">
        <v>16</v>
      </c>
      <c r="I14" s="225" t="s">
        <v>17</v>
      </c>
      <c r="J14" s="225" t="s">
        <v>21</v>
      </c>
      <c r="K14" s="226">
        <v>504</v>
      </c>
      <c r="L14" s="226">
        <f t="shared" si="0"/>
        <v>90.72</v>
      </c>
      <c r="M14" s="226">
        <f t="shared" si="1"/>
        <v>594.72</v>
      </c>
      <c r="O14" s="55" t="s">
        <v>24</v>
      </c>
      <c r="P14" s="55" t="s">
        <v>22</v>
      </c>
      <c r="Q14" s="55" t="s">
        <v>31</v>
      </c>
      <c r="R14" s="56" t="s">
        <v>23</v>
      </c>
    </row>
    <row r="15" spans="2:18" ht="30" customHeight="1">
      <c r="D15" s="224">
        <v>41641</v>
      </c>
      <c r="E15" s="225">
        <v>4000002</v>
      </c>
      <c r="F15" s="225"/>
      <c r="G15" s="313" t="s">
        <v>15</v>
      </c>
      <c r="H15" s="225" t="s">
        <v>22</v>
      </c>
      <c r="I15" s="225" t="s">
        <v>17</v>
      </c>
      <c r="J15" s="225" t="s">
        <v>23</v>
      </c>
      <c r="K15" s="226">
        <v>294</v>
      </c>
      <c r="L15" s="226">
        <f t="shared" si="0"/>
        <v>52.919999999999995</v>
      </c>
      <c r="M15" s="226">
        <f t="shared" si="1"/>
        <v>346.92</v>
      </c>
      <c r="O15" s="27" t="s">
        <v>29</v>
      </c>
      <c r="P15" s="55" t="s">
        <v>26</v>
      </c>
      <c r="Q15" s="55" t="s">
        <v>32</v>
      </c>
      <c r="R15" s="56" t="s">
        <v>25</v>
      </c>
    </row>
    <row r="16" spans="2:18" ht="30" customHeight="1">
      <c r="D16" s="224">
        <v>41641</v>
      </c>
      <c r="E16" s="225">
        <v>4000001</v>
      </c>
      <c r="F16" s="225"/>
      <c r="G16" s="313" t="s">
        <v>24</v>
      </c>
      <c r="H16" s="225" t="s">
        <v>16</v>
      </c>
      <c r="I16" s="225" t="s">
        <v>17</v>
      </c>
      <c r="J16" s="225" t="s">
        <v>25</v>
      </c>
      <c r="K16" s="226">
        <v>136</v>
      </c>
      <c r="L16" s="226">
        <f t="shared" si="0"/>
        <v>24.48</v>
      </c>
      <c r="M16" s="226">
        <f t="shared" si="1"/>
        <v>160.47999999999999</v>
      </c>
      <c r="P16" s="31" t="s">
        <v>28</v>
      </c>
      <c r="Q16" s="31" t="s">
        <v>33</v>
      </c>
      <c r="R16" s="27" t="s">
        <v>27</v>
      </c>
    </row>
    <row r="17" spans="4:13" ht="30" customHeight="1">
      <c r="D17" s="224">
        <v>41641</v>
      </c>
      <c r="E17" s="225">
        <v>4000001</v>
      </c>
      <c r="F17" s="225"/>
      <c r="G17" s="313" t="s">
        <v>24</v>
      </c>
      <c r="H17" s="225" t="s">
        <v>26</v>
      </c>
      <c r="I17" s="225" t="s">
        <v>17</v>
      </c>
      <c r="J17" s="225" t="s">
        <v>27</v>
      </c>
      <c r="K17" s="226">
        <v>512</v>
      </c>
      <c r="L17" s="226">
        <f t="shared" si="0"/>
        <v>92.16</v>
      </c>
      <c r="M17" s="226">
        <f t="shared" si="1"/>
        <v>604.16</v>
      </c>
    </row>
    <row r="18" spans="4:13" ht="30" customHeight="1">
      <c r="D18" s="224">
        <v>41642</v>
      </c>
      <c r="E18" s="225">
        <v>4000002</v>
      </c>
      <c r="F18" s="225"/>
      <c r="G18" s="313" t="s">
        <v>15</v>
      </c>
      <c r="H18" s="225" t="s">
        <v>26</v>
      </c>
      <c r="I18" s="225" t="s">
        <v>17</v>
      </c>
      <c r="J18" s="225" t="s">
        <v>23</v>
      </c>
      <c r="K18" s="226">
        <v>352</v>
      </c>
      <c r="L18" s="226">
        <f t="shared" si="0"/>
        <v>63.36</v>
      </c>
      <c r="M18" s="226">
        <f t="shared" si="1"/>
        <v>415.36</v>
      </c>
    </row>
    <row r="19" spans="4:13" ht="30" customHeight="1">
      <c r="D19" s="224">
        <v>41642</v>
      </c>
      <c r="E19" s="225">
        <v>4000001</v>
      </c>
      <c r="F19" s="225"/>
      <c r="G19" s="313" t="s">
        <v>24</v>
      </c>
      <c r="H19" s="225" t="s">
        <v>28</v>
      </c>
      <c r="I19" s="225" t="s">
        <v>17</v>
      </c>
      <c r="J19" s="225" t="s">
        <v>23</v>
      </c>
      <c r="K19" s="226">
        <v>152</v>
      </c>
      <c r="L19" s="226">
        <f t="shared" si="0"/>
        <v>27.36</v>
      </c>
      <c r="M19" s="226">
        <f t="shared" si="1"/>
        <v>179.36</v>
      </c>
    </row>
    <row r="20" spans="4:13" ht="30" customHeight="1">
      <c r="D20" s="224">
        <v>41642</v>
      </c>
      <c r="E20" s="225">
        <v>4000003</v>
      </c>
      <c r="F20" s="225"/>
      <c r="G20" s="313" t="s">
        <v>29</v>
      </c>
      <c r="H20" s="225" t="s">
        <v>28</v>
      </c>
      <c r="I20" s="225" t="s">
        <v>17</v>
      </c>
      <c r="J20" s="225" t="s">
        <v>27</v>
      </c>
      <c r="K20" s="226">
        <v>273</v>
      </c>
      <c r="L20" s="226">
        <f t="shared" si="0"/>
        <v>49.14</v>
      </c>
      <c r="M20" s="226">
        <f t="shared" si="1"/>
        <v>322.14</v>
      </c>
    </row>
    <row r="21" spans="4:13" ht="30" customHeight="1">
      <c r="D21" s="224">
        <v>41642</v>
      </c>
      <c r="E21" s="225">
        <v>4000001</v>
      </c>
      <c r="F21" s="225"/>
      <c r="G21" s="313" t="s">
        <v>24</v>
      </c>
      <c r="H21" s="225" t="s">
        <v>28</v>
      </c>
      <c r="I21" s="225" t="s">
        <v>17</v>
      </c>
      <c r="J21" s="225" t="s">
        <v>27</v>
      </c>
      <c r="K21" s="226">
        <v>918</v>
      </c>
      <c r="L21" s="226">
        <f t="shared" si="0"/>
        <v>165.23999999999998</v>
      </c>
      <c r="M21" s="226">
        <f t="shared" si="1"/>
        <v>1083.24</v>
      </c>
    </row>
    <row r="22" spans="4:13" ht="30" customHeight="1">
      <c r="D22" s="224">
        <v>41643</v>
      </c>
      <c r="E22" s="225">
        <v>4000004</v>
      </c>
      <c r="F22" s="225"/>
      <c r="G22" s="313" t="s">
        <v>19</v>
      </c>
      <c r="H22" s="225" t="s">
        <v>20</v>
      </c>
      <c r="I22" s="225" t="s">
        <v>17</v>
      </c>
      <c r="J22" s="225" t="s">
        <v>27</v>
      </c>
      <c r="K22" s="226">
        <v>160</v>
      </c>
      <c r="L22" s="226">
        <f t="shared" si="0"/>
        <v>28.799999999999997</v>
      </c>
      <c r="M22" s="226">
        <f t="shared" si="1"/>
        <v>188.8</v>
      </c>
    </row>
    <row r="23" spans="4:13" ht="30" customHeight="1">
      <c r="D23" s="224">
        <v>41644</v>
      </c>
      <c r="E23" s="225">
        <v>4000004</v>
      </c>
      <c r="F23" s="225"/>
      <c r="G23" s="313" t="s">
        <v>19</v>
      </c>
      <c r="H23" s="225" t="s">
        <v>16</v>
      </c>
      <c r="I23" s="225" t="s">
        <v>17</v>
      </c>
      <c r="J23" s="225" t="s">
        <v>18</v>
      </c>
      <c r="K23" s="226">
        <v>450</v>
      </c>
      <c r="L23" s="226">
        <f t="shared" si="0"/>
        <v>81</v>
      </c>
      <c r="M23" s="226">
        <f t="shared" si="1"/>
        <v>531</v>
      </c>
    </row>
    <row r="24" spans="4:13" ht="30" customHeight="1">
      <c r="D24" s="224">
        <v>41644</v>
      </c>
      <c r="E24" s="225">
        <v>4000001</v>
      </c>
      <c r="F24" s="225"/>
      <c r="G24" s="313" t="s">
        <v>24</v>
      </c>
      <c r="H24" s="225" t="s">
        <v>28</v>
      </c>
      <c r="I24" s="225" t="s">
        <v>17</v>
      </c>
      <c r="J24" s="225" t="s">
        <v>21</v>
      </c>
      <c r="K24" s="226">
        <v>320</v>
      </c>
      <c r="L24" s="226">
        <f t="shared" si="0"/>
        <v>57.599999999999994</v>
      </c>
      <c r="M24" s="226">
        <f t="shared" si="1"/>
        <v>377.6</v>
      </c>
    </row>
    <row r="25" spans="4:13" ht="30" customHeight="1">
      <c r="D25" s="224">
        <v>41644</v>
      </c>
      <c r="E25" s="225">
        <v>4000002</v>
      </c>
      <c r="F25" s="225"/>
      <c r="G25" s="313" t="s">
        <v>15</v>
      </c>
      <c r="H25" s="225" t="s">
        <v>20</v>
      </c>
      <c r="I25" s="225" t="s">
        <v>17</v>
      </c>
      <c r="J25" s="225" t="s">
        <v>25</v>
      </c>
      <c r="K25" s="226">
        <v>720</v>
      </c>
      <c r="L25" s="226">
        <f t="shared" si="0"/>
        <v>129.6</v>
      </c>
      <c r="M25" s="226">
        <f t="shared" si="1"/>
        <v>849.6</v>
      </c>
    </row>
    <row r="26" spans="4:13" ht="30" customHeight="1">
      <c r="D26" s="224">
        <v>41644</v>
      </c>
      <c r="E26" s="225">
        <v>4000001</v>
      </c>
      <c r="F26" s="225"/>
      <c r="G26" s="313" t="s">
        <v>24</v>
      </c>
      <c r="H26" s="225" t="s">
        <v>20</v>
      </c>
      <c r="I26" s="225" t="s">
        <v>17</v>
      </c>
      <c r="J26" s="225" t="s">
        <v>25</v>
      </c>
      <c r="K26" s="226">
        <v>477</v>
      </c>
      <c r="L26" s="226">
        <f t="shared" si="0"/>
        <v>85.86</v>
      </c>
      <c r="M26" s="226">
        <f t="shared" si="1"/>
        <v>562.86</v>
      </c>
    </row>
    <row r="27" spans="4:13" ht="30" customHeight="1">
      <c r="D27" s="224">
        <v>41644</v>
      </c>
      <c r="E27" s="225">
        <v>4000001</v>
      </c>
      <c r="F27" s="225"/>
      <c r="G27" s="313" t="s">
        <v>24</v>
      </c>
      <c r="H27" s="225" t="s">
        <v>16</v>
      </c>
      <c r="I27" s="225" t="s">
        <v>17</v>
      </c>
      <c r="J27" s="225" t="s">
        <v>27</v>
      </c>
      <c r="K27" s="226">
        <v>544</v>
      </c>
      <c r="L27" s="226">
        <f t="shared" si="0"/>
        <v>97.92</v>
      </c>
      <c r="M27" s="226">
        <f t="shared" si="1"/>
        <v>641.91999999999996</v>
      </c>
    </row>
    <row r="28" spans="4:13" ht="30" customHeight="1">
      <c r="D28" s="224">
        <v>41645</v>
      </c>
      <c r="E28" s="225">
        <v>4000003</v>
      </c>
      <c r="F28" s="225"/>
      <c r="G28" s="313" t="s">
        <v>29</v>
      </c>
      <c r="H28" s="225" t="s">
        <v>20</v>
      </c>
      <c r="I28" s="225" t="s">
        <v>17</v>
      </c>
      <c r="J28" s="225" t="s">
        <v>25</v>
      </c>
      <c r="K28" s="226">
        <v>333</v>
      </c>
      <c r="L28" s="226">
        <f t="shared" si="0"/>
        <v>59.94</v>
      </c>
      <c r="M28" s="226">
        <f t="shared" si="1"/>
        <v>392.94</v>
      </c>
    </row>
    <row r="29" spans="4:13" ht="30" customHeight="1">
      <c r="D29" s="224">
        <v>41645</v>
      </c>
      <c r="E29" s="225">
        <v>4000004</v>
      </c>
      <c r="F29" s="225"/>
      <c r="G29" s="313" t="s">
        <v>19</v>
      </c>
      <c r="H29" s="225" t="s">
        <v>16</v>
      </c>
      <c r="I29" s="225" t="s">
        <v>17</v>
      </c>
      <c r="J29" s="225" t="s">
        <v>27</v>
      </c>
      <c r="K29" s="226">
        <v>352</v>
      </c>
      <c r="L29" s="226">
        <f t="shared" si="0"/>
        <v>63.36</v>
      </c>
      <c r="M29" s="226">
        <f t="shared" si="1"/>
        <v>415.36</v>
      </c>
    </row>
    <row r="30" spans="4:13" ht="30" customHeight="1">
      <c r="D30" s="224">
        <v>41646</v>
      </c>
      <c r="E30" s="225">
        <v>4000001</v>
      </c>
      <c r="F30" s="225"/>
      <c r="G30" s="313" t="s">
        <v>24</v>
      </c>
      <c r="H30" s="225" t="s">
        <v>20</v>
      </c>
      <c r="I30" s="225" t="s">
        <v>17</v>
      </c>
      <c r="J30" s="225" t="s">
        <v>18</v>
      </c>
      <c r="K30" s="226">
        <v>484</v>
      </c>
      <c r="L30" s="226">
        <f t="shared" si="0"/>
        <v>87.11999999999999</v>
      </c>
      <c r="M30" s="226">
        <f t="shared" si="1"/>
        <v>571.12</v>
      </c>
    </row>
    <row r="31" spans="4:13" ht="30" customHeight="1">
      <c r="D31" s="224">
        <v>41646</v>
      </c>
      <c r="E31" s="225">
        <v>4000003</v>
      </c>
      <c r="F31" s="225"/>
      <c r="G31" s="313" t="s">
        <v>29</v>
      </c>
      <c r="H31" s="225" t="s">
        <v>26</v>
      </c>
      <c r="I31" s="225" t="s">
        <v>17</v>
      </c>
      <c r="J31" s="225" t="s">
        <v>18</v>
      </c>
      <c r="K31" s="226">
        <v>510</v>
      </c>
      <c r="L31" s="226">
        <f t="shared" si="0"/>
        <v>91.8</v>
      </c>
      <c r="M31" s="226">
        <f t="shared" si="1"/>
        <v>601.79999999999995</v>
      </c>
    </row>
    <row r="32" spans="4:13" ht="30" customHeight="1">
      <c r="D32" s="224">
        <v>41646</v>
      </c>
      <c r="E32" s="225">
        <v>4000003</v>
      </c>
      <c r="F32" s="225"/>
      <c r="G32" s="313" t="s">
        <v>29</v>
      </c>
      <c r="H32" s="225" t="s">
        <v>16</v>
      </c>
      <c r="I32" s="225" t="s">
        <v>17</v>
      </c>
      <c r="J32" s="225" t="s">
        <v>18</v>
      </c>
      <c r="K32" s="226">
        <v>204</v>
      </c>
      <c r="L32" s="226">
        <f t="shared" si="0"/>
        <v>36.72</v>
      </c>
      <c r="M32" s="226">
        <f t="shared" si="1"/>
        <v>240.72</v>
      </c>
    </row>
    <row r="33" spans="4:13" ht="30" customHeight="1">
      <c r="D33" s="224">
        <v>41646</v>
      </c>
      <c r="E33" s="225">
        <v>4000004</v>
      </c>
      <c r="F33" s="225"/>
      <c r="G33" s="313" t="s">
        <v>19</v>
      </c>
      <c r="H33" s="225" t="s">
        <v>28</v>
      </c>
      <c r="I33" s="225" t="s">
        <v>17</v>
      </c>
      <c r="J33" s="225" t="s">
        <v>23</v>
      </c>
      <c r="K33" s="226">
        <v>288</v>
      </c>
      <c r="L33" s="226">
        <f t="shared" si="0"/>
        <v>51.839999999999996</v>
      </c>
      <c r="M33" s="226">
        <f t="shared" si="1"/>
        <v>339.84</v>
      </c>
    </row>
    <row r="34" spans="4:13" ht="30" customHeight="1">
      <c r="D34" s="224">
        <v>41646</v>
      </c>
      <c r="E34" s="225">
        <v>4000001</v>
      </c>
      <c r="F34" s="225"/>
      <c r="G34" s="313" t="s">
        <v>24</v>
      </c>
      <c r="H34" s="225" t="s">
        <v>16</v>
      </c>
      <c r="I34" s="225" t="s">
        <v>17</v>
      </c>
      <c r="J34" s="225" t="s">
        <v>25</v>
      </c>
      <c r="K34" s="226">
        <v>315</v>
      </c>
      <c r="L34" s="226">
        <f t="shared" si="0"/>
        <v>56.699999999999996</v>
      </c>
      <c r="M34" s="226">
        <f t="shared" si="1"/>
        <v>371.7</v>
      </c>
    </row>
    <row r="35" spans="4:13" ht="30" customHeight="1">
      <c r="D35" s="224">
        <v>41646</v>
      </c>
      <c r="E35" s="225">
        <v>4000001</v>
      </c>
      <c r="F35" s="225"/>
      <c r="G35" s="313" t="s">
        <v>24</v>
      </c>
      <c r="H35" s="225" t="s">
        <v>28</v>
      </c>
      <c r="I35" s="225" t="s">
        <v>17</v>
      </c>
      <c r="J35" s="225" t="s">
        <v>27</v>
      </c>
      <c r="K35" s="226">
        <v>405</v>
      </c>
      <c r="L35" s="226">
        <f t="shared" si="0"/>
        <v>72.899999999999991</v>
      </c>
      <c r="M35" s="226">
        <f t="shared" si="1"/>
        <v>477.9</v>
      </c>
    </row>
    <row r="36" spans="4:13" ht="30" customHeight="1">
      <c r="D36" s="224">
        <v>41647</v>
      </c>
      <c r="E36" s="225">
        <v>4000004</v>
      </c>
      <c r="F36" s="225"/>
      <c r="G36" s="313" t="s">
        <v>19</v>
      </c>
      <c r="H36" s="225" t="s">
        <v>28</v>
      </c>
      <c r="I36" s="225" t="s">
        <v>17</v>
      </c>
      <c r="J36" s="225" t="s">
        <v>21</v>
      </c>
      <c r="K36" s="226">
        <v>288</v>
      </c>
      <c r="L36" s="226">
        <f t="shared" si="0"/>
        <v>51.839999999999996</v>
      </c>
      <c r="M36" s="226">
        <f t="shared" si="1"/>
        <v>339.84</v>
      </c>
    </row>
    <row r="37" spans="4:13" ht="30" customHeight="1">
      <c r="D37" s="224">
        <v>41647</v>
      </c>
      <c r="E37" s="225">
        <v>4000002</v>
      </c>
      <c r="F37" s="225"/>
      <c r="G37" s="313" t="s">
        <v>15</v>
      </c>
      <c r="H37" s="225" t="s">
        <v>28</v>
      </c>
      <c r="I37" s="225" t="s">
        <v>17</v>
      </c>
      <c r="J37" s="225" t="s">
        <v>23</v>
      </c>
      <c r="K37" s="226">
        <v>504</v>
      </c>
      <c r="L37" s="226">
        <f t="shared" si="0"/>
        <v>90.72</v>
      </c>
      <c r="M37" s="226">
        <f t="shared" si="1"/>
        <v>594.72</v>
      </c>
    </row>
    <row r="38" spans="4:13" ht="30" customHeight="1">
      <c r="D38" s="224">
        <v>41647</v>
      </c>
      <c r="E38" s="225">
        <v>4000004</v>
      </c>
      <c r="F38" s="225"/>
      <c r="G38" s="313" t="s">
        <v>19</v>
      </c>
      <c r="H38" s="225" t="s">
        <v>28</v>
      </c>
      <c r="I38" s="225" t="s">
        <v>17</v>
      </c>
      <c r="J38" s="225" t="s">
        <v>25</v>
      </c>
      <c r="K38" s="226">
        <v>928</v>
      </c>
      <c r="L38" s="226">
        <f t="shared" si="0"/>
        <v>167.04</v>
      </c>
      <c r="M38" s="226">
        <f t="shared" si="1"/>
        <v>1095.04</v>
      </c>
    </row>
    <row r="39" spans="4:13" ht="30" customHeight="1">
      <c r="D39" s="224">
        <v>41647</v>
      </c>
      <c r="E39" s="225">
        <v>4000001</v>
      </c>
      <c r="F39" s="225"/>
      <c r="G39" s="313" t="s">
        <v>24</v>
      </c>
      <c r="H39" s="225" t="s">
        <v>20</v>
      </c>
      <c r="I39" s="225" t="s">
        <v>17</v>
      </c>
      <c r="J39" s="225" t="s">
        <v>27</v>
      </c>
      <c r="K39" s="226">
        <v>810</v>
      </c>
      <c r="L39" s="226">
        <f t="shared" si="0"/>
        <v>145.79999999999998</v>
      </c>
      <c r="M39" s="226">
        <f t="shared" si="1"/>
        <v>955.8</v>
      </c>
    </row>
    <row r="40" spans="4:13" ht="30" customHeight="1">
      <c r="D40" s="224">
        <v>41647</v>
      </c>
      <c r="E40" s="225">
        <v>4000002</v>
      </c>
      <c r="F40" s="225"/>
      <c r="G40" s="313" t="s">
        <v>15</v>
      </c>
      <c r="H40" s="225" t="s">
        <v>26</v>
      </c>
      <c r="I40" s="225" t="s">
        <v>17</v>
      </c>
      <c r="J40" s="225" t="s">
        <v>27</v>
      </c>
      <c r="K40" s="226">
        <v>378</v>
      </c>
      <c r="L40" s="226">
        <f t="shared" si="0"/>
        <v>68.039999999999992</v>
      </c>
      <c r="M40" s="226">
        <f t="shared" si="1"/>
        <v>446.03999999999996</v>
      </c>
    </row>
    <row r="41" spans="4:13" ht="30" customHeight="1">
      <c r="D41" s="224">
        <v>41647</v>
      </c>
      <c r="E41" s="225">
        <v>4000002</v>
      </c>
      <c r="F41" s="225"/>
      <c r="G41" s="313" t="s">
        <v>15</v>
      </c>
      <c r="H41" s="225" t="s">
        <v>28</v>
      </c>
      <c r="I41" s="225" t="s">
        <v>17</v>
      </c>
      <c r="J41" s="225" t="s">
        <v>27</v>
      </c>
      <c r="K41" s="226">
        <v>322</v>
      </c>
      <c r="L41" s="226">
        <f t="shared" si="0"/>
        <v>57.96</v>
      </c>
      <c r="M41" s="226">
        <f t="shared" si="1"/>
        <v>379.96</v>
      </c>
    </row>
    <row r="42" spans="4:13" ht="30" customHeight="1">
      <c r="D42" s="224">
        <v>41647</v>
      </c>
      <c r="E42" s="225">
        <v>4000002</v>
      </c>
      <c r="F42" s="225"/>
      <c r="G42" s="313" t="s">
        <v>15</v>
      </c>
      <c r="H42" s="225" t="s">
        <v>16</v>
      </c>
      <c r="I42" s="225" t="s">
        <v>17</v>
      </c>
      <c r="J42" s="225" t="s">
        <v>27</v>
      </c>
      <c r="K42" s="226">
        <v>306</v>
      </c>
      <c r="L42" s="226">
        <f t="shared" si="0"/>
        <v>55.08</v>
      </c>
      <c r="M42" s="226">
        <f t="shared" si="1"/>
        <v>361.08</v>
      </c>
    </row>
    <row r="43" spans="4:13" ht="30" customHeight="1">
      <c r="D43" s="224">
        <v>41648</v>
      </c>
      <c r="E43" s="225">
        <v>4000001</v>
      </c>
      <c r="F43" s="225"/>
      <c r="G43" s="313" t="s">
        <v>24</v>
      </c>
      <c r="H43" s="225" t="s">
        <v>16</v>
      </c>
      <c r="I43" s="225" t="s">
        <v>17</v>
      </c>
      <c r="J43" s="225" t="s">
        <v>18</v>
      </c>
      <c r="K43" s="226">
        <v>225</v>
      </c>
      <c r="L43" s="226">
        <f t="shared" si="0"/>
        <v>40.5</v>
      </c>
      <c r="M43" s="226">
        <f t="shared" si="1"/>
        <v>265.5</v>
      </c>
    </row>
    <row r="44" spans="4:13" ht="30" customHeight="1">
      <c r="D44" s="224">
        <v>41648</v>
      </c>
      <c r="E44" s="225">
        <v>4000001</v>
      </c>
      <c r="F44" s="225"/>
      <c r="G44" s="313" t="s">
        <v>24</v>
      </c>
      <c r="H44" s="225" t="s">
        <v>16</v>
      </c>
      <c r="I44" s="225" t="s">
        <v>17</v>
      </c>
      <c r="J44" s="225" t="s">
        <v>21</v>
      </c>
      <c r="K44" s="226">
        <v>608</v>
      </c>
      <c r="L44" s="226">
        <f t="shared" si="0"/>
        <v>109.44</v>
      </c>
      <c r="M44" s="226">
        <f t="shared" si="1"/>
        <v>717.44</v>
      </c>
    </row>
    <row r="45" spans="4:13" ht="30" customHeight="1">
      <c r="D45" s="224">
        <v>41648</v>
      </c>
      <c r="E45" s="225">
        <v>4000001</v>
      </c>
      <c r="F45" s="225"/>
      <c r="G45" s="313" t="s">
        <v>24</v>
      </c>
      <c r="H45" s="225" t="s">
        <v>22</v>
      </c>
      <c r="I45" s="225" t="s">
        <v>17</v>
      </c>
      <c r="J45" s="225" t="s">
        <v>23</v>
      </c>
      <c r="K45" s="226">
        <v>588</v>
      </c>
      <c r="L45" s="226">
        <f t="shared" si="0"/>
        <v>105.83999999999999</v>
      </c>
      <c r="M45" s="226">
        <f t="shared" si="1"/>
        <v>693.84</v>
      </c>
    </row>
    <row r="46" spans="4:13" ht="30" customHeight="1">
      <c r="D46" s="224">
        <v>41648</v>
      </c>
      <c r="E46" s="225">
        <v>4000001</v>
      </c>
      <c r="F46" s="225"/>
      <c r="G46" s="313" t="s">
        <v>24</v>
      </c>
      <c r="H46" s="225" t="s">
        <v>26</v>
      </c>
      <c r="I46" s="225" t="s">
        <v>17</v>
      </c>
      <c r="J46" s="225" t="s">
        <v>23</v>
      </c>
      <c r="K46" s="226">
        <v>350</v>
      </c>
      <c r="L46" s="226">
        <f t="shared" si="0"/>
        <v>63</v>
      </c>
      <c r="M46" s="226">
        <f t="shared" si="1"/>
        <v>413</v>
      </c>
    </row>
    <row r="47" spans="4:13" ht="30" customHeight="1">
      <c r="D47" s="224">
        <v>41648</v>
      </c>
      <c r="E47" s="225">
        <v>4000004</v>
      </c>
      <c r="F47" s="225"/>
      <c r="G47" s="313" t="s">
        <v>19</v>
      </c>
      <c r="H47" s="225" t="s">
        <v>16</v>
      </c>
      <c r="I47" s="225" t="s">
        <v>17</v>
      </c>
      <c r="J47" s="225" t="s">
        <v>23</v>
      </c>
      <c r="K47" s="226">
        <v>525</v>
      </c>
      <c r="L47" s="226">
        <f t="shared" si="0"/>
        <v>94.5</v>
      </c>
      <c r="M47" s="226">
        <f t="shared" si="1"/>
        <v>619.5</v>
      </c>
    </row>
    <row r="48" spans="4:13" ht="30" customHeight="1">
      <c r="D48" s="224">
        <v>41648</v>
      </c>
      <c r="E48" s="225">
        <v>4000001</v>
      </c>
      <c r="F48" s="225"/>
      <c r="G48" s="313" t="s">
        <v>24</v>
      </c>
      <c r="H48" s="225" t="s">
        <v>22</v>
      </c>
      <c r="I48" s="225" t="s">
        <v>17</v>
      </c>
      <c r="J48" s="225" t="s">
        <v>25</v>
      </c>
      <c r="K48" s="226">
        <v>208</v>
      </c>
      <c r="L48" s="226">
        <f t="shared" si="0"/>
        <v>37.44</v>
      </c>
      <c r="M48" s="226">
        <f t="shared" si="1"/>
        <v>245.44</v>
      </c>
    </row>
    <row r="49" spans="4:13" ht="30" customHeight="1">
      <c r="D49" s="224">
        <v>41648</v>
      </c>
      <c r="E49" s="225">
        <v>4000004</v>
      </c>
      <c r="F49" s="225"/>
      <c r="G49" s="313" t="s">
        <v>19</v>
      </c>
      <c r="H49" s="225" t="s">
        <v>20</v>
      </c>
      <c r="I49" s="225" t="s">
        <v>17</v>
      </c>
      <c r="J49" s="225" t="s">
        <v>25</v>
      </c>
      <c r="K49" s="226">
        <v>330</v>
      </c>
      <c r="L49" s="226">
        <f t="shared" si="0"/>
        <v>59.4</v>
      </c>
      <c r="M49" s="226">
        <f t="shared" si="1"/>
        <v>389.4</v>
      </c>
    </row>
    <row r="50" spans="4:13" ht="30" customHeight="1">
      <c r="D50" s="224">
        <v>41648</v>
      </c>
      <c r="E50" s="225">
        <v>4000001</v>
      </c>
      <c r="F50" s="225"/>
      <c r="G50" s="313" t="s">
        <v>24</v>
      </c>
      <c r="H50" s="225" t="s">
        <v>26</v>
      </c>
      <c r="I50" s="225" t="s">
        <v>17</v>
      </c>
      <c r="J50" s="225" t="s">
        <v>25</v>
      </c>
      <c r="K50" s="226">
        <v>444</v>
      </c>
      <c r="L50" s="226">
        <f t="shared" si="0"/>
        <v>79.92</v>
      </c>
      <c r="M50" s="226">
        <f t="shared" si="1"/>
        <v>523.91999999999996</v>
      </c>
    </row>
    <row r="51" spans="4:13" ht="30" customHeight="1">
      <c r="D51" s="224">
        <v>41648</v>
      </c>
      <c r="E51" s="225">
        <v>4000001</v>
      </c>
      <c r="F51" s="225"/>
      <c r="G51" s="313" t="s">
        <v>24</v>
      </c>
      <c r="H51" s="225" t="s">
        <v>16</v>
      </c>
      <c r="I51" s="225" t="s">
        <v>17</v>
      </c>
      <c r="J51" s="225" t="s">
        <v>27</v>
      </c>
      <c r="K51" s="226">
        <v>672</v>
      </c>
      <c r="L51" s="226">
        <f t="shared" si="0"/>
        <v>120.96</v>
      </c>
      <c r="M51" s="226">
        <f t="shared" si="1"/>
        <v>792.96</v>
      </c>
    </row>
    <row r="52" spans="4:13" ht="30" customHeight="1">
      <c r="D52" s="224">
        <v>41649</v>
      </c>
      <c r="E52" s="225">
        <v>4000001</v>
      </c>
      <c r="F52" s="225"/>
      <c r="G52" s="313" t="s">
        <v>24</v>
      </c>
      <c r="H52" s="225" t="s">
        <v>20</v>
      </c>
      <c r="I52" s="225" t="s">
        <v>17</v>
      </c>
      <c r="J52" s="225" t="s">
        <v>21</v>
      </c>
      <c r="K52" s="226">
        <v>414</v>
      </c>
      <c r="L52" s="226">
        <f t="shared" si="0"/>
        <v>74.52</v>
      </c>
      <c r="M52" s="226">
        <f t="shared" si="1"/>
        <v>488.52</v>
      </c>
    </row>
    <row r="53" spans="4:13" ht="30" customHeight="1">
      <c r="D53" s="224">
        <v>41649</v>
      </c>
      <c r="E53" s="225">
        <v>4000001</v>
      </c>
      <c r="F53" s="225"/>
      <c r="G53" s="313" t="s">
        <v>24</v>
      </c>
      <c r="H53" s="225" t="s">
        <v>16</v>
      </c>
      <c r="I53" s="225" t="s">
        <v>17</v>
      </c>
      <c r="J53" s="225" t="s">
        <v>21</v>
      </c>
      <c r="K53" s="226">
        <v>504</v>
      </c>
      <c r="L53" s="226">
        <f t="shared" si="0"/>
        <v>90.72</v>
      </c>
      <c r="M53" s="226">
        <f t="shared" si="1"/>
        <v>594.72</v>
      </c>
    </row>
    <row r="54" spans="4:13" ht="30" customHeight="1">
      <c r="D54" s="224">
        <v>41649</v>
      </c>
      <c r="E54" s="225">
        <v>4000002</v>
      </c>
      <c r="F54" s="225"/>
      <c r="G54" s="313" t="s">
        <v>15</v>
      </c>
      <c r="H54" s="225" t="s">
        <v>22</v>
      </c>
      <c r="I54" s="225" t="s">
        <v>17</v>
      </c>
      <c r="J54" s="225" t="s">
        <v>27</v>
      </c>
      <c r="K54" s="226">
        <v>437</v>
      </c>
      <c r="L54" s="226">
        <f t="shared" si="0"/>
        <v>78.66</v>
      </c>
      <c r="M54" s="226">
        <f t="shared" si="1"/>
        <v>515.66</v>
      </c>
    </row>
    <row r="55" spans="4:13" ht="30" customHeight="1">
      <c r="D55" s="224">
        <v>41650</v>
      </c>
      <c r="E55" s="225">
        <v>4000002</v>
      </c>
      <c r="F55" s="225"/>
      <c r="G55" s="313" t="s">
        <v>15</v>
      </c>
      <c r="H55" s="225" t="s">
        <v>22</v>
      </c>
      <c r="I55" s="225" t="s">
        <v>17</v>
      </c>
      <c r="J55" s="225" t="s">
        <v>18</v>
      </c>
      <c r="K55" s="226">
        <v>544</v>
      </c>
      <c r="L55" s="226">
        <f t="shared" si="0"/>
        <v>97.92</v>
      </c>
      <c r="M55" s="226">
        <f t="shared" si="1"/>
        <v>641.91999999999996</v>
      </c>
    </row>
    <row r="56" spans="4:13" ht="30" customHeight="1">
      <c r="D56" s="224">
        <v>41650</v>
      </c>
      <c r="E56" s="225">
        <v>4000003</v>
      </c>
      <c r="F56" s="225"/>
      <c r="G56" s="313" t="s">
        <v>29</v>
      </c>
      <c r="H56" s="225" t="s">
        <v>20</v>
      </c>
      <c r="I56" s="225" t="s">
        <v>17</v>
      </c>
      <c r="J56" s="225" t="s">
        <v>18</v>
      </c>
      <c r="K56" s="226">
        <v>1080</v>
      </c>
      <c r="L56" s="226">
        <f t="shared" si="0"/>
        <v>194.4</v>
      </c>
      <c r="M56" s="226">
        <f t="shared" si="1"/>
        <v>1274.4000000000001</v>
      </c>
    </row>
    <row r="57" spans="4:13" ht="30" customHeight="1">
      <c r="D57" s="224">
        <v>41650</v>
      </c>
      <c r="E57" s="225">
        <v>4000001</v>
      </c>
      <c r="F57" s="225"/>
      <c r="G57" s="313" t="s">
        <v>24</v>
      </c>
      <c r="H57" s="225" t="s">
        <v>20</v>
      </c>
      <c r="I57" s="225" t="s">
        <v>17</v>
      </c>
      <c r="J57" s="225" t="s">
        <v>18</v>
      </c>
      <c r="K57" s="226">
        <v>774</v>
      </c>
      <c r="L57" s="226">
        <f t="shared" si="0"/>
        <v>139.32</v>
      </c>
      <c r="M57" s="226">
        <f t="shared" si="1"/>
        <v>913.31999999999994</v>
      </c>
    </row>
    <row r="58" spans="4:13" ht="30" customHeight="1">
      <c r="D58" s="224">
        <v>41650</v>
      </c>
      <c r="E58" s="225">
        <v>4000001</v>
      </c>
      <c r="F58" s="225"/>
      <c r="G58" s="313" t="s">
        <v>24</v>
      </c>
      <c r="H58" s="225" t="s">
        <v>28</v>
      </c>
      <c r="I58" s="225" t="s">
        <v>17</v>
      </c>
      <c r="J58" s="225" t="s">
        <v>25</v>
      </c>
      <c r="K58" s="226">
        <v>893</v>
      </c>
      <c r="L58" s="226">
        <f t="shared" si="0"/>
        <v>160.73999999999998</v>
      </c>
      <c r="M58" s="226">
        <f t="shared" si="1"/>
        <v>1053.74</v>
      </c>
    </row>
    <row r="59" spans="4:13" ht="30" customHeight="1">
      <c r="D59" s="224">
        <v>41651</v>
      </c>
      <c r="E59" s="225">
        <v>4000004</v>
      </c>
      <c r="F59" s="225"/>
      <c r="G59" s="313" t="s">
        <v>19</v>
      </c>
      <c r="H59" s="225" t="s">
        <v>22</v>
      </c>
      <c r="I59" s="225" t="s">
        <v>17</v>
      </c>
      <c r="J59" s="225" t="s">
        <v>18</v>
      </c>
      <c r="K59" s="226">
        <v>240</v>
      </c>
      <c r="L59" s="226">
        <f t="shared" si="0"/>
        <v>43.199999999999996</v>
      </c>
      <c r="M59" s="226">
        <f t="shared" si="1"/>
        <v>283.2</v>
      </c>
    </row>
    <row r="60" spans="4:13" ht="30" customHeight="1">
      <c r="D60" s="224">
        <v>41651</v>
      </c>
      <c r="E60" s="225">
        <v>4000004</v>
      </c>
      <c r="F60" s="225"/>
      <c r="G60" s="313" t="s">
        <v>19</v>
      </c>
      <c r="H60" s="225" t="s">
        <v>16</v>
      </c>
      <c r="I60" s="225" t="s">
        <v>17</v>
      </c>
      <c r="J60" s="225" t="s">
        <v>21</v>
      </c>
      <c r="K60" s="226">
        <v>779</v>
      </c>
      <c r="L60" s="226">
        <f t="shared" si="0"/>
        <v>140.22</v>
      </c>
      <c r="M60" s="226">
        <f t="shared" si="1"/>
        <v>919.22</v>
      </c>
    </row>
    <row r="61" spans="4:13" ht="30" customHeight="1">
      <c r="D61" s="224">
        <v>41651</v>
      </c>
      <c r="E61" s="225">
        <v>4000004</v>
      </c>
      <c r="F61" s="225"/>
      <c r="G61" s="313" t="s">
        <v>19</v>
      </c>
      <c r="H61" s="225" t="s">
        <v>22</v>
      </c>
      <c r="I61" s="225" t="s">
        <v>17</v>
      </c>
      <c r="J61" s="225" t="s">
        <v>23</v>
      </c>
      <c r="K61" s="226">
        <v>270</v>
      </c>
      <c r="L61" s="226">
        <f t="shared" si="0"/>
        <v>48.6</v>
      </c>
      <c r="M61" s="226">
        <f t="shared" si="1"/>
        <v>318.60000000000002</v>
      </c>
    </row>
    <row r="62" spans="4:13" ht="30" customHeight="1">
      <c r="D62" s="224">
        <v>41651</v>
      </c>
      <c r="E62" s="225">
        <v>4000003</v>
      </c>
      <c r="F62" s="225"/>
      <c r="G62" s="313" t="s">
        <v>29</v>
      </c>
      <c r="H62" s="225" t="s">
        <v>16</v>
      </c>
      <c r="I62" s="225" t="s">
        <v>17</v>
      </c>
      <c r="J62" s="225" t="s">
        <v>23</v>
      </c>
      <c r="K62" s="226">
        <v>468</v>
      </c>
      <c r="L62" s="226">
        <f t="shared" si="0"/>
        <v>84.24</v>
      </c>
      <c r="M62" s="226">
        <f t="shared" si="1"/>
        <v>552.24</v>
      </c>
    </row>
    <row r="63" spans="4:13" ht="30" customHeight="1">
      <c r="D63" s="224">
        <v>41651</v>
      </c>
      <c r="E63" s="225">
        <v>4000003</v>
      </c>
      <c r="F63" s="225"/>
      <c r="G63" s="313" t="s">
        <v>29</v>
      </c>
      <c r="H63" s="225" t="s">
        <v>22</v>
      </c>
      <c r="I63" s="225" t="s">
        <v>17</v>
      </c>
      <c r="J63" s="225" t="s">
        <v>27</v>
      </c>
      <c r="K63" s="226">
        <v>384</v>
      </c>
      <c r="L63" s="226">
        <f t="shared" si="0"/>
        <v>69.12</v>
      </c>
      <c r="M63" s="226">
        <f t="shared" si="1"/>
        <v>453.12</v>
      </c>
    </row>
    <row r="64" spans="4:13" ht="30" customHeight="1">
      <c r="D64" s="224">
        <v>41652</v>
      </c>
      <c r="E64" s="225">
        <v>4000001</v>
      </c>
      <c r="F64" s="225"/>
      <c r="G64" s="313" t="s">
        <v>24</v>
      </c>
      <c r="H64" s="225" t="s">
        <v>22</v>
      </c>
      <c r="I64" s="225" t="s">
        <v>17</v>
      </c>
      <c r="J64" s="225" t="s">
        <v>18</v>
      </c>
      <c r="K64" s="226">
        <v>176</v>
      </c>
      <c r="L64" s="226">
        <f t="shared" si="0"/>
        <v>31.68</v>
      </c>
      <c r="M64" s="226">
        <f t="shared" si="1"/>
        <v>207.68</v>
      </c>
    </row>
    <row r="65" spans="4:13" ht="30" customHeight="1">
      <c r="D65" s="224">
        <v>41652</v>
      </c>
      <c r="E65" s="225">
        <v>4000002</v>
      </c>
      <c r="F65" s="225"/>
      <c r="G65" s="313" t="s">
        <v>15</v>
      </c>
      <c r="H65" s="225" t="s">
        <v>28</v>
      </c>
      <c r="I65" s="225" t="s">
        <v>17</v>
      </c>
      <c r="J65" s="225" t="s">
        <v>18</v>
      </c>
      <c r="K65" s="226">
        <v>357</v>
      </c>
      <c r="L65" s="226">
        <f t="shared" si="0"/>
        <v>64.259999999999991</v>
      </c>
      <c r="M65" s="226">
        <f t="shared" si="1"/>
        <v>421.26</v>
      </c>
    </row>
    <row r="66" spans="4:13" ht="30" customHeight="1">
      <c r="D66" s="224">
        <v>41652</v>
      </c>
      <c r="E66" s="225">
        <v>4000001</v>
      </c>
      <c r="F66" s="225"/>
      <c r="G66" s="313" t="s">
        <v>24</v>
      </c>
      <c r="H66" s="225" t="s">
        <v>22</v>
      </c>
      <c r="I66" s="225" t="s">
        <v>17</v>
      </c>
      <c r="J66" s="225" t="s">
        <v>21</v>
      </c>
      <c r="K66" s="226">
        <v>864</v>
      </c>
      <c r="L66" s="226">
        <f t="shared" si="0"/>
        <v>155.51999999999998</v>
      </c>
      <c r="M66" s="226">
        <f t="shared" si="1"/>
        <v>1019.52</v>
      </c>
    </row>
    <row r="67" spans="4:13" ht="30" customHeight="1">
      <c r="D67" s="224">
        <v>41652</v>
      </c>
      <c r="E67" s="225">
        <v>4000002</v>
      </c>
      <c r="F67" s="225"/>
      <c r="G67" s="313" t="s">
        <v>15</v>
      </c>
      <c r="H67" s="225" t="s">
        <v>26</v>
      </c>
      <c r="I67" s="225" t="s">
        <v>17</v>
      </c>
      <c r="J67" s="225" t="s">
        <v>21</v>
      </c>
      <c r="K67" s="226">
        <v>945</v>
      </c>
      <c r="L67" s="226">
        <f t="shared" si="0"/>
        <v>170.1</v>
      </c>
      <c r="M67" s="226">
        <f t="shared" si="1"/>
        <v>1115.0999999999999</v>
      </c>
    </row>
    <row r="68" spans="4:13" ht="30" customHeight="1">
      <c r="D68" s="224">
        <v>41653</v>
      </c>
      <c r="E68" s="225">
        <v>4000001</v>
      </c>
      <c r="F68" s="225"/>
      <c r="G68" s="313" t="s">
        <v>24</v>
      </c>
      <c r="H68" s="225" t="s">
        <v>26</v>
      </c>
      <c r="I68" s="225" t="s">
        <v>17</v>
      </c>
      <c r="J68" s="225" t="s">
        <v>18</v>
      </c>
      <c r="K68" s="226">
        <v>385</v>
      </c>
      <c r="L68" s="226">
        <f t="shared" si="0"/>
        <v>69.3</v>
      </c>
      <c r="M68" s="226">
        <f t="shared" si="1"/>
        <v>454.3</v>
      </c>
    </row>
    <row r="69" spans="4:13" ht="30" customHeight="1">
      <c r="D69" s="224">
        <v>41653</v>
      </c>
      <c r="E69" s="225">
        <v>4000001</v>
      </c>
      <c r="F69" s="225"/>
      <c r="G69" s="313" t="s">
        <v>24</v>
      </c>
      <c r="H69" s="225" t="s">
        <v>26</v>
      </c>
      <c r="I69" s="225" t="s">
        <v>17</v>
      </c>
      <c r="J69" s="225" t="s">
        <v>18</v>
      </c>
      <c r="K69" s="226">
        <v>405</v>
      </c>
      <c r="L69" s="226">
        <f t="shared" si="0"/>
        <v>72.899999999999991</v>
      </c>
      <c r="M69" s="226">
        <f t="shared" si="1"/>
        <v>477.9</v>
      </c>
    </row>
    <row r="70" spans="4:13" ht="30" customHeight="1">
      <c r="D70" s="224">
        <v>41653</v>
      </c>
      <c r="E70" s="225">
        <v>4000003</v>
      </c>
      <c r="F70" s="225"/>
      <c r="G70" s="313" t="s">
        <v>29</v>
      </c>
      <c r="H70" s="225" t="s">
        <v>26</v>
      </c>
      <c r="I70" s="225" t="s">
        <v>17</v>
      </c>
      <c r="J70" s="225" t="s">
        <v>21</v>
      </c>
      <c r="K70" s="226">
        <v>198</v>
      </c>
      <c r="L70" s="226">
        <f t="shared" si="0"/>
        <v>35.64</v>
      </c>
      <c r="M70" s="226">
        <f t="shared" si="1"/>
        <v>233.64</v>
      </c>
    </row>
    <row r="71" spans="4:13" ht="30" customHeight="1">
      <c r="D71" s="224">
        <v>41653</v>
      </c>
      <c r="E71" s="225">
        <v>4000001</v>
      </c>
      <c r="F71" s="225"/>
      <c r="G71" s="313" t="s">
        <v>24</v>
      </c>
      <c r="H71" s="225" t="s">
        <v>26</v>
      </c>
      <c r="I71" s="225" t="s">
        <v>17</v>
      </c>
      <c r="J71" s="225" t="s">
        <v>21</v>
      </c>
      <c r="K71" s="226">
        <v>500</v>
      </c>
      <c r="L71" s="226">
        <f t="shared" si="0"/>
        <v>90</v>
      </c>
      <c r="M71" s="226">
        <f t="shared" si="1"/>
        <v>590</v>
      </c>
    </row>
    <row r="72" spans="4:13" ht="30" customHeight="1">
      <c r="D72" s="224">
        <v>41653</v>
      </c>
      <c r="E72" s="225">
        <v>4000001</v>
      </c>
      <c r="F72" s="225"/>
      <c r="G72" s="313" t="s">
        <v>24</v>
      </c>
      <c r="H72" s="225" t="s">
        <v>22</v>
      </c>
      <c r="I72" s="225" t="s">
        <v>17</v>
      </c>
      <c r="J72" s="225" t="s">
        <v>23</v>
      </c>
      <c r="K72" s="226">
        <v>1113</v>
      </c>
      <c r="L72" s="226">
        <f t="shared" si="0"/>
        <v>200.34</v>
      </c>
      <c r="M72" s="226">
        <f t="shared" si="1"/>
        <v>1313.34</v>
      </c>
    </row>
    <row r="73" spans="4:13" ht="30" customHeight="1">
      <c r="D73" s="224">
        <v>41653</v>
      </c>
      <c r="E73" s="225">
        <v>4000001</v>
      </c>
      <c r="F73" s="225"/>
      <c r="G73" s="313" t="s">
        <v>24</v>
      </c>
      <c r="H73" s="225" t="s">
        <v>28</v>
      </c>
      <c r="I73" s="225" t="s">
        <v>17</v>
      </c>
      <c r="J73" s="225" t="s">
        <v>25</v>
      </c>
      <c r="K73" s="226">
        <v>684</v>
      </c>
      <c r="L73" s="226">
        <f t="shared" si="0"/>
        <v>123.11999999999999</v>
      </c>
      <c r="M73" s="226">
        <f t="shared" si="1"/>
        <v>807.12</v>
      </c>
    </row>
    <row r="74" spans="4:13" ht="30" customHeight="1">
      <c r="D74" s="224">
        <v>41653</v>
      </c>
      <c r="E74" s="225">
        <v>4000001</v>
      </c>
      <c r="F74" s="225"/>
      <c r="G74" s="313" t="s">
        <v>24</v>
      </c>
      <c r="H74" s="225" t="s">
        <v>20</v>
      </c>
      <c r="I74" s="225" t="s">
        <v>17</v>
      </c>
      <c r="J74" s="225" t="s">
        <v>27</v>
      </c>
      <c r="K74" s="226">
        <v>432</v>
      </c>
      <c r="L74" s="226">
        <f t="shared" si="0"/>
        <v>77.759999999999991</v>
      </c>
      <c r="M74" s="226">
        <f t="shared" si="1"/>
        <v>509.76</v>
      </c>
    </row>
    <row r="75" spans="4:13" ht="30" customHeight="1">
      <c r="D75" s="224">
        <v>41654</v>
      </c>
      <c r="E75" s="225">
        <v>4000003</v>
      </c>
      <c r="F75" s="225"/>
      <c r="G75" s="313" t="s">
        <v>29</v>
      </c>
      <c r="H75" s="225" t="s">
        <v>28</v>
      </c>
      <c r="I75" s="225" t="s">
        <v>17</v>
      </c>
      <c r="J75" s="225" t="s">
        <v>18</v>
      </c>
      <c r="K75" s="226">
        <v>260</v>
      </c>
      <c r="L75" s="226">
        <f t="shared" si="0"/>
        <v>46.8</v>
      </c>
      <c r="M75" s="226">
        <f t="shared" si="1"/>
        <v>306.8</v>
      </c>
    </row>
    <row r="76" spans="4:13" ht="30" customHeight="1">
      <c r="D76" s="224">
        <v>41654</v>
      </c>
      <c r="E76" s="225">
        <v>4000004</v>
      </c>
      <c r="F76" s="225"/>
      <c r="G76" s="313" t="s">
        <v>19</v>
      </c>
      <c r="H76" s="225" t="s">
        <v>26</v>
      </c>
      <c r="I76" s="225" t="s">
        <v>17</v>
      </c>
      <c r="J76" s="225" t="s">
        <v>21</v>
      </c>
      <c r="K76" s="226">
        <v>220</v>
      </c>
      <c r="L76" s="226">
        <f t="shared" si="0"/>
        <v>39.6</v>
      </c>
      <c r="M76" s="226">
        <f t="shared" si="1"/>
        <v>259.60000000000002</v>
      </c>
    </row>
    <row r="77" spans="4:13" ht="30" customHeight="1">
      <c r="D77" s="224">
        <v>41654</v>
      </c>
      <c r="E77" s="225">
        <v>4000001</v>
      </c>
      <c r="F77" s="225"/>
      <c r="G77" s="313" t="s">
        <v>24</v>
      </c>
      <c r="H77" s="225" t="s">
        <v>26</v>
      </c>
      <c r="I77" s="225" t="s">
        <v>17</v>
      </c>
      <c r="J77" s="225" t="s">
        <v>21</v>
      </c>
      <c r="K77" s="226">
        <v>280</v>
      </c>
      <c r="L77" s="226">
        <f t="shared" ref="L77:L99" si="2">K77*0.18</f>
        <v>50.4</v>
      </c>
      <c r="M77" s="226">
        <f t="shared" ref="M77:M99" si="3">K77+L77</f>
        <v>330.4</v>
      </c>
    </row>
    <row r="78" spans="4:13" ht="30" customHeight="1">
      <c r="D78" s="224">
        <v>41654</v>
      </c>
      <c r="E78" s="225">
        <v>4000004</v>
      </c>
      <c r="F78" s="225"/>
      <c r="G78" s="313" t="s">
        <v>19</v>
      </c>
      <c r="H78" s="225" t="s">
        <v>20</v>
      </c>
      <c r="I78" s="225" t="s">
        <v>17</v>
      </c>
      <c r="J78" s="225" t="s">
        <v>23</v>
      </c>
      <c r="K78" s="226">
        <v>510</v>
      </c>
      <c r="L78" s="226">
        <f t="shared" si="2"/>
        <v>91.8</v>
      </c>
      <c r="M78" s="226">
        <f t="shared" si="3"/>
        <v>601.79999999999995</v>
      </c>
    </row>
    <row r="79" spans="4:13" ht="30" customHeight="1">
      <c r="D79" s="224">
        <v>41654</v>
      </c>
      <c r="E79" s="225">
        <v>4000001</v>
      </c>
      <c r="F79" s="225"/>
      <c r="G79" s="313" t="s">
        <v>24</v>
      </c>
      <c r="H79" s="225" t="s">
        <v>20</v>
      </c>
      <c r="I79" s="225" t="s">
        <v>17</v>
      </c>
      <c r="J79" s="225" t="s">
        <v>23</v>
      </c>
      <c r="K79" s="226">
        <v>722</v>
      </c>
      <c r="L79" s="226">
        <f t="shared" si="2"/>
        <v>129.96</v>
      </c>
      <c r="M79" s="226">
        <f t="shared" si="3"/>
        <v>851.96</v>
      </c>
    </row>
    <row r="80" spans="4:13" ht="30" customHeight="1">
      <c r="D80" s="224">
        <v>41654</v>
      </c>
      <c r="E80" s="225">
        <v>4000001</v>
      </c>
      <c r="F80" s="225"/>
      <c r="G80" s="313" t="s">
        <v>24</v>
      </c>
      <c r="H80" s="225" t="s">
        <v>28</v>
      </c>
      <c r="I80" s="225" t="s">
        <v>17</v>
      </c>
      <c r="J80" s="225" t="s">
        <v>23</v>
      </c>
      <c r="K80" s="226">
        <v>572</v>
      </c>
      <c r="L80" s="226">
        <f t="shared" si="2"/>
        <v>102.96</v>
      </c>
      <c r="M80" s="226">
        <f t="shared" si="3"/>
        <v>674.96</v>
      </c>
    </row>
    <row r="81" spans="4:13" ht="30" customHeight="1">
      <c r="D81" s="224">
        <v>41654</v>
      </c>
      <c r="E81" s="225">
        <v>4000004</v>
      </c>
      <c r="F81" s="225"/>
      <c r="G81" s="313" t="s">
        <v>19</v>
      </c>
      <c r="H81" s="225" t="s">
        <v>26</v>
      </c>
      <c r="I81" s="225" t="s">
        <v>17</v>
      </c>
      <c r="J81" s="225" t="s">
        <v>27</v>
      </c>
      <c r="K81" s="226">
        <v>832</v>
      </c>
      <c r="L81" s="226">
        <f t="shared" si="2"/>
        <v>149.76</v>
      </c>
      <c r="M81" s="226">
        <f t="shared" si="3"/>
        <v>981.76</v>
      </c>
    </row>
    <row r="82" spans="4:13" ht="30" customHeight="1">
      <c r="D82" s="224">
        <v>41655</v>
      </c>
      <c r="E82" s="225">
        <v>4000004</v>
      </c>
      <c r="F82" s="225"/>
      <c r="G82" s="313" t="s">
        <v>19</v>
      </c>
      <c r="H82" s="225" t="s">
        <v>28</v>
      </c>
      <c r="I82" s="225" t="s">
        <v>17</v>
      </c>
      <c r="J82" s="225" t="s">
        <v>18</v>
      </c>
      <c r="K82" s="226">
        <v>280</v>
      </c>
      <c r="L82" s="226">
        <f t="shared" si="2"/>
        <v>50.4</v>
      </c>
      <c r="M82" s="226">
        <f t="shared" si="3"/>
        <v>330.4</v>
      </c>
    </row>
    <row r="83" spans="4:13" ht="30" customHeight="1">
      <c r="D83" s="224">
        <v>41655</v>
      </c>
      <c r="E83" s="225">
        <v>4000004</v>
      </c>
      <c r="F83" s="225"/>
      <c r="G83" s="313" t="s">
        <v>19</v>
      </c>
      <c r="H83" s="225" t="s">
        <v>22</v>
      </c>
      <c r="I83" s="225" t="s">
        <v>17</v>
      </c>
      <c r="J83" s="225" t="s">
        <v>21</v>
      </c>
      <c r="K83" s="226">
        <v>540</v>
      </c>
      <c r="L83" s="226">
        <f t="shared" si="2"/>
        <v>97.2</v>
      </c>
      <c r="M83" s="226">
        <f t="shared" si="3"/>
        <v>637.20000000000005</v>
      </c>
    </row>
    <row r="84" spans="4:13" ht="30" customHeight="1">
      <c r="D84" s="224">
        <v>41655</v>
      </c>
      <c r="E84" s="225">
        <v>4000003</v>
      </c>
      <c r="F84" s="225"/>
      <c r="G84" s="313" t="s">
        <v>29</v>
      </c>
      <c r="H84" s="225" t="s">
        <v>26</v>
      </c>
      <c r="I84" s="225" t="s">
        <v>17</v>
      </c>
      <c r="J84" s="225" t="s">
        <v>23</v>
      </c>
      <c r="K84" s="226">
        <v>520</v>
      </c>
      <c r="L84" s="226">
        <f t="shared" si="2"/>
        <v>93.6</v>
      </c>
      <c r="M84" s="226">
        <f t="shared" si="3"/>
        <v>613.6</v>
      </c>
    </row>
    <row r="85" spans="4:13" ht="30" customHeight="1">
      <c r="D85" s="224">
        <v>41655</v>
      </c>
      <c r="E85" s="225">
        <v>4000002</v>
      </c>
      <c r="F85" s="225"/>
      <c r="G85" s="313" t="s">
        <v>15</v>
      </c>
      <c r="H85" s="225" t="s">
        <v>16</v>
      </c>
      <c r="I85" s="225" t="s">
        <v>17</v>
      </c>
      <c r="J85" s="225" t="s">
        <v>23</v>
      </c>
      <c r="K85" s="226">
        <v>590</v>
      </c>
      <c r="L85" s="226">
        <f t="shared" si="2"/>
        <v>106.2</v>
      </c>
      <c r="M85" s="226">
        <f t="shared" si="3"/>
        <v>696.2</v>
      </c>
    </row>
    <row r="86" spans="4:13" ht="30" customHeight="1">
      <c r="D86" s="224">
        <v>41655</v>
      </c>
      <c r="E86" s="225">
        <v>4000002</v>
      </c>
      <c r="F86" s="225"/>
      <c r="G86" s="313" t="s">
        <v>15</v>
      </c>
      <c r="H86" s="225" t="s">
        <v>22</v>
      </c>
      <c r="I86" s="225" t="s">
        <v>17</v>
      </c>
      <c r="J86" s="225" t="s">
        <v>25</v>
      </c>
      <c r="K86" s="226">
        <v>264</v>
      </c>
      <c r="L86" s="226">
        <f t="shared" si="2"/>
        <v>47.519999999999996</v>
      </c>
      <c r="M86" s="226">
        <f t="shared" si="3"/>
        <v>311.52</v>
      </c>
    </row>
    <row r="87" spans="4:13" ht="30" customHeight="1">
      <c r="D87" s="224">
        <v>41655</v>
      </c>
      <c r="E87" s="225">
        <v>4000001</v>
      </c>
      <c r="F87" s="225"/>
      <c r="G87" s="313" t="s">
        <v>24</v>
      </c>
      <c r="H87" s="225" t="s">
        <v>22</v>
      </c>
      <c r="I87" s="225" t="s">
        <v>17</v>
      </c>
      <c r="J87" s="225" t="s">
        <v>27</v>
      </c>
      <c r="K87" s="226">
        <v>532</v>
      </c>
      <c r="L87" s="226">
        <f t="shared" si="2"/>
        <v>95.759999999999991</v>
      </c>
      <c r="M87" s="226">
        <f t="shared" si="3"/>
        <v>627.76</v>
      </c>
    </row>
    <row r="88" spans="4:13" ht="30" customHeight="1">
      <c r="D88" s="224">
        <v>41656</v>
      </c>
      <c r="E88" s="225">
        <v>4000004</v>
      </c>
      <c r="F88" s="225"/>
      <c r="G88" s="313" t="s">
        <v>19</v>
      </c>
      <c r="H88" s="225" t="s">
        <v>26</v>
      </c>
      <c r="I88" s="225" t="s">
        <v>17</v>
      </c>
      <c r="J88" s="225" t="s">
        <v>23</v>
      </c>
      <c r="K88" s="226">
        <v>312</v>
      </c>
      <c r="L88" s="226">
        <f t="shared" si="2"/>
        <v>56.16</v>
      </c>
      <c r="M88" s="226">
        <f t="shared" si="3"/>
        <v>368.15999999999997</v>
      </c>
    </row>
    <row r="89" spans="4:13" ht="30" customHeight="1">
      <c r="D89" s="224">
        <v>41656</v>
      </c>
      <c r="E89" s="225">
        <v>4000001</v>
      </c>
      <c r="F89" s="225"/>
      <c r="G89" s="313" t="s">
        <v>24</v>
      </c>
      <c r="H89" s="225" t="s">
        <v>16</v>
      </c>
      <c r="I89" s="225" t="s">
        <v>17</v>
      </c>
      <c r="J89" s="225" t="s">
        <v>23</v>
      </c>
      <c r="K89" s="226">
        <v>782</v>
      </c>
      <c r="L89" s="226">
        <f t="shared" si="2"/>
        <v>140.76</v>
      </c>
      <c r="M89" s="226">
        <f t="shared" si="3"/>
        <v>922.76</v>
      </c>
    </row>
    <row r="90" spans="4:13" ht="30" customHeight="1">
      <c r="D90" s="224">
        <v>41656</v>
      </c>
      <c r="E90" s="225">
        <v>4000001</v>
      </c>
      <c r="F90" s="225"/>
      <c r="G90" s="313" t="s">
        <v>194</v>
      </c>
      <c r="H90" s="225" t="s">
        <v>16</v>
      </c>
      <c r="I90" s="225" t="s">
        <v>17</v>
      </c>
      <c r="J90" s="225" t="s">
        <v>23</v>
      </c>
      <c r="K90" s="226">
        <v>708</v>
      </c>
      <c r="L90" s="226">
        <f t="shared" si="2"/>
        <v>127.44</v>
      </c>
      <c r="M90" s="226">
        <f t="shared" si="3"/>
        <v>835.44</v>
      </c>
    </row>
    <row r="91" spans="4:13" ht="30" customHeight="1">
      <c r="D91" s="224">
        <v>41657</v>
      </c>
      <c r="E91" s="225">
        <v>4000001</v>
      </c>
      <c r="F91" s="225"/>
      <c r="G91" s="313" t="s">
        <v>24</v>
      </c>
      <c r="H91" s="225" t="s">
        <v>28</v>
      </c>
      <c r="I91" s="225" t="s">
        <v>17</v>
      </c>
      <c r="J91" s="225" t="s">
        <v>18</v>
      </c>
      <c r="K91" s="226">
        <v>918</v>
      </c>
      <c r="L91" s="226">
        <f t="shared" si="2"/>
        <v>165.23999999999998</v>
      </c>
      <c r="M91" s="226">
        <f t="shared" si="3"/>
        <v>1083.24</v>
      </c>
    </row>
    <row r="92" spans="4:13" ht="30" customHeight="1">
      <c r="D92" s="224">
        <v>41657</v>
      </c>
      <c r="E92" s="225">
        <v>4000003</v>
      </c>
      <c r="F92" s="225"/>
      <c r="G92" s="313" t="s">
        <v>29</v>
      </c>
      <c r="H92" s="225" t="s">
        <v>20</v>
      </c>
      <c r="I92" s="225" t="s">
        <v>17</v>
      </c>
      <c r="J92" s="225" t="s">
        <v>21</v>
      </c>
      <c r="K92" s="226">
        <v>741</v>
      </c>
      <c r="L92" s="226">
        <f t="shared" si="2"/>
        <v>133.38</v>
      </c>
      <c r="M92" s="226">
        <f t="shared" si="3"/>
        <v>874.38</v>
      </c>
    </row>
    <row r="93" spans="4:13" ht="30" customHeight="1">
      <c r="D93" s="224">
        <v>41657</v>
      </c>
      <c r="E93" s="225">
        <v>4000003</v>
      </c>
      <c r="F93" s="225"/>
      <c r="G93" s="313" t="s">
        <v>29</v>
      </c>
      <c r="H93" s="225" t="s">
        <v>22</v>
      </c>
      <c r="I93" s="225" t="s">
        <v>17</v>
      </c>
      <c r="J93" s="225" t="s">
        <v>25</v>
      </c>
      <c r="K93" s="226">
        <v>342</v>
      </c>
      <c r="L93" s="226">
        <f t="shared" si="2"/>
        <v>61.559999999999995</v>
      </c>
      <c r="M93" s="226">
        <f t="shared" si="3"/>
        <v>403.56</v>
      </c>
    </row>
    <row r="94" spans="4:13" ht="30" customHeight="1">
      <c r="D94" s="224">
        <v>41657</v>
      </c>
      <c r="E94" s="225">
        <v>4000003</v>
      </c>
      <c r="F94" s="225"/>
      <c r="G94" s="313" t="s">
        <v>29</v>
      </c>
      <c r="H94" s="225" t="s">
        <v>20</v>
      </c>
      <c r="I94" s="225" t="s">
        <v>17</v>
      </c>
      <c r="J94" s="225" t="s">
        <v>27</v>
      </c>
      <c r="K94" s="226">
        <v>429</v>
      </c>
      <c r="L94" s="226">
        <f t="shared" si="2"/>
        <v>77.22</v>
      </c>
      <c r="M94" s="226">
        <f t="shared" si="3"/>
        <v>506.22</v>
      </c>
    </row>
    <row r="95" spans="4:13" ht="30" customHeight="1">
      <c r="D95" s="224">
        <v>41657</v>
      </c>
      <c r="E95" s="225">
        <v>4000001</v>
      </c>
      <c r="F95" s="225"/>
      <c r="G95" s="313" t="s">
        <v>24</v>
      </c>
      <c r="H95" s="225" t="s">
        <v>26</v>
      </c>
      <c r="I95" s="225" t="s">
        <v>17</v>
      </c>
      <c r="J95" s="225" t="s">
        <v>27</v>
      </c>
      <c r="K95" s="226">
        <v>285</v>
      </c>
      <c r="L95" s="226">
        <f t="shared" si="2"/>
        <v>51.3</v>
      </c>
      <c r="M95" s="226">
        <f t="shared" si="3"/>
        <v>336.3</v>
      </c>
    </row>
    <row r="96" spans="4:13" ht="30" customHeight="1">
      <c r="D96" s="224">
        <v>41658</v>
      </c>
      <c r="E96" s="225">
        <v>4000003</v>
      </c>
      <c r="F96" s="225"/>
      <c r="G96" s="313" t="s">
        <v>29</v>
      </c>
      <c r="H96" s="225" t="s">
        <v>16</v>
      </c>
      <c r="I96" s="225" t="s">
        <v>17</v>
      </c>
      <c r="J96" s="225" t="s">
        <v>21</v>
      </c>
      <c r="K96" s="226">
        <v>893</v>
      </c>
      <c r="L96" s="226">
        <f t="shared" si="2"/>
        <v>160.73999999999998</v>
      </c>
      <c r="M96" s="226">
        <f t="shared" si="3"/>
        <v>1053.74</v>
      </c>
    </row>
    <row r="97" spans="4:13" ht="30" customHeight="1">
      <c r="D97" s="224">
        <v>41658</v>
      </c>
      <c r="E97" s="225">
        <v>4000001</v>
      </c>
      <c r="F97" s="225"/>
      <c r="G97" s="313" t="s">
        <v>24</v>
      </c>
      <c r="H97" s="225" t="s">
        <v>20</v>
      </c>
      <c r="I97" s="225" t="s">
        <v>17</v>
      </c>
      <c r="J97" s="225" t="s">
        <v>23</v>
      </c>
      <c r="K97" s="226">
        <v>594</v>
      </c>
      <c r="L97" s="226">
        <f t="shared" si="2"/>
        <v>106.92</v>
      </c>
      <c r="M97" s="226">
        <f t="shared" si="3"/>
        <v>700.92</v>
      </c>
    </row>
    <row r="98" spans="4:13" ht="30" customHeight="1">
      <c r="D98" s="224">
        <v>41658</v>
      </c>
      <c r="E98" s="225">
        <v>4000003</v>
      </c>
      <c r="F98" s="225"/>
      <c r="G98" s="313" t="s">
        <v>194</v>
      </c>
      <c r="H98" s="225" t="s">
        <v>28</v>
      </c>
      <c r="I98" s="225" t="s">
        <v>17</v>
      </c>
      <c r="J98" s="225" t="s">
        <v>23</v>
      </c>
      <c r="K98" s="226">
        <v>450</v>
      </c>
      <c r="L98" s="226">
        <f t="shared" si="2"/>
        <v>81</v>
      </c>
      <c r="M98" s="226">
        <f t="shared" si="3"/>
        <v>531</v>
      </c>
    </row>
    <row r="99" spans="4:13" ht="30" customHeight="1" thickBot="1">
      <c r="D99" s="227">
        <v>41658</v>
      </c>
      <c r="E99" s="228">
        <v>4000002</v>
      </c>
      <c r="F99" s="228"/>
      <c r="G99" s="313" t="s">
        <v>15</v>
      </c>
      <c r="H99" s="225" t="s">
        <v>28</v>
      </c>
      <c r="I99" s="225" t="s">
        <v>17</v>
      </c>
      <c r="J99" s="225" t="s">
        <v>25</v>
      </c>
      <c r="K99" s="226">
        <v>198</v>
      </c>
      <c r="L99" s="226">
        <f t="shared" si="2"/>
        <v>35.64</v>
      </c>
      <c r="M99" s="226">
        <f t="shared" si="3"/>
        <v>233.64</v>
      </c>
    </row>
    <row r="101" spans="4:13" ht="30" customHeight="1">
      <c r="D101" s="214" t="s">
        <v>4</v>
      </c>
      <c r="E101" s="303" t="s">
        <v>236</v>
      </c>
      <c r="F101" s="304"/>
      <c r="G101" s="304"/>
      <c r="H101" s="305"/>
    </row>
    <row r="102" spans="4:13" ht="10.5" customHeight="1"/>
    <row r="103" spans="4:13" ht="30" customHeight="1">
      <c r="D103" s="17"/>
      <c r="E103" s="122" t="s">
        <v>13</v>
      </c>
      <c r="F103" s="7"/>
      <c r="G103" s="122" t="s">
        <v>192</v>
      </c>
      <c r="I103" s="17"/>
      <c r="J103" s="17"/>
      <c r="K103" s="17"/>
    </row>
    <row r="104" spans="4:13" ht="2.1" customHeight="1">
      <c r="D104" s="17"/>
      <c r="E104" s="17"/>
      <c r="F104" s="17"/>
      <c r="G104" s="17"/>
      <c r="H104" s="17"/>
      <c r="I104" s="17"/>
      <c r="J104" s="17"/>
      <c r="K104" s="17"/>
    </row>
    <row r="105" spans="4:13" ht="30" customHeight="1">
      <c r="D105" s="17"/>
      <c r="E105" s="123" t="s">
        <v>16</v>
      </c>
      <c r="F105" s="124"/>
      <c r="G105" s="269">
        <f>SUMIF(libre[Librerias],E105,libre[Total de Compras])</f>
        <v>11959.300000000003</v>
      </c>
      <c r="I105" s="5"/>
      <c r="K105" s="17"/>
    </row>
    <row r="106" spans="4:13" ht="2.1" customHeight="1">
      <c r="D106" s="17"/>
      <c r="E106" s="125"/>
      <c r="F106" s="125"/>
      <c r="G106" s="269"/>
      <c r="H106" s="17"/>
      <c r="I106" s="17"/>
      <c r="K106" s="17"/>
    </row>
    <row r="107" spans="4:13" ht="30" customHeight="1">
      <c r="D107" s="17"/>
      <c r="E107" s="123" t="s">
        <v>20</v>
      </c>
      <c r="F107" s="124"/>
      <c r="G107" s="269">
        <f>SUMIF(libre[Librerias],E107,libre[Total de Compras])</f>
        <v>11003.499999999998</v>
      </c>
      <c r="I107" s="5"/>
      <c r="K107" s="17"/>
    </row>
    <row r="108" spans="4:13" ht="2.1" customHeight="1">
      <c r="D108" s="17"/>
      <c r="E108" s="125"/>
      <c r="F108" s="125"/>
      <c r="G108" s="269"/>
      <c r="H108" s="17"/>
      <c r="I108" s="17"/>
      <c r="K108" s="17"/>
    </row>
    <row r="109" spans="4:13" ht="30" customHeight="1">
      <c r="D109" s="17"/>
      <c r="E109" s="123" t="s">
        <v>22</v>
      </c>
      <c r="F109" s="124"/>
      <c r="G109" s="269">
        <f>SUMIF(libre[Librerias],E109,libre[Total de Compras])</f>
        <v>8019.28</v>
      </c>
      <c r="I109" s="5"/>
      <c r="K109" s="17"/>
    </row>
    <row r="110" spans="4:13" ht="2.1" customHeight="1">
      <c r="D110" s="17"/>
      <c r="E110" s="125"/>
      <c r="F110" s="125"/>
      <c r="G110" s="269"/>
      <c r="H110" s="17"/>
      <c r="I110" s="17"/>
      <c r="K110" s="17"/>
    </row>
    <row r="111" spans="4:13" ht="30" customHeight="1">
      <c r="D111" s="17"/>
      <c r="E111" s="123" t="s">
        <v>26</v>
      </c>
      <c r="F111" s="124"/>
      <c r="G111" s="269">
        <f>SUMIF(libre[Librerias],E111,libre[Total de Compras])</f>
        <v>8765.0399999999991</v>
      </c>
      <c r="I111" s="5"/>
      <c r="K111" s="17"/>
    </row>
    <row r="112" spans="4:13" ht="2.1" customHeight="1">
      <c r="D112" s="17"/>
      <c r="E112" s="125"/>
      <c r="F112" s="125"/>
      <c r="G112" s="269"/>
      <c r="H112" s="17"/>
      <c r="I112" s="17"/>
      <c r="K112" s="17"/>
    </row>
    <row r="113" spans="4:11" ht="30" customHeight="1">
      <c r="D113" s="17"/>
      <c r="E113" s="123" t="s">
        <v>28</v>
      </c>
      <c r="F113" s="124"/>
      <c r="G113" s="269">
        <f>SUMIF(libre[Librerias],E113,libre[Total de Compras])</f>
        <v>10631.8</v>
      </c>
      <c r="I113" s="5"/>
      <c r="K113" s="17"/>
    </row>
    <row r="114" spans="4:11" ht="2.1" customHeight="1">
      <c r="G114" s="269"/>
    </row>
    <row r="115" spans="4:11" ht="2.1" customHeight="1">
      <c r="E115" s="72"/>
      <c r="G115" s="269"/>
    </row>
    <row r="116" spans="4:11" ht="2.1" customHeight="1"/>
    <row r="119" spans="4:11" ht="30" customHeight="1">
      <c r="D119" s="196" t="s">
        <v>193</v>
      </c>
      <c r="E119" s="294" t="s">
        <v>245</v>
      </c>
      <c r="F119" s="295"/>
      <c r="G119" s="295"/>
      <c r="H119" s="296"/>
    </row>
    <row r="120" spans="4:11" ht="12.75" customHeight="1"/>
    <row r="121" spans="4:11" ht="30" customHeight="1">
      <c r="D121" s="17"/>
      <c r="E121" s="122" t="s">
        <v>14</v>
      </c>
      <c r="F121" s="7"/>
      <c r="G121" s="122" t="s">
        <v>192</v>
      </c>
    </row>
    <row r="122" spans="4:11" ht="2.1" customHeight="1">
      <c r="D122" s="17"/>
      <c r="E122" s="17"/>
      <c r="F122" s="17"/>
      <c r="G122" s="17"/>
      <c r="H122" s="17"/>
    </row>
    <row r="123" spans="4:11" ht="30" customHeight="1">
      <c r="D123" s="17"/>
      <c r="E123" s="229" t="s">
        <v>18</v>
      </c>
      <c r="F123" s="230"/>
      <c r="G123" s="270">
        <f>SUMIF(libre[Localidad],E123,libre[Total de Compras])</f>
        <v>9277.16</v>
      </c>
    </row>
    <row r="124" spans="4:11" ht="2.1" customHeight="1">
      <c r="D124" s="17"/>
      <c r="E124" s="212"/>
      <c r="F124" s="212"/>
      <c r="G124" s="270"/>
      <c r="H124" s="17"/>
    </row>
    <row r="125" spans="4:11" ht="30" customHeight="1">
      <c r="D125" s="17"/>
      <c r="E125" s="229" t="s">
        <v>23</v>
      </c>
      <c r="F125" s="230"/>
      <c r="G125" s="270">
        <f>SUMIF(libre[Localidad],E125,libre[Total de Compras])</f>
        <v>12583.520000000002</v>
      </c>
    </row>
    <row r="126" spans="4:11" ht="2.1" customHeight="1">
      <c r="D126" s="17"/>
      <c r="E126" s="212"/>
      <c r="F126" s="212"/>
      <c r="G126" s="270"/>
      <c r="H126" s="17"/>
    </row>
    <row r="127" spans="4:11" ht="30" customHeight="1">
      <c r="D127" s="17"/>
      <c r="E127" s="229" t="s">
        <v>21</v>
      </c>
      <c r="F127" s="230"/>
      <c r="G127" s="270">
        <f>SUMIF(libre[Localidad],E127,libre[Total de Compras])</f>
        <v>10517.34</v>
      </c>
    </row>
    <row r="128" spans="4:11" ht="2.1" customHeight="1">
      <c r="D128" s="17"/>
      <c r="E128" s="212"/>
      <c r="F128" s="212"/>
      <c r="G128" s="270"/>
      <c r="H128" s="17"/>
    </row>
    <row r="129" spans="4:9" ht="30" customHeight="1">
      <c r="D129" s="17"/>
      <c r="E129" s="229" t="s">
        <v>25</v>
      </c>
      <c r="F129" s="230"/>
      <c r="G129" s="270">
        <f>SUMIF(libre[Localidad],E129,libre[Total de Compras])</f>
        <v>7400.9600000000009</v>
      </c>
    </row>
    <row r="130" spans="4:9" ht="2.1" customHeight="1">
      <c r="D130" s="17"/>
      <c r="E130" s="212"/>
      <c r="F130" s="212"/>
      <c r="G130" s="270"/>
      <c r="H130" s="17"/>
    </row>
    <row r="131" spans="4:9" ht="30" customHeight="1">
      <c r="D131" s="17"/>
      <c r="E131" s="229" t="s">
        <v>27</v>
      </c>
      <c r="F131" s="230"/>
      <c r="G131" s="270">
        <f>SUMIF(libre[Localidad],E131,libre[Total de Compras])</f>
        <v>10599.939999999999</v>
      </c>
    </row>
    <row r="132" spans="4:9" ht="2.1" customHeight="1"/>
    <row r="133" spans="4:9" ht="2.1" customHeight="1">
      <c r="E133" s="72"/>
      <c r="G133" s="72"/>
    </row>
    <row r="134" spans="4:9" ht="2.1" customHeight="1"/>
    <row r="135" spans="4:9" ht="30" customHeight="1"/>
    <row r="136" spans="4:9" ht="30" customHeight="1"/>
    <row r="137" spans="4:9" ht="30" customHeight="1">
      <c r="D137" s="214" t="s">
        <v>195</v>
      </c>
      <c r="E137" s="306" t="s">
        <v>249</v>
      </c>
      <c r="F137" s="307"/>
      <c r="G137" s="307"/>
      <c r="H137" s="307"/>
      <c r="I137" s="307"/>
    </row>
    <row r="138" spans="4:9" ht="30" customHeight="1"/>
    <row r="139" spans="4:9" ht="30" customHeight="1">
      <c r="E139" s="122" t="s">
        <v>198</v>
      </c>
      <c r="G139" s="231" t="s">
        <v>20</v>
      </c>
    </row>
    <row r="140" spans="4:9" ht="3.6" customHeight="1">
      <c r="G140" s="58"/>
    </row>
    <row r="141" spans="4:9" ht="30" customHeight="1">
      <c r="E141" s="122" t="s">
        <v>192</v>
      </c>
      <c r="G141" s="232">
        <f>SUMIF(libre[Librerias],$G$139,libre[Total de Compras])</f>
        <v>11003.499999999998</v>
      </c>
    </row>
    <row r="142" spans="4:9" ht="30" customHeight="1"/>
    <row r="143" spans="4:9" ht="30" customHeight="1">
      <c r="D143" s="196" t="s">
        <v>196</v>
      </c>
      <c r="E143" s="294" t="s">
        <v>250</v>
      </c>
      <c r="F143" s="295"/>
      <c r="G143" s="295"/>
      <c r="H143" s="296"/>
      <c r="I143" s="126"/>
    </row>
    <row r="144" spans="4:9" ht="30" customHeight="1"/>
    <row r="145" spans="5:7" ht="30" customHeight="1">
      <c r="E145" s="121" t="s">
        <v>199</v>
      </c>
      <c r="G145" s="231" t="s">
        <v>24</v>
      </c>
    </row>
    <row r="146" spans="5:7" ht="3" customHeight="1">
      <c r="G146" s="58"/>
    </row>
    <row r="147" spans="5:7" ht="30" customHeight="1">
      <c r="E147" s="121" t="s">
        <v>192</v>
      </c>
      <c r="G147" s="232">
        <f>SUMIF(LISTA_CLIENTES,$G$145,libre[Total de Compras])</f>
        <v>594.72</v>
      </c>
    </row>
    <row r="148" spans="5:7" ht="30" customHeight="1"/>
    <row r="149" spans="5:7" ht="30" customHeight="1"/>
    <row r="150" spans="5:7" ht="30" customHeight="1"/>
    <row r="151" spans="5:7" ht="30" customHeight="1"/>
    <row r="152" spans="5:7" ht="30" customHeight="1"/>
    <row r="153" spans="5:7" ht="30" customHeight="1"/>
    <row r="154" spans="5:7" ht="30" customHeight="1"/>
    <row r="155" spans="5:7" ht="30" customHeight="1"/>
    <row r="156" spans="5:7" ht="30" customHeight="1"/>
    <row r="157" spans="5:7" ht="30" customHeight="1"/>
    <row r="158" spans="5:7" ht="30" customHeight="1"/>
    <row r="159" spans="5:7" ht="30" customHeight="1"/>
    <row r="160" spans="5:7" ht="30" customHeight="1"/>
    <row r="161" ht="30" customHeight="1"/>
    <row r="162" ht="30" customHeight="1"/>
    <row r="163" ht="30" customHeight="1"/>
    <row r="164" ht="30" customHeight="1"/>
    <row r="165" ht="30" customHeight="1"/>
    <row r="166" ht="30" customHeight="1"/>
    <row r="167" ht="30" customHeight="1"/>
    <row r="168" ht="30" customHeight="1"/>
    <row r="169" ht="30" customHeight="1"/>
    <row r="170" ht="30" customHeight="1"/>
    <row r="171" ht="30" customHeight="1"/>
    <row r="172" ht="30" customHeight="1"/>
    <row r="173" ht="30" customHeight="1"/>
    <row r="174" ht="30" customHeight="1"/>
    <row r="175" ht="30" customHeight="1"/>
    <row r="176" ht="30" customHeight="1"/>
    <row r="177" ht="30" customHeight="1"/>
    <row r="178" ht="30" customHeight="1"/>
    <row r="179" ht="30" customHeight="1"/>
    <row r="180" ht="30" customHeight="1"/>
    <row r="181" ht="30" customHeight="1"/>
    <row r="182" ht="30" customHeight="1"/>
    <row r="183" ht="30" customHeight="1"/>
    <row r="184" ht="30" customHeight="1"/>
    <row r="185" ht="30" customHeight="1"/>
    <row r="186" ht="30" customHeight="1"/>
    <row r="187" ht="30" customHeight="1"/>
    <row r="188" ht="30" customHeight="1"/>
    <row r="189" ht="30" customHeight="1"/>
    <row r="190" ht="30" customHeight="1"/>
    <row r="191" ht="30" customHeight="1"/>
    <row r="192" ht="30" customHeight="1"/>
    <row r="193" ht="30" customHeight="1"/>
    <row r="194" ht="30" customHeight="1"/>
    <row r="195" ht="30" customHeight="1"/>
    <row r="196" ht="30" customHeight="1"/>
    <row r="197" ht="30" customHeight="1"/>
    <row r="198" ht="30" customHeight="1"/>
    <row r="199" ht="30" customHeight="1"/>
    <row r="200" ht="30" customHeight="1"/>
    <row r="201" ht="30" customHeight="1"/>
    <row r="202" ht="30" customHeight="1"/>
    <row r="203" ht="30" customHeight="1"/>
    <row r="204" ht="30" customHeight="1"/>
    <row r="205" ht="30" customHeight="1"/>
    <row r="206" ht="30" customHeight="1"/>
    <row r="207" ht="30" customHeight="1"/>
    <row r="208" ht="30" customHeight="1"/>
    <row r="209" ht="30" customHeight="1"/>
    <row r="210" ht="30" customHeight="1"/>
  </sheetData>
  <sheetProtection selectLockedCells="1"/>
  <mergeCells count="7">
    <mergeCell ref="G1:H1"/>
    <mergeCell ref="E143:H143"/>
    <mergeCell ref="E119:H119"/>
    <mergeCell ref="C5:I5"/>
    <mergeCell ref="D9:J9"/>
    <mergeCell ref="E101:H101"/>
    <mergeCell ref="E137:I137"/>
  </mergeCells>
  <dataValidations count="2">
    <dataValidation type="list" allowBlank="1" showInputMessage="1" showErrorMessage="1" sqref="G139" xr:uid="{16816C4C-4EE8-4A60-AB63-8EB4178573C6}">
      <formula1>LIBRERIAS</formula1>
    </dataValidation>
    <dataValidation type="list" allowBlank="1" showInputMessage="1" showErrorMessage="1" sqref="G145" xr:uid="{F83AD6CF-25CA-459A-A246-96AACD421F2B}">
      <formula1>CLIENTES</formula1>
    </dataValidation>
  </dataValidations>
  <pageMargins left="0.75" right="0.75" top="1" bottom="1" header="0" footer="0"/>
  <pageSetup orientation="portrait" horizontalDpi="300" verticalDpi="1200" r:id="rId1"/>
  <headerFooter alignWithMargins="0"/>
  <legacy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58FE5-FCA1-4FC6-8E39-C61665D4AF0B}">
  <sheetPr>
    <tabColor theme="1"/>
  </sheetPr>
  <dimension ref="B1:J28"/>
  <sheetViews>
    <sheetView showGridLines="0" tabSelected="1" topLeftCell="C7" zoomScale="115" zoomScaleNormal="115" workbookViewId="0">
      <pane ySplit="3" topLeftCell="A22" activePane="bottomLeft" state="frozen"/>
      <selection activeCell="C7" sqref="C7"/>
      <selection pane="bottomLeft" activeCell="H24" sqref="H24"/>
    </sheetView>
  </sheetViews>
  <sheetFormatPr baseColWidth="10" defaultColWidth="11.44140625" defaultRowHeight="20.100000000000001" customHeight="1"/>
  <cols>
    <col min="1" max="1" width="3.109375" style="2" customWidth="1"/>
    <col min="2" max="2" width="14.88671875" style="2" customWidth="1"/>
    <col min="3" max="3" width="16.6640625" style="2" customWidth="1"/>
    <col min="4" max="4" width="22" style="2" customWidth="1"/>
    <col min="5" max="5" width="21.88671875" style="2" customWidth="1"/>
    <col min="6" max="6" width="20.44140625" style="2" customWidth="1"/>
    <col min="7" max="7" width="23.6640625" style="2" customWidth="1"/>
    <col min="8" max="8" width="20.77734375" style="2" customWidth="1"/>
    <col min="9" max="9" width="18.5546875" style="2" customWidth="1"/>
    <col min="10" max="10" width="11.44140625" style="2"/>
    <col min="11" max="11" width="21.5546875" style="2" customWidth="1"/>
    <col min="12" max="12" width="15" style="2" customWidth="1"/>
    <col min="13" max="13" width="16.6640625" style="2" customWidth="1"/>
    <col min="14" max="15" width="11.44140625" style="2"/>
    <col min="16" max="16" width="14.77734375" style="2" customWidth="1"/>
    <col min="17" max="17" width="14.88671875" style="2" customWidth="1"/>
    <col min="18" max="18" width="14.109375" style="2" customWidth="1"/>
    <col min="19" max="16384" width="11.44140625" style="2"/>
  </cols>
  <sheetData>
    <row r="1" spans="2:10" s="67" customFormat="1" ht="31.2" customHeight="1">
      <c r="C1" s="68"/>
      <c r="D1" s="69"/>
      <c r="E1" s="285" t="s">
        <v>209</v>
      </c>
      <c r="F1" s="285"/>
      <c r="G1" s="285"/>
      <c r="H1" s="117"/>
      <c r="I1" s="69"/>
      <c r="J1" s="69"/>
    </row>
    <row r="2" spans="2:10" ht="12.75" customHeight="1"/>
    <row r="3" spans="2:10" ht="30" customHeight="1">
      <c r="B3" s="133" t="s">
        <v>197</v>
      </c>
      <c r="C3" s="133"/>
      <c r="D3" s="18"/>
      <c r="E3" s="18"/>
      <c r="F3" s="18"/>
      <c r="G3" s="18"/>
      <c r="H3" s="18"/>
      <c r="I3" s="18"/>
      <c r="J3" s="17"/>
    </row>
    <row r="4" spans="2:10" ht="30" customHeight="1">
      <c r="B4" s="19"/>
      <c r="C4" s="18"/>
      <c r="D4" s="18"/>
      <c r="E4" s="18"/>
      <c r="F4" s="18"/>
      <c r="G4" s="18"/>
      <c r="H4" s="18"/>
      <c r="I4" s="18"/>
      <c r="J4" s="17"/>
    </row>
    <row r="5" spans="2:10" ht="30" customHeight="1">
      <c r="B5" s="20"/>
      <c r="C5" s="308" t="s">
        <v>207</v>
      </c>
      <c r="D5" s="309"/>
      <c r="E5" s="309"/>
      <c r="F5" s="309"/>
      <c r="G5" s="309"/>
      <c r="H5" s="309"/>
      <c r="I5" s="310"/>
      <c r="J5" s="17"/>
    </row>
    <row r="6" spans="2:10" ht="30" customHeight="1">
      <c r="B6" s="20"/>
      <c r="C6" s="172" t="s">
        <v>70</v>
      </c>
      <c r="D6" s="233"/>
      <c r="E6" s="233"/>
      <c r="F6" s="233"/>
      <c r="G6" s="233"/>
      <c r="H6" s="233"/>
      <c r="I6" s="234"/>
      <c r="J6" s="17"/>
    </row>
    <row r="7" spans="2:10" ht="30" customHeight="1">
      <c r="B7" s="20"/>
      <c r="C7" s="173" t="s">
        <v>208</v>
      </c>
      <c r="D7" s="235"/>
      <c r="E7" s="235"/>
      <c r="F7" s="235"/>
      <c r="G7" s="235"/>
      <c r="H7" s="235"/>
      <c r="I7" s="236"/>
      <c r="J7" s="17"/>
    </row>
    <row r="8" spans="2:10" ht="30" customHeight="1" thickBot="1">
      <c r="B8" s="17"/>
      <c r="C8" s="17"/>
      <c r="D8" s="17"/>
      <c r="E8" s="17"/>
      <c r="F8" s="17"/>
      <c r="G8" s="17"/>
      <c r="H8" s="17"/>
      <c r="I8" s="17"/>
      <c r="J8" s="17"/>
    </row>
    <row r="9" spans="2:10" ht="30" customHeight="1" thickBot="1">
      <c r="C9" s="127" t="s">
        <v>210</v>
      </c>
      <c r="D9" s="128" t="s">
        <v>211</v>
      </c>
      <c r="E9" s="128" t="s">
        <v>212</v>
      </c>
      <c r="F9" s="128" t="s">
        <v>213</v>
      </c>
      <c r="G9" s="128" t="s">
        <v>214</v>
      </c>
      <c r="H9" s="129" t="s">
        <v>215</v>
      </c>
    </row>
    <row r="10" spans="2:10" ht="30" customHeight="1">
      <c r="C10" s="237" t="s">
        <v>216</v>
      </c>
      <c r="D10" s="238" t="s">
        <v>217</v>
      </c>
      <c r="E10" s="238" t="s">
        <v>218</v>
      </c>
      <c r="F10" s="238" t="s">
        <v>219</v>
      </c>
      <c r="G10" s="238" t="s">
        <v>220</v>
      </c>
      <c r="H10" s="239">
        <v>2600</v>
      </c>
    </row>
    <row r="11" spans="2:10" ht="30" customHeight="1">
      <c r="C11" s="240" t="s">
        <v>221</v>
      </c>
      <c r="D11" s="241" t="s">
        <v>222</v>
      </c>
      <c r="E11" s="241" t="s">
        <v>223</v>
      </c>
      <c r="F11" s="241" t="s">
        <v>224</v>
      </c>
      <c r="G11" s="241" t="s">
        <v>225</v>
      </c>
      <c r="H11" s="242">
        <v>1250</v>
      </c>
    </row>
    <row r="12" spans="2:10" ht="30" customHeight="1">
      <c r="C12" s="240" t="s">
        <v>226</v>
      </c>
      <c r="D12" s="241" t="s">
        <v>227</v>
      </c>
      <c r="E12" s="241" t="s">
        <v>228</v>
      </c>
      <c r="F12" s="241" t="s">
        <v>219</v>
      </c>
      <c r="G12" s="241" t="s">
        <v>220</v>
      </c>
      <c r="H12" s="242">
        <v>2700</v>
      </c>
    </row>
    <row r="13" spans="2:10" ht="30" customHeight="1">
      <c r="C13" s="240" t="s">
        <v>216</v>
      </c>
      <c r="D13" s="241" t="s">
        <v>222</v>
      </c>
      <c r="E13" s="241" t="s">
        <v>218</v>
      </c>
      <c r="F13" s="241" t="s">
        <v>224</v>
      </c>
      <c r="G13" s="241" t="s">
        <v>225</v>
      </c>
      <c r="H13" s="242">
        <v>1800</v>
      </c>
    </row>
    <row r="14" spans="2:10" ht="30" customHeight="1">
      <c r="C14" s="240" t="s">
        <v>221</v>
      </c>
      <c r="D14" s="241" t="s">
        <v>227</v>
      </c>
      <c r="E14" s="241" t="s">
        <v>223</v>
      </c>
      <c r="F14" s="241" t="s">
        <v>219</v>
      </c>
      <c r="G14" s="241" t="s">
        <v>220</v>
      </c>
      <c r="H14" s="242">
        <v>3000</v>
      </c>
    </row>
    <row r="15" spans="2:10" ht="30" customHeight="1">
      <c r="C15" s="240" t="s">
        <v>226</v>
      </c>
      <c r="D15" s="241" t="s">
        <v>217</v>
      </c>
      <c r="E15" s="241" t="s">
        <v>228</v>
      </c>
      <c r="F15" s="241" t="s">
        <v>224</v>
      </c>
      <c r="G15" s="241" t="s">
        <v>225</v>
      </c>
      <c r="H15" s="242">
        <v>1400</v>
      </c>
    </row>
    <row r="16" spans="2:10" ht="30" customHeight="1">
      <c r="C16" s="240" t="s">
        <v>216</v>
      </c>
      <c r="D16" s="241" t="s">
        <v>227</v>
      </c>
      <c r="E16" s="241" t="s">
        <v>218</v>
      </c>
      <c r="F16" s="241" t="s">
        <v>219</v>
      </c>
      <c r="G16" s="241" t="s">
        <v>220</v>
      </c>
      <c r="H16" s="242">
        <v>3200</v>
      </c>
    </row>
    <row r="17" spans="3:8" ht="30" customHeight="1">
      <c r="C17" s="240" t="s">
        <v>221</v>
      </c>
      <c r="D17" s="241" t="s">
        <v>217</v>
      </c>
      <c r="E17" s="241" t="s">
        <v>223</v>
      </c>
      <c r="F17" s="241" t="s">
        <v>224</v>
      </c>
      <c r="G17" s="241" t="s">
        <v>225</v>
      </c>
      <c r="H17" s="242">
        <v>1900</v>
      </c>
    </row>
    <row r="18" spans="3:8" ht="30" customHeight="1" thickBot="1">
      <c r="C18" s="243" t="s">
        <v>226</v>
      </c>
      <c r="D18" s="244" t="s">
        <v>222</v>
      </c>
      <c r="E18" s="244" t="s">
        <v>228</v>
      </c>
      <c r="F18" s="244" t="s">
        <v>219</v>
      </c>
      <c r="G18" s="244" t="s">
        <v>220</v>
      </c>
      <c r="H18" s="245">
        <v>1680</v>
      </c>
    </row>
    <row r="19" spans="3:8" ht="30" customHeight="1"/>
    <row r="21" spans="3:8" ht="34.950000000000003" customHeight="1" thickBot="1">
      <c r="C21" s="131">
        <v>1</v>
      </c>
      <c r="D21" s="130" t="s">
        <v>229</v>
      </c>
      <c r="E21" s="130"/>
      <c r="F21" s="130"/>
      <c r="G21" s="130"/>
      <c r="H21" s="271">
        <f>SUMIFS(MONTO,BANCO,"INTERBANK",MONEDA,"SOLES")</f>
        <v>5800</v>
      </c>
    </row>
    <row r="22" spans="3:8" ht="20.100000000000001" customHeight="1">
      <c r="C22" s="62"/>
      <c r="D22" s="61"/>
      <c r="E22" s="61"/>
      <c r="F22" s="61"/>
      <c r="G22" s="61"/>
      <c r="H22" s="61"/>
    </row>
    <row r="23" spans="3:8" ht="34.950000000000003" customHeight="1" thickBot="1">
      <c r="C23" s="131">
        <v>2</v>
      </c>
      <c r="D23" s="130" t="s">
        <v>230</v>
      </c>
      <c r="E23" s="130"/>
      <c r="F23" s="130"/>
      <c r="G23" s="130"/>
      <c r="H23" s="271">
        <f>SUMIFS(MONTO,OPERACION,"CAPTACION",MONEDA,"SOLES",BANCO,"FINANCIERO")</f>
        <v>4380</v>
      </c>
    </row>
    <row r="24" spans="3:8" ht="20.100000000000001" customHeight="1">
      <c r="C24" s="62"/>
      <c r="D24" s="61"/>
      <c r="E24" s="61"/>
      <c r="F24" s="61"/>
      <c r="G24" s="61"/>
      <c r="H24" s="61"/>
    </row>
    <row r="25" spans="3:8" ht="34.950000000000003" customHeight="1" thickBot="1">
      <c r="C25" s="131">
        <v>3</v>
      </c>
      <c r="D25" s="130" t="s">
        <v>231</v>
      </c>
      <c r="E25" s="130"/>
      <c r="F25" s="130"/>
      <c r="G25" s="130"/>
      <c r="H25" s="271">
        <f>SUMIFS(MONTO,BANCO,"BCP",MES,"FEBRERO",MONEDA,"DOLARES")</f>
        <v>3150</v>
      </c>
    </row>
    <row r="26" spans="3:8" ht="20.100000000000001" customHeight="1">
      <c r="C26" s="62"/>
      <c r="D26" s="61"/>
      <c r="E26" s="61"/>
      <c r="F26" s="61"/>
      <c r="G26" s="61"/>
      <c r="H26" s="61"/>
    </row>
    <row r="27" spans="3:8" ht="34.950000000000003" customHeight="1" thickBot="1">
      <c r="C27" s="131">
        <v>4</v>
      </c>
      <c r="D27" s="130" t="s">
        <v>232</v>
      </c>
      <c r="E27" s="130"/>
      <c r="F27" s="130"/>
      <c r="G27" s="130"/>
      <c r="H27" s="271">
        <f>SUMIFS(MONTO,DEPARTAMENTO,"AREQUIPA",OPERACION,"COLOCACION")</f>
        <v>3050</v>
      </c>
    </row>
    <row r="28" spans="3:8" ht="20.100000000000001" customHeight="1">
      <c r="C28" s="61"/>
      <c r="D28" s="61"/>
      <c r="E28" s="61"/>
      <c r="F28" s="61"/>
      <c r="G28" s="61"/>
      <c r="H28" s="61"/>
    </row>
  </sheetData>
  <sheetProtection selectLockedCells="1"/>
  <mergeCells count="2">
    <mergeCell ref="C5:I5"/>
    <mergeCell ref="E1:G1"/>
  </mergeCells>
  <pageMargins left="0.75" right="0.75" top="1" bottom="1" header="0" footer="0"/>
  <pageSetup orientation="portrait" horizontalDpi="3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13</vt:i4>
      </vt:variant>
    </vt:vector>
  </HeadingPairs>
  <TitlesOfParts>
    <vt:vector size="20" baseType="lpstr">
      <vt:lpstr>Principal</vt:lpstr>
      <vt:lpstr>Función Suma</vt:lpstr>
      <vt:lpstr>Función Producto</vt:lpstr>
      <vt:lpstr>Función Potencia</vt:lpstr>
      <vt:lpstr>Función Redondear</vt:lpstr>
      <vt:lpstr>Función Sumar.Si</vt:lpstr>
      <vt:lpstr>Función Sumar.Si.Conjunto</vt:lpstr>
      <vt:lpstr>BANCO</vt:lpstr>
      <vt:lpstr>CLIENTES</vt:lpstr>
      <vt:lpstr>DEPARTAMENTO</vt:lpstr>
      <vt:lpstr>libreria</vt:lpstr>
      <vt:lpstr>LIBRERIAS</vt:lpstr>
      <vt:lpstr>LISTA_CLIENTES</vt:lpstr>
      <vt:lpstr>LISTA_LIBRERIAS</vt:lpstr>
      <vt:lpstr>LOCALIDAD</vt:lpstr>
      <vt:lpstr>MES</vt:lpstr>
      <vt:lpstr>MONEDA</vt:lpstr>
      <vt:lpstr>MONTO</vt:lpstr>
      <vt:lpstr>OPERACION</vt:lpstr>
      <vt:lpstr>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Nik Denilson Ramirez Bautista</cp:lastModifiedBy>
  <dcterms:created xsi:type="dcterms:W3CDTF">2013-04-03T20:01:23Z</dcterms:created>
  <dcterms:modified xsi:type="dcterms:W3CDTF">2025-12-24T00:19:08Z</dcterms:modified>
</cp:coreProperties>
</file>