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codeName="ThisWorkbook"/>
  <mc:AlternateContent xmlns:mc="http://schemas.openxmlformats.org/markup-compatibility/2006">
    <mc:Choice Requires="x15">
      <x15ac:absPath xmlns:x15ac="http://schemas.microsoft.com/office/spreadsheetml/2010/11/ac" url="C:\Users\01\Desktop\AILEEN PLANTILLAS\EXCEL\CALENDARIO\"/>
    </mc:Choice>
  </mc:AlternateContent>
  <xr:revisionPtr revIDLastSave="0" documentId="8_{6D79E4E8-6F05-40A7-B42C-1ABCBE489FB1}" xr6:coauthVersionLast="45" xr6:coauthVersionMax="45" xr10:uidLastSave="{00000000-0000-0000-0000-000000000000}"/>
  <bookViews>
    <workbookView xWindow="-120" yWindow="-120" windowWidth="20730" windowHeight="11160" xr2:uid="{00000000-000D-0000-FFFF-FFFF00000000}"/>
  </bookViews>
  <sheets>
    <sheet name="Calendario de citas diarias" sheetId="2" r:id="rId1"/>
  </sheets>
  <definedNames>
    <definedName name="_xlnm._FilterDatabase" localSheetId="0" hidden="1">'Calendario de citas diarias'!$B$3:$I$76</definedName>
    <definedName name="CalEndtime">0.999</definedName>
    <definedName name="CurrentTime">TIME(HOUR(NOW()),MINUTE(NOW()),SECOND(NOW()))</definedName>
    <definedName name="Increment">TIME(0,MinuteInterval,0)</definedName>
    <definedName name="LastRow">MAX(MATCH(9.99E+307,'Calendario de citas diarias'!$B:$B),MATCH(REPT("z",255),'Calendario de citas diarias'!$B:$B))</definedName>
    <definedName name="MinuteInterval">--LEFT(MinuteText,2)</definedName>
    <definedName name="MinuteText">'Calendario de citas diarias'!$E$2</definedName>
    <definedName name="ScheduleStart">'Calendario de citas diarias'!$C$2</definedName>
    <definedName name="ThisCol">'Calendario de citas diarias'!#REF!:INDEX('Calendario de citas diarias'!A:A,LastRow,1)</definedName>
    <definedName name="ThisRow">'Calendario de citas diarias'!$C1:$I1</definedName>
    <definedName name="ThisWeekday">CHOOSE(WEEKDAY(TODAY()),1,2,3,4,5,6,7)</definedName>
    <definedName name="Times">'Calendario de citas diarias'!$B$4:$B$76</definedName>
    <definedName name="Title1">DailyAppointments[[#All],[Column1]]</definedName>
    <definedName name="_xlnm.Print_Titles" localSheetId="0">'Calendario de citas diarias'!$3:$3</definedName>
    <definedName name="WeekStart">'Calendario de citas diarias'!$G$2</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4" i="2" l="1"/>
  <c r="B5" i="2" s="1"/>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G2" i="2" l="1"/>
  <c r="C3" i="2" l="1"/>
  <c r="D3" i="2"/>
  <c r="E3" i="2"/>
  <c r="F3" i="2"/>
  <c r="G3" i="2"/>
  <c r="H3" i="2"/>
  <c r="I3" i="2"/>
</calcChain>
</file>

<file path=xl/sharedStrings.xml><?xml version="1.0" encoding="utf-8"?>
<sst xmlns="http://schemas.openxmlformats.org/spreadsheetml/2006/main" count="7" uniqueCount="7">
  <si>
    <t>CALENDARIO DE CITAS DIARIAS</t>
  </si>
  <si>
    <t xml:space="preserve">INICIO DE LA PROGRAMACIÓN: </t>
  </si>
  <si>
    <t>HORA</t>
  </si>
  <si>
    <t xml:space="preserve">INTERVALO DE TIEMPO: </t>
  </si>
  <si>
    <t>Desayuno con Pat</t>
  </si>
  <si>
    <t xml:space="preserve">FECHA DE INICIO DE LA SEMANA: </t>
  </si>
  <si>
    <t>15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</si>
</sst>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aaa"/>
    <numFmt numFmtId="169" formatCode="[$-409]h:mm\ AM/PM;@"/>
    <numFmt numFmtId="170" formatCode="h:mm;@"/>
  </numFmts>
  <fonts count="7" x14ac:knownFonts="1">
    <font>
      <sz val="11"/>
      <color theme="1" tint="0.34998626667073579"/>
      <name val="Segoe UI"/>
      <family val="2"/>
      <scheme val="minor"/>
    </font>
    <font>
      <b/>
      <sz val="26"/>
      <color theme="3"/>
      <name val="Segoe UI"/>
      <family val="2"/>
      <scheme val="major"/>
    </font>
    <font>
      <sz val="16"/>
      <color theme="3"/>
      <name val="Segoe UI"/>
      <family val="2"/>
      <scheme val="major"/>
    </font>
    <font>
      <sz val="11"/>
      <color theme="1" tint="0.34998626667073579"/>
      <name val="Segoe UI"/>
      <family val="2"/>
      <scheme val="minor"/>
    </font>
    <font>
      <b/>
      <sz val="11"/>
      <color theme="3"/>
      <name val="Segoe UI"/>
      <family val="2"/>
      <scheme val="major"/>
    </font>
    <font>
      <b/>
      <sz val="14"/>
      <color theme="0"/>
      <name val="Segoe UI"/>
      <family val="2"/>
      <scheme val="major"/>
    </font>
    <font>
      <b/>
      <sz val="16"/>
      <color theme="0"/>
      <name val="Segoe UI"/>
      <family val="2"/>
      <scheme val="major"/>
    </font>
  </fonts>
  <fills count="4">
    <fill>
      <patternFill patternType="none"/>
    </fill>
    <fill>
      <patternFill patternType="gray125"/>
    </fill>
    <fill>
      <patternFill patternType="solid">
        <fgColor theme="1"/>
        <bgColor indexed="64"/>
      </patternFill>
    </fill>
    <fill>
      <patternFill patternType="solid">
        <fgColor theme="6" tint="-0.24994659260841701"/>
        <bgColor indexed="64"/>
      </patternFill>
    </fill>
  </fills>
  <borders count="5">
    <border>
      <left/>
      <right/>
      <top/>
      <bottom/>
      <diagonal/>
    </border>
    <border>
      <left/>
      <right style="thin">
        <color theme="0"/>
      </right>
      <top style="thin">
        <color theme="0"/>
      </top>
      <bottom/>
      <diagonal/>
    </border>
    <border>
      <left style="thin">
        <color theme="0"/>
      </left>
      <right/>
      <top/>
      <bottom/>
      <diagonal/>
    </border>
    <border>
      <left/>
      <right/>
      <top style="thin">
        <color theme="0" tint="-0.34998626667073579"/>
      </top>
      <bottom/>
      <diagonal/>
    </border>
    <border>
      <left style="thin">
        <color theme="0" tint="-0.34998626667073579"/>
      </left>
      <right/>
      <top style="thin">
        <color theme="0" tint="-0.34998626667073579"/>
      </top>
      <bottom/>
      <diagonal/>
    </border>
  </borders>
  <cellStyleXfs count="13">
    <xf numFmtId="0" fontId="0" fillId="0" borderId="0">
      <alignment horizontal="center" vertical="center" wrapText="1"/>
    </xf>
    <xf numFmtId="0" fontId="4" fillId="0" borderId="0" applyNumberFormat="0" applyFill="0" applyBorder="0" applyProtection="0">
      <alignment horizontal="right" vertical="top"/>
    </xf>
    <xf numFmtId="168" fontId="6" fillId="3" borderId="4" applyProtection="0">
      <alignment horizontal="center" vertical="center"/>
    </xf>
    <xf numFmtId="169" fontId="2" fillId="0" borderId="0" applyFill="0" applyBorder="0">
      <alignment horizontal="left" vertical="center"/>
    </xf>
    <xf numFmtId="0" fontId="5" fillId="2" borderId="3" applyProtection="0">
      <alignment horizontal="center" vertical="center"/>
    </xf>
    <xf numFmtId="0" fontId="1" fillId="0" borderId="0" applyNumberFormat="0" applyFill="0" applyBorder="0" applyProtection="0">
      <alignment vertical="top"/>
    </xf>
    <xf numFmtId="167" fontId="3" fillId="0" borderId="0" applyFill="0" applyBorder="0" applyAlignment="0" applyProtection="0"/>
    <xf numFmtId="165" fontId="3" fillId="0" borderId="0" applyFill="0" applyBorder="0" applyAlignment="0" applyProtection="0"/>
    <xf numFmtId="166" fontId="3" fillId="0" borderId="0" applyFill="0" applyBorder="0" applyAlignment="0" applyProtection="0"/>
    <xf numFmtId="164" fontId="3" fillId="0" borderId="0" applyFill="0" applyBorder="0" applyAlignment="0" applyProtection="0"/>
    <xf numFmtId="9" fontId="3" fillId="0" borderId="0" applyFill="0" applyBorder="0" applyAlignment="0" applyProtection="0"/>
    <xf numFmtId="18" fontId="3" fillId="0" borderId="0" applyFont="0" applyFill="0" applyBorder="0" applyProtection="0">
      <alignment horizontal="right" vertical="center" indent="1"/>
      <protection locked="0"/>
    </xf>
    <xf numFmtId="14" fontId="2" fillId="0" borderId="0" applyFill="0" applyBorder="0">
      <alignment horizontal="left" vertical="center"/>
    </xf>
  </cellStyleXfs>
  <cellXfs count="14">
    <xf numFmtId="0" fontId="0" fillId="0" borderId="0" xfId="0">
      <alignment horizontal="center" vertical="center" wrapText="1"/>
    </xf>
    <xf numFmtId="168" fontId="6" fillId="3" borderId="4" xfId="2">
      <alignment horizontal="center" vertical="center"/>
    </xf>
    <xf numFmtId="0" fontId="0" fillId="0" borderId="0" xfId="0">
      <alignment horizontal="center" vertical="center" wrapText="1"/>
    </xf>
    <xf numFmtId="0" fontId="4" fillId="0" borderId="1" xfId="1" applyFill="1" applyBorder="1">
      <alignment horizontal="right" vertical="top"/>
    </xf>
    <xf numFmtId="0" fontId="4" fillId="0" borderId="2" xfId="1" applyFill="1" applyBorder="1">
      <alignment horizontal="right" vertical="top"/>
    </xf>
    <xf numFmtId="0" fontId="4" fillId="0" borderId="0" xfId="1">
      <alignment horizontal="right" vertical="top"/>
    </xf>
    <xf numFmtId="0" fontId="5" fillId="2" borderId="3" xfId="4">
      <alignment horizontal="center" vertical="center"/>
    </xf>
    <xf numFmtId="14" fontId="2" fillId="0" borderId="0" xfId="12">
      <alignment horizontal="left" vertical="center"/>
    </xf>
    <xf numFmtId="0" fontId="1" fillId="0" borderId="0" xfId="5" applyFill="1" applyBorder="1">
      <alignment vertical="top"/>
    </xf>
    <xf numFmtId="0" fontId="0" fillId="0" borderId="0" xfId="0" applyFill="1">
      <alignment horizontal="center" vertical="center" wrapText="1"/>
    </xf>
    <xf numFmtId="170" fontId="2" fillId="0" borderId="0" xfId="3" applyNumberFormat="1" applyProtection="1">
      <alignment horizontal="left" vertical="center"/>
      <protection locked="0"/>
    </xf>
    <xf numFmtId="170" fontId="2" fillId="0" borderId="0" xfId="3" applyNumberFormat="1" applyProtection="1">
      <alignment horizontal="left" vertical="center"/>
    </xf>
    <xf numFmtId="20" fontId="0" fillId="0" borderId="0" xfId="11" applyNumberFormat="1" applyFont="1" applyProtection="1">
      <alignment horizontal="right" vertical="center" indent="1"/>
    </xf>
    <xf numFmtId="0" fontId="0" fillId="0" borderId="0" xfId="0" applyFont="1">
      <alignment horizontal="center" vertical="center" wrapText="1"/>
    </xf>
  </cellXfs>
  <cellStyles count="13">
    <cellStyle name="Encabezado 1" xfId="1" builtinId="16" customBuiltin="1"/>
    <cellStyle name="Encabezado 4" xfId="2" builtinId="19" customBuiltin="1"/>
    <cellStyle name="Fecha" xfId="12" xr:uid="{00000000-0005-0000-0000-000002000000}"/>
    <cellStyle name="Hora" xfId="11" xr:uid="{00000000-0005-0000-0000-000003000000}"/>
    <cellStyle name="Millares" xfId="6" builtinId="3" customBuiltin="1"/>
    <cellStyle name="Millares [0]" xfId="7" builtinId="6" customBuiltin="1"/>
    <cellStyle name="Moneda" xfId="8" builtinId="4" customBuiltin="1"/>
    <cellStyle name="Moneda [0]" xfId="9" builtinId="7" customBuiltin="1"/>
    <cellStyle name="Normal" xfId="0" builtinId="0" customBuiltin="1"/>
    <cellStyle name="Porcentaje" xfId="10" builtinId="5" customBuiltin="1"/>
    <cellStyle name="Título" xfId="5" builtinId="15" customBuiltin="1"/>
    <cellStyle name="Título 2" xfId="3" builtinId="17" customBuiltin="1"/>
    <cellStyle name="Título 3" xfId="4" builtinId="18" customBuiltin="1"/>
  </cellStyles>
  <dxfs count="29">
    <dxf>
      <font>
        <b val="0"/>
        <i val="0"/>
        <strike val="0"/>
        <condense val="0"/>
        <extend val="0"/>
        <outline val="0"/>
        <shadow val="0"/>
        <u val="none"/>
        <vertAlign val="baseline"/>
        <sz val="9"/>
        <color theme="1" tint="0.34998626667073579"/>
        <name val="Segoe UI"/>
        <family val="2"/>
        <scheme val="minor"/>
      </font>
      <numFmt numFmtId="171" formatCode=";;;@"/>
      <fill>
        <patternFill patternType="none">
          <fgColor indexed="64"/>
          <bgColor indexed="65"/>
        </patternFill>
      </fill>
      <alignment horizontal="center" vertical="center" textRotation="0" wrapText="1" indent="0" justifyLastLine="0" shrinkToFit="0" readingOrder="0"/>
      <border diagonalUp="0" diagonalDown="0" outline="0">
        <left style="thin">
          <color theme="0"/>
        </left>
        <right/>
        <top/>
        <bottom style="thin">
          <color theme="0"/>
        </bottom>
      </border>
    </dxf>
    <dxf>
      <font>
        <b val="0"/>
        <i val="0"/>
        <strike val="0"/>
        <condense val="0"/>
        <extend val="0"/>
        <outline val="0"/>
        <shadow val="0"/>
        <u val="none"/>
        <vertAlign val="baseline"/>
        <sz val="9"/>
        <color theme="1" tint="0.34998626667073579"/>
        <name val="Segoe UI"/>
        <family val="2"/>
        <scheme val="minor"/>
      </font>
      <numFmt numFmtId="171" formatCode=";;;@"/>
      <fill>
        <patternFill patternType="none">
          <fgColor indexed="64"/>
          <bgColor indexed="65"/>
        </patternFill>
      </fill>
      <alignment horizontal="center" vertical="center" textRotation="0" wrapText="1" indent="0" justifyLastLine="0" shrinkToFit="0" readingOrder="0"/>
      <border diagonalUp="0" diagonalDown="0" outline="0">
        <left style="thin">
          <color theme="0"/>
        </left>
        <right/>
        <top/>
        <bottom style="thin">
          <color theme="0"/>
        </bottom>
      </border>
    </dxf>
    <dxf>
      <font>
        <b val="0"/>
        <i val="0"/>
        <strike val="0"/>
        <condense val="0"/>
        <extend val="0"/>
        <outline val="0"/>
        <shadow val="0"/>
        <u val="none"/>
        <vertAlign val="baseline"/>
        <sz val="9"/>
        <color theme="1" tint="0.34998626667073579"/>
        <name val="Segoe UI"/>
        <family val="2"/>
        <scheme val="minor"/>
      </font>
      <numFmt numFmtId="171" formatCode=";;;@"/>
      <fill>
        <patternFill patternType="none">
          <fgColor indexed="64"/>
          <bgColor indexed="65"/>
        </patternFill>
      </fill>
      <alignment horizontal="center" vertical="center" textRotation="0" wrapText="1" indent="0" justifyLastLine="0" shrinkToFit="0" readingOrder="0"/>
      <border diagonalUp="0" diagonalDown="0" outline="0">
        <left style="thin">
          <color theme="0"/>
        </left>
        <right/>
        <top/>
        <bottom style="thin">
          <color theme="0"/>
        </bottom>
      </border>
    </dxf>
    <dxf>
      <font>
        <b val="0"/>
        <i val="0"/>
        <strike val="0"/>
        <condense val="0"/>
        <extend val="0"/>
        <outline val="0"/>
        <shadow val="0"/>
        <u val="none"/>
        <vertAlign val="baseline"/>
        <sz val="9"/>
        <color theme="1" tint="0.34998626667073579"/>
        <name val="Segoe UI"/>
        <family val="2"/>
        <scheme val="minor"/>
      </font>
      <numFmt numFmtId="171" formatCode=";;;@"/>
      <fill>
        <patternFill patternType="none">
          <fgColor indexed="64"/>
          <bgColor indexed="65"/>
        </patternFill>
      </fill>
      <alignment horizontal="center" vertical="center" textRotation="0" wrapText="1" indent="0" justifyLastLine="0" shrinkToFit="0" readingOrder="0"/>
      <border diagonalUp="0" diagonalDown="0" outline="0">
        <left style="thin">
          <color theme="0"/>
        </left>
        <right style="thin">
          <color theme="0"/>
        </right>
        <top/>
        <bottom style="thin">
          <color theme="0"/>
        </bottom>
      </border>
    </dxf>
    <dxf>
      <font>
        <b val="0"/>
        <i val="0"/>
        <strike val="0"/>
        <condense val="0"/>
        <extend val="0"/>
        <outline val="0"/>
        <shadow val="0"/>
        <u val="none"/>
        <vertAlign val="baseline"/>
        <sz val="9"/>
        <color theme="1" tint="0.34998626667073579"/>
        <name val="Segoe UI"/>
        <family val="2"/>
        <scheme val="minor"/>
      </font>
      <numFmt numFmtId="171" formatCode=";;;@"/>
      <fill>
        <patternFill patternType="none">
          <fgColor indexed="64"/>
          <bgColor indexed="65"/>
        </patternFill>
      </fill>
      <alignment horizontal="center" vertical="center" textRotation="0" wrapText="1" indent="0" justifyLastLine="0" shrinkToFit="0" readingOrder="0"/>
      <border diagonalUp="0" diagonalDown="0" outline="0">
        <left style="thin">
          <color theme="0"/>
        </left>
        <right style="thin">
          <color theme="0"/>
        </right>
        <top/>
        <bottom style="thin">
          <color theme="0"/>
        </bottom>
      </border>
    </dxf>
    <dxf>
      <font>
        <b val="0"/>
        <i val="0"/>
        <strike val="0"/>
        <condense val="0"/>
        <extend val="0"/>
        <outline val="0"/>
        <shadow val="0"/>
        <u val="none"/>
        <vertAlign val="baseline"/>
        <sz val="9"/>
        <color theme="1" tint="0.34998626667073579"/>
        <name val="Segoe UI"/>
        <family val="2"/>
        <scheme val="minor"/>
      </font>
      <numFmt numFmtId="171" formatCode=";;;@"/>
      <fill>
        <patternFill patternType="none">
          <fgColor indexed="64"/>
          <bgColor indexed="65"/>
        </patternFill>
      </fill>
      <alignment horizontal="center" vertical="center" textRotation="0" wrapText="1" indent="0" justifyLastLine="0" shrinkToFit="0" readingOrder="0"/>
      <border diagonalUp="0" diagonalDown="0" outline="0">
        <left style="thin">
          <color theme="0"/>
        </left>
        <right style="thin">
          <color theme="0"/>
        </right>
        <top/>
        <bottom style="thin">
          <color theme="0"/>
        </bottom>
      </border>
    </dxf>
    <dxf>
      <font>
        <b val="0"/>
        <i val="0"/>
        <strike val="0"/>
        <condense val="0"/>
        <extend val="0"/>
        <outline val="0"/>
        <shadow val="0"/>
        <u val="none"/>
        <vertAlign val="baseline"/>
        <sz val="9"/>
        <color theme="1" tint="0.34998626667073579"/>
        <name val="Segoe UI"/>
        <family val="2"/>
        <scheme val="minor"/>
      </font>
      <numFmt numFmtId="171" formatCode=";;;@"/>
      <fill>
        <patternFill patternType="none">
          <fgColor indexed="64"/>
          <bgColor indexed="65"/>
        </patternFill>
      </fill>
      <alignment horizontal="center" vertical="center" textRotation="0" wrapText="1" indent="0" justifyLastLine="0" shrinkToFit="0" readingOrder="0"/>
      <border diagonalUp="0" diagonalDown="0" outline="0">
        <left style="thin">
          <color theme="0"/>
        </left>
        <right style="thin">
          <color theme="0"/>
        </right>
        <top/>
        <bottom style="thin">
          <color theme="0"/>
        </bottom>
      </border>
    </dxf>
    <dxf>
      <numFmt numFmtId="172" formatCode="h:mm"/>
    </dxf>
    <dxf>
      <font>
        <b val="0"/>
        <i val="0"/>
        <strike val="0"/>
        <condense val="0"/>
        <extend val="0"/>
        <outline val="0"/>
        <shadow val="0"/>
        <u val="none"/>
        <vertAlign val="baseline"/>
        <sz val="9"/>
        <color theme="1" tint="0.34998626667073579"/>
        <name val="Segoe UI"/>
        <family val="2"/>
        <scheme val="minor"/>
      </font>
      <numFmt numFmtId="173" formatCode="h:mm\ AM/PM"/>
      <fill>
        <patternFill patternType="none">
          <fgColor indexed="64"/>
          <bgColor indexed="65"/>
        </patternFill>
      </fill>
      <alignment horizontal="right" vertical="center" textRotation="0" wrapText="0" indent="1" justifyLastLine="0" shrinkToFit="0" readingOrder="0"/>
      <border diagonalUp="0" diagonalDown="0" outline="0">
        <left/>
        <right style="thin">
          <color theme="0"/>
        </right>
        <top/>
        <bottom style="thin">
          <color theme="0"/>
        </bottom>
      </border>
    </dxf>
    <dxf>
      <border>
        <right style="thin">
          <color theme="4"/>
        </right>
        <top style="thin">
          <color theme="4"/>
        </top>
        <bottom style="thin">
          <color theme="4"/>
        </bottom>
        <vertical/>
        <horizontal/>
      </border>
    </dxf>
    <dxf>
      <border>
        <left style="thin">
          <color theme="4"/>
        </left>
        <top style="thin">
          <color theme="4"/>
        </top>
        <bottom style="thin">
          <color theme="4"/>
        </bottom>
        <vertical/>
        <horizontal/>
      </border>
    </dxf>
    <dxf>
      <font>
        <b/>
        <i val="0"/>
        <color theme="0"/>
      </font>
      <fill>
        <patternFill>
          <bgColor theme="4" tint="-0.499984740745262"/>
        </patternFill>
      </fill>
    </dxf>
    <dxf>
      <font>
        <color theme="3"/>
      </font>
      <border>
        <top style="thin">
          <color theme="4"/>
        </top>
        <bottom style="thin">
          <color theme="4"/>
        </bottom>
        <vertical/>
        <horizontal/>
      </border>
    </dxf>
    <dxf>
      <font>
        <color theme="0"/>
      </font>
      <fill>
        <patternFill>
          <bgColor theme="0"/>
        </patternFill>
      </fill>
      <border>
        <left/>
        <right/>
        <top/>
        <bottom/>
      </border>
    </dxf>
    <dxf>
      <fill>
        <patternFill>
          <bgColor theme="2"/>
        </patternFill>
      </fill>
    </dxf>
    <dxf>
      <fill>
        <patternFill>
          <bgColor theme="5" tint="0.79998168889431442"/>
        </patternFill>
      </fill>
    </dxf>
    <dxf>
      <border>
        <right style="thin">
          <color theme="4"/>
        </right>
        <top style="thin">
          <color theme="4"/>
        </top>
        <bottom style="thin">
          <color theme="4"/>
        </bottom>
        <vertical/>
        <horizontal/>
      </border>
    </dxf>
    <dxf>
      <border>
        <left style="thin">
          <color theme="4"/>
        </left>
        <top style="thin">
          <color theme="4"/>
        </top>
        <bottom style="thin">
          <color theme="4"/>
        </bottom>
        <vertical/>
        <horizontal/>
      </border>
    </dxf>
    <dxf>
      <font>
        <b/>
        <i val="0"/>
        <color theme="0"/>
      </font>
      <fill>
        <patternFill>
          <bgColor theme="4" tint="-0.499984740745262"/>
        </patternFill>
      </fill>
    </dxf>
    <dxf>
      <font>
        <b/>
        <i val="0"/>
        <color theme="0"/>
      </font>
      <fill>
        <patternFill>
          <bgColor theme="4"/>
        </patternFill>
      </fill>
      <border>
        <left/>
        <right/>
        <top/>
        <bottom/>
      </border>
    </dxf>
    <dxf>
      <font>
        <color theme="3"/>
      </font>
      <fill>
        <patternFill>
          <bgColor theme="4" tint="0.39994506668294322"/>
        </patternFill>
      </fill>
      <border>
        <left/>
        <right/>
        <top/>
        <bottom/>
        <vertical/>
        <horizontal/>
      </border>
    </dxf>
    <dxf>
      <font>
        <color theme="3"/>
      </font>
      <fill>
        <patternFill>
          <bgColor theme="4" tint="0.59996337778862885"/>
        </patternFill>
      </fill>
    </dxf>
    <dxf>
      <font>
        <b/>
        <i val="0"/>
        <color theme="0"/>
      </font>
      <fill>
        <patternFill>
          <bgColor theme="4"/>
        </patternFill>
      </fill>
    </dxf>
    <dxf>
      <font>
        <b/>
        <i val="0"/>
        <color theme="0"/>
      </font>
      <fill>
        <patternFill>
          <bgColor theme="5" tint="-0.24994659260841701"/>
        </patternFill>
      </fill>
      <border>
        <left style="thin">
          <color theme="0"/>
        </left>
        <right style="thin">
          <color theme="0"/>
        </right>
        <top style="thin">
          <color theme="0"/>
        </top>
        <bottom style="thin">
          <color theme="0"/>
        </bottom>
      </border>
    </dxf>
    <dxf>
      <font>
        <color theme="0"/>
      </font>
      <fill>
        <patternFill>
          <bgColor theme="4" tint="-0.499984740745262"/>
        </patternFill>
      </fill>
    </dxf>
    <dxf>
      <font>
        <color theme="3"/>
      </font>
      <border>
        <top style="thin">
          <color theme="4"/>
        </top>
        <bottom style="thin">
          <color theme="4"/>
        </bottom>
        <vertical/>
        <horizontal/>
      </border>
    </dxf>
    <dxf>
      <font>
        <color theme="1" tint="0.34998626667073579"/>
      </font>
      <fill>
        <patternFill>
          <fgColor theme="0" tint="-0.14996795556505021"/>
          <bgColor theme="2" tint="-9.9948118533890809E-2"/>
        </patternFill>
      </fill>
    </dxf>
    <dxf>
      <font>
        <b/>
        <i val="0"/>
        <color theme="3"/>
      </font>
      <border>
        <left/>
        <right/>
        <top style="thin">
          <color theme="0" tint="-0.34998626667073579"/>
        </top>
        <bottom style="thin">
          <color theme="0" tint="-0.34998626667073579"/>
        </bottom>
        <vertical style="thin">
          <color theme="0" tint="-0.34998626667073579"/>
        </vertical>
        <horizontal/>
      </border>
    </dxf>
    <dxf>
      <font>
        <color theme="1" tint="0.34998626667073579"/>
      </font>
      <border>
        <left style="thin">
          <color theme="0"/>
        </left>
        <right/>
        <top style="thin">
          <color theme="0"/>
        </top>
        <bottom style="thin">
          <color theme="0"/>
        </bottom>
        <vertical style="thin">
          <color theme="0"/>
        </vertical>
        <horizontal style="thin">
          <color theme="0"/>
        </horizontal>
      </border>
    </dxf>
  </dxfs>
  <tableStyles count="1" defaultTableStyle="TableStyleMedium2" defaultPivotStyle="PivotStyleLight16">
    <tableStyle name="Calendario de citas diarias" pivot="0" count="3" xr9:uid="{00000000-0011-0000-FFFF-FFFF00000000}">
      <tableStyleElement type="wholeTable" dxfId="28"/>
      <tableStyleElement type="headerRow" dxfId="27"/>
      <tableStyleElement type="firstRowStripe"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DailyAppointments" displayName="DailyAppointments" ref="B4:I64" headerRowCount="0" totalsRowShown="0">
  <tableColumns count="8">
    <tableColumn id="1" xr3:uid="{00000000-0010-0000-0000-000001000000}" name="Column1" headerRowDxfId="8" dataDxfId="7">
      <calculatedColumnFormula>B3+Increment</calculatedColumnFormula>
    </tableColumn>
    <tableColumn id="2" xr3:uid="{00000000-0010-0000-0000-000002000000}" name="Column2" headerRowDxfId="6" dataCellStyle="Normal"/>
    <tableColumn id="3" xr3:uid="{00000000-0010-0000-0000-000003000000}" name="Column3" headerRowDxfId="5" dataCellStyle="Normal"/>
    <tableColumn id="4" xr3:uid="{00000000-0010-0000-0000-000004000000}" name="Column4" headerRowDxfId="4" dataCellStyle="Normal"/>
    <tableColumn id="5" xr3:uid="{00000000-0010-0000-0000-000005000000}" name="Column5" headerRowDxfId="3" dataCellStyle="Normal"/>
    <tableColumn id="6" xr3:uid="{00000000-0010-0000-0000-000006000000}" name="Column6" headerRowDxfId="2" dataCellStyle="Normal"/>
    <tableColumn id="7" xr3:uid="{00000000-0010-0000-0000-000007000000}" name="Column7" headerRowDxfId="1" dataCellStyle="Normal"/>
    <tableColumn id="8" xr3:uid="{00000000-0010-0000-0000-000008000000}" name="Column8" headerRowDxfId="0" dataCellStyle="Normal"/>
  </tableColumns>
  <tableStyleInfo name="Calendario de citas diarias" showFirstColumn="0" showLastColumn="0" showRowStripes="1" showColumnStripes="0"/>
  <extLst>
    <ext xmlns:x14="http://schemas.microsoft.com/office/spreadsheetml/2009/9/main" uri="{504A1905-F514-4f6f-8877-14C23A59335A}">
      <x14:table altTextSummary="Escriba las citas para cada día laborable e intervalo de tiempo seleccionado en esta tabla."/>
    </ext>
  </extLst>
</table>
</file>

<file path=xl/theme/theme1.xml><?xml version="1.0" encoding="utf-8"?>
<a:theme xmlns:a="http://schemas.openxmlformats.org/drawingml/2006/main" name="Office Theme">
  <a:themeElements>
    <a:clrScheme name="Daily Appointment Calendar">
      <a:dk1>
        <a:sysClr val="windowText" lastClr="000000"/>
      </a:dk1>
      <a:lt1>
        <a:sysClr val="window" lastClr="FFFFFF"/>
      </a:lt1>
      <a:dk2>
        <a:srgbClr val="3F3F3F"/>
      </a:dk2>
      <a:lt2>
        <a:srgbClr val="F1EFED"/>
      </a:lt2>
      <a:accent1>
        <a:srgbClr val="9FC579"/>
      </a:accent1>
      <a:accent2>
        <a:srgbClr val="8D82BC"/>
      </a:accent2>
      <a:accent3>
        <a:srgbClr val="8E8F9A"/>
      </a:accent3>
      <a:accent4>
        <a:srgbClr val="FF8E5B"/>
      </a:accent4>
      <a:accent5>
        <a:srgbClr val="B16B8E"/>
      </a:accent5>
      <a:accent6>
        <a:srgbClr val="0B82F9"/>
      </a:accent6>
      <a:hlink>
        <a:srgbClr val="0B82F9"/>
      </a:hlink>
      <a:folHlink>
        <a:srgbClr val="B16B8E"/>
      </a:folHlink>
    </a:clrScheme>
    <a:fontScheme name="Daily Appointment Calendar">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A1:I64"/>
  <sheetViews>
    <sheetView showGridLines="0" tabSelected="1" zoomScaleNormal="100" zoomScaleSheetLayoutView="100" workbookViewId="0"/>
  </sheetViews>
  <sheetFormatPr baseColWidth="10" defaultColWidth="9" defaultRowHeight="69.95" customHeight="1" x14ac:dyDescent="0.3"/>
  <cols>
    <col min="1" max="1" width="2.625" style="2" customWidth="1"/>
    <col min="2" max="2" width="29.625" customWidth="1"/>
    <col min="3" max="9" width="31.625" customWidth="1"/>
    <col min="10" max="10" width="2.625" customWidth="1"/>
  </cols>
  <sheetData>
    <row r="1" spans="1:9" ht="50.1" customHeight="1" x14ac:dyDescent="0.3">
      <c r="A1" s="13"/>
      <c r="B1" s="8" t="s">
        <v>0</v>
      </c>
      <c r="C1" s="2"/>
      <c r="D1" s="2"/>
      <c r="E1" s="2"/>
      <c r="F1" s="2"/>
      <c r="G1" s="2"/>
      <c r="H1" s="2"/>
      <c r="I1" s="2"/>
    </row>
    <row r="2" spans="1:9" ht="45" customHeight="1" x14ac:dyDescent="0.3">
      <c r="B2" s="3" t="s">
        <v>1</v>
      </c>
      <c r="C2" s="10">
        <v>0.25</v>
      </c>
      <c r="D2" s="4" t="s">
        <v>3</v>
      </c>
      <c r="E2" s="11" t="s">
        <v>6</v>
      </c>
      <c r="F2" s="5" t="s">
        <v>5</v>
      </c>
      <c r="G2" s="7">
        <f ca="1">TODAY()</f>
        <v>43943</v>
      </c>
      <c r="H2" s="2"/>
      <c r="I2" s="2"/>
    </row>
    <row r="3" spans="1:9" ht="24.95" customHeight="1" x14ac:dyDescent="0.3">
      <c r="B3" s="6" t="s">
        <v>2</v>
      </c>
      <c r="C3" s="1">
        <f ca="1">WEEKDAY(WeekStart)</f>
        <v>4</v>
      </c>
      <c r="D3" s="1">
        <f ca="1">WEEKDAY(WeekStart+1,1)</f>
        <v>5</v>
      </c>
      <c r="E3" s="1">
        <f ca="1">WEEKDAY(WeekStart+2,1)</f>
        <v>6</v>
      </c>
      <c r="F3" s="1">
        <f ca="1">WEEKDAY(WeekStart+3,1)</f>
        <v>7</v>
      </c>
      <c r="G3" s="1">
        <f ca="1">WEEKDAY(WeekStart+4,1)</f>
        <v>1</v>
      </c>
      <c r="H3" s="1">
        <f ca="1">WEEKDAY(WeekStart+5,1)</f>
        <v>2</v>
      </c>
      <c r="I3" s="1">
        <f ca="1">WEEKDAY(WeekStart+6,1)</f>
        <v>3</v>
      </c>
    </row>
    <row r="4" spans="1:9" ht="69.95" customHeight="1" x14ac:dyDescent="0.3">
      <c r="B4" s="12">
        <f>ScheduleStart</f>
        <v>0.25</v>
      </c>
      <c r="C4" s="2"/>
      <c r="D4" s="2"/>
      <c r="E4" s="2"/>
      <c r="F4" s="2"/>
      <c r="G4" s="2"/>
      <c r="H4" s="2"/>
      <c r="I4" s="2"/>
    </row>
    <row r="5" spans="1:9" ht="69.95" customHeight="1" x14ac:dyDescent="0.3">
      <c r="B5" s="12">
        <f t="shared" ref="B5:B36" si="0">B4+Increment</f>
        <v>0.26041666666666669</v>
      </c>
      <c r="C5" s="2"/>
      <c r="D5" s="2"/>
      <c r="E5" s="2"/>
      <c r="F5" s="2"/>
      <c r="G5" s="2"/>
      <c r="H5" s="2"/>
      <c r="I5" s="2"/>
    </row>
    <row r="6" spans="1:9" ht="69.95" customHeight="1" x14ac:dyDescent="0.3">
      <c r="B6" s="12">
        <f t="shared" si="0"/>
        <v>0.27083333333333337</v>
      </c>
      <c r="C6" s="2"/>
      <c r="D6" s="2"/>
      <c r="E6" s="2" t="s">
        <v>4</v>
      </c>
      <c r="F6" s="2"/>
      <c r="G6" s="2"/>
      <c r="H6" s="2"/>
      <c r="I6" s="2"/>
    </row>
    <row r="7" spans="1:9" ht="69.95" customHeight="1" x14ac:dyDescent="0.3">
      <c r="B7" s="12">
        <f t="shared" si="0"/>
        <v>0.28125000000000006</v>
      </c>
      <c r="C7" s="2"/>
      <c r="D7" s="2"/>
      <c r="E7" s="2"/>
      <c r="F7" s="2"/>
      <c r="G7" s="2"/>
      <c r="H7" s="2"/>
      <c r="I7" s="2"/>
    </row>
    <row r="8" spans="1:9" ht="69.95" customHeight="1" x14ac:dyDescent="0.3">
      <c r="B8" s="12">
        <f t="shared" si="0"/>
        <v>0.29166666666666674</v>
      </c>
      <c r="C8" s="2"/>
      <c r="D8" s="2"/>
      <c r="E8" s="2"/>
      <c r="F8" s="2"/>
      <c r="G8" s="2"/>
      <c r="H8" s="2"/>
      <c r="I8" s="2"/>
    </row>
    <row r="9" spans="1:9" ht="69.95" customHeight="1" x14ac:dyDescent="0.3">
      <c r="B9" s="12">
        <f t="shared" si="0"/>
        <v>0.30208333333333343</v>
      </c>
      <c r="C9" s="2"/>
      <c r="D9" s="2"/>
      <c r="E9" s="2"/>
      <c r="F9" s="2"/>
      <c r="G9" s="2"/>
      <c r="H9" s="2"/>
      <c r="I9" s="2"/>
    </row>
    <row r="10" spans="1:9" ht="69.95" customHeight="1" x14ac:dyDescent="0.3">
      <c r="B10" s="12">
        <f t="shared" si="0"/>
        <v>0.31250000000000011</v>
      </c>
      <c r="C10" s="2"/>
      <c r="D10" s="2"/>
      <c r="E10" s="2"/>
      <c r="F10" s="2"/>
      <c r="G10" s="2"/>
      <c r="H10" s="2"/>
      <c r="I10" s="2"/>
    </row>
    <row r="11" spans="1:9" ht="69.95" customHeight="1" x14ac:dyDescent="0.3">
      <c r="B11" s="12">
        <f t="shared" si="0"/>
        <v>0.3229166666666668</v>
      </c>
      <c r="C11" s="2"/>
      <c r="D11" s="2"/>
      <c r="E11" s="2"/>
      <c r="F11" s="2"/>
      <c r="G11" s="2"/>
      <c r="H11" s="2"/>
      <c r="I11" s="2"/>
    </row>
    <row r="12" spans="1:9" ht="69.95" customHeight="1" x14ac:dyDescent="0.3">
      <c r="B12" s="12">
        <f t="shared" si="0"/>
        <v>0.33333333333333348</v>
      </c>
      <c r="C12" s="2"/>
      <c r="D12" s="2"/>
      <c r="E12" s="2"/>
      <c r="F12" s="2"/>
      <c r="G12" s="2"/>
      <c r="H12" s="2"/>
      <c r="I12" s="2"/>
    </row>
    <row r="13" spans="1:9" ht="69.95" customHeight="1" x14ac:dyDescent="0.3">
      <c r="B13" s="12">
        <f t="shared" si="0"/>
        <v>0.34375000000000017</v>
      </c>
      <c r="C13" s="2"/>
      <c r="D13" s="2"/>
      <c r="E13" s="2"/>
      <c r="F13" s="2"/>
      <c r="G13" s="2"/>
      <c r="H13" s="2"/>
      <c r="I13" s="2"/>
    </row>
    <row r="14" spans="1:9" ht="69.95" customHeight="1" x14ac:dyDescent="0.3">
      <c r="B14" s="12">
        <f t="shared" si="0"/>
        <v>0.35416666666666685</v>
      </c>
      <c r="C14" s="2"/>
      <c r="D14" s="2"/>
      <c r="E14" s="2"/>
      <c r="F14" s="2"/>
      <c r="G14" s="2"/>
      <c r="H14" s="2"/>
      <c r="I14" s="2"/>
    </row>
    <row r="15" spans="1:9" ht="69.95" customHeight="1" x14ac:dyDescent="0.3">
      <c r="B15" s="12">
        <f t="shared" si="0"/>
        <v>0.36458333333333354</v>
      </c>
      <c r="C15" s="2"/>
      <c r="D15" s="2"/>
      <c r="E15" s="2"/>
      <c r="F15" s="2"/>
      <c r="G15" s="2"/>
      <c r="H15" s="2"/>
      <c r="I15" s="2"/>
    </row>
    <row r="16" spans="1:9" ht="69.95" customHeight="1" x14ac:dyDescent="0.3">
      <c r="B16" s="12">
        <f t="shared" si="0"/>
        <v>0.37500000000000022</v>
      </c>
      <c r="C16" s="2"/>
      <c r="D16" s="2"/>
      <c r="E16" s="2"/>
      <c r="F16" s="2"/>
      <c r="G16" s="2"/>
      <c r="H16" s="2"/>
      <c r="I16" s="2"/>
    </row>
    <row r="17" spans="2:9" ht="69.95" customHeight="1" x14ac:dyDescent="0.3">
      <c r="B17" s="12">
        <f t="shared" si="0"/>
        <v>0.38541666666666691</v>
      </c>
      <c r="C17" s="2"/>
      <c r="D17" s="2"/>
      <c r="E17" s="2"/>
      <c r="F17" s="2"/>
      <c r="G17" s="2"/>
      <c r="H17" s="2"/>
      <c r="I17" s="2"/>
    </row>
    <row r="18" spans="2:9" ht="69.95" customHeight="1" x14ac:dyDescent="0.3">
      <c r="B18" s="12">
        <f t="shared" si="0"/>
        <v>0.39583333333333359</v>
      </c>
      <c r="C18" s="2"/>
      <c r="D18" s="2"/>
      <c r="E18" s="2"/>
      <c r="F18" s="2"/>
      <c r="G18" s="2"/>
      <c r="H18" s="2"/>
      <c r="I18" s="2"/>
    </row>
    <row r="19" spans="2:9" ht="69.95" customHeight="1" x14ac:dyDescent="0.3">
      <c r="B19" s="12">
        <f t="shared" si="0"/>
        <v>0.40625000000000028</v>
      </c>
      <c r="C19" s="2"/>
      <c r="D19" s="2"/>
      <c r="E19" s="2"/>
      <c r="F19" s="2"/>
      <c r="G19" s="2"/>
      <c r="H19" s="2"/>
      <c r="I19" s="2"/>
    </row>
    <row r="20" spans="2:9" ht="69.95" customHeight="1" x14ac:dyDescent="0.3">
      <c r="B20" s="12">
        <f t="shared" si="0"/>
        <v>0.41666666666666696</v>
      </c>
      <c r="C20" s="2"/>
      <c r="D20" s="2"/>
      <c r="E20" s="2"/>
      <c r="F20" s="2"/>
      <c r="G20" s="2"/>
      <c r="H20" s="2"/>
      <c r="I20" s="2"/>
    </row>
    <row r="21" spans="2:9" ht="69.95" customHeight="1" x14ac:dyDescent="0.3">
      <c r="B21" s="12">
        <f t="shared" si="0"/>
        <v>0.42708333333333365</v>
      </c>
      <c r="C21" s="2"/>
      <c r="D21" s="2"/>
      <c r="E21" s="2"/>
      <c r="F21" s="2"/>
      <c r="G21" s="2"/>
      <c r="H21" s="2"/>
      <c r="I21" s="2"/>
    </row>
    <row r="22" spans="2:9" ht="69.95" customHeight="1" x14ac:dyDescent="0.3">
      <c r="B22" s="12">
        <f t="shared" si="0"/>
        <v>0.43750000000000033</v>
      </c>
      <c r="C22" s="2"/>
      <c r="D22" s="2"/>
      <c r="E22" s="2"/>
      <c r="F22" s="2"/>
      <c r="G22" s="2"/>
      <c r="H22" s="2"/>
      <c r="I22" s="2"/>
    </row>
    <row r="23" spans="2:9" ht="69.95" customHeight="1" x14ac:dyDescent="0.3">
      <c r="B23" s="12">
        <f t="shared" si="0"/>
        <v>0.44791666666666702</v>
      </c>
      <c r="C23" s="2"/>
      <c r="D23" s="2"/>
      <c r="E23" s="2"/>
      <c r="F23" s="2"/>
      <c r="G23" s="2"/>
      <c r="H23" s="2"/>
      <c r="I23" s="2"/>
    </row>
    <row r="24" spans="2:9" ht="69.95" customHeight="1" x14ac:dyDescent="0.3">
      <c r="B24" s="12">
        <f t="shared" si="0"/>
        <v>0.4583333333333337</v>
      </c>
      <c r="C24" s="2"/>
      <c r="D24" s="2"/>
      <c r="E24" s="2"/>
      <c r="F24" s="2"/>
      <c r="G24" s="2"/>
      <c r="H24" s="2"/>
      <c r="I24" s="2"/>
    </row>
    <row r="25" spans="2:9" ht="69.95" customHeight="1" x14ac:dyDescent="0.3">
      <c r="B25" s="12">
        <f t="shared" si="0"/>
        <v>0.46875000000000039</v>
      </c>
      <c r="C25" s="2"/>
      <c r="D25" s="2"/>
      <c r="E25" s="2"/>
      <c r="F25" s="2"/>
      <c r="G25" s="2"/>
      <c r="H25" s="2"/>
      <c r="I25" s="2"/>
    </row>
    <row r="26" spans="2:9" ht="69.95" customHeight="1" x14ac:dyDescent="0.3">
      <c r="B26" s="12">
        <f t="shared" si="0"/>
        <v>0.47916666666666707</v>
      </c>
      <c r="C26" s="2"/>
      <c r="D26" s="2"/>
      <c r="E26" s="2"/>
      <c r="F26" s="2"/>
      <c r="G26" s="2"/>
      <c r="H26" s="2"/>
      <c r="I26" s="2"/>
    </row>
    <row r="27" spans="2:9" ht="69.95" customHeight="1" x14ac:dyDescent="0.3">
      <c r="B27" s="12">
        <f t="shared" si="0"/>
        <v>0.48958333333333376</v>
      </c>
      <c r="C27" s="2"/>
      <c r="D27" s="2"/>
      <c r="E27" s="2"/>
      <c r="F27" s="2"/>
      <c r="G27" s="2"/>
      <c r="H27" s="2"/>
      <c r="I27" s="2"/>
    </row>
    <row r="28" spans="2:9" ht="69.95" customHeight="1" x14ac:dyDescent="0.3">
      <c r="B28" s="12">
        <f t="shared" si="0"/>
        <v>0.50000000000000044</v>
      </c>
      <c r="C28" s="2"/>
      <c r="D28" s="2"/>
      <c r="E28" s="2"/>
      <c r="F28" s="2"/>
      <c r="G28" s="2"/>
      <c r="H28" s="2"/>
      <c r="I28" s="2"/>
    </row>
    <row r="29" spans="2:9" ht="69.95" customHeight="1" x14ac:dyDescent="0.3">
      <c r="B29" s="12">
        <f t="shared" si="0"/>
        <v>0.51041666666666707</v>
      </c>
      <c r="C29" s="2"/>
      <c r="D29" s="2"/>
      <c r="E29" s="2"/>
      <c r="F29" s="2"/>
      <c r="G29" s="2"/>
      <c r="H29" s="2"/>
      <c r="I29" s="2"/>
    </row>
    <row r="30" spans="2:9" ht="69.95" customHeight="1" x14ac:dyDescent="0.3">
      <c r="B30" s="12">
        <f t="shared" si="0"/>
        <v>0.5208333333333337</v>
      </c>
      <c r="C30" s="2"/>
      <c r="D30" s="2"/>
      <c r="E30" s="2"/>
      <c r="F30" s="2"/>
      <c r="G30" s="2"/>
      <c r="H30" s="2"/>
      <c r="I30" s="2"/>
    </row>
    <row r="31" spans="2:9" ht="69.95" customHeight="1" x14ac:dyDescent="0.3">
      <c r="B31" s="12">
        <f t="shared" si="0"/>
        <v>0.53125000000000033</v>
      </c>
      <c r="C31" s="2"/>
      <c r="D31" s="2"/>
      <c r="E31" s="2"/>
      <c r="F31" s="2"/>
      <c r="G31" s="2"/>
      <c r="H31" s="2"/>
      <c r="I31" s="2"/>
    </row>
    <row r="32" spans="2:9" ht="69.95" customHeight="1" x14ac:dyDescent="0.3">
      <c r="B32" s="12">
        <f t="shared" si="0"/>
        <v>0.54166666666666696</v>
      </c>
      <c r="C32" s="2"/>
      <c r="D32" s="2"/>
      <c r="E32" s="2"/>
      <c r="F32" s="2"/>
      <c r="G32" s="2"/>
      <c r="H32" s="2"/>
      <c r="I32" s="2"/>
    </row>
    <row r="33" spans="2:9" ht="69.95" customHeight="1" x14ac:dyDescent="0.3">
      <c r="B33" s="12">
        <f t="shared" si="0"/>
        <v>0.55208333333333359</v>
      </c>
      <c r="C33" s="2"/>
      <c r="D33" s="2"/>
      <c r="E33" s="2"/>
      <c r="F33" s="2"/>
      <c r="G33" s="2"/>
      <c r="H33" s="2"/>
      <c r="I33" s="2"/>
    </row>
    <row r="34" spans="2:9" ht="69.95" customHeight="1" x14ac:dyDescent="0.3">
      <c r="B34" s="12">
        <f t="shared" si="0"/>
        <v>0.56250000000000022</v>
      </c>
      <c r="C34" s="2"/>
      <c r="D34" s="2"/>
      <c r="E34" s="2"/>
      <c r="F34" s="2"/>
      <c r="G34" s="2"/>
      <c r="H34" s="2"/>
      <c r="I34" s="2"/>
    </row>
    <row r="35" spans="2:9" ht="69.95" customHeight="1" x14ac:dyDescent="0.3">
      <c r="B35" s="12">
        <f t="shared" si="0"/>
        <v>0.57291666666666685</v>
      </c>
      <c r="C35" s="2"/>
      <c r="D35" s="2"/>
      <c r="E35" s="2"/>
      <c r="F35" s="2"/>
      <c r="G35" s="2"/>
      <c r="H35" s="2"/>
      <c r="I35" s="2"/>
    </row>
    <row r="36" spans="2:9" ht="69.95" customHeight="1" x14ac:dyDescent="0.3">
      <c r="B36" s="12">
        <f t="shared" si="0"/>
        <v>0.58333333333333348</v>
      </c>
      <c r="C36" s="2"/>
      <c r="D36" s="2"/>
      <c r="E36" s="2"/>
      <c r="F36" s="2"/>
      <c r="G36" s="2"/>
      <c r="H36" s="2"/>
      <c r="I36" s="2"/>
    </row>
    <row r="37" spans="2:9" ht="69.95" customHeight="1" x14ac:dyDescent="0.3">
      <c r="B37" s="12">
        <f t="shared" ref="B37:B64" si="1">B36+Increment</f>
        <v>0.59375000000000011</v>
      </c>
      <c r="C37" s="2"/>
      <c r="D37" s="2"/>
      <c r="E37" s="2"/>
      <c r="F37" s="2"/>
      <c r="G37" s="2"/>
      <c r="H37" s="2"/>
      <c r="I37" s="2"/>
    </row>
    <row r="38" spans="2:9" ht="69.95" customHeight="1" x14ac:dyDescent="0.3">
      <c r="B38" s="12">
        <f t="shared" si="1"/>
        <v>0.60416666666666674</v>
      </c>
      <c r="C38" s="2"/>
      <c r="D38" s="2"/>
      <c r="E38" s="2"/>
      <c r="F38" s="2"/>
      <c r="G38" s="2"/>
      <c r="H38" s="2"/>
      <c r="I38" s="2"/>
    </row>
    <row r="39" spans="2:9" ht="69.95" customHeight="1" x14ac:dyDescent="0.3">
      <c r="B39" s="12">
        <f t="shared" si="1"/>
        <v>0.61458333333333337</v>
      </c>
      <c r="C39" s="2"/>
      <c r="D39" s="2"/>
      <c r="E39" s="2"/>
      <c r="F39" s="2"/>
      <c r="G39" s="2"/>
      <c r="H39" s="2"/>
      <c r="I39" s="2"/>
    </row>
    <row r="40" spans="2:9" ht="69.95" customHeight="1" x14ac:dyDescent="0.3">
      <c r="B40" s="12">
        <f t="shared" si="1"/>
        <v>0.625</v>
      </c>
      <c r="C40" s="9"/>
      <c r="D40" s="9"/>
      <c r="E40" s="9"/>
      <c r="F40" s="9"/>
      <c r="G40" s="9"/>
      <c r="H40" s="9"/>
      <c r="I40" s="9"/>
    </row>
    <row r="41" spans="2:9" ht="69.95" customHeight="1" x14ac:dyDescent="0.3">
      <c r="B41" s="12">
        <f t="shared" si="1"/>
        <v>0.63541666666666663</v>
      </c>
      <c r="C41" s="9"/>
      <c r="D41" s="9"/>
      <c r="E41" s="9"/>
      <c r="F41" s="9"/>
      <c r="G41" s="9"/>
      <c r="H41" s="9"/>
      <c r="I41" s="9"/>
    </row>
    <row r="42" spans="2:9" ht="69.95" customHeight="1" x14ac:dyDescent="0.3">
      <c r="B42" s="12">
        <f t="shared" si="1"/>
        <v>0.64583333333333326</v>
      </c>
      <c r="C42" s="9"/>
      <c r="D42" s="9"/>
      <c r="E42" s="9"/>
      <c r="F42" s="9"/>
      <c r="G42" s="9"/>
      <c r="H42" s="9"/>
      <c r="I42" s="9"/>
    </row>
    <row r="43" spans="2:9" ht="69.95" customHeight="1" x14ac:dyDescent="0.3">
      <c r="B43" s="12">
        <f t="shared" si="1"/>
        <v>0.65624999999999989</v>
      </c>
      <c r="C43" s="9"/>
      <c r="D43" s="9"/>
      <c r="E43" s="9"/>
      <c r="F43" s="9"/>
      <c r="G43" s="9"/>
      <c r="H43" s="9"/>
      <c r="I43" s="9"/>
    </row>
    <row r="44" spans="2:9" ht="69.95" customHeight="1" x14ac:dyDescent="0.3">
      <c r="B44" s="12">
        <f t="shared" si="1"/>
        <v>0.66666666666666652</v>
      </c>
      <c r="C44" s="9"/>
      <c r="D44" s="9"/>
      <c r="E44" s="9"/>
      <c r="F44" s="9"/>
      <c r="G44" s="9"/>
      <c r="H44" s="9"/>
      <c r="I44" s="9"/>
    </row>
    <row r="45" spans="2:9" ht="69.95" customHeight="1" x14ac:dyDescent="0.3">
      <c r="B45" s="12">
        <f t="shared" si="1"/>
        <v>0.67708333333333315</v>
      </c>
      <c r="C45" s="9"/>
      <c r="D45" s="9"/>
      <c r="E45" s="9"/>
      <c r="F45" s="9"/>
      <c r="G45" s="9"/>
      <c r="H45" s="9"/>
      <c r="I45" s="9"/>
    </row>
    <row r="46" spans="2:9" ht="69.95" customHeight="1" x14ac:dyDescent="0.3">
      <c r="B46" s="12">
        <f t="shared" si="1"/>
        <v>0.68749999999999978</v>
      </c>
      <c r="C46" s="9"/>
      <c r="D46" s="9"/>
      <c r="E46" s="9"/>
      <c r="F46" s="9"/>
      <c r="G46" s="9"/>
      <c r="H46" s="9"/>
      <c r="I46" s="9"/>
    </row>
    <row r="47" spans="2:9" ht="69.95" customHeight="1" x14ac:dyDescent="0.3">
      <c r="B47" s="12">
        <f t="shared" si="1"/>
        <v>0.69791666666666641</v>
      </c>
      <c r="C47" s="9"/>
      <c r="D47" s="9"/>
      <c r="E47" s="9"/>
      <c r="F47" s="9"/>
      <c r="G47" s="9"/>
      <c r="H47" s="9"/>
      <c r="I47" s="9"/>
    </row>
    <row r="48" spans="2:9" ht="69.95" customHeight="1" x14ac:dyDescent="0.3">
      <c r="B48" s="12">
        <f t="shared" si="1"/>
        <v>0.70833333333333304</v>
      </c>
      <c r="C48" s="9"/>
      <c r="D48" s="9"/>
      <c r="E48" s="9"/>
      <c r="F48" s="9"/>
      <c r="G48" s="9"/>
      <c r="H48" s="9"/>
      <c r="I48" s="9"/>
    </row>
    <row r="49" spans="2:9" ht="69.95" customHeight="1" x14ac:dyDescent="0.3">
      <c r="B49" s="12">
        <f t="shared" si="1"/>
        <v>0.71874999999999967</v>
      </c>
      <c r="C49" s="9"/>
      <c r="D49" s="9"/>
      <c r="E49" s="9"/>
      <c r="F49" s="9"/>
      <c r="G49" s="9"/>
      <c r="H49" s="9"/>
      <c r="I49" s="9"/>
    </row>
    <row r="50" spans="2:9" ht="69.95" customHeight="1" x14ac:dyDescent="0.3">
      <c r="B50" s="12">
        <f t="shared" si="1"/>
        <v>0.7291666666666663</v>
      </c>
      <c r="C50" s="9"/>
      <c r="D50" s="9"/>
      <c r="E50" s="9"/>
      <c r="F50" s="9"/>
      <c r="G50" s="9"/>
      <c r="H50" s="9"/>
      <c r="I50" s="9"/>
    </row>
    <row r="51" spans="2:9" ht="69.95" customHeight="1" x14ac:dyDescent="0.3">
      <c r="B51" s="12">
        <f t="shared" si="1"/>
        <v>0.73958333333333293</v>
      </c>
      <c r="C51" s="9"/>
      <c r="D51" s="9"/>
      <c r="E51" s="9"/>
      <c r="F51" s="9"/>
      <c r="G51" s="9"/>
      <c r="H51" s="9"/>
      <c r="I51" s="9"/>
    </row>
    <row r="52" spans="2:9" ht="69.95" customHeight="1" x14ac:dyDescent="0.3">
      <c r="B52" s="12">
        <f t="shared" si="1"/>
        <v>0.74999999999999956</v>
      </c>
      <c r="C52" s="9"/>
      <c r="D52" s="9"/>
      <c r="E52" s="9"/>
      <c r="F52" s="9"/>
      <c r="G52" s="9"/>
      <c r="H52" s="9"/>
      <c r="I52" s="9"/>
    </row>
    <row r="53" spans="2:9" ht="69.95" customHeight="1" x14ac:dyDescent="0.3">
      <c r="B53" s="12">
        <f t="shared" si="1"/>
        <v>0.76041666666666619</v>
      </c>
      <c r="C53" s="9"/>
      <c r="D53" s="9"/>
      <c r="E53" s="9"/>
      <c r="F53" s="9"/>
      <c r="G53" s="9"/>
      <c r="H53" s="9"/>
      <c r="I53" s="9"/>
    </row>
    <row r="54" spans="2:9" ht="69.95" customHeight="1" x14ac:dyDescent="0.3">
      <c r="B54" s="12">
        <f t="shared" si="1"/>
        <v>0.77083333333333282</v>
      </c>
      <c r="C54" s="9"/>
      <c r="D54" s="9"/>
      <c r="E54" s="9"/>
      <c r="F54" s="9"/>
      <c r="G54" s="9"/>
      <c r="H54" s="9"/>
      <c r="I54" s="9"/>
    </row>
    <row r="55" spans="2:9" ht="69.95" customHeight="1" x14ac:dyDescent="0.3">
      <c r="B55" s="12">
        <f t="shared" si="1"/>
        <v>0.78124999999999944</v>
      </c>
      <c r="C55" s="9"/>
      <c r="D55" s="9"/>
      <c r="E55" s="9"/>
      <c r="F55" s="9"/>
      <c r="G55" s="9"/>
      <c r="H55" s="9"/>
      <c r="I55" s="9"/>
    </row>
    <row r="56" spans="2:9" ht="69.95" customHeight="1" x14ac:dyDescent="0.3">
      <c r="B56" s="12">
        <f t="shared" si="1"/>
        <v>0.79166666666666607</v>
      </c>
      <c r="C56" s="9"/>
      <c r="D56" s="9"/>
      <c r="E56" s="9"/>
      <c r="F56" s="9"/>
      <c r="G56" s="9"/>
      <c r="H56" s="9"/>
      <c r="I56" s="9"/>
    </row>
    <row r="57" spans="2:9" ht="69.95" customHeight="1" x14ac:dyDescent="0.3">
      <c r="B57" s="12">
        <f t="shared" si="1"/>
        <v>0.8020833333333327</v>
      </c>
      <c r="C57" s="9"/>
      <c r="D57" s="9"/>
      <c r="E57" s="9"/>
      <c r="F57" s="9"/>
      <c r="G57" s="9"/>
      <c r="H57" s="9"/>
      <c r="I57" s="9"/>
    </row>
    <row r="58" spans="2:9" ht="69.95" customHeight="1" x14ac:dyDescent="0.3">
      <c r="B58" s="12">
        <f t="shared" si="1"/>
        <v>0.81249999999999933</v>
      </c>
      <c r="C58" s="9"/>
      <c r="D58" s="9"/>
      <c r="E58" s="9"/>
      <c r="F58" s="9"/>
      <c r="G58" s="9"/>
      <c r="H58" s="9"/>
      <c r="I58" s="9"/>
    </row>
    <row r="59" spans="2:9" ht="69.95" customHeight="1" x14ac:dyDescent="0.3">
      <c r="B59" s="12">
        <f t="shared" si="1"/>
        <v>0.82291666666666596</v>
      </c>
      <c r="C59" s="9"/>
      <c r="D59" s="9"/>
      <c r="E59" s="9"/>
      <c r="F59" s="9"/>
      <c r="G59" s="9"/>
      <c r="H59" s="9"/>
      <c r="I59" s="9"/>
    </row>
    <row r="60" spans="2:9" ht="69.95" customHeight="1" x14ac:dyDescent="0.3">
      <c r="B60" s="12">
        <f t="shared" si="1"/>
        <v>0.83333333333333259</v>
      </c>
      <c r="C60" s="9"/>
      <c r="D60" s="9"/>
      <c r="E60" s="9"/>
      <c r="F60" s="9"/>
      <c r="G60" s="9"/>
      <c r="H60" s="9"/>
      <c r="I60" s="9"/>
    </row>
    <row r="61" spans="2:9" ht="69.95" customHeight="1" x14ac:dyDescent="0.3">
      <c r="B61" s="12">
        <f t="shared" si="1"/>
        <v>0.84374999999999922</v>
      </c>
      <c r="C61" s="9"/>
      <c r="D61" s="9"/>
      <c r="E61" s="9"/>
      <c r="F61" s="9"/>
      <c r="G61" s="9"/>
      <c r="H61" s="9"/>
      <c r="I61" s="9"/>
    </row>
    <row r="62" spans="2:9" ht="69.95" customHeight="1" x14ac:dyDescent="0.3">
      <c r="B62" s="12">
        <f t="shared" si="1"/>
        <v>0.85416666666666585</v>
      </c>
      <c r="C62" s="9"/>
      <c r="D62" s="9"/>
      <c r="E62" s="9"/>
      <c r="F62" s="9"/>
      <c r="G62" s="9"/>
      <c r="H62" s="9"/>
      <c r="I62" s="9"/>
    </row>
    <row r="63" spans="2:9" ht="69.95" customHeight="1" x14ac:dyDescent="0.3">
      <c r="B63" s="12">
        <f t="shared" si="1"/>
        <v>0.86458333333333248</v>
      </c>
      <c r="C63" s="9"/>
      <c r="D63" s="9"/>
      <c r="E63" s="9"/>
      <c r="F63" s="9"/>
      <c r="G63" s="9"/>
      <c r="H63" s="9"/>
      <c r="I63" s="9"/>
    </row>
    <row r="64" spans="2:9" ht="69.95" customHeight="1" x14ac:dyDescent="0.3">
      <c r="B64" s="12">
        <f t="shared" si="1"/>
        <v>0.87499999999999911</v>
      </c>
      <c r="C64" s="9"/>
      <c r="D64" s="9"/>
      <c r="E64" s="9"/>
      <c r="F64" s="9"/>
      <c r="G64" s="9"/>
      <c r="H64" s="9"/>
      <c r="I64" s="9"/>
    </row>
  </sheetData>
  <sheetProtection selectLockedCells="1"/>
  <conditionalFormatting sqref="B4:I38">
    <cfRule type="expression" dxfId="25" priority="54">
      <formula>($B4&lt;=CurrentTime)*($B5&gt;=CurrentTime)</formula>
    </cfRule>
  </conditionalFormatting>
  <conditionalFormatting sqref="C3:I3">
    <cfRule type="expression" dxfId="24" priority="99">
      <formula>(C3=ThisWeekday)*($B4&lt;0.999)</formula>
    </cfRule>
  </conditionalFormatting>
  <conditionalFormatting sqref="C4:I64">
    <cfRule type="expression" dxfId="23" priority="14" stopIfTrue="1">
      <formula>C4&lt;&gt;""</formula>
    </cfRule>
    <cfRule type="expression" dxfId="22" priority="55" stopIfTrue="1">
      <formula>AND(C4&lt;&gt;"",C$3=ThisWeekday)</formula>
    </cfRule>
  </conditionalFormatting>
  <conditionalFormatting sqref="C4:I64">
    <cfRule type="expression" dxfId="21" priority="59">
      <formula>(C$3=ThisWeekday)*($B4&lt;CalEndtime)</formula>
    </cfRule>
    <cfRule type="expression" dxfId="20" priority="64">
      <formula>(C4=C3)*(C$3=ThisWeekday)*(C4&lt;&gt;0)*($B4&lt;0.875)</formula>
    </cfRule>
    <cfRule type="expression" dxfId="19" priority="101">
      <formula>(C$3=ThisWeekday)*(C4&lt;&gt;0)*($B4&lt;CalEndtime)</formula>
    </cfRule>
  </conditionalFormatting>
  <conditionalFormatting sqref="B4:B38">
    <cfRule type="expression" dxfId="18" priority="18">
      <formula>($B4&lt;=CurrentTime)*($B5&gt;=CurrentTime)</formula>
    </cfRule>
    <cfRule type="expression" dxfId="17" priority="53">
      <formula>($B4&lt;=CurrentTime)*($B5&gt;=CurrentTime)</formula>
    </cfRule>
  </conditionalFormatting>
  <conditionalFormatting sqref="I4:I38">
    <cfRule type="expression" dxfId="16" priority="19">
      <formula>($B4&lt;=CurrentTime)*($B5&gt;=CurrentTime)</formula>
    </cfRule>
  </conditionalFormatting>
  <conditionalFormatting sqref="B4:I64">
    <cfRule type="expression" dxfId="15" priority="92">
      <formula>AND($B4&lt;CalEndtime,MOD(ROW(),2)=0)</formula>
    </cfRule>
    <cfRule type="expression" dxfId="14" priority="94">
      <formula>AND($B4&lt;CalEndtime,MOD(ROW(),2)=1)</formula>
    </cfRule>
  </conditionalFormatting>
  <conditionalFormatting sqref="B4:I604">
    <cfRule type="expression" dxfId="13" priority="13" stopIfTrue="1">
      <formula>$B4&gt;CalEndtime</formula>
    </cfRule>
  </conditionalFormatting>
  <conditionalFormatting sqref="B39:I64">
    <cfRule type="expression" dxfId="12" priority="399">
      <formula>($B39&lt;=CurrentTime)*($B65&gt;=CurrentTime)</formula>
    </cfRule>
  </conditionalFormatting>
  <conditionalFormatting sqref="B39:B64">
    <cfRule type="expression" dxfId="11" priority="400">
      <formula>($B39&lt;=CurrentTime)*($B65&gt;=CurrentTime)</formula>
    </cfRule>
    <cfRule type="expression" dxfId="10" priority="401">
      <formula>($B39&lt;=CurrentTime)*($B65&gt;=CurrentTime)</formula>
    </cfRule>
  </conditionalFormatting>
  <conditionalFormatting sqref="I39:I64">
    <cfRule type="expression" dxfId="9" priority="402">
      <formula>($B39&lt;=CurrentTime)*($B65&gt;=CurrentTime)</formula>
    </cfRule>
  </conditionalFormatting>
  <dataValidations xWindow="39" yWindow="332" count="10">
    <dataValidation type="list" allowBlank="1" showInputMessage="1" showErrorMessage="1" error="Seleccione una hora en las entradas de la lista. Seleccione CANCELAR y presione ALT+FLECHA ABAJO para elegir de la lista desplegable." prompt="Seleccione la hora de inicio de la programación en esta celda. Presione ALT+FLECHA ABAJO para abrir la lista desplegable y luego, ENTRAR para realizar la selección." sqref="C2" xr:uid="{00000000-0002-0000-0000-000000000000}">
      <formula1>"6:00,7:00,8:00,9:00,10:00,11:00,12:00,13:00,14:00,15:00,16:00,17:00"</formula1>
    </dataValidation>
    <dataValidation type="list" allowBlank="1" showInputMessage="1" showErrorMessage="1" error="Seleccione un intervalo de tiempo en las entradas de la lista. Seleccione CANCELAR y presione ALT+FLECHA ABAJO para elegir de la lista desplegable." prompt="Seleccione el intervalo de tiempo en esta celda. Presione ALT+FLECHA ABAJO para abrir la lista desplegable y luego, ENTRAR para realizar la selección." sqref="E2" xr:uid="{00000000-0002-0000-0000-000001000000}">
      <formula1>"15 MIN,20 MIN,30 MIN,40 MIN,45 MIN,60 MIN"</formula1>
    </dataValidation>
    <dataValidation allowBlank="1" showInputMessage="1" showErrorMessage="1" prompt="Cree un calendario de citas diarias en esta hoja de cálculo. Establezca la hora de inicio de la programación y el intervalo de tiempo, y escriba la fecha de inicio de la semana. Escriba las citas en la tabla de citas diarias." sqref="A1" xr:uid="{00000000-0002-0000-0000-000002000000}"/>
    <dataValidation allowBlank="1" showInputMessage="1" showErrorMessage="1" prompt="El título de esta hoja de cálculo se encuentra en esta celda." sqref="B1" xr:uid="{00000000-0002-0000-0000-000003000000}"/>
    <dataValidation allowBlank="1" showInputMessage="1" showErrorMessage="1" prompt="Seleccione la hora de inicio de la programación y el intervalo de tiempo, y escriba la fecha de inicio de la semana en la celda a la derecha." sqref="B2" xr:uid="{00000000-0002-0000-0000-000004000000}"/>
    <dataValidation allowBlank="1" showInputMessage="1" showErrorMessage="1" prompt="Seleccione el intervalo de tiempo en la celda a la derecha." sqref="D2" xr:uid="{00000000-0002-0000-0000-000005000000}"/>
    <dataValidation allowBlank="1" showInputMessage="1" showErrorMessage="1" prompt="Escriba la fecha de inicio de la semana en la celda a la derecha." sqref="F2" xr:uid="{00000000-0002-0000-0000-000006000000}"/>
    <dataValidation allowBlank="1" showInputMessage="1" showErrorMessage="1" prompt="Escriba la fecha de inicio de la semana en esta celda." sqref="G2" xr:uid="{00000000-0002-0000-0000-000007000000}"/>
    <dataValidation allowBlank="1" showInputMessage="1" showErrorMessage="1" prompt="La hora de esta columna se actualiza automáticamente con el inicio de la programación y el intervalo de tiempo especificados arriba. Las celdas a la derecha contienen días laborables. Escriba las citas para los intervalos de tiempo en cada día laborable." sqref="B3" xr:uid="{00000000-0002-0000-0000-000008000000}"/>
    <dataValidation allowBlank="1" showInputMessage="1" showErrorMessage="1" prompt="El día de inicio de la semana de esta celda se actualiza automáticamente según la fecha de inicio de la programación especificada arriba. Escriba las citas en las columnas de tabla en cada día laborable." sqref="C3" xr:uid="{00000000-0002-0000-0000-000009000000}"/>
  </dataValidations>
  <printOptions horizontalCentered="1"/>
  <pageMargins left="0.25" right="0.25" top="0.75" bottom="0.75" header="0.3" footer="0.3"/>
  <pageSetup paperSize="9" fitToHeight="0" orientation="portrait" r:id="rId1"/>
  <headerFooter differentFirst="1">
    <oddFooter>Page &amp;P of &amp;N</oddFooter>
  </headerFooter>
  <ignoredErrors>
    <ignoredError sqref="B4" calculatedColumn="1"/>
  </ignoredErrors>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7</vt:i4>
      </vt:variant>
    </vt:vector>
  </HeadingPairs>
  <TitlesOfParts>
    <vt:vector size="8" baseType="lpstr">
      <vt:lpstr>Calendario de citas diarias</vt:lpstr>
      <vt:lpstr>MinuteText</vt:lpstr>
      <vt:lpstr>ScheduleStart</vt:lpstr>
      <vt:lpstr>ThisRow</vt:lpstr>
      <vt:lpstr>Times</vt:lpstr>
      <vt:lpstr>Title1</vt:lpstr>
      <vt:lpstr>'Calendario de citas diarias'!Títulos_a_imprimir</vt:lpstr>
      <vt:lpstr>WeekStart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01</cp:lastModifiedBy>
  <dcterms:created xsi:type="dcterms:W3CDTF">2017-01-26T02:00:50Z</dcterms:created>
  <dcterms:modified xsi:type="dcterms:W3CDTF">2020-04-23T02:19:23Z</dcterms:modified>
</cp:coreProperties>
</file>