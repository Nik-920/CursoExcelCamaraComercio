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01\Desktop\AILEEN PLANTILLAS\EXCEL\CALENDARIO\"/>
    </mc:Choice>
  </mc:AlternateContent>
  <xr:revisionPtr revIDLastSave="0" documentId="8_{EADC79B3-9E97-4834-A66F-2237D659BBE6}" xr6:coauthVersionLast="45" xr6:coauthVersionMax="45" xr10:uidLastSave="{00000000-0000-0000-0000-000000000000}"/>
  <bookViews>
    <workbookView xWindow="-120" yWindow="-120" windowWidth="20730" windowHeight="11160" tabRatio="805" xr2:uid="{00000000-000D-0000-FFFF-FFFF00000000}"/>
  </bookViews>
  <sheets>
    <sheet name="configuración del calendario" sheetId="14" r:id="rId1"/>
    <sheet name="enero" sheetId="27" r:id="rId2"/>
    <sheet name="febrero" sheetId="28" r:id="rId3"/>
    <sheet name="marzo" sheetId="29" r:id="rId4"/>
    <sheet name="abril" sheetId="30" r:id="rId5"/>
    <sheet name="mayo" sheetId="31" r:id="rId6"/>
    <sheet name="junio" sheetId="32" r:id="rId7"/>
    <sheet name="julio" sheetId="33" r:id="rId8"/>
    <sheet name="agosto" sheetId="34" r:id="rId9"/>
    <sheet name="septiembre" sheetId="35" r:id="rId10"/>
    <sheet name="octubre" sheetId="36" r:id="rId11"/>
    <sheet name="noviembre" sheetId="37" r:id="rId12"/>
    <sheet name="diciembre" sheetId="38" r:id="rId13"/>
  </sheets>
  <definedNames>
    <definedName name="_xlnm.Print_Area" localSheetId="0">'configuración del calendario'!$A$1:$A$26</definedName>
    <definedName name="CalendarYear">'configuración del calendario'!$C$2</definedName>
    <definedName name="DaysAndWeeks">{0,1,2,3,4,5,6} + {0;1;2;3;4;5}*7</definedName>
    <definedName name="inicio_de_la_semana">'configuración del calendario'!$C$3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" i="14" l="1"/>
  <c r="B11" i="35" l="1" a="1"/>
  <c r="B7" i="35" a="1"/>
  <c r="B3" i="35" a="1"/>
  <c r="B23" i="34" a="1"/>
  <c r="B19" i="34" a="1"/>
  <c r="B15" i="34" a="1"/>
  <c r="B11" i="34" a="1"/>
  <c r="B7" i="34" a="1"/>
  <c r="B3" i="34" a="1"/>
  <c r="B23" i="33" a="1"/>
  <c r="B19" i="33" a="1"/>
  <c r="B15" i="33" a="1"/>
  <c r="B11" i="33" a="1"/>
  <c r="B7" i="33" a="1"/>
  <c r="B3" i="33" a="1"/>
  <c r="B23" i="32" a="1"/>
  <c r="B19" i="32" a="1"/>
  <c r="B15" i="32" a="1"/>
  <c r="B11" i="32" a="1"/>
  <c r="B7" i="32" a="1"/>
  <c r="B3" i="32" a="1"/>
  <c r="B23" i="31" a="1"/>
  <c r="B19" i="31" a="1"/>
  <c r="B15" i="31" a="1"/>
  <c r="B11" i="31" a="1"/>
  <c r="B7" i="31" a="1"/>
  <c r="B3" i="31" a="1"/>
  <c r="B23" i="30" a="1"/>
  <c r="B19" i="30" a="1"/>
  <c r="B15" i="30" a="1"/>
  <c r="B11" i="30" a="1"/>
  <c r="B7" i="30" a="1"/>
  <c r="B3" i="30" a="1"/>
  <c r="B23" i="29" a="1"/>
  <c r="B19" i="29" a="1"/>
  <c r="B15" i="29" a="1"/>
  <c r="B11" i="29" a="1"/>
  <c r="B7" i="29" a="1"/>
  <c r="B3" i="29" a="1"/>
  <c r="B23" i="28" a="1"/>
  <c r="B19" i="28" a="1"/>
  <c r="B15" i="28" a="1"/>
  <c r="B11" i="28" a="1"/>
  <c r="B7" i="28" a="1"/>
  <c r="B3" i="28" a="1"/>
  <c r="B23" i="27" a="1"/>
  <c r="B19" i="27" a="1"/>
  <c r="B15" i="27" a="1"/>
  <c r="B11" i="27" a="1"/>
  <c r="B7" i="27" a="1"/>
  <c r="B3" i="27" a="1"/>
  <c r="B23" i="38" a="1"/>
  <c r="B19" i="38" a="1"/>
  <c r="B15" i="38" a="1"/>
  <c r="B11" i="38" a="1"/>
  <c r="B7" i="38" a="1"/>
  <c r="B3" i="38" a="1"/>
  <c r="B23" i="37" a="1"/>
  <c r="B19" i="37" a="1"/>
  <c r="B15" i="37" a="1"/>
  <c r="B11" i="37" a="1"/>
  <c r="B7" i="37" a="1"/>
  <c r="B3" i="37" a="1"/>
  <c r="B23" i="36" a="1"/>
  <c r="B19" i="36" a="1"/>
  <c r="B15" i="36" a="1"/>
  <c r="B11" i="36" a="1"/>
  <c r="B7" i="36" a="1"/>
  <c r="B3" i="36" a="1"/>
  <c r="B23" i="35" a="1"/>
  <c r="B19" i="35" a="1"/>
  <c r="B15" i="35" a="1"/>
  <c r="B2" i="38"/>
  <c r="H1" i="38"/>
  <c r="B2" i="37"/>
  <c r="H1" i="37"/>
  <c r="B2" i="36"/>
  <c r="H1" i="36"/>
  <c r="B2" i="35"/>
  <c r="H1" i="35"/>
  <c r="B2" i="34"/>
  <c r="H1" i="34"/>
  <c r="B2" i="33"/>
  <c r="H1" i="33"/>
  <c r="B2" i="32"/>
  <c r="H1" i="32"/>
  <c r="B2" i="31"/>
  <c r="H1" i="31"/>
  <c r="B2" i="30"/>
  <c r="H1" i="30"/>
  <c r="B2" i="29"/>
  <c r="H1" i="29"/>
  <c r="H1" i="28"/>
  <c r="H1" i="27"/>
  <c r="B2" i="28"/>
  <c r="B2" i="27"/>
  <c r="H15" i="35" l="1"/>
  <c r="F15" i="35"/>
  <c r="D15" i="35"/>
  <c r="B15" i="35"/>
  <c r="G15" i="35"/>
  <c r="C15" i="35"/>
  <c r="E15" i="35"/>
  <c r="H23" i="35"/>
  <c r="F23" i="35"/>
  <c r="D23" i="35"/>
  <c r="B23" i="35"/>
  <c r="G23" i="35"/>
  <c r="C23" i="35"/>
  <c r="E23" i="35"/>
  <c r="H7" i="36"/>
  <c r="F7" i="36"/>
  <c r="D7" i="36"/>
  <c r="B7" i="36"/>
  <c r="G7" i="36"/>
  <c r="C7" i="36"/>
  <c r="E7" i="36"/>
  <c r="H15" i="36"/>
  <c r="F15" i="36"/>
  <c r="D15" i="36"/>
  <c r="B15" i="36"/>
  <c r="G15" i="36"/>
  <c r="C15" i="36"/>
  <c r="E15" i="36"/>
  <c r="H23" i="36"/>
  <c r="F23" i="36"/>
  <c r="D23" i="36"/>
  <c r="B23" i="36"/>
  <c r="G23" i="36"/>
  <c r="C23" i="36"/>
  <c r="E23" i="36"/>
  <c r="H7" i="37"/>
  <c r="F7" i="37"/>
  <c r="D7" i="37"/>
  <c r="B7" i="37"/>
  <c r="G7" i="37"/>
  <c r="C7" i="37"/>
  <c r="E7" i="37"/>
  <c r="H15" i="37"/>
  <c r="F15" i="37"/>
  <c r="D15" i="37"/>
  <c r="B15" i="37"/>
  <c r="G15" i="37"/>
  <c r="C15" i="37"/>
  <c r="E15" i="37"/>
  <c r="H23" i="37"/>
  <c r="F23" i="37"/>
  <c r="D23" i="37"/>
  <c r="B23" i="37"/>
  <c r="G23" i="37"/>
  <c r="C23" i="37"/>
  <c r="E23" i="37"/>
  <c r="H7" i="38"/>
  <c r="F7" i="38"/>
  <c r="D7" i="38"/>
  <c r="B7" i="38"/>
  <c r="G7" i="38"/>
  <c r="C7" i="38"/>
  <c r="E7" i="38"/>
  <c r="H15" i="38"/>
  <c r="F15" i="38"/>
  <c r="D15" i="38"/>
  <c r="B15" i="38"/>
  <c r="G15" i="38"/>
  <c r="C15" i="38"/>
  <c r="E15" i="38"/>
  <c r="H23" i="38"/>
  <c r="F23" i="38"/>
  <c r="D23" i="38"/>
  <c r="B23" i="38"/>
  <c r="G23" i="38"/>
  <c r="C23" i="38"/>
  <c r="E23" i="38"/>
  <c r="G7" i="27"/>
  <c r="E7" i="27"/>
  <c r="C7" i="27"/>
  <c r="H7" i="27"/>
  <c r="F7" i="27"/>
  <c r="D7" i="27"/>
  <c r="B7" i="27"/>
  <c r="G15" i="27"/>
  <c r="E15" i="27"/>
  <c r="C15" i="27"/>
  <c r="H15" i="27"/>
  <c r="F15" i="27"/>
  <c r="D15" i="27"/>
  <c r="B15" i="27"/>
  <c r="G23" i="27"/>
  <c r="E23" i="27"/>
  <c r="C23" i="27"/>
  <c r="H23" i="27"/>
  <c r="F23" i="27"/>
  <c r="D23" i="27"/>
  <c r="B23" i="27"/>
  <c r="G7" i="28"/>
  <c r="E7" i="28"/>
  <c r="C7" i="28"/>
  <c r="H7" i="28"/>
  <c r="F7" i="28"/>
  <c r="D7" i="28"/>
  <c r="B7" i="28"/>
  <c r="G15" i="28"/>
  <c r="E15" i="28"/>
  <c r="C15" i="28"/>
  <c r="H15" i="28"/>
  <c r="F15" i="28"/>
  <c r="D15" i="28"/>
  <c r="B15" i="28"/>
  <c r="G23" i="28"/>
  <c r="E23" i="28"/>
  <c r="C23" i="28"/>
  <c r="H23" i="28"/>
  <c r="F23" i="28"/>
  <c r="D23" i="28"/>
  <c r="B23" i="28"/>
  <c r="G7" i="29"/>
  <c r="E7" i="29"/>
  <c r="C7" i="29"/>
  <c r="H7" i="29"/>
  <c r="F7" i="29"/>
  <c r="D7" i="29"/>
  <c r="B7" i="29"/>
  <c r="G15" i="29"/>
  <c r="E15" i="29"/>
  <c r="C15" i="29"/>
  <c r="H15" i="29"/>
  <c r="F15" i="29"/>
  <c r="D15" i="29"/>
  <c r="B15" i="29"/>
  <c r="G23" i="29"/>
  <c r="E23" i="29"/>
  <c r="C23" i="29"/>
  <c r="H23" i="29"/>
  <c r="F23" i="29"/>
  <c r="D23" i="29"/>
  <c r="B23" i="29"/>
  <c r="G7" i="30"/>
  <c r="E7" i="30"/>
  <c r="C7" i="30"/>
  <c r="F7" i="30"/>
  <c r="B7" i="30"/>
  <c r="H7" i="30"/>
  <c r="D7" i="30"/>
  <c r="G15" i="30"/>
  <c r="E15" i="30"/>
  <c r="C15" i="30"/>
  <c r="F15" i="30"/>
  <c r="B15" i="30"/>
  <c r="H15" i="30"/>
  <c r="D15" i="30"/>
  <c r="G23" i="30"/>
  <c r="E23" i="30"/>
  <c r="C23" i="30"/>
  <c r="F23" i="30"/>
  <c r="B23" i="30"/>
  <c r="H23" i="30"/>
  <c r="D23" i="30"/>
  <c r="G7" i="31"/>
  <c r="E7" i="31"/>
  <c r="C7" i="31"/>
  <c r="F7" i="31"/>
  <c r="B7" i="31"/>
  <c r="H7" i="31"/>
  <c r="D7" i="31"/>
  <c r="G15" i="31"/>
  <c r="E15" i="31"/>
  <c r="C15" i="31"/>
  <c r="F15" i="31"/>
  <c r="B15" i="31"/>
  <c r="H15" i="31"/>
  <c r="D15" i="31"/>
  <c r="G23" i="31"/>
  <c r="E23" i="31"/>
  <c r="C23" i="31"/>
  <c r="F23" i="31"/>
  <c r="B23" i="31"/>
  <c r="H23" i="31"/>
  <c r="D23" i="31"/>
  <c r="G7" i="32"/>
  <c r="E7" i="32"/>
  <c r="C7" i="32"/>
  <c r="F7" i="32"/>
  <c r="B7" i="32"/>
  <c r="H7" i="32"/>
  <c r="D7" i="32"/>
  <c r="G15" i="32"/>
  <c r="E15" i="32"/>
  <c r="C15" i="32"/>
  <c r="F15" i="32"/>
  <c r="B15" i="32"/>
  <c r="H15" i="32"/>
  <c r="D15" i="32"/>
  <c r="G23" i="32"/>
  <c r="E23" i="32"/>
  <c r="C23" i="32"/>
  <c r="F23" i="32"/>
  <c r="B23" i="32"/>
  <c r="H23" i="32"/>
  <c r="D23" i="32"/>
  <c r="G7" i="33"/>
  <c r="E7" i="33"/>
  <c r="C7" i="33"/>
  <c r="F7" i="33"/>
  <c r="B7" i="33"/>
  <c r="H7" i="33"/>
  <c r="D7" i="33"/>
  <c r="G15" i="33"/>
  <c r="E15" i="33"/>
  <c r="C15" i="33"/>
  <c r="F15" i="33"/>
  <c r="B15" i="33"/>
  <c r="H15" i="33"/>
  <c r="D15" i="33"/>
  <c r="G23" i="33"/>
  <c r="E23" i="33"/>
  <c r="C23" i="33"/>
  <c r="F23" i="33"/>
  <c r="B23" i="33"/>
  <c r="H23" i="33"/>
  <c r="D23" i="33"/>
  <c r="G7" i="34"/>
  <c r="E7" i="34"/>
  <c r="C7" i="34"/>
  <c r="F7" i="34"/>
  <c r="B7" i="34"/>
  <c r="H7" i="34"/>
  <c r="D7" i="34"/>
  <c r="G15" i="34"/>
  <c r="E15" i="34"/>
  <c r="C15" i="34"/>
  <c r="F15" i="34"/>
  <c r="B15" i="34"/>
  <c r="H15" i="34"/>
  <c r="D15" i="34"/>
  <c r="G23" i="34"/>
  <c r="E23" i="34"/>
  <c r="C23" i="34"/>
  <c r="F23" i="34"/>
  <c r="B23" i="34"/>
  <c r="H23" i="34"/>
  <c r="D23" i="34"/>
  <c r="G7" i="35"/>
  <c r="E7" i="35"/>
  <c r="C7" i="35"/>
  <c r="F7" i="35"/>
  <c r="B7" i="35"/>
  <c r="H7" i="35"/>
  <c r="D7" i="35"/>
  <c r="H19" i="35"/>
  <c r="F19" i="35"/>
  <c r="D19" i="35"/>
  <c r="B19" i="35"/>
  <c r="G19" i="35"/>
  <c r="C19" i="35"/>
  <c r="E19" i="35"/>
  <c r="H3" i="36"/>
  <c r="H2" i="36" s="1"/>
  <c r="F3" i="36"/>
  <c r="F2" i="36" s="1"/>
  <c r="D3" i="36"/>
  <c r="D2" i="36" s="1"/>
  <c r="B3" i="36"/>
  <c r="G3" i="36"/>
  <c r="G2" i="36" s="1"/>
  <c r="C3" i="36"/>
  <c r="C2" i="36" s="1"/>
  <c r="E3" i="36"/>
  <c r="E2" i="36" s="1"/>
  <c r="H11" i="36"/>
  <c r="F11" i="36"/>
  <c r="D11" i="36"/>
  <c r="B11" i="36"/>
  <c r="B1" i="36" s="1"/>
  <c r="G11" i="36"/>
  <c r="C11" i="36"/>
  <c r="E11" i="36"/>
  <c r="H19" i="36"/>
  <c r="F19" i="36"/>
  <c r="D19" i="36"/>
  <c r="B19" i="36"/>
  <c r="G19" i="36"/>
  <c r="C19" i="36"/>
  <c r="E19" i="36"/>
  <c r="H3" i="37"/>
  <c r="H2" i="37" s="1"/>
  <c r="F3" i="37"/>
  <c r="F2" i="37" s="1"/>
  <c r="D3" i="37"/>
  <c r="D2" i="37" s="1"/>
  <c r="B3" i="37"/>
  <c r="G3" i="37"/>
  <c r="G2" i="37" s="1"/>
  <c r="C3" i="37"/>
  <c r="C2" i="37" s="1"/>
  <c r="E3" i="37"/>
  <c r="E2" i="37" s="1"/>
  <c r="H11" i="37"/>
  <c r="F11" i="37"/>
  <c r="D11" i="37"/>
  <c r="B11" i="37"/>
  <c r="B1" i="37" s="1"/>
  <c r="G11" i="37"/>
  <c r="C11" i="37"/>
  <c r="E11" i="37"/>
  <c r="H19" i="37"/>
  <c r="F19" i="37"/>
  <c r="D19" i="37"/>
  <c r="B19" i="37"/>
  <c r="G19" i="37"/>
  <c r="C19" i="37"/>
  <c r="E19" i="37"/>
  <c r="H3" i="38"/>
  <c r="H2" i="38" s="1"/>
  <c r="F3" i="38"/>
  <c r="F2" i="38" s="1"/>
  <c r="D3" i="38"/>
  <c r="D2" i="38" s="1"/>
  <c r="B3" i="38"/>
  <c r="G3" i="38"/>
  <c r="G2" i="38" s="1"/>
  <c r="C3" i="38"/>
  <c r="C2" i="38" s="1"/>
  <c r="E3" i="38"/>
  <c r="E2" i="38" s="1"/>
  <c r="H11" i="38"/>
  <c r="F11" i="38"/>
  <c r="D11" i="38"/>
  <c r="B11" i="38"/>
  <c r="B1" i="38" s="1"/>
  <c r="G11" i="38"/>
  <c r="C11" i="38"/>
  <c r="E11" i="38"/>
  <c r="H19" i="38"/>
  <c r="F19" i="38"/>
  <c r="D19" i="38"/>
  <c r="B19" i="38"/>
  <c r="G19" i="38"/>
  <c r="C19" i="38"/>
  <c r="E19" i="38"/>
  <c r="G3" i="27"/>
  <c r="G2" i="27" s="1"/>
  <c r="E3" i="27"/>
  <c r="E2" i="27" s="1"/>
  <c r="C3" i="27"/>
  <c r="C2" i="27" s="1"/>
  <c r="H3" i="27"/>
  <c r="H2" i="27" s="1"/>
  <c r="F3" i="27"/>
  <c r="F2" i="27" s="1"/>
  <c r="D3" i="27"/>
  <c r="D2" i="27" s="1"/>
  <c r="B3" i="27"/>
  <c r="G11" i="27"/>
  <c r="E11" i="27"/>
  <c r="C11" i="27"/>
  <c r="H11" i="27"/>
  <c r="F11" i="27"/>
  <c r="D11" i="27"/>
  <c r="B11" i="27"/>
  <c r="B1" i="27" s="1"/>
  <c r="G19" i="27"/>
  <c r="E19" i="27"/>
  <c r="C19" i="27"/>
  <c r="H19" i="27"/>
  <c r="F19" i="27"/>
  <c r="D19" i="27"/>
  <c r="B19" i="27"/>
  <c r="G3" i="28"/>
  <c r="G2" i="28" s="1"/>
  <c r="E3" i="28"/>
  <c r="E2" i="28" s="1"/>
  <c r="C3" i="28"/>
  <c r="C2" i="28" s="1"/>
  <c r="H3" i="28"/>
  <c r="H2" i="28" s="1"/>
  <c r="F3" i="28"/>
  <c r="F2" i="28" s="1"/>
  <c r="D3" i="28"/>
  <c r="D2" i="28" s="1"/>
  <c r="B3" i="28"/>
  <c r="G11" i="28"/>
  <c r="E11" i="28"/>
  <c r="C11" i="28"/>
  <c r="H11" i="28"/>
  <c r="F11" i="28"/>
  <c r="D11" i="28"/>
  <c r="B11" i="28"/>
  <c r="B1" i="28" s="1"/>
  <c r="G19" i="28"/>
  <c r="E19" i="28"/>
  <c r="C19" i="28"/>
  <c r="H19" i="28"/>
  <c r="F19" i="28"/>
  <c r="D19" i="28"/>
  <c r="B19" i="28"/>
  <c r="G3" i="29"/>
  <c r="G2" i="29" s="1"/>
  <c r="E3" i="29"/>
  <c r="E2" i="29" s="1"/>
  <c r="C3" i="29"/>
  <c r="C2" i="29" s="1"/>
  <c r="H3" i="29"/>
  <c r="H2" i="29" s="1"/>
  <c r="F3" i="29"/>
  <c r="F2" i="29" s="1"/>
  <c r="D3" i="29"/>
  <c r="D2" i="29" s="1"/>
  <c r="B3" i="29"/>
  <c r="G11" i="29"/>
  <c r="E11" i="29"/>
  <c r="C11" i="29"/>
  <c r="H11" i="29"/>
  <c r="F11" i="29"/>
  <c r="D11" i="29"/>
  <c r="B11" i="29"/>
  <c r="B1" i="29" s="1"/>
  <c r="G19" i="29"/>
  <c r="E19" i="29"/>
  <c r="C19" i="29"/>
  <c r="H19" i="29"/>
  <c r="F19" i="29"/>
  <c r="D19" i="29"/>
  <c r="B19" i="29"/>
  <c r="G3" i="30"/>
  <c r="G2" i="30" s="1"/>
  <c r="E3" i="30"/>
  <c r="E2" i="30" s="1"/>
  <c r="C3" i="30"/>
  <c r="C2" i="30" s="1"/>
  <c r="H3" i="30"/>
  <c r="H2" i="30" s="1"/>
  <c r="F3" i="30"/>
  <c r="F2" i="30" s="1"/>
  <c r="D3" i="30"/>
  <c r="D2" i="30" s="1"/>
  <c r="B3" i="30"/>
  <c r="G11" i="30"/>
  <c r="E11" i="30"/>
  <c r="C11" i="30"/>
  <c r="F11" i="30"/>
  <c r="B11" i="30"/>
  <c r="B1" i="30" s="1"/>
  <c r="H11" i="30"/>
  <c r="D11" i="30"/>
  <c r="G19" i="30"/>
  <c r="E19" i="30"/>
  <c r="C19" i="30"/>
  <c r="F19" i="30"/>
  <c r="B19" i="30"/>
  <c r="H19" i="30"/>
  <c r="D19" i="30"/>
  <c r="G3" i="31"/>
  <c r="G2" i="31" s="1"/>
  <c r="E3" i="31"/>
  <c r="E2" i="31" s="1"/>
  <c r="C3" i="31"/>
  <c r="C2" i="31" s="1"/>
  <c r="F3" i="31"/>
  <c r="F2" i="31" s="1"/>
  <c r="B3" i="31"/>
  <c r="H3" i="31"/>
  <c r="H2" i="31" s="1"/>
  <c r="D3" i="31"/>
  <c r="D2" i="31" s="1"/>
  <c r="G11" i="31"/>
  <c r="E11" i="31"/>
  <c r="C11" i="31"/>
  <c r="F11" i="31"/>
  <c r="B11" i="31"/>
  <c r="B1" i="31" s="1"/>
  <c r="H11" i="31"/>
  <c r="D11" i="31"/>
  <c r="G19" i="31"/>
  <c r="E19" i="31"/>
  <c r="C19" i="31"/>
  <c r="F19" i="31"/>
  <c r="B19" i="31"/>
  <c r="H19" i="31"/>
  <c r="D19" i="31"/>
  <c r="G3" i="32"/>
  <c r="G2" i="32" s="1"/>
  <c r="E3" i="32"/>
  <c r="E2" i="32" s="1"/>
  <c r="C3" i="32"/>
  <c r="C2" i="32" s="1"/>
  <c r="F3" i="32"/>
  <c r="F2" i="32" s="1"/>
  <c r="B3" i="32"/>
  <c r="H3" i="32"/>
  <c r="H2" i="32" s="1"/>
  <c r="D3" i="32"/>
  <c r="D2" i="32" s="1"/>
  <c r="G11" i="32"/>
  <c r="E11" i="32"/>
  <c r="C11" i="32"/>
  <c r="F11" i="32"/>
  <c r="B11" i="32"/>
  <c r="B1" i="32" s="1"/>
  <c r="H11" i="32"/>
  <c r="D11" i="32"/>
  <c r="G19" i="32"/>
  <c r="E19" i="32"/>
  <c r="C19" i="32"/>
  <c r="F19" i="32"/>
  <c r="B19" i="32"/>
  <c r="H19" i="32"/>
  <c r="D19" i="32"/>
  <c r="G3" i="33"/>
  <c r="G2" i="33" s="1"/>
  <c r="E3" i="33"/>
  <c r="E2" i="33" s="1"/>
  <c r="C3" i="33"/>
  <c r="C2" i="33" s="1"/>
  <c r="F3" i="33"/>
  <c r="F2" i="33" s="1"/>
  <c r="B3" i="33"/>
  <c r="H3" i="33"/>
  <c r="H2" i="33" s="1"/>
  <c r="D3" i="33"/>
  <c r="D2" i="33" s="1"/>
  <c r="G11" i="33"/>
  <c r="E11" i="33"/>
  <c r="C11" i="33"/>
  <c r="F11" i="33"/>
  <c r="B11" i="33"/>
  <c r="B1" i="33" s="1"/>
  <c r="H11" i="33"/>
  <c r="D11" i="33"/>
  <c r="G19" i="33"/>
  <c r="E19" i="33"/>
  <c r="C19" i="33"/>
  <c r="F19" i="33"/>
  <c r="B19" i="33"/>
  <c r="H19" i="33"/>
  <c r="D19" i="33"/>
  <c r="G3" i="34"/>
  <c r="G2" i="34" s="1"/>
  <c r="E3" i="34"/>
  <c r="E2" i="34" s="1"/>
  <c r="C3" i="34"/>
  <c r="C2" i="34" s="1"/>
  <c r="F3" i="34"/>
  <c r="F2" i="34" s="1"/>
  <c r="B3" i="34"/>
  <c r="H3" i="34"/>
  <c r="H2" i="34" s="1"/>
  <c r="D3" i="34"/>
  <c r="D2" i="34" s="1"/>
  <c r="G11" i="34"/>
  <c r="E11" i="34"/>
  <c r="C11" i="34"/>
  <c r="F11" i="34"/>
  <c r="B11" i="34"/>
  <c r="B1" i="34" s="1"/>
  <c r="H11" i="34"/>
  <c r="D11" i="34"/>
  <c r="G19" i="34"/>
  <c r="E19" i="34"/>
  <c r="C19" i="34"/>
  <c r="F19" i="34"/>
  <c r="B19" i="34"/>
  <c r="H19" i="34"/>
  <c r="D19" i="34"/>
  <c r="G3" i="35"/>
  <c r="G2" i="35" s="1"/>
  <c r="E3" i="35"/>
  <c r="E2" i="35" s="1"/>
  <c r="C3" i="35"/>
  <c r="C2" i="35" s="1"/>
  <c r="F3" i="35"/>
  <c r="F2" i="35" s="1"/>
  <c r="B3" i="35"/>
  <c r="H3" i="35"/>
  <c r="H2" i="35" s="1"/>
  <c r="D3" i="35"/>
  <c r="D2" i="35" s="1"/>
  <c r="H11" i="35"/>
  <c r="G11" i="35"/>
  <c r="E11" i="35"/>
  <c r="C11" i="35"/>
  <c r="F11" i="35"/>
  <c r="B11" i="35"/>
  <c r="B1" i="35" s="1"/>
  <c r="D11" i="35"/>
</calcChain>
</file>

<file path=xl/sharedStrings.xml><?xml version="1.0" encoding="utf-8"?>
<sst xmlns="http://schemas.openxmlformats.org/spreadsheetml/2006/main" count="31" uniqueCount="9">
  <si>
    <t>configuración del calendario</t>
  </si>
  <si>
    <t>año:</t>
  </si>
  <si>
    <t>inicio de la semana:</t>
  </si>
  <si>
    <t>a enero &gt;</t>
  </si>
  <si>
    <t>Recoger a Juan en la escuela</t>
  </si>
  <si>
    <t>notas</t>
  </si>
  <si>
    <t>Preparar vacaciones de verano.</t>
  </si>
  <si>
    <t xml:space="preserve"> </t>
  </si>
  <si>
    <t>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</si>
</sst>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yyyy"/>
    <numFmt numFmtId="165" formatCode="d"/>
  </numFmts>
  <fonts count="18" x14ac:knownFonts="1">
    <font>
      <sz val="10"/>
      <color theme="0"/>
      <name val="Segoe UI"/>
      <family val="2"/>
      <scheme val="minor"/>
    </font>
    <font>
      <sz val="8"/>
      <name val="Arial"/>
      <family val="2"/>
    </font>
    <font>
      <sz val="10"/>
      <name val="Century Gothic"/>
      <family val="2"/>
    </font>
    <font>
      <b/>
      <sz val="11"/>
      <color theme="0"/>
      <name val="Segoe UI"/>
      <family val="2"/>
      <scheme val="minor"/>
    </font>
    <font>
      <b/>
      <sz val="14"/>
      <color theme="0"/>
      <name val="Segoe UI"/>
      <family val="2"/>
      <scheme val="minor"/>
    </font>
    <font>
      <sz val="10"/>
      <color indexed="63"/>
      <name val="Segoe UI"/>
      <family val="2"/>
      <scheme val="minor"/>
    </font>
    <font>
      <sz val="35"/>
      <color theme="4"/>
      <name val="Segoe UI"/>
      <family val="2"/>
      <scheme val="minor"/>
    </font>
    <font>
      <sz val="11"/>
      <color theme="0"/>
      <name val="Segoe UI"/>
      <family val="2"/>
      <scheme val="minor"/>
    </font>
    <font>
      <sz val="10"/>
      <color theme="0"/>
      <name val="Segoe UI"/>
      <family val="2"/>
      <scheme val="minor"/>
    </font>
    <font>
      <sz val="10"/>
      <color theme="0"/>
      <name val="Century Gothic"/>
      <family val="2"/>
    </font>
    <font>
      <sz val="10"/>
      <color theme="0"/>
      <name val="Segoe UI"/>
      <family val="1"/>
      <scheme val="major"/>
    </font>
    <font>
      <sz val="12"/>
      <color theme="0"/>
      <name val="Segoe UI"/>
      <family val="1"/>
      <scheme val="major"/>
    </font>
    <font>
      <sz val="14"/>
      <color theme="0"/>
      <name val="Segoe UI"/>
      <family val="2"/>
      <scheme val="minor"/>
    </font>
    <font>
      <sz val="10"/>
      <color theme="5" tint="0.39997558519241921"/>
      <name val="Segoe UI"/>
      <family val="2"/>
      <scheme val="minor"/>
    </font>
    <font>
      <b/>
      <sz val="35"/>
      <color theme="5" tint="0.39991454817346722"/>
      <name val="Segoe UI"/>
      <family val="2"/>
      <scheme val="major"/>
    </font>
    <font>
      <sz val="16"/>
      <color theme="4"/>
      <name val="Segoe UI"/>
      <family val="2"/>
      <scheme val="major"/>
    </font>
    <font>
      <b/>
      <sz val="26"/>
      <color theme="4"/>
      <name val="Segoe UI"/>
      <family val="2"/>
      <scheme val="major"/>
    </font>
    <font>
      <b/>
      <sz val="20"/>
      <color theme="1" tint="0.34998626667073579"/>
      <name val="Segoe UI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/>
      <right/>
      <top/>
      <bottom style="mediumDashed">
        <color theme="5" tint="0.39994506668294322"/>
      </bottom>
      <diagonal/>
    </border>
  </borders>
  <cellStyleXfs count="10">
    <xf numFmtId="0" fontId="0" fillId="5" borderId="0"/>
    <xf numFmtId="0" fontId="5" fillId="2" borderId="0" applyNumberFormat="0" applyBorder="0" applyAlignment="0" applyProtection="0"/>
    <xf numFmtId="0" fontId="15" fillId="0" borderId="0" applyNumberFormat="0" applyFill="0" applyBorder="0" applyAlignment="0" applyProtection="0"/>
    <xf numFmtId="0" fontId="3" fillId="3" borderId="1" applyNumberFormat="0" applyAlignment="0" applyProtection="0"/>
    <xf numFmtId="0" fontId="4" fillId="4" borderId="2" applyNumberFormat="0" applyProtection="0">
      <alignment vertical="center"/>
    </xf>
    <xf numFmtId="0" fontId="14" fillId="0" borderId="0" applyNumberFormat="0" applyFill="0" applyBorder="0" applyAlignment="0" applyProtection="0"/>
    <xf numFmtId="0" fontId="17" fillId="5" borderId="0" applyNumberFormat="0" applyAlignment="0" applyProtection="0"/>
    <xf numFmtId="0" fontId="16" fillId="5" borderId="0" applyNumberFormat="0" applyAlignment="0" applyProtection="0"/>
    <xf numFmtId="0" fontId="12" fillId="5" borderId="0" applyNumberFormat="0" applyBorder="0" applyAlignment="0" applyProtection="0"/>
    <xf numFmtId="0" fontId="12" fillId="5" borderId="0" applyNumberFormat="0" applyFill="0" applyBorder="0" applyAlignment="0" applyProtection="0"/>
  </cellStyleXfs>
  <cellXfs count="27">
    <xf numFmtId="0" fontId="0" fillId="5" borderId="0" xfId="0"/>
    <xf numFmtId="0" fontId="0" fillId="5" borderId="0" xfId="0" applyNumberFormat="1" applyFill="1"/>
    <xf numFmtId="0" fontId="0" fillId="5" borderId="0" xfId="0" applyFill="1"/>
    <xf numFmtId="0" fontId="2" fillId="5" borderId="0" xfId="0" applyFont="1" applyFill="1"/>
    <xf numFmtId="0" fontId="0" fillId="5" borderId="0" xfId="0" applyFill="1" applyAlignment="1">
      <alignment horizontal="left" indent="1"/>
    </xf>
    <xf numFmtId="165" fontId="7" fillId="5" borderId="0" xfId="0" applyNumberFormat="1" applyFont="1" applyFill="1" applyBorder="1" applyAlignment="1">
      <alignment horizontal="left" wrapText="1" indent="1"/>
    </xf>
    <xf numFmtId="0" fontId="0" fillId="5" borderId="0" xfId="0" applyFill="1" applyBorder="1" applyAlignment="1">
      <alignment horizontal="left" indent="1"/>
    </xf>
    <xf numFmtId="0" fontId="0" fillId="5" borderId="0" xfId="0" applyFont="1" applyFill="1"/>
    <xf numFmtId="0" fontId="0" fillId="5" borderId="0" xfId="0" applyFill="1" applyBorder="1"/>
    <xf numFmtId="0" fontId="15" fillId="5" borderId="0" xfId="2" applyFill="1" applyBorder="1" applyAlignment="1">
      <alignment horizontal="left" indent="1"/>
    </xf>
    <xf numFmtId="0" fontId="0" fillId="5" borderId="0" xfId="0" applyNumberFormat="1" applyFont="1" applyFill="1"/>
    <xf numFmtId="0" fontId="9" fillId="5" borderId="0" xfId="0" applyFont="1" applyFill="1"/>
    <xf numFmtId="0" fontId="0" fillId="5" borderId="0" xfId="0" applyFont="1" applyFill="1" applyAlignment="1">
      <alignment horizontal="left" indent="1"/>
    </xf>
    <xf numFmtId="0" fontId="10" fillId="5" borderId="0" xfId="2" applyFont="1" applyFill="1" applyAlignment="1">
      <alignment horizontal="left"/>
    </xf>
    <xf numFmtId="0" fontId="11" fillId="5" borderId="0" xfId="2" applyFont="1" applyFill="1" applyBorder="1" applyAlignment="1">
      <alignment horizontal="left" indent="1"/>
    </xf>
    <xf numFmtId="0" fontId="0" fillId="5" borderId="0" xfId="0" applyFont="1" applyFill="1" applyAlignment="1">
      <alignment horizontal="right"/>
    </xf>
    <xf numFmtId="0" fontId="17" fillId="5" borderId="0" xfId="6" applyAlignment="1">
      <alignment horizontal="left"/>
    </xf>
    <xf numFmtId="0" fontId="16" fillId="5" borderId="0" xfId="7" applyAlignment="1">
      <alignment horizontal="left" indent="1"/>
    </xf>
    <xf numFmtId="164" fontId="15" fillId="5" borderId="3" xfId="2" applyNumberFormat="1" applyFill="1" applyBorder="1" applyAlignment="1">
      <alignment vertical="center"/>
    </xf>
    <xf numFmtId="0" fontId="13" fillId="5" borderId="3" xfId="0" applyFont="1" applyFill="1" applyBorder="1"/>
    <xf numFmtId="0" fontId="6" fillId="5" borderId="3" xfId="5" applyFont="1" applyFill="1" applyBorder="1" applyAlignment="1">
      <alignment vertical="center"/>
    </xf>
    <xf numFmtId="0" fontId="0" fillId="5" borderId="0" xfId="0" applyFont="1" applyFill="1" applyBorder="1" applyAlignment="1">
      <alignment horizontal="left" indent="1"/>
    </xf>
    <xf numFmtId="165" fontId="8" fillId="5" borderId="0" xfId="0" applyNumberFormat="1" applyFont="1" applyFill="1" applyBorder="1" applyAlignment="1">
      <alignment horizontal="left" vertical="center" wrapText="1" indent="1"/>
    </xf>
    <xf numFmtId="0" fontId="12" fillId="5" borderId="3" xfId="8" applyBorder="1" applyAlignment="1">
      <alignment horizontal="right" vertical="center"/>
    </xf>
    <xf numFmtId="0" fontId="14" fillId="5" borderId="3" xfId="5" applyFill="1" applyBorder="1" applyAlignment="1">
      <alignment horizontal="left" vertical="center"/>
    </xf>
    <xf numFmtId="165" fontId="8" fillId="5" borderId="0" xfId="0" applyNumberFormat="1" applyFont="1" applyFill="1" applyBorder="1" applyAlignment="1">
      <alignment horizontal="left" vertical="center" wrapText="1" indent="1"/>
    </xf>
    <xf numFmtId="164" fontId="14" fillId="5" borderId="3" xfId="5" applyNumberFormat="1" applyFill="1" applyBorder="1" applyAlignment="1">
      <alignment horizontal="left" vertical="center"/>
    </xf>
  </cellXfs>
  <cellStyles count="10">
    <cellStyle name="40% - Énfasis1" xfId="1" builtinId="31" customBuiltin="1"/>
    <cellStyle name="Encabezado 1" xfId="2" builtinId="16" customBuiltin="1"/>
    <cellStyle name="Énfasis1" xfId="3" builtinId="29" customBuiltin="1"/>
    <cellStyle name="Énfasis5" xfId="4" builtinId="45" customBuiltin="1"/>
    <cellStyle name="Hipervínculo" xfId="8" builtinId="8" customBuiltin="1"/>
    <cellStyle name="Hipervínculo visitado" xfId="9" builtinId="9" customBuiltin="1"/>
    <cellStyle name="Normal" xfId="0" builtinId="0" customBuiltin="1"/>
    <cellStyle name="Título" xfId="5" builtinId="15" customBuiltin="1"/>
    <cellStyle name="Título 2" xfId="6" builtinId="17" customBuiltin="1"/>
    <cellStyle name="Título 3" xfId="7" builtinId="18" customBuiltin="1"/>
  </cellStyles>
  <dxfs count="24">
    <dxf>
      <font>
        <color theme="1" tint="0.34998626667073579"/>
      </font>
      <fill>
        <patternFill>
          <bgColor theme="1"/>
        </patternFill>
      </fill>
    </dxf>
    <dxf>
      <font>
        <color theme="1" tint="0.34998626667073579"/>
      </font>
      <fill>
        <patternFill>
          <bgColor theme="1"/>
        </patternFill>
      </fill>
    </dxf>
    <dxf>
      <font>
        <color theme="1" tint="0.34998626667073579"/>
      </font>
      <fill>
        <patternFill>
          <bgColor theme="1"/>
        </patternFill>
      </fill>
    </dxf>
    <dxf>
      <font>
        <color theme="1" tint="0.34998626667073579"/>
      </font>
      <fill>
        <patternFill>
          <bgColor theme="1"/>
        </patternFill>
      </fill>
    </dxf>
    <dxf>
      <font>
        <color theme="1" tint="0.34998626667073579"/>
      </font>
      <fill>
        <patternFill>
          <bgColor theme="1"/>
        </patternFill>
      </fill>
    </dxf>
    <dxf>
      <font>
        <color theme="1" tint="0.34998626667073579"/>
      </font>
      <fill>
        <patternFill>
          <bgColor theme="1"/>
        </patternFill>
      </fill>
    </dxf>
    <dxf>
      <font>
        <color theme="1" tint="0.34998626667073579"/>
      </font>
      <fill>
        <patternFill>
          <bgColor theme="1"/>
        </patternFill>
      </fill>
    </dxf>
    <dxf>
      <font>
        <color theme="1" tint="0.34998626667073579"/>
      </font>
      <fill>
        <patternFill>
          <bgColor theme="1"/>
        </patternFill>
      </fill>
    </dxf>
    <dxf>
      <font>
        <color theme="1" tint="0.34998626667073579"/>
      </font>
      <fill>
        <patternFill>
          <bgColor theme="1"/>
        </patternFill>
      </fill>
    </dxf>
    <dxf>
      <font>
        <color theme="1" tint="0.34998626667073579"/>
      </font>
      <fill>
        <patternFill>
          <bgColor theme="1"/>
        </patternFill>
      </fill>
    </dxf>
    <dxf>
      <font>
        <color theme="1" tint="0.34998626667073579"/>
      </font>
      <fill>
        <patternFill>
          <bgColor theme="1"/>
        </patternFill>
      </fill>
    </dxf>
    <dxf>
      <font>
        <color theme="1" tint="0.34998626667073579"/>
      </font>
      <fill>
        <patternFill>
          <bgColor theme="1"/>
        </patternFill>
      </fill>
    </dxf>
    <dxf>
      <font>
        <color theme="1" tint="0.34998626667073579"/>
      </font>
      <fill>
        <patternFill>
          <bgColor theme="1"/>
        </patternFill>
      </fill>
    </dxf>
    <dxf>
      <font>
        <color theme="1" tint="0.34998626667073579"/>
      </font>
      <fill>
        <patternFill>
          <bgColor theme="1"/>
        </patternFill>
      </fill>
    </dxf>
    <dxf>
      <font>
        <color theme="1" tint="0.34998626667073579"/>
      </font>
      <fill>
        <patternFill>
          <bgColor theme="1"/>
        </patternFill>
      </fill>
    </dxf>
    <dxf>
      <font>
        <color theme="1" tint="0.34998626667073579"/>
      </font>
      <fill>
        <patternFill>
          <bgColor theme="1"/>
        </patternFill>
      </fill>
    </dxf>
    <dxf>
      <font>
        <color theme="1" tint="0.34998626667073579"/>
      </font>
      <fill>
        <patternFill>
          <bgColor theme="1"/>
        </patternFill>
      </fill>
    </dxf>
    <dxf>
      <font>
        <color theme="1" tint="0.34998626667073579"/>
      </font>
      <fill>
        <patternFill>
          <bgColor theme="1"/>
        </patternFill>
      </fill>
    </dxf>
    <dxf>
      <font>
        <color theme="1" tint="0.34998626667073579"/>
      </font>
      <fill>
        <patternFill>
          <bgColor theme="1"/>
        </patternFill>
      </fill>
    </dxf>
    <dxf>
      <font>
        <color theme="1" tint="0.34998626667073579"/>
      </font>
      <fill>
        <patternFill>
          <bgColor theme="1"/>
        </patternFill>
      </fill>
    </dxf>
    <dxf>
      <font>
        <color theme="1" tint="0.34998626667073579"/>
      </font>
      <fill>
        <patternFill>
          <bgColor theme="1"/>
        </patternFill>
      </fill>
    </dxf>
    <dxf>
      <font>
        <color theme="1" tint="0.34998626667073579"/>
      </font>
      <fill>
        <patternFill>
          <bgColor theme="1"/>
        </patternFill>
      </fill>
    </dxf>
    <dxf>
      <font>
        <color theme="1" tint="0.34998626667073579"/>
      </font>
      <fill>
        <patternFill>
          <bgColor theme="1"/>
        </patternFill>
      </fill>
    </dxf>
    <dxf>
      <font>
        <color theme="1" tint="0.34998626667073579"/>
      </font>
      <fill>
        <patternFill>
          <bgColor theme="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F1F2F5"/>
      <rgbColor rgb="00008080"/>
      <rgbColor rgb="00E4EAF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314265"/>
      <rgbColor rgb="00CCFFCC"/>
      <rgbColor rgb="00FFEECD"/>
      <rgbColor rgb="00D0D8E2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71778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4B4B4B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Calendar Multiple Tabs">
      <a:dk1>
        <a:sysClr val="windowText" lastClr="000000"/>
      </a:dk1>
      <a:lt1>
        <a:sysClr val="window" lastClr="FFFFFF"/>
      </a:lt1>
      <a:dk2>
        <a:srgbClr val="595959"/>
      </a:dk2>
      <a:lt2>
        <a:srgbClr val="EDEDED"/>
      </a:lt2>
      <a:accent1>
        <a:srgbClr val="F05B35"/>
      </a:accent1>
      <a:accent2>
        <a:srgbClr val="8B7479"/>
      </a:accent2>
      <a:accent3>
        <a:srgbClr val="7DAE4B"/>
      </a:accent3>
      <a:accent4>
        <a:srgbClr val="8D77FB"/>
      </a:accent4>
      <a:accent5>
        <a:srgbClr val="5B7799"/>
      </a:accent5>
      <a:accent6>
        <a:srgbClr val="7DAE4B"/>
      </a:accent6>
      <a:hlink>
        <a:srgbClr val="D8E500"/>
      </a:hlink>
      <a:folHlink>
        <a:srgbClr val="8D77FB"/>
      </a:folHlink>
    </a:clrScheme>
    <a:fontScheme name="Evergreen Calendar">
      <a:majorFont>
        <a:latin typeface="Segoe UI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3"/>
    <pageSetUpPr autoPageBreaks="0" fitToPage="1"/>
  </sheetPr>
  <dimension ref="A1:J26"/>
  <sheetViews>
    <sheetView showGridLines="0" tabSelected="1" zoomScaleNormal="100" workbookViewId="0"/>
  </sheetViews>
  <sheetFormatPr baseColWidth="10" defaultColWidth="8.85546875" defaultRowHeight="14.25" x14ac:dyDescent="0.25"/>
  <cols>
    <col min="1" max="1" width="2.42578125" style="7" customWidth="1"/>
    <col min="2" max="2" width="37.5703125" style="7" customWidth="1"/>
    <col min="3" max="3" width="20.42578125" style="7" customWidth="1"/>
    <col min="4" max="9" width="7.85546875" style="7" customWidth="1"/>
    <col min="10" max="10" width="8" style="7" customWidth="1"/>
    <col min="11" max="16384" width="8.85546875" style="7"/>
  </cols>
  <sheetData>
    <row r="1" spans="1:10" ht="59.25" customHeight="1" thickBot="1" x14ac:dyDescent="0.3">
      <c r="A1" s="10"/>
      <c r="B1" s="24" t="s">
        <v>0</v>
      </c>
      <c r="C1" s="24"/>
      <c r="D1" s="24"/>
      <c r="E1" s="24"/>
      <c r="F1" s="24"/>
      <c r="G1" s="24"/>
      <c r="H1" s="19"/>
      <c r="I1" s="23" t="s">
        <v>3</v>
      </c>
      <c r="J1" s="23"/>
    </row>
    <row r="2" spans="1:10" s="11" customFormat="1" ht="52.5" customHeight="1" x14ac:dyDescent="0.65">
      <c r="B2" s="16" t="s">
        <v>1</v>
      </c>
      <c r="C2" s="17">
        <f ca="1">YEAR(TODAY())</f>
        <v>2020</v>
      </c>
    </row>
    <row r="3" spans="1:10" s="12" customFormat="1" ht="52.5" customHeight="1" x14ac:dyDescent="0.65">
      <c r="B3" s="16" t="s">
        <v>2</v>
      </c>
      <c r="C3" s="17" t="s">
        <v>8</v>
      </c>
    </row>
    <row r="4" spans="1:10" s="12" customFormat="1" ht="19.5" customHeight="1" x14ac:dyDescent="0.3">
      <c r="B4" s="13"/>
      <c r="C4" s="14"/>
    </row>
    <row r="5" spans="1:10" s="12" customFormat="1" ht="19.5" customHeight="1" x14ac:dyDescent="0.3">
      <c r="B5" s="13"/>
      <c r="C5" s="14"/>
    </row>
    <row r="6" spans="1:10" ht="18.75" customHeight="1" x14ac:dyDescent="0.25"/>
    <row r="7" spans="1:10" s="12" customFormat="1" ht="18.75" customHeight="1" x14ac:dyDescent="0.25"/>
    <row r="8" spans="1:10" s="12" customFormat="1" ht="18.75" customHeight="1" x14ac:dyDescent="0.25"/>
    <row r="9" spans="1:10" s="12" customFormat="1" ht="18.75" customHeight="1" x14ac:dyDescent="0.25"/>
    <row r="10" spans="1:10" ht="18.75" customHeight="1" x14ac:dyDescent="0.25">
      <c r="B10" s="15"/>
    </row>
    <row r="11" spans="1:10" s="12" customFormat="1" ht="18.75" customHeight="1" x14ac:dyDescent="0.25">
      <c r="B11" s="15"/>
    </row>
    <row r="12" spans="1:10" s="12" customFormat="1" ht="18.75" customHeight="1" x14ac:dyDescent="0.25">
      <c r="B12" s="15"/>
    </row>
    <row r="13" spans="1:10" s="12" customFormat="1" ht="18.75" customHeight="1" x14ac:dyDescent="0.25">
      <c r="B13" s="15"/>
    </row>
    <row r="14" spans="1:10" ht="18.75" customHeight="1" x14ac:dyDescent="0.25"/>
    <row r="15" spans="1:10" s="12" customFormat="1" ht="18.75" customHeight="1" x14ac:dyDescent="0.25"/>
    <row r="16" spans="1:10" s="12" customFormat="1" ht="18.75" customHeight="1" x14ac:dyDescent="0.25"/>
    <row r="17" s="12" customFormat="1" ht="18.75" customHeight="1" x14ac:dyDescent="0.25"/>
    <row r="18" ht="18.75" customHeight="1" x14ac:dyDescent="0.25"/>
    <row r="19" s="12" customFormat="1" ht="18.75" customHeight="1" x14ac:dyDescent="0.25"/>
    <row r="20" s="12" customFormat="1" ht="18.75" customHeight="1" x14ac:dyDescent="0.25"/>
    <row r="21" s="12" customFormat="1" ht="18.75" customHeight="1" x14ac:dyDescent="0.25"/>
    <row r="22" ht="18.75" customHeight="1" x14ac:dyDescent="0.25"/>
    <row r="23" s="12" customFormat="1" ht="18.75" customHeight="1" x14ac:dyDescent="0.25"/>
    <row r="24" s="12" customFormat="1" ht="18.75" customHeight="1" x14ac:dyDescent="0.25"/>
    <row r="25" s="12" customFormat="1" ht="18.75" customHeight="1" x14ac:dyDescent="0.25"/>
    <row r="26" ht="18.75" customHeight="1" x14ac:dyDescent="0.25"/>
  </sheetData>
  <mergeCells count="2">
    <mergeCell ref="I1:J1"/>
    <mergeCell ref="B1:G1"/>
  </mergeCells>
  <phoneticPr fontId="1" type="noConversion"/>
  <dataValidations count="2">
    <dataValidation type="list" allowBlank="1" showInputMessage="1" showErrorMessage="1" sqref="C4:C5" xr:uid="{00000000-0002-0000-0000-000000000000}">
      <formula1>"Domingo,Lunes"</formula1>
    </dataValidation>
    <dataValidation type="list" allowBlank="1" showInputMessage="1" showErrorMessage="1" sqref="C3" xr:uid="{00000000-0002-0000-0000-000001000000}">
      <formula1>"do.,lu."</formula1>
    </dataValidation>
  </dataValidations>
  <hyperlinks>
    <hyperlink ref="I1" location="January!A1" display="a enero &gt;" xr:uid="{00000000-0004-0000-0000-000000000000}"/>
    <hyperlink ref="I1:J1" location="enero!A1" display="a enero &gt;" xr:uid="{56E7D867-B754-4621-8C82-C89B442E4ACD}"/>
  </hyperlinks>
  <printOptions horizontalCentered="1" verticalCentered="1"/>
  <pageMargins left="0.7" right="0.7" top="0.75" bottom="0.75" header="0.3" footer="0.3"/>
  <pageSetup paperSize="9" orientation="landscape" r:id="rId1"/>
  <headerFooter alignWithMargins="0"/>
  <customProperties>
    <customPr name="SheetChanged" r:id="rId2"/>
  </customPropertie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499984740745262"/>
    <pageSetUpPr autoPageBreaks="0" fitToPage="1"/>
  </sheetPr>
  <dimension ref="A1:K24"/>
  <sheetViews>
    <sheetView showGridLines="0" zoomScaleNormal="100" workbookViewId="0"/>
  </sheetViews>
  <sheetFormatPr baseColWidth="10" defaultColWidth="8.85546875" defaultRowHeight="14.25" x14ac:dyDescent="0.25"/>
  <cols>
    <col min="1" max="1" width="2.42578125" style="2" customWidth="1"/>
    <col min="2" max="8" width="17.5703125" style="2" customWidth="1"/>
    <col min="9" max="9" width="2.42578125" style="2" customWidth="1"/>
    <col min="10" max="10" width="38.5703125" style="2" customWidth="1"/>
    <col min="11" max="11" width="2.42578125" style="2" customWidth="1"/>
    <col min="12" max="16384" width="8.85546875" style="2"/>
  </cols>
  <sheetData>
    <row r="1" spans="1:11" ht="59.25" customHeight="1" thickBot="1" x14ac:dyDescent="0.3">
      <c r="A1" s="1"/>
      <c r="B1" s="26" t="str">
        <f ca="1">LOWER(TEXT(B11,"mmmm"))</f>
        <v>enero</v>
      </c>
      <c r="C1" s="26"/>
      <c r="D1" s="26"/>
      <c r="E1" s="18"/>
      <c r="F1" s="18"/>
      <c r="G1" s="18"/>
      <c r="H1" s="20">
        <f ca="1">CalendarYear</f>
        <v>2020</v>
      </c>
      <c r="K1" s="2" t="s">
        <v>7</v>
      </c>
    </row>
    <row r="2" spans="1:11" s="3" customFormat="1" ht="46.5" customHeight="1" x14ac:dyDescent="0.55000000000000004">
      <c r="B2" s="9" t="str">
        <f>inicio_de_la_semana</f>
        <v>do.</v>
      </c>
      <c r="C2" s="9" t="str">
        <f t="shared" ref="C2:H2" ca="1" si="0">LOWER(TEXT(C3,"ddd"))</f>
        <v>lun</v>
      </c>
      <c r="D2" s="9" t="str">
        <f t="shared" ca="1" si="0"/>
        <v>mar</v>
      </c>
      <c r="E2" s="9" t="str">
        <f t="shared" ca="1" si="0"/>
        <v>mié</v>
      </c>
      <c r="F2" s="9" t="str">
        <f t="shared" ca="1" si="0"/>
        <v>jue</v>
      </c>
      <c r="G2" s="9" t="str">
        <f t="shared" ca="1" si="0"/>
        <v>vie</v>
      </c>
      <c r="H2" s="9" t="str">
        <f t="shared" ca="1" si="0"/>
        <v>sáb</v>
      </c>
      <c r="J2" s="16" t="s">
        <v>5</v>
      </c>
    </row>
    <row r="3" spans="1:11" s="4" customFormat="1" ht="19.5" customHeight="1" x14ac:dyDescent="0.3">
      <c r="B3" s="5">
        <f t="array" aca="1" ref="B3:H3" ca="1">DaysAndWeeks+DATE(CalendarYear,1,1)-WEEKDAY(DATE(CalendarYear,1,1),(inicio_de_la_semana="lu.")+1)+1</f>
        <v>43828</v>
      </c>
      <c r="C3" s="5">
        <f ca="1"/>
        <v>43829</v>
      </c>
      <c r="D3" s="5">
        <f ca="1"/>
        <v>43830</v>
      </c>
      <c r="E3" s="5">
        <f ca="1"/>
        <v>43831</v>
      </c>
      <c r="F3" s="5">
        <f ca="1"/>
        <v>43832</v>
      </c>
      <c r="G3" s="5">
        <f ca="1"/>
        <v>43833</v>
      </c>
      <c r="H3" s="5">
        <f ca="1"/>
        <v>43834</v>
      </c>
      <c r="J3" s="21" t="s">
        <v>6</v>
      </c>
    </row>
    <row r="4" spans="1:11" s="4" customFormat="1" ht="19.5" customHeight="1" x14ac:dyDescent="0.25">
      <c r="B4" s="25"/>
      <c r="C4" s="25"/>
      <c r="D4" s="25"/>
      <c r="E4" s="25"/>
      <c r="F4" s="25"/>
      <c r="G4" s="25"/>
      <c r="H4" s="25"/>
    </row>
    <row r="5" spans="1:11" s="4" customFormat="1" ht="19.5" customHeight="1" x14ac:dyDescent="0.25">
      <c r="B5" s="25"/>
      <c r="C5" s="25"/>
      <c r="D5" s="25"/>
      <c r="E5" s="25"/>
      <c r="F5" s="25"/>
      <c r="G5" s="25"/>
      <c r="H5" s="25"/>
      <c r="J5" s="6"/>
    </row>
    <row r="6" spans="1:11" ht="18.75" customHeight="1" x14ac:dyDescent="0.25">
      <c r="B6" s="25"/>
      <c r="C6" s="25"/>
      <c r="D6" s="25"/>
      <c r="E6" s="25"/>
      <c r="F6" s="25"/>
      <c r="G6" s="25"/>
      <c r="H6" s="25"/>
      <c r="J6" s="8"/>
    </row>
    <row r="7" spans="1:11" s="4" customFormat="1" ht="18.75" customHeight="1" x14ac:dyDescent="0.3">
      <c r="B7" s="5">
        <f t="array" aca="1" ref="B7:H7" ca="1">DaysAndWeeks+DATE(CalendarYear,1,1)-WEEKDAY(DATE(CalendarYear,1,1),(inicio_de_la_semana="lu.")+1)+8</f>
        <v>43835</v>
      </c>
      <c r="C7" s="5">
        <f ca="1"/>
        <v>43836</v>
      </c>
      <c r="D7" s="5">
        <f ca="1"/>
        <v>43837</v>
      </c>
      <c r="E7" s="5">
        <f ca="1"/>
        <v>43838</v>
      </c>
      <c r="F7" s="5">
        <f ca="1"/>
        <v>43839</v>
      </c>
      <c r="G7" s="5">
        <f ca="1"/>
        <v>43840</v>
      </c>
      <c r="H7" s="5">
        <f ca="1"/>
        <v>43841</v>
      </c>
      <c r="J7" s="6"/>
    </row>
    <row r="8" spans="1:11" s="4" customFormat="1" ht="18.75" customHeight="1" x14ac:dyDescent="0.25">
      <c r="B8" s="25"/>
      <c r="C8" s="25"/>
      <c r="D8" s="25"/>
      <c r="E8" s="25" t="s">
        <v>4</v>
      </c>
      <c r="F8" s="25"/>
      <c r="G8" s="25"/>
      <c r="H8" s="25"/>
      <c r="J8" s="6"/>
    </row>
    <row r="9" spans="1:11" s="4" customFormat="1" ht="18.75" customHeight="1" x14ac:dyDescent="0.25">
      <c r="B9" s="25"/>
      <c r="C9" s="25"/>
      <c r="D9" s="25"/>
      <c r="E9" s="25"/>
      <c r="F9" s="25"/>
      <c r="G9" s="25"/>
      <c r="H9" s="25"/>
      <c r="J9" s="6"/>
    </row>
    <row r="10" spans="1:11" ht="18.75" customHeight="1" x14ac:dyDescent="0.25">
      <c r="B10" s="25"/>
      <c r="C10" s="25"/>
      <c r="D10" s="25"/>
      <c r="E10" s="25"/>
      <c r="F10" s="25"/>
      <c r="G10" s="25"/>
      <c r="H10" s="25"/>
      <c r="J10" s="8"/>
    </row>
    <row r="11" spans="1:11" s="4" customFormat="1" ht="18.75" customHeight="1" x14ac:dyDescent="0.3">
      <c r="B11" s="5">
        <f t="array" aca="1" ref="B11:H11" ca="1">DaysAndWeeks+DATE(CalendarYear,1,1)-WEEKDAY(DATE(CalendarYear,1,1),(inicio_de_la_semana="lu.")+1)+15</f>
        <v>43842</v>
      </c>
      <c r="C11" s="5">
        <f ca="1"/>
        <v>43843</v>
      </c>
      <c r="D11" s="5">
        <f ca="1"/>
        <v>43844</v>
      </c>
      <c r="E11" s="5">
        <f ca="1"/>
        <v>43845</v>
      </c>
      <c r="F11" s="5">
        <f ca="1"/>
        <v>43846</v>
      </c>
      <c r="G11" s="5">
        <f ca="1"/>
        <v>43847</v>
      </c>
      <c r="H11" s="5">
        <f ca="1"/>
        <v>43848</v>
      </c>
      <c r="J11" s="6"/>
    </row>
    <row r="12" spans="1:11" s="4" customFormat="1" ht="18.75" customHeight="1" x14ac:dyDescent="0.25">
      <c r="B12" s="25"/>
      <c r="C12" s="25"/>
      <c r="D12" s="25"/>
      <c r="E12" s="25"/>
      <c r="F12" s="25"/>
      <c r="G12" s="25"/>
      <c r="H12" s="25"/>
      <c r="J12" s="6"/>
    </row>
    <row r="13" spans="1:11" s="4" customFormat="1" ht="18.75" customHeight="1" x14ac:dyDescent="0.25">
      <c r="B13" s="25"/>
      <c r="C13" s="25"/>
      <c r="D13" s="25"/>
      <c r="E13" s="25"/>
      <c r="F13" s="25"/>
      <c r="G13" s="25"/>
      <c r="H13" s="25"/>
      <c r="J13" s="6"/>
    </row>
    <row r="14" spans="1:11" ht="18.75" customHeight="1" x14ac:dyDescent="0.25">
      <c r="B14" s="25"/>
      <c r="C14" s="25"/>
      <c r="D14" s="25"/>
      <c r="E14" s="25"/>
      <c r="F14" s="25"/>
      <c r="G14" s="25"/>
      <c r="H14" s="25"/>
      <c r="J14" s="8"/>
    </row>
    <row r="15" spans="1:11" s="4" customFormat="1" ht="18.75" customHeight="1" x14ac:dyDescent="0.3">
      <c r="B15" s="5">
        <f t="array" aca="1" ref="B15:H15" ca="1">DaysAndWeeks+DATE(CalendarYear,1,1)-WEEKDAY(DATE(CalendarYear,1,1),(inicio_de_la_semana="lu.")+1)+22</f>
        <v>43849</v>
      </c>
      <c r="C15" s="5">
        <f ca="1"/>
        <v>43850</v>
      </c>
      <c r="D15" s="5">
        <f ca="1"/>
        <v>43851</v>
      </c>
      <c r="E15" s="5">
        <f ca="1"/>
        <v>43852</v>
      </c>
      <c r="F15" s="5">
        <f ca="1"/>
        <v>43853</v>
      </c>
      <c r="G15" s="5">
        <f ca="1"/>
        <v>43854</v>
      </c>
      <c r="H15" s="5">
        <f ca="1"/>
        <v>43855</v>
      </c>
      <c r="J15" s="6"/>
    </row>
    <row r="16" spans="1:11" s="4" customFormat="1" ht="18.75" customHeight="1" x14ac:dyDescent="0.25">
      <c r="B16" s="25"/>
      <c r="C16" s="25"/>
      <c r="D16" s="25"/>
      <c r="E16" s="25"/>
      <c r="F16" s="25"/>
      <c r="G16" s="25"/>
      <c r="H16" s="25"/>
      <c r="J16" s="6"/>
    </row>
    <row r="17" spans="2:10" s="4" customFormat="1" ht="18.75" customHeight="1" x14ac:dyDescent="0.25">
      <c r="B17" s="25"/>
      <c r="C17" s="25"/>
      <c r="D17" s="25"/>
      <c r="E17" s="25"/>
      <c r="F17" s="25"/>
      <c r="G17" s="25"/>
      <c r="H17" s="25"/>
      <c r="J17" s="6"/>
    </row>
    <row r="18" spans="2:10" ht="18.75" customHeight="1" x14ac:dyDescent="0.25">
      <c r="B18" s="25"/>
      <c r="C18" s="25"/>
      <c r="D18" s="25"/>
      <c r="E18" s="25"/>
      <c r="F18" s="25"/>
      <c r="G18" s="25"/>
      <c r="H18" s="25"/>
      <c r="J18" s="8"/>
    </row>
    <row r="19" spans="2:10" s="4" customFormat="1" ht="18.75" customHeight="1" x14ac:dyDescent="0.3">
      <c r="B19" s="5">
        <f t="array" aca="1" ref="B19:H19" ca="1">DaysAndWeeks+DATE(CalendarYear,1,1)-WEEKDAY(DATE(CalendarYear,1,1),(inicio_de_la_semana="lu.")+1)+29</f>
        <v>43856</v>
      </c>
      <c r="C19" s="5">
        <f ca="1"/>
        <v>43857</v>
      </c>
      <c r="D19" s="5">
        <f ca="1"/>
        <v>43858</v>
      </c>
      <c r="E19" s="5">
        <f ca="1"/>
        <v>43859</v>
      </c>
      <c r="F19" s="5">
        <f ca="1"/>
        <v>43860</v>
      </c>
      <c r="G19" s="5">
        <f ca="1"/>
        <v>43861</v>
      </c>
      <c r="H19" s="5">
        <f ca="1"/>
        <v>43862</v>
      </c>
      <c r="J19" s="6"/>
    </row>
    <row r="20" spans="2:10" s="4" customFormat="1" ht="18.75" customHeight="1" x14ac:dyDescent="0.25">
      <c r="B20" s="25"/>
      <c r="C20" s="25"/>
      <c r="D20" s="25"/>
      <c r="E20" s="25"/>
      <c r="F20" s="25"/>
      <c r="G20" s="25"/>
      <c r="H20" s="25"/>
      <c r="J20" s="6"/>
    </row>
    <row r="21" spans="2:10" s="4" customFormat="1" ht="18.75" customHeight="1" x14ac:dyDescent="0.25">
      <c r="B21" s="25"/>
      <c r="C21" s="25"/>
      <c r="D21" s="25"/>
      <c r="E21" s="25"/>
      <c r="F21" s="25"/>
      <c r="G21" s="25"/>
      <c r="H21" s="25"/>
      <c r="J21" s="6"/>
    </row>
    <row r="22" spans="2:10" ht="18.75" customHeight="1" x14ac:dyDescent="0.25">
      <c r="B22" s="25"/>
      <c r="C22" s="25"/>
      <c r="D22" s="25"/>
      <c r="E22" s="25"/>
      <c r="F22" s="25"/>
      <c r="G22" s="25"/>
      <c r="H22" s="25"/>
      <c r="J22" s="8"/>
    </row>
    <row r="23" spans="2:10" s="4" customFormat="1" ht="18.75" customHeight="1" x14ac:dyDescent="0.3">
      <c r="B23" s="5">
        <f t="array" aca="1" ref="B23:H23" ca="1">DaysAndWeeks+DATE(CalendarYear,1,1)-WEEKDAY(DATE(CalendarYear,1,1),(inicio_de_la_semana="lu.")+1)+36</f>
        <v>43863</v>
      </c>
      <c r="C23" s="5">
        <f ca="1"/>
        <v>43864</v>
      </c>
      <c r="D23" s="5">
        <f ca="1"/>
        <v>43865</v>
      </c>
      <c r="E23" s="5">
        <f ca="1"/>
        <v>43866</v>
      </c>
      <c r="F23" s="5">
        <f ca="1"/>
        <v>43867</v>
      </c>
      <c r="G23" s="5">
        <f ca="1"/>
        <v>43868</v>
      </c>
      <c r="H23" s="5">
        <f ca="1"/>
        <v>43869</v>
      </c>
      <c r="J23" s="6"/>
    </row>
    <row r="24" spans="2:10" s="4" customFormat="1" ht="18.75" customHeight="1" x14ac:dyDescent="0.25">
      <c r="B24" s="22"/>
      <c r="C24" s="22"/>
      <c r="D24" s="22"/>
      <c r="E24" s="22"/>
      <c r="F24" s="22"/>
      <c r="G24" s="22"/>
      <c r="H24" s="22"/>
      <c r="J24" s="6"/>
    </row>
  </sheetData>
  <mergeCells count="36">
    <mergeCell ref="H16:H18"/>
    <mergeCell ref="B20:B22"/>
    <mergeCell ref="C20:C22"/>
    <mergeCell ref="D20:D22"/>
    <mergeCell ref="E20:E22"/>
    <mergeCell ref="F20:F22"/>
    <mergeCell ref="G20:G22"/>
    <mergeCell ref="H20:H22"/>
    <mergeCell ref="B16:B18"/>
    <mergeCell ref="C16:C18"/>
    <mergeCell ref="D16:D18"/>
    <mergeCell ref="E16:E18"/>
    <mergeCell ref="F16:F18"/>
    <mergeCell ref="G16:G18"/>
    <mergeCell ref="H8:H10"/>
    <mergeCell ref="B12:B14"/>
    <mergeCell ref="C12:C14"/>
    <mergeCell ref="D12:D14"/>
    <mergeCell ref="E12:E14"/>
    <mergeCell ref="F12:F14"/>
    <mergeCell ref="G12:G14"/>
    <mergeCell ref="H12:H14"/>
    <mergeCell ref="B8:B10"/>
    <mergeCell ref="C8:C10"/>
    <mergeCell ref="D8:D10"/>
    <mergeCell ref="E8:E10"/>
    <mergeCell ref="F8:F10"/>
    <mergeCell ref="G8:G10"/>
    <mergeCell ref="G4:G6"/>
    <mergeCell ref="H4:H6"/>
    <mergeCell ref="B1:D1"/>
    <mergeCell ref="B4:B6"/>
    <mergeCell ref="C4:C6"/>
    <mergeCell ref="D4:D6"/>
    <mergeCell ref="E4:E6"/>
    <mergeCell ref="F4:F6"/>
  </mergeCells>
  <conditionalFormatting sqref="B19:H20 B23:H24">
    <cfRule type="expression" dxfId="23" priority="2">
      <formula>AND(DAY(B19)&gt;=1,DAY(B19)&lt;=15)</formula>
    </cfRule>
  </conditionalFormatting>
  <conditionalFormatting sqref="B3:G4">
    <cfRule type="expression" dxfId="22" priority="1">
      <formula>DAY(B3)&gt;8</formula>
    </cfRule>
  </conditionalFormatting>
  <printOptions horizontalCentered="1" verticalCentered="1"/>
  <pageMargins left="0.7" right="0.7" top="0.75" bottom="0.75" header="0.3" footer="0.3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249977111117893"/>
    <pageSetUpPr autoPageBreaks="0" fitToPage="1"/>
  </sheetPr>
  <dimension ref="A1:K24"/>
  <sheetViews>
    <sheetView showGridLines="0" zoomScaleNormal="100" workbookViewId="0"/>
  </sheetViews>
  <sheetFormatPr baseColWidth="10" defaultColWidth="8.85546875" defaultRowHeight="14.25" x14ac:dyDescent="0.25"/>
  <cols>
    <col min="1" max="1" width="2.42578125" style="2" customWidth="1"/>
    <col min="2" max="8" width="17.5703125" style="2" customWidth="1"/>
    <col min="9" max="9" width="2.42578125" style="2" customWidth="1"/>
    <col min="10" max="10" width="38.5703125" style="2" customWidth="1"/>
    <col min="11" max="11" width="2.42578125" style="2" customWidth="1"/>
    <col min="12" max="16384" width="8.85546875" style="2"/>
  </cols>
  <sheetData>
    <row r="1" spans="1:11" ht="59.25" customHeight="1" thickBot="1" x14ac:dyDescent="0.3">
      <c r="A1" s="1"/>
      <c r="B1" s="26" t="str">
        <f ca="1">LOWER(TEXT(B11,"mmmm"))</f>
        <v>febrero</v>
      </c>
      <c r="C1" s="26"/>
      <c r="D1" s="26"/>
      <c r="E1" s="18"/>
      <c r="F1" s="18"/>
      <c r="G1" s="18"/>
      <c r="H1" s="20">
        <f ca="1">CalendarYear</f>
        <v>2020</v>
      </c>
      <c r="K1" s="2" t="s">
        <v>7</v>
      </c>
    </row>
    <row r="2" spans="1:11" s="3" customFormat="1" ht="46.5" customHeight="1" x14ac:dyDescent="0.55000000000000004">
      <c r="B2" s="9" t="str">
        <f>inicio_de_la_semana</f>
        <v>do.</v>
      </c>
      <c r="C2" s="9" t="str">
        <f t="shared" ref="C2:H2" ca="1" si="0">LOWER(TEXT(C3,"ddd"))</f>
        <v>lun</v>
      </c>
      <c r="D2" s="9" t="str">
        <f t="shared" ca="1" si="0"/>
        <v>mar</v>
      </c>
      <c r="E2" s="9" t="str">
        <f t="shared" ca="1" si="0"/>
        <v>mié</v>
      </c>
      <c r="F2" s="9" t="str">
        <f t="shared" ca="1" si="0"/>
        <v>jue</v>
      </c>
      <c r="G2" s="9" t="str">
        <f t="shared" ca="1" si="0"/>
        <v>vie</v>
      </c>
      <c r="H2" s="9" t="str">
        <f t="shared" ca="1" si="0"/>
        <v>sáb</v>
      </c>
      <c r="J2" s="16" t="s">
        <v>5</v>
      </c>
    </row>
    <row r="3" spans="1:11" s="4" customFormat="1" ht="19.5" customHeight="1" x14ac:dyDescent="0.3">
      <c r="B3" s="5">
        <f t="array" aca="1" ref="B3:H3" ca="1">DaysAndWeeks+DATE(CalendarYear,2,1)-WEEKDAY(DATE(CalendarYear,2,1),(inicio_de_la_semana="lu.")+1)+1</f>
        <v>43856</v>
      </c>
      <c r="C3" s="5">
        <f ca="1"/>
        <v>43857</v>
      </c>
      <c r="D3" s="5">
        <f ca="1"/>
        <v>43858</v>
      </c>
      <c r="E3" s="5">
        <f ca="1"/>
        <v>43859</v>
      </c>
      <c r="F3" s="5">
        <f ca="1"/>
        <v>43860</v>
      </c>
      <c r="G3" s="5">
        <f ca="1"/>
        <v>43861</v>
      </c>
      <c r="H3" s="5">
        <f ca="1"/>
        <v>43862</v>
      </c>
      <c r="J3" s="21"/>
    </row>
    <row r="4" spans="1:11" s="4" customFormat="1" ht="19.5" customHeight="1" x14ac:dyDescent="0.25">
      <c r="B4" s="25"/>
      <c r="C4" s="25"/>
      <c r="D4" s="25"/>
      <c r="E4" s="25"/>
      <c r="F4" s="25"/>
      <c r="G4" s="25"/>
      <c r="H4" s="25"/>
    </row>
    <row r="5" spans="1:11" s="4" customFormat="1" ht="19.5" customHeight="1" x14ac:dyDescent="0.25">
      <c r="B5" s="25"/>
      <c r="C5" s="25"/>
      <c r="D5" s="25"/>
      <c r="E5" s="25"/>
      <c r="F5" s="25"/>
      <c r="G5" s="25"/>
      <c r="H5" s="25"/>
      <c r="J5" s="6"/>
    </row>
    <row r="6" spans="1:11" ht="18.75" customHeight="1" x14ac:dyDescent="0.25">
      <c r="B6" s="25"/>
      <c r="C6" s="25"/>
      <c r="D6" s="25"/>
      <c r="E6" s="25"/>
      <c r="F6" s="25"/>
      <c r="G6" s="25"/>
      <c r="H6" s="25"/>
      <c r="J6" s="8"/>
    </row>
    <row r="7" spans="1:11" s="4" customFormat="1" ht="18.75" customHeight="1" x14ac:dyDescent="0.3">
      <c r="B7" s="5">
        <f t="array" aca="1" ref="B7:H7" ca="1">DaysAndWeeks+DATE(CalendarYear,2,1)-WEEKDAY(DATE(CalendarYear,2,1),(inicio_de_la_semana="lu.")+1)+8</f>
        <v>43863</v>
      </c>
      <c r="C7" s="5">
        <f ca="1"/>
        <v>43864</v>
      </c>
      <c r="D7" s="5">
        <f ca="1"/>
        <v>43865</v>
      </c>
      <c r="E7" s="5">
        <f ca="1"/>
        <v>43866</v>
      </c>
      <c r="F7" s="5">
        <f ca="1"/>
        <v>43867</v>
      </c>
      <c r="G7" s="5">
        <f ca="1"/>
        <v>43868</v>
      </c>
      <c r="H7" s="5">
        <f ca="1"/>
        <v>43869</v>
      </c>
      <c r="J7" s="6"/>
    </row>
    <row r="8" spans="1:11" s="4" customFormat="1" ht="18.75" customHeight="1" x14ac:dyDescent="0.25">
      <c r="B8" s="25"/>
      <c r="C8" s="25"/>
      <c r="D8" s="25"/>
      <c r="E8" s="25"/>
      <c r="F8" s="25"/>
      <c r="G8" s="25"/>
      <c r="H8" s="25"/>
      <c r="J8" s="6"/>
    </row>
    <row r="9" spans="1:11" s="4" customFormat="1" ht="18.75" customHeight="1" x14ac:dyDescent="0.25">
      <c r="B9" s="25"/>
      <c r="C9" s="25"/>
      <c r="D9" s="25"/>
      <c r="E9" s="25"/>
      <c r="F9" s="25"/>
      <c r="G9" s="25"/>
      <c r="H9" s="25"/>
      <c r="J9" s="6"/>
    </row>
    <row r="10" spans="1:11" ht="18.75" customHeight="1" x14ac:dyDescent="0.25">
      <c r="B10" s="25"/>
      <c r="C10" s="25"/>
      <c r="D10" s="25"/>
      <c r="E10" s="25"/>
      <c r="F10" s="25"/>
      <c r="G10" s="25"/>
      <c r="H10" s="25"/>
      <c r="J10" s="8"/>
    </row>
    <row r="11" spans="1:11" s="4" customFormat="1" ht="18.75" customHeight="1" x14ac:dyDescent="0.3">
      <c r="B11" s="5">
        <f t="array" aca="1" ref="B11:H11" ca="1">DaysAndWeeks+DATE(CalendarYear,2,1)-WEEKDAY(DATE(CalendarYear,2,1),(inicio_de_la_semana="lu.")+1)+15</f>
        <v>43870</v>
      </c>
      <c r="C11" s="5">
        <f ca="1"/>
        <v>43871</v>
      </c>
      <c r="D11" s="5">
        <f ca="1"/>
        <v>43872</v>
      </c>
      <c r="E11" s="5">
        <f ca="1"/>
        <v>43873</v>
      </c>
      <c r="F11" s="5">
        <f ca="1"/>
        <v>43874</v>
      </c>
      <c r="G11" s="5">
        <f ca="1"/>
        <v>43875</v>
      </c>
      <c r="H11" s="5">
        <f ca="1"/>
        <v>43876</v>
      </c>
      <c r="J11" s="6"/>
    </row>
    <row r="12" spans="1:11" s="4" customFormat="1" ht="18.75" customHeight="1" x14ac:dyDescent="0.25">
      <c r="B12" s="25"/>
      <c r="C12" s="25"/>
      <c r="D12" s="25"/>
      <c r="E12" s="25"/>
      <c r="F12" s="25"/>
      <c r="G12" s="25"/>
      <c r="H12" s="25"/>
      <c r="J12" s="6"/>
    </row>
    <row r="13" spans="1:11" s="4" customFormat="1" ht="18.75" customHeight="1" x14ac:dyDescent="0.25">
      <c r="B13" s="25"/>
      <c r="C13" s="25"/>
      <c r="D13" s="25"/>
      <c r="E13" s="25"/>
      <c r="F13" s="25"/>
      <c r="G13" s="25"/>
      <c r="H13" s="25"/>
      <c r="J13" s="6"/>
    </row>
    <row r="14" spans="1:11" ht="18.75" customHeight="1" x14ac:dyDescent="0.25">
      <c r="B14" s="25"/>
      <c r="C14" s="25"/>
      <c r="D14" s="25"/>
      <c r="E14" s="25"/>
      <c r="F14" s="25"/>
      <c r="G14" s="25"/>
      <c r="H14" s="25"/>
      <c r="J14" s="8"/>
    </row>
    <row r="15" spans="1:11" s="4" customFormat="1" ht="18.75" customHeight="1" x14ac:dyDescent="0.3">
      <c r="B15" s="5">
        <f t="array" aca="1" ref="B15:H15" ca="1">DaysAndWeeks+DATE(CalendarYear,2,1)-WEEKDAY(DATE(CalendarYear,2,1),(inicio_de_la_semana="lu.")+1)+22</f>
        <v>43877</v>
      </c>
      <c r="C15" s="5">
        <f ca="1"/>
        <v>43878</v>
      </c>
      <c r="D15" s="5">
        <f ca="1"/>
        <v>43879</v>
      </c>
      <c r="E15" s="5">
        <f ca="1"/>
        <v>43880</v>
      </c>
      <c r="F15" s="5">
        <f ca="1"/>
        <v>43881</v>
      </c>
      <c r="G15" s="5">
        <f ca="1"/>
        <v>43882</v>
      </c>
      <c r="H15" s="5">
        <f ca="1"/>
        <v>43883</v>
      </c>
      <c r="J15" s="6"/>
    </row>
    <row r="16" spans="1:11" s="4" customFormat="1" ht="18.75" customHeight="1" x14ac:dyDescent="0.25">
      <c r="B16" s="25"/>
      <c r="C16" s="25"/>
      <c r="D16" s="25"/>
      <c r="E16" s="25"/>
      <c r="F16" s="25"/>
      <c r="G16" s="25"/>
      <c r="H16" s="25"/>
      <c r="J16" s="6"/>
    </row>
    <row r="17" spans="2:10" s="4" customFormat="1" ht="18.75" customHeight="1" x14ac:dyDescent="0.25">
      <c r="B17" s="25"/>
      <c r="C17" s="25"/>
      <c r="D17" s="25"/>
      <c r="E17" s="25"/>
      <c r="F17" s="25"/>
      <c r="G17" s="25"/>
      <c r="H17" s="25"/>
      <c r="J17" s="6"/>
    </row>
    <row r="18" spans="2:10" ht="18.75" customHeight="1" x14ac:dyDescent="0.25">
      <c r="B18" s="25"/>
      <c r="C18" s="25"/>
      <c r="D18" s="25"/>
      <c r="E18" s="25"/>
      <c r="F18" s="25"/>
      <c r="G18" s="25"/>
      <c r="H18" s="25"/>
      <c r="J18" s="8"/>
    </row>
    <row r="19" spans="2:10" s="4" customFormat="1" ht="18.75" customHeight="1" x14ac:dyDescent="0.3">
      <c r="B19" s="5">
        <f t="array" aca="1" ref="B19:H19" ca="1">DaysAndWeeks+DATE(CalendarYear,2,1)-WEEKDAY(DATE(CalendarYear,2,1),(inicio_de_la_semana="lu.")+1)+29</f>
        <v>43884</v>
      </c>
      <c r="C19" s="5">
        <f ca="1"/>
        <v>43885</v>
      </c>
      <c r="D19" s="5">
        <f ca="1"/>
        <v>43886</v>
      </c>
      <c r="E19" s="5">
        <f ca="1"/>
        <v>43887</v>
      </c>
      <c r="F19" s="5">
        <f ca="1"/>
        <v>43888</v>
      </c>
      <c r="G19" s="5">
        <f ca="1"/>
        <v>43889</v>
      </c>
      <c r="H19" s="5">
        <f ca="1"/>
        <v>43890</v>
      </c>
      <c r="J19" s="6"/>
    </row>
    <row r="20" spans="2:10" s="4" customFormat="1" ht="18.75" customHeight="1" x14ac:dyDescent="0.25">
      <c r="B20" s="25"/>
      <c r="C20" s="25"/>
      <c r="D20" s="25"/>
      <c r="E20" s="25"/>
      <c r="F20" s="25"/>
      <c r="G20" s="25"/>
      <c r="H20" s="25"/>
      <c r="J20" s="6"/>
    </row>
    <row r="21" spans="2:10" s="4" customFormat="1" ht="18.75" customHeight="1" x14ac:dyDescent="0.25">
      <c r="B21" s="25"/>
      <c r="C21" s="25"/>
      <c r="D21" s="25"/>
      <c r="E21" s="25"/>
      <c r="F21" s="25"/>
      <c r="G21" s="25"/>
      <c r="H21" s="25"/>
      <c r="J21" s="6"/>
    </row>
    <row r="22" spans="2:10" ht="18.75" customHeight="1" x14ac:dyDescent="0.25">
      <c r="B22" s="25"/>
      <c r="C22" s="25"/>
      <c r="D22" s="25"/>
      <c r="E22" s="25"/>
      <c r="F22" s="25"/>
      <c r="G22" s="25"/>
      <c r="H22" s="25"/>
      <c r="J22" s="8"/>
    </row>
    <row r="23" spans="2:10" s="4" customFormat="1" ht="18.75" customHeight="1" x14ac:dyDescent="0.3">
      <c r="B23" s="5">
        <f t="array" aca="1" ref="B23:H23" ca="1">DaysAndWeeks+DATE(CalendarYear,2,1)-WEEKDAY(DATE(CalendarYear,2,1),(inicio_de_la_semana="lu.")+1)+36</f>
        <v>43891</v>
      </c>
      <c r="C23" s="5">
        <f ca="1"/>
        <v>43892</v>
      </c>
      <c r="D23" s="5">
        <f ca="1"/>
        <v>43893</v>
      </c>
      <c r="E23" s="5">
        <f ca="1"/>
        <v>43894</v>
      </c>
      <c r="F23" s="5">
        <f ca="1"/>
        <v>43895</v>
      </c>
      <c r="G23" s="5">
        <f ca="1"/>
        <v>43896</v>
      </c>
      <c r="H23" s="5">
        <f ca="1"/>
        <v>43897</v>
      </c>
      <c r="J23" s="6"/>
    </row>
    <row r="24" spans="2:10" s="4" customFormat="1" ht="18.75" customHeight="1" x14ac:dyDescent="0.25">
      <c r="B24" s="22"/>
      <c r="C24" s="22"/>
      <c r="D24" s="22"/>
      <c r="E24" s="22"/>
      <c r="F24" s="22"/>
      <c r="G24" s="22"/>
      <c r="H24" s="22"/>
      <c r="J24" s="6"/>
    </row>
  </sheetData>
  <mergeCells count="36">
    <mergeCell ref="H20:H22"/>
    <mergeCell ref="B20:B22"/>
    <mergeCell ref="C20:C22"/>
    <mergeCell ref="D20:D22"/>
    <mergeCell ref="E20:E22"/>
    <mergeCell ref="F20:F22"/>
    <mergeCell ref="G20:G22"/>
    <mergeCell ref="H12:H14"/>
    <mergeCell ref="B16:B18"/>
    <mergeCell ref="C16:C18"/>
    <mergeCell ref="D16:D18"/>
    <mergeCell ref="E16:E18"/>
    <mergeCell ref="F16:F18"/>
    <mergeCell ref="G16:G18"/>
    <mergeCell ref="H16:H18"/>
    <mergeCell ref="B12:B14"/>
    <mergeCell ref="C12:C14"/>
    <mergeCell ref="D12:D14"/>
    <mergeCell ref="E12:E14"/>
    <mergeCell ref="F12:F14"/>
    <mergeCell ref="G12:G14"/>
    <mergeCell ref="G4:G6"/>
    <mergeCell ref="H4:H6"/>
    <mergeCell ref="B8:B10"/>
    <mergeCell ref="C8:C10"/>
    <mergeCell ref="D8:D10"/>
    <mergeCell ref="E8:E10"/>
    <mergeCell ref="F8:F10"/>
    <mergeCell ref="G8:G10"/>
    <mergeCell ref="H8:H10"/>
    <mergeCell ref="F4:F6"/>
    <mergeCell ref="B1:D1"/>
    <mergeCell ref="B4:B6"/>
    <mergeCell ref="C4:C6"/>
    <mergeCell ref="D4:D6"/>
    <mergeCell ref="E4:E6"/>
  </mergeCells>
  <conditionalFormatting sqref="B19:H20 B23:H24">
    <cfRule type="expression" dxfId="21" priority="2">
      <formula>AND(DAY(B19)&gt;=1,DAY(B19)&lt;=15)</formula>
    </cfRule>
  </conditionalFormatting>
  <conditionalFormatting sqref="B3:G4">
    <cfRule type="expression" dxfId="20" priority="1">
      <formula>DAY(B3)&gt;8</formula>
    </cfRule>
  </conditionalFormatting>
  <printOptions horizontalCentered="1" verticalCentered="1"/>
  <pageMargins left="0.7" right="0.7" top="0.75" bottom="0.75" header="0.3" footer="0.3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  <pageSetUpPr autoPageBreaks="0" fitToPage="1"/>
  </sheetPr>
  <dimension ref="A1:K24"/>
  <sheetViews>
    <sheetView showGridLines="0" zoomScaleNormal="100" workbookViewId="0"/>
  </sheetViews>
  <sheetFormatPr baseColWidth="10" defaultColWidth="8.85546875" defaultRowHeight="14.25" x14ac:dyDescent="0.25"/>
  <cols>
    <col min="1" max="1" width="2.42578125" style="2" customWidth="1"/>
    <col min="2" max="8" width="17.5703125" style="2" customWidth="1"/>
    <col min="9" max="9" width="2.42578125" style="2" customWidth="1"/>
    <col min="10" max="10" width="38.5703125" style="2" customWidth="1"/>
    <col min="11" max="11" width="2.42578125" style="2" customWidth="1"/>
    <col min="12" max="16384" width="8.85546875" style="2"/>
  </cols>
  <sheetData>
    <row r="1" spans="1:11" ht="59.25" customHeight="1" thickBot="1" x14ac:dyDescent="0.3">
      <c r="A1" s="1"/>
      <c r="B1" s="26" t="str">
        <f ca="1">LOWER(TEXT(B11,"mmmm"))</f>
        <v>marzo</v>
      </c>
      <c r="C1" s="26"/>
      <c r="D1" s="26"/>
      <c r="E1" s="18"/>
      <c r="F1" s="18"/>
      <c r="G1" s="18"/>
      <c r="H1" s="20">
        <f ca="1">CalendarYear</f>
        <v>2020</v>
      </c>
      <c r="K1" s="2" t="s">
        <v>7</v>
      </c>
    </row>
    <row r="2" spans="1:11" s="3" customFormat="1" ht="46.5" customHeight="1" x14ac:dyDescent="0.55000000000000004">
      <c r="B2" s="9" t="str">
        <f>inicio_de_la_semana</f>
        <v>do.</v>
      </c>
      <c r="C2" s="9" t="str">
        <f t="shared" ref="C2:H2" ca="1" si="0">LOWER(TEXT(C3,"ddd"))</f>
        <v>lun</v>
      </c>
      <c r="D2" s="9" t="str">
        <f t="shared" ca="1" si="0"/>
        <v>mar</v>
      </c>
      <c r="E2" s="9" t="str">
        <f t="shared" ca="1" si="0"/>
        <v>mié</v>
      </c>
      <c r="F2" s="9" t="str">
        <f t="shared" ca="1" si="0"/>
        <v>jue</v>
      </c>
      <c r="G2" s="9" t="str">
        <f t="shared" ca="1" si="0"/>
        <v>vie</v>
      </c>
      <c r="H2" s="9" t="str">
        <f t="shared" ca="1" si="0"/>
        <v>sáb</v>
      </c>
      <c r="J2" s="16" t="s">
        <v>5</v>
      </c>
    </row>
    <row r="3" spans="1:11" s="4" customFormat="1" ht="19.5" customHeight="1" x14ac:dyDescent="0.3">
      <c r="B3" s="5">
        <f t="array" aca="1" ref="B3:H3" ca="1">DaysAndWeeks+DATE(CalendarYear,3,1)-WEEKDAY(DATE(CalendarYear,3,1),(inicio_de_la_semana="lu.")+1)+1</f>
        <v>43891</v>
      </c>
      <c r="C3" s="5">
        <f ca="1"/>
        <v>43892</v>
      </c>
      <c r="D3" s="5">
        <f ca="1"/>
        <v>43893</v>
      </c>
      <c r="E3" s="5">
        <f ca="1"/>
        <v>43894</v>
      </c>
      <c r="F3" s="5">
        <f ca="1"/>
        <v>43895</v>
      </c>
      <c r="G3" s="5">
        <f ca="1"/>
        <v>43896</v>
      </c>
      <c r="H3" s="5">
        <f ca="1"/>
        <v>43897</v>
      </c>
      <c r="J3" s="21"/>
    </row>
    <row r="4" spans="1:11" s="4" customFormat="1" ht="19.5" customHeight="1" x14ac:dyDescent="0.25">
      <c r="B4" s="25"/>
      <c r="C4" s="25"/>
      <c r="D4" s="25"/>
      <c r="E4" s="25"/>
      <c r="F4" s="25"/>
      <c r="G4" s="25"/>
      <c r="H4" s="25"/>
    </row>
    <row r="5" spans="1:11" s="4" customFormat="1" ht="19.5" customHeight="1" x14ac:dyDescent="0.25">
      <c r="B5" s="25"/>
      <c r="C5" s="25"/>
      <c r="D5" s="25"/>
      <c r="E5" s="25"/>
      <c r="F5" s="25"/>
      <c r="G5" s="25"/>
      <c r="H5" s="25"/>
      <c r="J5" s="6"/>
    </row>
    <row r="6" spans="1:11" ht="18.75" customHeight="1" x14ac:dyDescent="0.25">
      <c r="B6" s="25"/>
      <c r="C6" s="25"/>
      <c r="D6" s="25"/>
      <c r="E6" s="25"/>
      <c r="F6" s="25"/>
      <c r="G6" s="25"/>
      <c r="H6" s="25"/>
      <c r="J6" s="8"/>
    </row>
    <row r="7" spans="1:11" s="4" customFormat="1" ht="18.75" customHeight="1" x14ac:dyDescent="0.3">
      <c r="B7" s="5">
        <f t="array" aca="1" ref="B7:H7" ca="1">DaysAndWeeks+DATE(CalendarYear,3,1)-WEEKDAY(DATE(CalendarYear,3,1),(inicio_de_la_semana="lu.")+1)+8</f>
        <v>43898</v>
      </c>
      <c r="C7" s="5">
        <f ca="1"/>
        <v>43899</v>
      </c>
      <c r="D7" s="5">
        <f ca="1"/>
        <v>43900</v>
      </c>
      <c r="E7" s="5">
        <f ca="1"/>
        <v>43901</v>
      </c>
      <c r="F7" s="5">
        <f ca="1"/>
        <v>43902</v>
      </c>
      <c r="G7" s="5">
        <f ca="1"/>
        <v>43903</v>
      </c>
      <c r="H7" s="5">
        <f ca="1"/>
        <v>43904</v>
      </c>
      <c r="J7" s="6"/>
    </row>
    <row r="8" spans="1:11" s="4" customFormat="1" ht="18.75" customHeight="1" x14ac:dyDescent="0.25">
      <c r="B8" s="25"/>
      <c r="C8" s="25"/>
      <c r="D8" s="25"/>
      <c r="E8" s="25"/>
      <c r="F8" s="25"/>
      <c r="G8" s="25"/>
      <c r="H8" s="25"/>
      <c r="J8" s="6"/>
    </row>
    <row r="9" spans="1:11" s="4" customFormat="1" ht="18.75" customHeight="1" x14ac:dyDescent="0.25">
      <c r="B9" s="25"/>
      <c r="C9" s="25"/>
      <c r="D9" s="25"/>
      <c r="E9" s="25"/>
      <c r="F9" s="25"/>
      <c r="G9" s="25"/>
      <c r="H9" s="25"/>
      <c r="J9" s="6"/>
    </row>
    <row r="10" spans="1:11" ht="18.75" customHeight="1" x14ac:dyDescent="0.25">
      <c r="B10" s="25"/>
      <c r="C10" s="25"/>
      <c r="D10" s="25"/>
      <c r="E10" s="25"/>
      <c r="F10" s="25"/>
      <c r="G10" s="25"/>
      <c r="H10" s="25"/>
      <c r="J10" s="8"/>
    </row>
    <row r="11" spans="1:11" s="4" customFormat="1" ht="18.75" customHeight="1" x14ac:dyDescent="0.3">
      <c r="B11" s="5">
        <f t="array" aca="1" ref="B11:H11" ca="1">DaysAndWeeks+DATE(CalendarYear,3,1)-WEEKDAY(DATE(CalendarYear,3,1),(inicio_de_la_semana="lu.")+1)+15</f>
        <v>43905</v>
      </c>
      <c r="C11" s="5">
        <f ca="1"/>
        <v>43906</v>
      </c>
      <c r="D11" s="5">
        <f ca="1"/>
        <v>43907</v>
      </c>
      <c r="E11" s="5">
        <f ca="1"/>
        <v>43908</v>
      </c>
      <c r="F11" s="5">
        <f ca="1"/>
        <v>43909</v>
      </c>
      <c r="G11" s="5">
        <f ca="1"/>
        <v>43910</v>
      </c>
      <c r="H11" s="5">
        <f ca="1"/>
        <v>43911</v>
      </c>
      <c r="J11" s="6"/>
    </row>
    <row r="12" spans="1:11" s="4" customFormat="1" ht="18.75" customHeight="1" x14ac:dyDescent="0.25">
      <c r="B12" s="25"/>
      <c r="C12" s="25"/>
      <c r="D12" s="25"/>
      <c r="E12" s="25"/>
      <c r="F12" s="25"/>
      <c r="G12" s="25"/>
      <c r="H12" s="25"/>
      <c r="J12" s="6"/>
    </row>
    <row r="13" spans="1:11" s="4" customFormat="1" ht="18.75" customHeight="1" x14ac:dyDescent="0.25">
      <c r="B13" s="25"/>
      <c r="C13" s="25"/>
      <c r="D13" s="25"/>
      <c r="E13" s="25"/>
      <c r="F13" s="25"/>
      <c r="G13" s="25"/>
      <c r="H13" s="25"/>
      <c r="J13" s="6"/>
    </row>
    <row r="14" spans="1:11" ht="18.75" customHeight="1" x14ac:dyDescent="0.25">
      <c r="B14" s="25"/>
      <c r="C14" s="25"/>
      <c r="D14" s="25"/>
      <c r="E14" s="25"/>
      <c r="F14" s="25"/>
      <c r="G14" s="25"/>
      <c r="H14" s="25"/>
      <c r="J14" s="8"/>
    </row>
    <row r="15" spans="1:11" s="4" customFormat="1" ht="18.75" customHeight="1" x14ac:dyDescent="0.3">
      <c r="B15" s="5">
        <f t="array" aca="1" ref="B15:H15" ca="1">DaysAndWeeks+DATE(CalendarYear,3,1)-WEEKDAY(DATE(CalendarYear,3,1),(inicio_de_la_semana="lu.")+1)+22</f>
        <v>43912</v>
      </c>
      <c r="C15" s="5">
        <f ca="1"/>
        <v>43913</v>
      </c>
      <c r="D15" s="5">
        <f ca="1"/>
        <v>43914</v>
      </c>
      <c r="E15" s="5">
        <f ca="1"/>
        <v>43915</v>
      </c>
      <c r="F15" s="5">
        <f ca="1"/>
        <v>43916</v>
      </c>
      <c r="G15" s="5">
        <f ca="1"/>
        <v>43917</v>
      </c>
      <c r="H15" s="5">
        <f ca="1"/>
        <v>43918</v>
      </c>
      <c r="J15" s="6"/>
    </row>
    <row r="16" spans="1:11" s="4" customFormat="1" ht="18.75" customHeight="1" x14ac:dyDescent="0.25">
      <c r="B16" s="25"/>
      <c r="C16" s="25"/>
      <c r="D16" s="25"/>
      <c r="E16" s="25"/>
      <c r="F16" s="25"/>
      <c r="G16" s="25"/>
      <c r="H16" s="25"/>
      <c r="J16" s="6"/>
    </row>
    <row r="17" spans="2:10" s="4" customFormat="1" ht="18.75" customHeight="1" x14ac:dyDescent="0.25">
      <c r="B17" s="25"/>
      <c r="C17" s="25"/>
      <c r="D17" s="25"/>
      <c r="E17" s="25"/>
      <c r="F17" s="25"/>
      <c r="G17" s="25"/>
      <c r="H17" s="25"/>
      <c r="J17" s="6"/>
    </row>
    <row r="18" spans="2:10" ht="18.75" customHeight="1" x14ac:dyDescent="0.25">
      <c r="B18" s="25"/>
      <c r="C18" s="25"/>
      <c r="D18" s="25"/>
      <c r="E18" s="25"/>
      <c r="F18" s="25"/>
      <c r="G18" s="25"/>
      <c r="H18" s="25"/>
      <c r="J18" s="8"/>
    </row>
    <row r="19" spans="2:10" s="4" customFormat="1" ht="18.75" customHeight="1" x14ac:dyDescent="0.3">
      <c r="B19" s="5">
        <f t="array" aca="1" ref="B19:H19" ca="1">DaysAndWeeks+DATE(CalendarYear,3,1)-WEEKDAY(DATE(CalendarYear,3,1),(inicio_de_la_semana="lu.")+1)+29</f>
        <v>43919</v>
      </c>
      <c r="C19" s="5">
        <f ca="1"/>
        <v>43920</v>
      </c>
      <c r="D19" s="5">
        <f ca="1"/>
        <v>43921</v>
      </c>
      <c r="E19" s="5">
        <f ca="1"/>
        <v>43922</v>
      </c>
      <c r="F19" s="5">
        <f ca="1"/>
        <v>43923</v>
      </c>
      <c r="G19" s="5">
        <f ca="1"/>
        <v>43924</v>
      </c>
      <c r="H19" s="5">
        <f ca="1"/>
        <v>43925</v>
      </c>
      <c r="J19" s="6"/>
    </row>
    <row r="20" spans="2:10" s="4" customFormat="1" ht="18.75" customHeight="1" x14ac:dyDescent="0.25">
      <c r="B20" s="25"/>
      <c r="C20" s="25"/>
      <c r="D20" s="25"/>
      <c r="E20" s="25"/>
      <c r="F20" s="25"/>
      <c r="G20" s="25"/>
      <c r="H20" s="25"/>
      <c r="J20" s="6"/>
    </row>
    <row r="21" spans="2:10" s="4" customFormat="1" ht="18.75" customHeight="1" x14ac:dyDescent="0.25">
      <c r="B21" s="25"/>
      <c r="C21" s="25"/>
      <c r="D21" s="25"/>
      <c r="E21" s="25"/>
      <c r="F21" s="25"/>
      <c r="G21" s="25"/>
      <c r="H21" s="25"/>
      <c r="J21" s="6"/>
    </row>
    <row r="22" spans="2:10" ht="18.75" customHeight="1" x14ac:dyDescent="0.25">
      <c r="B22" s="25"/>
      <c r="C22" s="25"/>
      <c r="D22" s="25"/>
      <c r="E22" s="25"/>
      <c r="F22" s="25"/>
      <c r="G22" s="25"/>
      <c r="H22" s="25"/>
      <c r="J22" s="8"/>
    </row>
    <row r="23" spans="2:10" s="4" customFormat="1" ht="18.75" customHeight="1" x14ac:dyDescent="0.3">
      <c r="B23" s="5">
        <f t="array" aca="1" ref="B23:H23" ca="1">DaysAndWeeks+DATE(CalendarYear,3,1)-WEEKDAY(DATE(CalendarYear,3,1),(inicio_de_la_semana="lu.")+1)+36</f>
        <v>43926</v>
      </c>
      <c r="C23" s="5">
        <f ca="1"/>
        <v>43927</v>
      </c>
      <c r="D23" s="5">
        <f ca="1"/>
        <v>43928</v>
      </c>
      <c r="E23" s="5">
        <f ca="1"/>
        <v>43929</v>
      </c>
      <c r="F23" s="5">
        <f ca="1"/>
        <v>43930</v>
      </c>
      <c r="G23" s="5">
        <f ca="1"/>
        <v>43931</v>
      </c>
      <c r="H23" s="5">
        <f ca="1"/>
        <v>43932</v>
      </c>
      <c r="J23" s="6"/>
    </row>
    <row r="24" spans="2:10" s="4" customFormat="1" ht="18.75" customHeight="1" x14ac:dyDescent="0.25">
      <c r="B24" s="22"/>
      <c r="C24" s="22"/>
      <c r="D24" s="22"/>
      <c r="E24" s="22"/>
      <c r="F24" s="22"/>
      <c r="G24" s="22"/>
      <c r="H24" s="22"/>
      <c r="J24" s="6"/>
    </row>
  </sheetData>
  <mergeCells count="36">
    <mergeCell ref="H20:H22"/>
    <mergeCell ref="B20:B22"/>
    <mergeCell ref="C20:C22"/>
    <mergeCell ref="D20:D22"/>
    <mergeCell ref="E20:E22"/>
    <mergeCell ref="F20:F22"/>
    <mergeCell ref="G20:G22"/>
    <mergeCell ref="H12:H14"/>
    <mergeCell ref="B16:B18"/>
    <mergeCell ref="C16:C18"/>
    <mergeCell ref="D16:D18"/>
    <mergeCell ref="E16:E18"/>
    <mergeCell ref="F16:F18"/>
    <mergeCell ref="G16:G18"/>
    <mergeCell ref="H16:H18"/>
    <mergeCell ref="B12:B14"/>
    <mergeCell ref="C12:C14"/>
    <mergeCell ref="D12:D14"/>
    <mergeCell ref="E12:E14"/>
    <mergeCell ref="F12:F14"/>
    <mergeCell ref="G12:G14"/>
    <mergeCell ref="G4:G6"/>
    <mergeCell ref="H4:H6"/>
    <mergeCell ref="B8:B10"/>
    <mergeCell ref="C8:C10"/>
    <mergeCell ref="D8:D10"/>
    <mergeCell ref="E8:E10"/>
    <mergeCell ref="F8:F10"/>
    <mergeCell ref="G8:G10"/>
    <mergeCell ref="H8:H10"/>
    <mergeCell ref="F4:F6"/>
    <mergeCell ref="B1:D1"/>
    <mergeCell ref="B4:B6"/>
    <mergeCell ref="C4:C6"/>
    <mergeCell ref="D4:D6"/>
    <mergeCell ref="E4:E6"/>
  </mergeCells>
  <conditionalFormatting sqref="B19:H20 B23:H24">
    <cfRule type="expression" dxfId="19" priority="2">
      <formula>AND(DAY(B19)&gt;=1,DAY(B19)&lt;=15)</formula>
    </cfRule>
  </conditionalFormatting>
  <conditionalFormatting sqref="B3:G4">
    <cfRule type="expression" dxfId="18" priority="1">
      <formula>DAY(B3)&gt;8</formula>
    </cfRule>
  </conditionalFormatting>
  <printOptions horizontalCentered="1" verticalCentered="1"/>
  <pageMargins left="0.7" right="0.7" top="0.75" bottom="0.75" header="0.3" footer="0.3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39997558519241921"/>
    <pageSetUpPr autoPageBreaks="0" fitToPage="1"/>
  </sheetPr>
  <dimension ref="A1:K24"/>
  <sheetViews>
    <sheetView showGridLines="0" zoomScaleNormal="100" workbookViewId="0"/>
  </sheetViews>
  <sheetFormatPr baseColWidth="10" defaultColWidth="8.85546875" defaultRowHeight="14.25" x14ac:dyDescent="0.25"/>
  <cols>
    <col min="1" max="1" width="2.42578125" style="2" customWidth="1"/>
    <col min="2" max="8" width="17.5703125" style="2" customWidth="1"/>
    <col min="9" max="9" width="2.42578125" style="2" customWidth="1"/>
    <col min="10" max="10" width="38.5703125" style="2" customWidth="1"/>
    <col min="11" max="11" width="2.42578125" style="2" customWidth="1"/>
    <col min="12" max="16384" width="8.85546875" style="2"/>
  </cols>
  <sheetData>
    <row r="1" spans="1:11" ht="59.25" customHeight="1" thickBot="1" x14ac:dyDescent="0.3">
      <c r="A1" s="1"/>
      <c r="B1" s="26" t="str">
        <f ca="1">LOWER(TEXT(B11,"mmmm"))</f>
        <v>abril</v>
      </c>
      <c r="C1" s="26"/>
      <c r="D1" s="26"/>
      <c r="E1" s="18"/>
      <c r="F1" s="18"/>
      <c r="G1" s="18"/>
      <c r="H1" s="20">
        <f ca="1">CalendarYear</f>
        <v>2020</v>
      </c>
      <c r="K1" s="2" t="s">
        <v>7</v>
      </c>
    </row>
    <row r="2" spans="1:11" s="3" customFormat="1" ht="46.5" customHeight="1" x14ac:dyDescent="0.55000000000000004">
      <c r="B2" s="9" t="str">
        <f>inicio_de_la_semana</f>
        <v>do.</v>
      </c>
      <c r="C2" s="9" t="str">
        <f t="shared" ref="C2:H2" ca="1" si="0">LOWER(TEXT(C3,"ddd"))</f>
        <v>lun</v>
      </c>
      <c r="D2" s="9" t="str">
        <f t="shared" ca="1" si="0"/>
        <v>mar</v>
      </c>
      <c r="E2" s="9" t="str">
        <f t="shared" ca="1" si="0"/>
        <v>mié</v>
      </c>
      <c r="F2" s="9" t="str">
        <f t="shared" ca="1" si="0"/>
        <v>jue</v>
      </c>
      <c r="G2" s="9" t="str">
        <f t="shared" ca="1" si="0"/>
        <v>vie</v>
      </c>
      <c r="H2" s="9" t="str">
        <f t="shared" ca="1" si="0"/>
        <v>sáb</v>
      </c>
      <c r="J2" s="16" t="s">
        <v>5</v>
      </c>
    </row>
    <row r="3" spans="1:11" s="4" customFormat="1" ht="19.5" customHeight="1" x14ac:dyDescent="0.3">
      <c r="B3" s="5">
        <f t="array" aca="1" ref="B3:H3" ca="1">DaysAndWeeks+DATE(CalendarYear,4,1)-WEEKDAY(DATE(CalendarYear,4,1),(inicio_de_la_semana="lu.")+1)+1</f>
        <v>43919</v>
      </c>
      <c r="C3" s="5">
        <f ca="1"/>
        <v>43920</v>
      </c>
      <c r="D3" s="5">
        <f ca="1"/>
        <v>43921</v>
      </c>
      <c r="E3" s="5">
        <f ca="1"/>
        <v>43922</v>
      </c>
      <c r="F3" s="5">
        <f ca="1"/>
        <v>43923</v>
      </c>
      <c r="G3" s="5">
        <f ca="1"/>
        <v>43924</v>
      </c>
      <c r="H3" s="5">
        <f ca="1"/>
        <v>43925</v>
      </c>
      <c r="J3" s="21"/>
    </row>
    <row r="4" spans="1:11" s="4" customFormat="1" ht="19.5" customHeight="1" x14ac:dyDescent="0.25">
      <c r="B4" s="25"/>
      <c r="C4" s="25"/>
      <c r="D4" s="25"/>
      <c r="E4" s="25"/>
      <c r="F4" s="25"/>
      <c r="G4" s="25"/>
      <c r="H4" s="25"/>
    </row>
    <row r="5" spans="1:11" s="4" customFormat="1" ht="19.5" customHeight="1" x14ac:dyDescent="0.25">
      <c r="B5" s="25"/>
      <c r="C5" s="25"/>
      <c r="D5" s="25"/>
      <c r="E5" s="25"/>
      <c r="F5" s="25"/>
      <c r="G5" s="25"/>
      <c r="H5" s="25"/>
      <c r="J5" s="6"/>
    </row>
    <row r="6" spans="1:11" ht="18.75" customHeight="1" x14ac:dyDescent="0.25">
      <c r="B6" s="25"/>
      <c r="C6" s="25"/>
      <c r="D6" s="25"/>
      <c r="E6" s="25"/>
      <c r="F6" s="25"/>
      <c r="G6" s="25"/>
      <c r="H6" s="25"/>
      <c r="J6" s="8"/>
    </row>
    <row r="7" spans="1:11" s="4" customFormat="1" ht="18.75" customHeight="1" x14ac:dyDescent="0.3">
      <c r="B7" s="5">
        <f t="array" aca="1" ref="B7:H7" ca="1">DaysAndWeeks+DATE(CalendarYear,4,1)-WEEKDAY(DATE(CalendarYear,4,1),(inicio_de_la_semana="lu.")+1)+8</f>
        <v>43926</v>
      </c>
      <c r="C7" s="5">
        <f ca="1"/>
        <v>43927</v>
      </c>
      <c r="D7" s="5">
        <f ca="1"/>
        <v>43928</v>
      </c>
      <c r="E7" s="5">
        <f ca="1"/>
        <v>43929</v>
      </c>
      <c r="F7" s="5">
        <f ca="1"/>
        <v>43930</v>
      </c>
      <c r="G7" s="5">
        <f ca="1"/>
        <v>43931</v>
      </c>
      <c r="H7" s="5">
        <f ca="1"/>
        <v>43932</v>
      </c>
      <c r="J7" s="6"/>
    </row>
    <row r="8" spans="1:11" s="4" customFormat="1" ht="18.75" customHeight="1" x14ac:dyDescent="0.25">
      <c r="B8" s="25"/>
      <c r="C8" s="25"/>
      <c r="D8" s="25"/>
      <c r="E8" s="25"/>
      <c r="F8" s="25"/>
      <c r="G8" s="25"/>
      <c r="H8" s="25"/>
      <c r="J8" s="6"/>
    </row>
    <row r="9" spans="1:11" s="4" customFormat="1" ht="18.75" customHeight="1" x14ac:dyDescent="0.25">
      <c r="B9" s="25"/>
      <c r="C9" s="25"/>
      <c r="D9" s="25"/>
      <c r="E9" s="25"/>
      <c r="F9" s="25"/>
      <c r="G9" s="25"/>
      <c r="H9" s="25"/>
      <c r="J9" s="6"/>
    </row>
    <row r="10" spans="1:11" ht="18.75" customHeight="1" x14ac:dyDescent="0.25">
      <c r="B10" s="25"/>
      <c r="C10" s="25"/>
      <c r="D10" s="25"/>
      <c r="E10" s="25"/>
      <c r="F10" s="25"/>
      <c r="G10" s="25"/>
      <c r="H10" s="25"/>
      <c r="J10" s="8"/>
    </row>
    <row r="11" spans="1:11" s="4" customFormat="1" ht="18.75" customHeight="1" x14ac:dyDescent="0.3">
      <c r="B11" s="5">
        <f t="array" aca="1" ref="B11:H11" ca="1">DaysAndWeeks+DATE(CalendarYear,4,1)-WEEKDAY(DATE(CalendarYear,4,1),(inicio_de_la_semana="lu.")+1)+15</f>
        <v>43933</v>
      </c>
      <c r="C11" s="5">
        <f ca="1"/>
        <v>43934</v>
      </c>
      <c r="D11" s="5">
        <f ca="1"/>
        <v>43935</v>
      </c>
      <c r="E11" s="5">
        <f ca="1"/>
        <v>43936</v>
      </c>
      <c r="F11" s="5">
        <f ca="1"/>
        <v>43937</v>
      </c>
      <c r="G11" s="5">
        <f ca="1"/>
        <v>43938</v>
      </c>
      <c r="H11" s="5">
        <f ca="1"/>
        <v>43939</v>
      </c>
      <c r="J11" s="6"/>
    </row>
    <row r="12" spans="1:11" s="4" customFormat="1" ht="18.75" customHeight="1" x14ac:dyDescent="0.25">
      <c r="B12" s="25"/>
      <c r="C12" s="25"/>
      <c r="D12" s="25"/>
      <c r="E12" s="25"/>
      <c r="F12" s="25"/>
      <c r="G12" s="25"/>
      <c r="H12" s="25"/>
      <c r="J12" s="6"/>
    </row>
    <row r="13" spans="1:11" s="4" customFormat="1" ht="18.75" customHeight="1" x14ac:dyDescent="0.25">
      <c r="B13" s="25"/>
      <c r="C13" s="25"/>
      <c r="D13" s="25"/>
      <c r="E13" s="25"/>
      <c r="F13" s="25"/>
      <c r="G13" s="25"/>
      <c r="H13" s="25"/>
      <c r="J13" s="6"/>
    </row>
    <row r="14" spans="1:11" ht="18.75" customHeight="1" x14ac:dyDescent="0.25">
      <c r="B14" s="25"/>
      <c r="C14" s="25"/>
      <c r="D14" s="25"/>
      <c r="E14" s="25"/>
      <c r="F14" s="25"/>
      <c r="G14" s="25"/>
      <c r="H14" s="25"/>
      <c r="J14" s="8"/>
    </row>
    <row r="15" spans="1:11" s="4" customFormat="1" ht="18.75" customHeight="1" x14ac:dyDescent="0.3">
      <c r="B15" s="5">
        <f t="array" aca="1" ref="B15:H15" ca="1">DaysAndWeeks+DATE(CalendarYear,4,1)-WEEKDAY(DATE(CalendarYear,4,1),(inicio_de_la_semana="lu.")+1)+22</f>
        <v>43940</v>
      </c>
      <c r="C15" s="5">
        <f ca="1"/>
        <v>43941</v>
      </c>
      <c r="D15" s="5">
        <f ca="1"/>
        <v>43942</v>
      </c>
      <c r="E15" s="5">
        <f ca="1"/>
        <v>43943</v>
      </c>
      <c r="F15" s="5">
        <f ca="1"/>
        <v>43944</v>
      </c>
      <c r="G15" s="5">
        <f ca="1"/>
        <v>43945</v>
      </c>
      <c r="H15" s="5">
        <f ca="1"/>
        <v>43946</v>
      </c>
      <c r="J15" s="6"/>
    </row>
    <row r="16" spans="1:11" s="4" customFormat="1" ht="18.75" customHeight="1" x14ac:dyDescent="0.25">
      <c r="B16" s="25"/>
      <c r="C16" s="25"/>
      <c r="D16" s="25"/>
      <c r="E16" s="25"/>
      <c r="F16" s="25"/>
      <c r="G16" s="25"/>
      <c r="H16" s="25"/>
      <c r="J16" s="6"/>
    </row>
    <row r="17" spans="2:10" s="4" customFormat="1" ht="18.75" customHeight="1" x14ac:dyDescent="0.25">
      <c r="B17" s="25"/>
      <c r="C17" s="25"/>
      <c r="D17" s="25"/>
      <c r="E17" s="25"/>
      <c r="F17" s="25"/>
      <c r="G17" s="25"/>
      <c r="H17" s="25"/>
      <c r="J17" s="6"/>
    </row>
    <row r="18" spans="2:10" ht="18.75" customHeight="1" x14ac:dyDescent="0.25">
      <c r="B18" s="25"/>
      <c r="C18" s="25"/>
      <c r="D18" s="25"/>
      <c r="E18" s="25"/>
      <c r="F18" s="25"/>
      <c r="G18" s="25"/>
      <c r="H18" s="25"/>
      <c r="J18" s="8"/>
    </row>
    <row r="19" spans="2:10" s="4" customFormat="1" ht="18.75" customHeight="1" x14ac:dyDescent="0.3">
      <c r="B19" s="5">
        <f t="array" aca="1" ref="B19:H19" ca="1">DaysAndWeeks+DATE(CalendarYear,4,1)-WEEKDAY(DATE(CalendarYear,4,1),(inicio_de_la_semana="lu.")+1)+29</f>
        <v>43947</v>
      </c>
      <c r="C19" s="5">
        <f ca="1"/>
        <v>43948</v>
      </c>
      <c r="D19" s="5">
        <f ca="1"/>
        <v>43949</v>
      </c>
      <c r="E19" s="5">
        <f ca="1"/>
        <v>43950</v>
      </c>
      <c r="F19" s="5">
        <f ca="1"/>
        <v>43951</v>
      </c>
      <c r="G19" s="5">
        <f ca="1"/>
        <v>43952</v>
      </c>
      <c r="H19" s="5">
        <f ca="1"/>
        <v>43953</v>
      </c>
      <c r="J19" s="6"/>
    </row>
    <row r="20" spans="2:10" s="4" customFormat="1" ht="18.75" customHeight="1" x14ac:dyDescent="0.25">
      <c r="B20" s="25"/>
      <c r="C20" s="25"/>
      <c r="D20" s="25"/>
      <c r="E20" s="25"/>
      <c r="F20" s="25"/>
      <c r="G20" s="25"/>
      <c r="H20" s="25"/>
      <c r="J20" s="6"/>
    </row>
    <row r="21" spans="2:10" s="4" customFormat="1" ht="18.75" customHeight="1" x14ac:dyDescent="0.25">
      <c r="B21" s="25"/>
      <c r="C21" s="25"/>
      <c r="D21" s="25"/>
      <c r="E21" s="25"/>
      <c r="F21" s="25"/>
      <c r="G21" s="25"/>
      <c r="H21" s="25"/>
      <c r="J21" s="6"/>
    </row>
    <row r="22" spans="2:10" ht="18.75" customHeight="1" x14ac:dyDescent="0.25">
      <c r="B22" s="25"/>
      <c r="C22" s="25"/>
      <c r="D22" s="25"/>
      <c r="E22" s="25"/>
      <c r="F22" s="25"/>
      <c r="G22" s="25"/>
      <c r="H22" s="25"/>
      <c r="J22" s="8"/>
    </row>
    <row r="23" spans="2:10" s="4" customFormat="1" ht="18.75" customHeight="1" x14ac:dyDescent="0.3">
      <c r="B23" s="5">
        <f t="array" aca="1" ref="B23:H23" ca="1">DaysAndWeeks+DATE(CalendarYear,4,1)-WEEKDAY(DATE(CalendarYear,4,1),(inicio_de_la_semana="lu.")+1)+36</f>
        <v>43954</v>
      </c>
      <c r="C23" s="5">
        <f ca="1"/>
        <v>43955</v>
      </c>
      <c r="D23" s="5">
        <f ca="1"/>
        <v>43956</v>
      </c>
      <c r="E23" s="5">
        <f ca="1"/>
        <v>43957</v>
      </c>
      <c r="F23" s="5">
        <f ca="1"/>
        <v>43958</v>
      </c>
      <c r="G23" s="5">
        <f ca="1"/>
        <v>43959</v>
      </c>
      <c r="H23" s="5">
        <f ca="1"/>
        <v>43960</v>
      </c>
      <c r="J23" s="6"/>
    </row>
    <row r="24" spans="2:10" s="4" customFormat="1" ht="18.75" customHeight="1" x14ac:dyDescent="0.25">
      <c r="B24" s="22"/>
      <c r="C24" s="22"/>
      <c r="D24" s="22"/>
      <c r="E24" s="22"/>
      <c r="F24" s="22"/>
      <c r="G24" s="22"/>
      <c r="H24" s="22"/>
      <c r="J24" s="6"/>
    </row>
  </sheetData>
  <mergeCells count="36">
    <mergeCell ref="H20:H22"/>
    <mergeCell ref="B20:B22"/>
    <mergeCell ref="C20:C22"/>
    <mergeCell ref="D20:D22"/>
    <mergeCell ref="E20:E22"/>
    <mergeCell ref="F20:F22"/>
    <mergeCell ref="G20:G22"/>
    <mergeCell ref="H12:H14"/>
    <mergeCell ref="B16:B18"/>
    <mergeCell ref="C16:C18"/>
    <mergeCell ref="D16:D18"/>
    <mergeCell ref="E16:E18"/>
    <mergeCell ref="F16:F18"/>
    <mergeCell ref="G16:G18"/>
    <mergeCell ref="H16:H18"/>
    <mergeCell ref="B12:B14"/>
    <mergeCell ref="C12:C14"/>
    <mergeCell ref="D12:D14"/>
    <mergeCell ref="E12:E14"/>
    <mergeCell ref="F12:F14"/>
    <mergeCell ref="G12:G14"/>
    <mergeCell ref="G4:G6"/>
    <mergeCell ref="H4:H6"/>
    <mergeCell ref="B8:B10"/>
    <mergeCell ref="C8:C10"/>
    <mergeCell ref="D8:D10"/>
    <mergeCell ref="E8:E10"/>
    <mergeCell ref="F8:F10"/>
    <mergeCell ref="G8:G10"/>
    <mergeCell ref="H8:H10"/>
    <mergeCell ref="F4:F6"/>
    <mergeCell ref="B1:D1"/>
    <mergeCell ref="B4:B6"/>
    <mergeCell ref="C4:C6"/>
    <mergeCell ref="D4:D6"/>
    <mergeCell ref="E4:E6"/>
  </mergeCells>
  <conditionalFormatting sqref="B19:H20 B23:H24">
    <cfRule type="expression" dxfId="17" priority="2">
      <formula>AND(DAY(B19)&gt;=1,DAY(B19)&lt;=15)</formula>
    </cfRule>
  </conditionalFormatting>
  <conditionalFormatting sqref="B3:G4">
    <cfRule type="expression" dxfId="16" priority="1">
      <formula>DAY(B3)&gt;8</formula>
    </cfRule>
  </conditionalFormatting>
  <printOptions horizontalCentered="1" verticalCentered="1"/>
  <pageMargins left="0.7" right="0.7" top="0.75" bottom="0.75" header="0.3" footer="0.3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59999389629810485"/>
    <pageSetUpPr autoPageBreaks="0" fitToPage="1"/>
  </sheetPr>
  <dimension ref="A1:K24"/>
  <sheetViews>
    <sheetView showGridLines="0" zoomScaleNormal="100" workbookViewId="0"/>
  </sheetViews>
  <sheetFormatPr baseColWidth="10" defaultColWidth="8.85546875" defaultRowHeight="14.25" x14ac:dyDescent="0.25"/>
  <cols>
    <col min="1" max="1" width="2.42578125" style="2" customWidth="1"/>
    <col min="2" max="8" width="17.5703125" style="2" customWidth="1"/>
    <col min="9" max="9" width="2.42578125" style="2" customWidth="1"/>
    <col min="10" max="10" width="38.5703125" style="2" customWidth="1"/>
    <col min="11" max="11" width="2.42578125" style="2" customWidth="1"/>
    <col min="12" max="16384" width="8.85546875" style="2"/>
  </cols>
  <sheetData>
    <row r="1" spans="1:11" ht="59.25" customHeight="1" thickBot="1" x14ac:dyDescent="0.3">
      <c r="A1" s="1"/>
      <c r="B1" s="26" t="str">
        <f ca="1">LOWER(TEXT(B11,"mmmm"))</f>
        <v>mayo</v>
      </c>
      <c r="C1" s="26"/>
      <c r="D1" s="26"/>
      <c r="E1" s="18"/>
      <c r="F1" s="18"/>
      <c r="G1" s="18"/>
      <c r="H1" s="20">
        <f ca="1">CalendarYear</f>
        <v>2020</v>
      </c>
      <c r="K1" s="2" t="s">
        <v>7</v>
      </c>
    </row>
    <row r="2" spans="1:11" s="3" customFormat="1" ht="46.5" customHeight="1" x14ac:dyDescent="0.55000000000000004">
      <c r="B2" s="9" t="str">
        <f>inicio_de_la_semana</f>
        <v>do.</v>
      </c>
      <c r="C2" s="9" t="str">
        <f t="shared" ref="C2:H2" ca="1" si="0">LOWER(TEXT(C3,"ddd"))</f>
        <v>lun</v>
      </c>
      <c r="D2" s="9" t="str">
        <f t="shared" ca="1" si="0"/>
        <v>mar</v>
      </c>
      <c r="E2" s="9" t="str">
        <f t="shared" ca="1" si="0"/>
        <v>mié</v>
      </c>
      <c r="F2" s="9" t="str">
        <f t="shared" ca="1" si="0"/>
        <v>jue</v>
      </c>
      <c r="G2" s="9" t="str">
        <f t="shared" ca="1" si="0"/>
        <v>vie</v>
      </c>
      <c r="H2" s="9" t="str">
        <f t="shared" ca="1" si="0"/>
        <v>sáb</v>
      </c>
      <c r="J2" s="16" t="s">
        <v>5</v>
      </c>
    </row>
    <row r="3" spans="1:11" s="4" customFormat="1" ht="19.5" customHeight="1" x14ac:dyDescent="0.3">
      <c r="B3" s="5">
        <f t="array" aca="1" ref="B3:H3" ca="1">DaysAndWeeks+DATE(CalendarYear,5,1)-WEEKDAY(DATE(CalendarYear,5,1),(inicio_de_la_semana="lu.")+1)+1</f>
        <v>43947</v>
      </c>
      <c r="C3" s="5">
        <f ca="1"/>
        <v>43948</v>
      </c>
      <c r="D3" s="5">
        <f ca="1"/>
        <v>43949</v>
      </c>
      <c r="E3" s="5">
        <f ca="1"/>
        <v>43950</v>
      </c>
      <c r="F3" s="5">
        <f ca="1"/>
        <v>43951</v>
      </c>
      <c r="G3" s="5">
        <f ca="1"/>
        <v>43952</v>
      </c>
      <c r="H3" s="5">
        <f ca="1"/>
        <v>43953</v>
      </c>
      <c r="J3" s="21"/>
    </row>
    <row r="4" spans="1:11" s="4" customFormat="1" ht="19.5" customHeight="1" x14ac:dyDescent="0.25">
      <c r="B4" s="25"/>
      <c r="C4" s="25"/>
      <c r="D4" s="25"/>
      <c r="E4" s="25"/>
      <c r="F4" s="25"/>
      <c r="G4" s="25"/>
      <c r="H4" s="25"/>
    </row>
    <row r="5" spans="1:11" s="4" customFormat="1" ht="19.5" customHeight="1" x14ac:dyDescent="0.25">
      <c r="B5" s="25"/>
      <c r="C5" s="25"/>
      <c r="D5" s="25"/>
      <c r="E5" s="25"/>
      <c r="F5" s="25"/>
      <c r="G5" s="25"/>
      <c r="H5" s="25"/>
      <c r="J5" s="6"/>
    </row>
    <row r="6" spans="1:11" ht="18.75" customHeight="1" x14ac:dyDescent="0.25">
      <c r="B6" s="25"/>
      <c r="C6" s="25"/>
      <c r="D6" s="25"/>
      <c r="E6" s="25"/>
      <c r="F6" s="25"/>
      <c r="G6" s="25"/>
      <c r="H6" s="25"/>
      <c r="J6" s="8"/>
    </row>
    <row r="7" spans="1:11" s="4" customFormat="1" ht="18.75" customHeight="1" x14ac:dyDescent="0.3">
      <c r="B7" s="5">
        <f t="array" aca="1" ref="B7:H7" ca="1">DaysAndWeeks+DATE(CalendarYear,5,1)-WEEKDAY(DATE(CalendarYear,5,1),(inicio_de_la_semana="lu.")+1)+8</f>
        <v>43954</v>
      </c>
      <c r="C7" s="5">
        <f ca="1"/>
        <v>43955</v>
      </c>
      <c r="D7" s="5">
        <f ca="1"/>
        <v>43956</v>
      </c>
      <c r="E7" s="5">
        <f ca="1"/>
        <v>43957</v>
      </c>
      <c r="F7" s="5">
        <f ca="1"/>
        <v>43958</v>
      </c>
      <c r="G7" s="5">
        <f ca="1"/>
        <v>43959</v>
      </c>
      <c r="H7" s="5">
        <f ca="1"/>
        <v>43960</v>
      </c>
      <c r="J7" s="6"/>
    </row>
    <row r="8" spans="1:11" s="4" customFormat="1" ht="18.75" customHeight="1" x14ac:dyDescent="0.25">
      <c r="B8" s="25"/>
      <c r="C8" s="25"/>
      <c r="D8" s="25"/>
      <c r="E8" s="25"/>
      <c r="F8" s="25"/>
      <c r="G8" s="25"/>
      <c r="H8" s="25"/>
      <c r="J8" s="6"/>
    </row>
    <row r="9" spans="1:11" s="4" customFormat="1" ht="18.75" customHeight="1" x14ac:dyDescent="0.25">
      <c r="B9" s="25"/>
      <c r="C9" s="25"/>
      <c r="D9" s="25"/>
      <c r="E9" s="25"/>
      <c r="F9" s="25"/>
      <c r="G9" s="25"/>
      <c r="H9" s="25"/>
      <c r="J9" s="6"/>
    </row>
    <row r="10" spans="1:11" ht="18.75" customHeight="1" x14ac:dyDescent="0.25">
      <c r="B10" s="25"/>
      <c r="C10" s="25"/>
      <c r="D10" s="25"/>
      <c r="E10" s="25"/>
      <c r="F10" s="25"/>
      <c r="G10" s="25"/>
      <c r="H10" s="25"/>
      <c r="J10" s="8"/>
    </row>
    <row r="11" spans="1:11" s="4" customFormat="1" ht="18.75" customHeight="1" x14ac:dyDescent="0.3">
      <c r="B11" s="5">
        <f t="array" aca="1" ref="B11:H11" ca="1">DaysAndWeeks+DATE(CalendarYear,5,1)-WEEKDAY(DATE(CalendarYear,5,1),(inicio_de_la_semana="lu.")+1)+15</f>
        <v>43961</v>
      </c>
      <c r="C11" s="5">
        <f ca="1"/>
        <v>43962</v>
      </c>
      <c r="D11" s="5">
        <f ca="1"/>
        <v>43963</v>
      </c>
      <c r="E11" s="5">
        <f ca="1"/>
        <v>43964</v>
      </c>
      <c r="F11" s="5">
        <f ca="1"/>
        <v>43965</v>
      </c>
      <c r="G11" s="5">
        <f ca="1"/>
        <v>43966</v>
      </c>
      <c r="H11" s="5">
        <f ca="1"/>
        <v>43967</v>
      </c>
      <c r="J11" s="6"/>
    </row>
    <row r="12" spans="1:11" s="4" customFormat="1" ht="18.75" customHeight="1" x14ac:dyDescent="0.25">
      <c r="B12" s="25"/>
      <c r="C12" s="25"/>
      <c r="D12" s="25"/>
      <c r="E12" s="25"/>
      <c r="F12" s="25"/>
      <c r="G12" s="25"/>
      <c r="H12" s="25"/>
      <c r="J12" s="6"/>
    </row>
    <row r="13" spans="1:11" s="4" customFormat="1" ht="18.75" customHeight="1" x14ac:dyDescent="0.25">
      <c r="B13" s="25"/>
      <c r="C13" s="25"/>
      <c r="D13" s="25"/>
      <c r="E13" s="25"/>
      <c r="F13" s="25"/>
      <c r="G13" s="25"/>
      <c r="H13" s="25"/>
      <c r="J13" s="6"/>
    </row>
    <row r="14" spans="1:11" ht="18.75" customHeight="1" x14ac:dyDescent="0.25">
      <c r="B14" s="25"/>
      <c r="C14" s="25"/>
      <c r="D14" s="25"/>
      <c r="E14" s="25"/>
      <c r="F14" s="25"/>
      <c r="G14" s="25"/>
      <c r="H14" s="25"/>
      <c r="J14" s="8"/>
    </row>
    <row r="15" spans="1:11" s="4" customFormat="1" ht="18.75" customHeight="1" x14ac:dyDescent="0.3">
      <c r="B15" s="5">
        <f t="array" aca="1" ref="B15:H15" ca="1">DaysAndWeeks+DATE(CalendarYear,5,1)-WEEKDAY(DATE(CalendarYear,5,1),(inicio_de_la_semana="lu.")+1)+22</f>
        <v>43968</v>
      </c>
      <c r="C15" s="5">
        <f ca="1"/>
        <v>43969</v>
      </c>
      <c r="D15" s="5">
        <f ca="1"/>
        <v>43970</v>
      </c>
      <c r="E15" s="5">
        <f ca="1"/>
        <v>43971</v>
      </c>
      <c r="F15" s="5">
        <f ca="1"/>
        <v>43972</v>
      </c>
      <c r="G15" s="5">
        <f ca="1"/>
        <v>43973</v>
      </c>
      <c r="H15" s="5">
        <f ca="1"/>
        <v>43974</v>
      </c>
      <c r="J15" s="6"/>
    </row>
    <row r="16" spans="1:11" s="4" customFormat="1" ht="18.75" customHeight="1" x14ac:dyDescent="0.25">
      <c r="B16" s="25"/>
      <c r="C16" s="25"/>
      <c r="D16" s="25"/>
      <c r="E16" s="25"/>
      <c r="F16" s="25"/>
      <c r="G16" s="25"/>
      <c r="H16" s="25"/>
      <c r="J16" s="6"/>
    </row>
    <row r="17" spans="2:10" s="4" customFormat="1" ht="18.75" customHeight="1" x14ac:dyDescent="0.25">
      <c r="B17" s="25"/>
      <c r="C17" s="25"/>
      <c r="D17" s="25"/>
      <c r="E17" s="25"/>
      <c r="F17" s="25"/>
      <c r="G17" s="25"/>
      <c r="H17" s="25"/>
      <c r="J17" s="6"/>
    </row>
    <row r="18" spans="2:10" ht="18.75" customHeight="1" x14ac:dyDescent="0.25">
      <c r="B18" s="25"/>
      <c r="C18" s="25"/>
      <c r="D18" s="25"/>
      <c r="E18" s="25"/>
      <c r="F18" s="25"/>
      <c r="G18" s="25"/>
      <c r="H18" s="25"/>
      <c r="J18" s="8"/>
    </row>
    <row r="19" spans="2:10" s="4" customFormat="1" ht="18.75" customHeight="1" x14ac:dyDescent="0.3">
      <c r="B19" s="5">
        <f t="array" aca="1" ref="B19:H19" ca="1">DaysAndWeeks+DATE(CalendarYear,5,1)-WEEKDAY(DATE(CalendarYear,5,1),(inicio_de_la_semana="lu.")+1)+29</f>
        <v>43975</v>
      </c>
      <c r="C19" s="5">
        <f ca="1"/>
        <v>43976</v>
      </c>
      <c r="D19" s="5">
        <f ca="1"/>
        <v>43977</v>
      </c>
      <c r="E19" s="5">
        <f ca="1"/>
        <v>43978</v>
      </c>
      <c r="F19" s="5">
        <f ca="1"/>
        <v>43979</v>
      </c>
      <c r="G19" s="5">
        <f ca="1"/>
        <v>43980</v>
      </c>
      <c r="H19" s="5">
        <f ca="1"/>
        <v>43981</v>
      </c>
      <c r="J19" s="6"/>
    </row>
    <row r="20" spans="2:10" s="4" customFormat="1" ht="18.75" customHeight="1" x14ac:dyDescent="0.25">
      <c r="B20" s="25"/>
      <c r="C20" s="25"/>
      <c r="D20" s="25"/>
      <c r="E20" s="25"/>
      <c r="F20" s="25"/>
      <c r="G20" s="25"/>
      <c r="H20" s="25"/>
      <c r="J20" s="6"/>
    </row>
    <row r="21" spans="2:10" s="4" customFormat="1" ht="18.75" customHeight="1" x14ac:dyDescent="0.25">
      <c r="B21" s="25"/>
      <c r="C21" s="25"/>
      <c r="D21" s="25"/>
      <c r="E21" s="25"/>
      <c r="F21" s="25"/>
      <c r="G21" s="25"/>
      <c r="H21" s="25"/>
      <c r="J21" s="6"/>
    </row>
    <row r="22" spans="2:10" ht="18.75" customHeight="1" x14ac:dyDescent="0.25">
      <c r="B22" s="25"/>
      <c r="C22" s="25"/>
      <c r="D22" s="25"/>
      <c r="E22" s="25"/>
      <c r="F22" s="25"/>
      <c r="G22" s="25"/>
      <c r="H22" s="25"/>
      <c r="J22" s="8"/>
    </row>
    <row r="23" spans="2:10" s="4" customFormat="1" ht="18.75" customHeight="1" x14ac:dyDescent="0.3">
      <c r="B23" s="5">
        <f t="array" aca="1" ref="B23:H23" ca="1">DaysAndWeeks+DATE(CalendarYear,5,1)-WEEKDAY(DATE(CalendarYear,5,1),(inicio_de_la_semana="lu.")+1)+36</f>
        <v>43982</v>
      </c>
      <c r="C23" s="5">
        <f ca="1"/>
        <v>43983</v>
      </c>
      <c r="D23" s="5">
        <f ca="1"/>
        <v>43984</v>
      </c>
      <c r="E23" s="5">
        <f ca="1"/>
        <v>43985</v>
      </c>
      <c r="F23" s="5">
        <f ca="1"/>
        <v>43986</v>
      </c>
      <c r="G23" s="5">
        <f ca="1"/>
        <v>43987</v>
      </c>
      <c r="H23" s="5">
        <f ca="1"/>
        <v>43988</v>
      </c>
      <c r="J23" s="6"/>
    </row>
    <row r="24" spans="2:10" s="4" customFormat="1" ht="18.75" customHeight="1" x14ac:dyDescent="0.25">
      <c r="B24" s="22"/>
      <c r="C24" s="22"/>
      <c r="D24" s="22"/>
      <c r="E24" s="22"/>
      <c r="F24" s="22"/>
      <c r="G24" s="22"/>
      <c r="H24" s="22"/>
      <c r="J24" s="6"/>
    </row>
  </sheetData>
  <mergeCells count="36">
    <mergeCell ref="H20:H22"/>
    <mergeCell ref="B20:B22"/>
    <mergeCell ref="C20:C22"/>
    <mergeCell ref="D20:D22"/>
    <mergeCell ref="E20:E22"/>
    <mergeCell ref="F20:F22"/>
    <mergeCell ref="G20:G22"/>
    <mergeCell ref="H12:H14"/>
    <mergeCell ref="B16:B18"/>
    <mergeCell ref="C16:C18"/>
    <mergeCell ref="D16:D18"/>
    <mergeCell ref="E16:E18"/>
    <mergeCell ref="F16:F18"/>
    <mergeCell ref="G16:G18"/>
    <mergeCell ref="H16:H18"/>
    <mergeCell ref="B12:B14"/>
    <mergeCell ref="C12:C14"/>
    <mergeCell ref="D12:D14"/>
    <mergeCell ref="E12:E14"/>
    <mergeCell ref="F12:F14"/>
    <mergeCell ref="G12:G14"/>
    <mergeCell ref="G4:G6"/>
    <mergeCell ref="H4:H6"/>
    <mergeCell ref="B8:B10"/>
    <mergeCell ref="C8:C10"/>
    <mergeCell ref="D8:D10"/>
    <mergeCell ref="E8:E10"/>
    <mergeCell ref="F8:F10"/>
    <mergeCell ref="G8:G10"/>
    <mergeCell ref="H8:H10"/>
    <mergeCell ref="F4:F6"/>
    <mergeCell ref="B1:D1"/>
    <mergeCell ref="B4:B6"/>
    <mergeCell ref="C4:C6"/>
    <mergeCell ref="D4:D6"/>
    <mergeCell ref="E4:E6"/>
  </mergeCells>
  <conditionalFormatting sqref="B19:H20 B23:H24">
    <cfRule type="expression" dxfId="15" priority="2">
      <formula>AND(DAY(B19)&gt;=1,DAY(B19)&lt;=15)</formula>
    </cfRule>
  </conditionalFormatting>
  <conditionalFormatting sqref="B3:G4">
    <cfRule type="expression" dxfId="14" priority="1">
      <formula>DAY(B3)&gt;8</formula>
    </cfRule>
  </conditionalFormatting>
  <printOptions horizontalCentered="1" verticalCentered="1"/>
  <pageMargins left="0.7" right="0.7" top="0.75" bottom="0.75" header="0.3" footer="0.3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79998168889431442"/>
    <pageSetUpPr autoPageBreaks="0" fitToPage="1"/>
  </sheetPr>
  <dimension ref="A1:K24"/>
  <sheetViews>
    <sheetView showGridLines="0" zoomScaleNormal="100" workbookViewId="0"/>
  </sheetViews>
  <sheetFormatPr baseColWidth="10" defaultColWidth="8.85546875" defaultRowHeight="14.25" x14ac:dyDescent="0.25"/>
  <cols>
    <col min="1" max="1" width="2.42578125" style="2" customWidth="1"/>
    <col min="2" max="8" width="17.5703125" style="2" customWidth="1"/>
    <col min="9" max="9" width="2.42578125" style="2" customWidth="1"/>
    <col min="10" max="10" width="38.5703125" style="2" customWidth="1"/>
    <col min="11" max="11" width="2.42578125" style="2" customWidth="1"/>
    <col min="12" max="16384" width="8.85546875" style="2"/>
  </cols>
  <sheetData>
    <row r="1" spans="1:11" ht="59.25" customHeight="1" thickBot="1" x14ac:dyDescent="0.3">
      <c r="A1" s="1"/>
      <c r="B1" s="26" t="str">
        <f ca="1">LOWER(TEXT(B11,"mmmm"))</f>
        <v>junio</v>
      </c>
      <c r="C1" s="26"/>
      <c r="D1" s="26"/>
      <c r="E1" s="18"/>
      <c r="F1" s="18"/>
      <c r="G1" s="18"/>
      <c r="H1" s="20">
        <f ca="1">CalendarYear</f>
        <v>2020</v>
      </c>
      <c r="K1" s="2" t="s">
        <v>7</v>
      </c>
    </row>
    <row r="2" spans="1:11" s="3" customFormat="1" ht="46.5" customHeight="1" x14ac:dyDescent="0.55000000000000004">
      <c r="B2" s="9" t="str">
        <f>inicio_de_la_semana</f>
        <v>do.</v>
      </c>
      <c r="C2" s="9" t="str">
        <f t="shared" ref="C2:H2" ca="1" si="0">LOWER(TEXT(C3,"ddd"))</f>
        <v>lun</v>
      </c>
      <c r="D2" s="9" t="str">
        <f t="shared" ca="1" si="0"/>
        <v>mar</v>
      </c>
      <c r="E2" s="9" t="str">
        <f t="shared" ca="1" si="0"/>
        <v>mié</v>
      </c>
      <c r="F2" s="9" t="str">
        <f t="shared" ca="1" si="0"/>
        <v>jue</v>
      </c>
      <c r="G2" s="9" t="str">
        <f t="shared" ca="1" si="0"/>
        <v>vie</v>
      </c>
      <c r="H2" s="9" t="str">
        <f t="shared" ca="1" si="0"/>
        <v>sáb</v>
      </c>
      <c r="J2" s="16" t="s">
        <v>5</v>
      </c>
    </row>
    <row r="3" spans="1:11" s="4" customFormat="1" ht="19.5" customHeight="1" x14ac:dyDescent="0.3">
      <c r="B3" s="5">
        <f t="array" aca="1" ref="B3:H3" ca="1">DaysAndWeeks+DATE(CalendarYear,6,1)-WEEKDAY(DATE(CalendarYear,6,1),(inicio_de_la_semana="lu.")+1)+1</f>
        <v>43982</v>
      </c>
      <c r="C3" s="5">
        <f ca="1"/>
        <v>43983</v>
      </c>
      <c r="D3" s="5">
        <f ca="1"/>
        <v>43984</v>
      </c>
      <c r="E3" s="5">
        <f ca="1"/>
        <v>43985</v>
      </c>
      <c r="F3" s="5">
        <f ca="1"/>
        <v>43986</v>
      </c>
      <c r="G3" s="5">
        <f ca="1"/>
        <v>43987</v>
      </c>
      <c r="H3" s="5">
        <f ca="1"/>
        <v>43988</v>
      </c>
      <c r="J3" s="21"/>
    </row>
    <row r="4" spans="1:11" s="4" customFormat="1" ht="19.5" customHeight="1" x14ac:dyDescent="0.25">
      <c r="B4" s="25"/>
      <c r="C4" s="25"/>
      <c r="D4" s="25"/>
      <c r="E4" s="25"/>
      <c r="F4" s="25"/>
      <c r="G4" s="25"/>
      <c r="H4" s="25"/>
    </row>
    <row r="5" spans="1:11" s="4" customFormat="1" ht="19.5" customHeight="1" x14ac:dyDescent="0.25">
      <c r="B5" s="25"/>
      <c r="C5" s="25"/>
      <c r="D5" s="25"/>
      <c r="E5" s="25"/>
      <c r="F5" s="25"/>
      <c r="G5" s="25"/>
      <c r="H5" s="25"/>
      <c r="J5" s="6"/>
    </row>
    <row r="6" spans="1:11" ht="18.75" customHeight="1" x14ac:dyDescent="0.25">
      <c r="B6" s="25"/>
      <c r="C6" s="25"/>
      <c r="D6" s="25"/>
      <c r="E6" s="25"/>
      <c r="F6" s="25"/>
      <c r="G6" s="25"/>
      <c r="H6" s="25"/>
      <c r="J6" s="8"/>
    </row>
    <row r="7" spans="1:11" s="4" customFormat="1" ht="18.75" customHeight="1" x14ac:dyDescent="0.3">
      <c r="B7" s="5">
        <f t="array" aca="1" ref="B7:H7" ca="1">DaysAndWeeks+DATE(CalendarYear,6,1)-WEEKDAY(DATE(CalendarYear,6,1),(inicio_de_la_semana="lu.")+1)+8</f>
        <v>43989</v>
      </c>
      <c r="C7" s="5">
        <f ca="1"/>
        <v>43990</v>
      </c>
      <c r="D7" s="5">
        <f ca="1"/>
        <v>43991</v>
      </c>
      <c r="E7" s="5">
        <f ca="1"/>
        <v>43992</v>
      </c>
      <c r="F7" s="5">
        <f ca="1"/>
        <v>43993</v>
      </c>
      <c r="G7" s="5">
        <f ca="1"/>
        <v>43994</v>
      </c>
      <c r="H7" s="5">
        <f ca="1"/>
        <v>43995</v>
      </c>
      <c r="J7" s="6"/>
    </row>
    <row r="8" spans="1:11" s="4" customFormat="1" ht="18.75" customHeight="1" x14ac:dyDescent="0.25">
      <c r="B8" s="25"/>
      <c r="C8" s="25"/>
      <c r="D8" s="25"/>
      <c r="E8" s="25"/>
      <c r="F8" s="25"/>
      <c r="G8" s="25"/>
      <c r="H8" s="25"/>
      <c r="J8" s="6"/>
    </row>
    <row r="9" spans="1:11" s="4" customFormat="1" ht="18.75" customHeight="1" x14ac:dyDescent="0.25">
      <c r="B9" s="25"/>
      <c r="C9" s="25"/>
      <c r="D9" s="25"/>
      <c r="E9" s="25"/>
      <c r="F9" s="25"/>
      <c r="G9" s="25"/>
      <c r="H9" s="25"/>
      <c r="J9" s="6"/>
    </row>
    <row r="10" spans="1:11" ht="18.75" customHeight="1" x14ac:dyDescent="0.25">
      <c r="B10" s="25"/>
      <c r="C10" s="25"/>
      <c r="D10" s="25"/>
      <c r="E10" s="25"/>
      <c r="F10" s="25"/>
      <c r="G10" s="25"/>
      <c r="H10" s="25"/>
      <c r="J10" s="8"/>
    </row>
    <row r="11" spans="1:11" s="4" customFormat="1" ht="18.75" customHeight="1" x14ac:dyDescent="0.3">
      <c r="B11" s="5">
        <f t="array" aca="1" ref="B11:H11" ca="1">DaysAndWeeks+DATE(CalendarYear,6,1)-WEEKDAY(DATE(CalendarYear,6,1),(inicio_de_la_semana="lu.")+1)+15</f>
        <v>43996</v>
      </c>
      <c r="C11" s="5">
        <f ca="1"/>
        <v>43997</v>
      </c>
      <c r="D11" s="5">
        <f ca="1"/>
        <v>43998</v>
      </c>
      <c r="E11" s="5">
        <f ca="1"/>
        <v>43999</v>
      </c>
      <c r="F11" s="5">
        <f ca="1"/>
        <v>44000</v>
      </c>
      <c r="G11" s="5">
        <f ca="1"/>
        <v>44001</v>
      </c>
      <c r="H11" s="5">
        <f ca="1"/>
        <v>44002</v>
      </c>
      <c r="J11" s="6"/>
    </row>
    <row r="12" spans="1:11" s="4" customFormat="1" ht="18.75" customHeight="1" x14ac:dyDescent="0.25">
      <c r="B12" s="25"/>
      <c r="C12" s="25"/>
      <c r="D12" s="25"/>
      <c r="E12" s="25"/>
      <c r="F12" s="25"/>
      <c r="G12" s="25"/>
      <c r="H12" s="25"/>
      <c r="J12" s="6"/>
    </row>
    <row r="13" spans="1:11" s="4" customFormat="1" ht="18.75" customHeight="1" x14ac:dyDescent="0.25">
      <c r="B13" s="25"/>
      <c r="C13" s="25"/>
      <c r="D13" s="25"/>
      <c r="E13" s="25"/>
      <c r="F13" s="25"/>
      <c r="G13" s="25"/>
      <c r="H13" s="25"/>
      <c r="J13" s="6"/>
    </row>
    <row r="14" spans="1:11" ht="18.75" customHeight="1" x14ac:dyDescent="0.25">
      <c r="B14" s="25"/>
      <c r="C14" s="25"/>
      <c r="D14" s="25"/>
      <c r="E14" s="25"/>
      <c r="F14" s="25"/>
      <c r="G14" s="25"/>
      <c r="H14" s="25"/>
      <c r="J14" s="8"/>
    </row>
    <row r="15" spans="1:11" s="4" customFormat="1" ht="18.75" customHeight="1" x14ac:dyDescent="0.3">
      <c r="B15" s="5">
        <f t="array" aca="1" ref="B15:H15" ca="1">DaysAndWeeks+DATE(CalendarYear,6,1)-WEEKDAY(DATE(CalendarYear,6,1),(inicio_de_la_semana="lu.")+1)+22</f>
        <v>44003</v>
      </c>
      <c r="C15" s="5">
        <f ca="1"/>
        <v>44004</v>
      </c>
      <c r="D15" s="5">
        <f ca="1"/>
        <v>44005</v>
      </c>
      <c r="E15" s="5">
        <f ca="1"/>
        <v>44006</v>
      </c>
      <c r="F15" s="5">
        <f ca="1"/>
        <v>44007</v>
      </c>
      <c r="G15" s="5">
        <f ca="1"/>
        <v>44008</v>
      </c>
      <c r="H15" s="5">
        <f ca="1"/>
        <v>44009</v>
      </c>
      <c r="J15" s="6"/>
    </row>
    <row r="16" spans="1:11" s="4" customFormat="1" ht="18.75" customHeight="1" x14ac:dyDescent="0.25">
      <c r="B16" s="25"/>
      <c r="C16" s="25"/>
      <c r="D16" s="25"/>
      <c r="E16" s="25"/>
      <c r="F16" s="25"/>
      <c r="G16" s="25"/>
      <c r="H16" s="25"/>
      <c r="J16" s="6"/>
    </row>
    <row r="17" spans="2:10" s="4" customFormat="1" ht="18.75" customHeight="1" x14ac:dyDescent="0.25">
      <c r="B17" s="25"/>
      <c r="C17" s="25"/>
      <c r="D17" s="25"/>
      <c r="E17" s="25"/>
      <c r="F17" s="25"/>
      <c r="G17" s="25"/>
      <c r="H17" s="25"/>
      <c r="J17" s="6"/>
    </row>
    <row r="18" spans="2:10" ht="18.75" customHeight="1" x14ac:dyDescent="0.25">
      <c r="B18" s="25"/>
      <c r="C18" s="25"/>
      <c r="D18" s="25"/>
      <c r="E18" s="25"/>
      <c r="F18" s="25"/>
      <c r="G18" s="25"/>
      <c r="H18" s="25"/>
      <c r="J18" s="8"/>
    </row>
    <row r="19" spans="2:10" s="4" customFormat="1" ht="18.75" customHeight="1" x14ac:dyDescent="0.3">
      <c r="B19" s="5">
        <f t="array" aca="1" ref="B19:H19" ca="1">DaysAndWeeks+DATE(CalendarYear,6,1)-WEEKDAY(DATE(CalendarYear,6,1),(inicio_de_la_semana="lu.")+1)+29</f>
        <v>44010</v>
      </c>
      <c r="C19" s="5">
        <f ca="1"/>
        <v>44011</v>
      </c>
      <c r="D19" s="5">
        <f ca="1"/>
        <v>44012</v>
      </c>
      <c r="E19" s="5">
        <f ca="1"/>
        <v>44013</v>
      </c>
      <c r="F19" s="5">
        <f ca="1"/>
        <v>44014</v>
      </c>
      <c r="G19" s="5">
        <f ca="1"/>
        <v>44015</v>
      </c>
      <c r="H19" s="5">
        <f ca="1"/>
        <v>44016</v>
      </c>
      <c r="J19" s="6"/>
    </row>
    <row r="20" spans="2:10" s="4" customFormat="1" ht="18.75" customHeight="1" x14ac:dyDescent="0.25">
      <c r="B20" s="25"/>
      <c r="C20" s="25"/>
      <c r="D20" s="25"/>
      <c r="E20" s="25"/>
      <c r="F20" s="25"/>
      <c r="G20" s="25"/>
      <c r="H20" s="25"/>
      <c r="J20" s="6"/>
    </row>
    <row r="21" spans="2:10" s="4" customFormat="1" ht="18.75" customHeight="1" x14ac:dyDescent="0.25">
      <c r="B21" s="25"/>
      <c r="C21" s="25"/>
      <c r="D21" s="25"/>
      <c r="E21" s="25"/>
      <c r="F21" s="25"/>
      <c r="G21" s="25"/>
      <c r="H21" s="25"/>
      <c r="J21" s="6"/>
    </row>
    <row r="22" spans="2:10" ht="18.75" customHeight="1" x14ac:dyDescent="0.25">
      <c r="B22" s="25"/>
      <c r="C22" s="25"/>
      <c r="D22" s="25"/>
      <c r="E22" s="25"/>
      <c r="F22" s="25"/>
      <c r="G22" s="25"/>
      <c r="H22" s="25"/>
      <c r="J22" s="8"/>
    </row>
    <row r="23" spans="2:10" s="4" customFormat="1" ht="18.75" customHeight="1" x14ac:dyDescent="0.3">
      <c r="B23" s="5">
        <f t="array" aca="1" ref="B23:H23" ca="1">DaysAndWeeks+DATE(CalendarYear,6,1)-WEEKDAY(DATE(CalendarYear,6,1),(inicio_de_la_semana="lu.")+1)+36</f>
        <v>44017</v>
      </c>
      <c r="C23" s="5">
        <f ca="1"/>
        <v>44018</v>
      </c>
      <c r="D23" s="5">
        <f ca="1"/>
        <v>44019</v>
      </c>
      <c r="E23" s="5">
        <f ca="1"/>
        <v>44020</v>
      </c>
      <c r="F23" s="5">
        <f ca="1"/>
        <v>44021</v>
      </c>
      <c r="G23" s="5">
        <f ca="1"/>
        <v>44022</v>
      </c>
      <c r="H23" s="5">
        <f ca="1"/>
        <v>44023</v>
      </c>
      <c r="J23" s="6"/>
    </row>
    <row r="24" spans="2:10" s="4" customFormat="1" ht="18.75" customHeight="1" x14ac:dyDescent="0.25">
      <c r="B24" s="22"/>
      <c r="C24" s="22"/>
      <c r="D24" s="22"/>
      <c r="E24" s="22"/>
      <c r="F24" s="22"/>
      <c r="G24" s="22"/>
      <c r="H24" s="22"/>
      <c r="J24" s="6"/>
    </row>
  </sheetData>
  <mergeCells count="36">
    <mergeCell ref="H20:H22"/>
    <mergeCell ref="B20:B22"/>
    <mergeCell ref="C20:C22"/>
    <mergeCell ref="D20:D22"/>
    <mergeCell ref="E20:E22"/>
    <mergeCell ref="F20:F22"/>
    <mergeCell ref="G20:G22"/>
    <mergeCell ref="H12:H14"/>
    <mergeCell ref="B16:B18"/>
    <mergeCell ref="C16:C18"/>
    <mergeCell ref="D16:D18"/>
    <mergeCell ref="E16:E18"/>
    <mergeCell ref="F16:F18"/>
    <mergeCell ref="G16:G18"/>
    <mergeCell ref="H16:H18"/>
    <mergeCell ref="B12:B14"/>
    <mergeCell ref="C12:C14"/>
    <mergeCell ref="D12:D14"/>
    <mergeCell ref="E12:E14"/>
    <mergeCell ref="F12:F14"/>
    <mergeCell ref="G12:G14"/>
    <mergeCell ref="G4:G6"/>
    <mergeCell ref="H4:H6"/>
    <mergeCell ref="B8:B10"/>
    <mergeCell ref="C8:C10"/>
    <mergeCell ref="D8:D10"/>
    <mergeCell ref="E8:E10"/>
    <mergeCell ref="F8:F10"/>
    <mergeCell ref="G8:G10"/>
    <mergeCell ref="H8:H10"/>
    <mergeCell ref="F4:F6"/>
    <mergeCell ref="B1:D1"/>
    <mergeCell ref="B4:B6"/>
    <mergeCell ref="C4:C6"/>
    <mergeCell ref="D4:D6"/>
    <mergeCell ref="E4:E6"/>
  </mergeCells>
  <conditionalFormatting sqref="B19:H20 B23:H24">
    <cfRule type="expression" dxfId="13" priority="2">
      <formula>AND(DAY(B19)&gt;=1,DAY(B19)&lt;=15)</formula>
    </cfRule>
  </conditionalFormatting>
  <conditionalFormatting sqref="B3:G4">
    <cfRule type="expression" dxfId="12" priority="1">
      <formula>DAY(B3)&gt;8</formula>
    </cfRule>
  </conditionalFormatting>
  <printOptions horizontalCentered="1" verticalCentered="1"/>
  <pageMargins left="0.7" right="0.7" top="0.75" bottom="0.75" header="0.3" footer="0.3"/>
  <pageSetup paperSize="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499984740745262"/>
    <pageSetUpPr autoPageBreaks="0" fitToPage="1"/>
  </sheetPr>
  <dimension ref="A1:K24"/>
  <sheetViews>
    <sheetView showGridLines="0" zoomScaleNormal="100" workbookViewId="0"/>
  </sheetViews>
  <sheetFormatPr baseColWidth="10" defaultColWidth="8.85546875" defaultRowHeight="14.25" x14ac:dyDescent="0.25"/>
  <cols>
    <col min="1" max="1" width="2.42578125" style="2" customWidth="1"/>
    <col min="2" max="8" width="17.5703125" style="2" customWidth="1"/>
    <col min="9" max="9" width="2.42578125" style="2" customWidth="1"/>
    <col min="10" max="10" width="38.5703125" style="2" customWidth="1"/>
    <col min="11" max="11" width="2.42578125" style="2" customWidth="1"/>
    <col min="12" max="16384" width="8.85546875" style="2"/>
  </cols>
  <sheetData>
    <row r="1" spans="1:11" ht="59.25" customHeight="1" thickBot="1" x14ac:dyDescent="0.3">
      <c r="A1" s="1"/>
      <c r="B1" s="26" t="str">
        <f ca="1">LOWER(TEXT(B11,"mmmm"))</f>
        <v>julio</v>
      </c>
      <c r="C1" s="26"/>
      <c r="D1" s="26"/>
      <c r="E1" s="18"/>
      <c r="F1" s="18"/>
      <c r="G1" s="18"/>
      <c r="H1" s="20">
        <f ca="1">CalendarYear</f>
        <v>2020</v>
      </c>
      <c r="K1" s="2" t="s">
        <v>7</v>
      </c>
    </row>
    <row r="2" spans="1:11" s="3" customFormat="1" ht="46.5" customHeight="1" x14ac:dyDescent="0.55000000000000004">
      <c r="B2" s="9" t="str">
        <f>inicio_de_la_semana</f>
        <v>do.</v>
      </c>
      <c r="C2" s="9" t="str">
        <f t="shared" ref="C2:H2" ca="1" si="0">LOWER(TEXT(C3,"ddd"))</f>
        <v>lun</v>
      </c>
      <c r="D2" s="9" t="str">
        <f t="shared" ca="1" si="0"/>
        <v>mar</v>
      </c>
      <c r="E2" s="9" t="str">
        <f t="shared" ca="1" si="0"/>
        <v>mié</v>
      </c>
      <c r="F2" s="9" t="str">
        <f t="shared" ca="1" si="0"/>
        <v>jue</v>
      </c>
      <c r="G2" s="9" t="str">
        <f t="shared" ca="1" si="0"/>
        <v>vie</v>
      </c>
      <c r="H2" s="9" t="str">
        <f t="shared" ca="1" si="0"/>
        <v>sáb</v>
      </c>
      <c r="J2" s="16" t="s">
        <v>5</v>
      </c>
    </row>
    <row r="3" spans="1:11" s="4" customFormat="1" ht="19.5" customHeight="1" x14ac:dyDescent="0.3">
      <c r="B3" s="5">
        <f t="array" aca="1" ref="B3:H3" ca="1">DaysAndWeeks+DATE(CalendarYear,7,1)-WEEKDAY(DATE(CalendarYear,7,1),(inicio_de_la_semana="lu.")+1)+1</f>
        <v>44010</v>
      </c>
      <c r="C3" s="5">
        <f ca="1"/>
        <v>44011</v>
      </c>
      <c r="D3" s="5">
        <f ca="1"/>
        <v>44012</v>
      </c>
      <c r="E3" s="5">
        <f ca="1"/>
        <v>44013</v>
      </c>
      <c r="F3" s="5">
        <f ca="1"/>
        <v>44014</v>
      </c>
      <c r="G3" s="5">
        <f ca="1"/>
        <v>44015</v>
      </c>
      <c r="H3" s="5">
        <f ca="1"/>
        <v>44016</v>
      </c>
      <c r="J3" s="21"/>
    </row>
    <row r="4" spans="1:11" s="4" customFormat="1" ht="19.5" customHeight="1" x14ac:dyDescent="0.25">
      <c r="B4" s="25"/>
      <c r="C4" s="25"/>
      <c r="D4" s="25"/>
      <c r="E4" s="25"/>
      <c r="F4" s="25"/>
      <c r="G4" s="25"/>
      <c r="H4" s="25"/>
    </row>
    <row r="5" spans="1:11" s="4" customFormat="1" ht="19.5" customHeight="1" x14ac:dyDescent="0.25">
      <c r="B5" s="25"/>
      <c r="C5" s="25"/>
      <c r="D5" s="25"/>
      <c r="E5" s="25"/>
      <c r="F5" s="25"/>
      <c r="G5" s="25"/>
      <c r="H5" s="25"/>
      <c r="J5" s="6"/>
    </row>
    <row r="6" spans="1:11" ht="18.75" customHeight="1" x14ac:dyDescent="0.25">
      <c r="B6" s="25"/>
      <c r="C6" s="25"/>
      <c r="D6" s="25"/>
      <c r="E6" s="25"/>
      <c r="F6" s="25"/>
      <c r="G6" s="25"/>
      <c r="H6" s="25"/>
      <c r="J6" s="8"/>
    </row>
    <row r="7" spans="1:11" s="4" customFormat="1" ht="18.75" customHeight="1" x14ac:dyDescent="0.3">
      <c r="B7" s="5">
        <f t="array" aca="1" ref="B7:H7" ca="1">DaysAndWeeks+DATE(CalendarYear,7,1)-WEEKDAY(DATE(CalendarYear,7,1),(inicio_de_la_semana="lu.")+1)+8</f>
        <v>44017</v>
      </c>
      <c r="C7" s="5">
        <f ca="1"/>
        <v>44018</v>
      </c>
      <c r="D7" s="5">
        <f ca="1"/>
        <v>44019</v>
      </c>
      <c r="E7" s="5">
        <f ca="1"/>
        <v>44020</v>
      </c>
      <c r="F7" s="5">
        <f ca="1"/>
        <v>44021</v>
      </c>
      <c r="G7" s="5">
        <f ca="1"/>
        <v>44022</v>
      </c>
      <c r="H7" s="5">
        <f ca="1"/>
        <v>44023</v>
      </c>
      <c r="J7" s="6"/>
    </row>
    <row r="8" spans="1:11" s="4" customFormat="1" ht="18.75" customHeight="1" x14ac:dyDescent="0.25">
      <c r="B8" s="25"/>
      <c r="C8" s="25"/>
      <c r="D8" s="25"/>
      <c r="E8" s="25"/>
      <c r="F8" s="25"/>
      <c r="G8" s="25"/>
      <c r="H8" s="25"/>
      <c r="J8" s="6"/>
    </row>
    <row r="9" spans="1:11" s="4" customFormat="1" ht="18.75" customHeight="1" x14ac:dyDescent="0.25">
      <c r="B9" s="25"/>
      <c r="C9" s="25"/>
      <c r="D9" s="25"/>
      <c r="E9" s="25"/>
      <c r="F9" s="25"/>
      <c r="G9" s="25"/>
      <c r="H9" s="25"/>
      <c r="J9" s="6"/>
    </row>
    <row r="10" spans="1:11" ht="18.75" customHeight="1" x14ac:dyDescent="0.25">
      <c r="B10" s="25"/>
      <c r="C10" s="25"/>
      <c r="D10" s="25"/>
      <c r="E10" s="25"/>
      <c r="F10" s="25"/>
      <c r="G10" s="25"/>
      <c r="H10" s="25"/>
      <c r="J10" s="8"/>
    </row>
    <row r="11" spans="1:11" s="4" customFormat="1" ht="18.75" customHeight="1" x14ac:dyDescent="0.3">
      <c r="B11" s="5">
        <f t="array" aca="1" ref="B11:H11" ca="1">DaysAndWeeks+DATE(CalendarYear,7,1)-WEEKDAY(DATE(CalendarYear,7,1),(inicio_de_la_semana="lu.")+1)+15</f>
        <v>44024</v>
      </c>
      <c r="C11" s="5">
        <f ca="1"/>
        <v>44025</v>
      </c>
      <c r="D11" s="5">
        <f ca="1"/>
        <v>44026</v>
      </c>
      <c r="E11" s="5">
        <f ca="1"/>
        <v>44027</v>
      </c>
      <c r="F11" s="5">
        <f ca="1"/>
        <v>44028</v>
      </c>
      <c r="G11" s="5">
        <f ca="1"/>
        <v>44029</v>
      </c>
      <c r="H11" s="5">
        <f ca="1"/>
        <v>44030</v>
      </c>
      <c r="J11" s="6"/>
    </row>
    <row r="12" spans="1:11" s="4" customFormat="1" ht="18.75" customHeight="1" x14ac:dyDescent="0.25">
      <c r="B12" s="25"/>
      <c r="C12" s="25"/>
      <c r="D12" s="25"/>
      <c r="E12" s="25"/>
      <c r="F12" s="25"/>
      <c r="G12" s="25"/>
      <c r="H12" s="25"/>
      <c r="J12" s="6"/>
    </row>
    <row r="13" spans="1:11" s="4" customFormat="1" ht="18.75" customHeight="1" x14ac:dyDescent="0.25">
      <c r="B13" s="25"/>
      <c r="C13" s="25"/>
      <c r="D13" s="25"/>
      <c r="E13" s="25"/>
      <c r="F13" s="25"/>
      <c r="G13" s="25"/>
      <c r="H13" s="25"/>
      <c r="J13" s="6"/>
    </row>
    <row r="14" spans="1:11" ht="18.75" customHeight="1" x14ac:dyDescent="0.25">
      <c r="B14" s="25"/>
      <c r="C14" s="25"/>
      <c r="D14" s="25"/>
      <c r="E14" s="25"/>
      <c r="F14" s="25"/>
      <c r="G14" s="25"/>
      <c r="H14" s="25"/>
      <c r="J14" s="8"/>
    </row>
    <row r="15" spans="1:11" s="4" customFormat="1" ht="18.75" customHeight="1" x14ac:dyDescent="0.3">
      <c r="B15" s="5">
        <f t="array" aca="1" ref="B15:H15" ca="1">DaysAndWeeks+DATE(CalendarYear,7,1)-WEEKDAY(DATE(CalendarYear,7,1),(inicio_de_la_semana="lu.")+1)+22</f>
        <v>44031</v>
      </c>
      <c r="C15" s="5">
        <f ca="1"/>
        <v>44032</v>
      </c>
      <c r="D15" s="5">
        <f ca="1"/>
        <v>44033</v>
      </c>
      <c r="E15" s="5">
        <f ca="1"/>
        <v>44034</v>
      </c>
      <c r="F15" s="5">
        <f ca="1"/>
        <v>44035</v>
      </c>
      <c r="G15" s="5">
        <f ca="1"/>
        <v>44036</v>
      </c>
      <c r="H15" s="5">
        <f ca="1"/>
        <v>44037</v>
      </c>
      <c r="J15" s="6"/>
    </row>
    <row r="16" spans="1:11" s="4" customFormat="1" ht="18.75" customHeight="1" x14ac:dyDescent="0.25">
      <c r="B16" s="25"/>
      <c r="C16" s="25"/>
      <c r="D16" s="25"/>
      <c r="E16" s="25"/>
      <c r="F16" s="25"/>
      <c r="G16" s="25"/>
      <c r="H16" s="25"/>
      <c r="J16" s="6"/>
    </row>
    <row r="17" spans="2:10" s="4" customFormat="1" ht="18.75" customHeight="1" x14ac:dyDescent="0.25">
      <c r="B17" s="25"/>
      <c r="C17" s="25"/>
      <c r="D17" s="25"/>
      <c r="E17" s="25"/>
      <c r="F17" s="25"/>
      <c r="G17" s="25"/>
      <c r="H17" s="25"/>
      <c r="J17" s="6"/>
    </row>
    <row r="18" spans="2:10" ht="18.75" customHeight="1" x14ac:dyDescent="0.25">
      <c r="B18" s="25"/>
      <c r="C18" s="25"/>
      <c r="D18" s="25"/>
      <c r="E18" s="25"/>
      <c r="F18" s="25"/>
      <c r="G18" s="25"/>
      <c r="H18" s="25"/>
      <c r="J18" s="8"/>
    </row>
    <row r="19" spans="2:10" s="4" customFormat="1" ht="18.75" customHeight="1" x14ac:dyDescent="0.3">
      <c r="B19" s="5">
        <f t="array" aca="1" ref="B19:H19" ca="1">DaysAndWeeks+DATE(CalendarYear,7,1)-WEEKDAY(DATE(CalendarYear,7,1),(inicio_de_la_semana="lu.")+1)+29</f>
        <v>44038</v>
      </c>
      <c r="C19" s="5">
        <f ca="1"/>
        <v>44039</v>
      </c>
      <c r="D19" s="5">
        <f ca="1"/>
        <v>44040</v>
      </c>
      <c r="E19" s="5">
        <f ca="1"/>
        <v>44041</v>
      </c>
      <c r="F19" s="5">
        <f ca="1"/>
        <v>44042</v>
      </c>
      <c r="G19" s="5">
        <f ca="1"/>
        <v>44043</v>
      </c>
      <c r="H19" s="5">
        <f ca="1"/>
        <v>44044</v>
      </c>
      <c r="J19" s="6"/>
    </row>
    <row r="20" spans="2:10" s="4" customFormat="1" ht="18.75" customHeight="1" x14ac:dyDescent="0.25">
      <c r="B20" s="25"/>
      <c r="C20" s="25"/>
      <c r="D20" s="25"/>
      <c r="E20" s="25"/>
      <c r="F20" s="25"/>
      <c r="G20" s="25"/>
      <c r="H20" s="25"/>
      <c r="J20" s="6"/>
    </row>
    <row r="21" spans="2:10" s="4" customFormat="1" ht="18.75" customHeight="1" x14ac:dyDescent="0.25">
      <c r="B21" s="25"/>
      <c r="C21" s="25"/>
      <c r="D21" s="25"/>
      <c r="E21" s="25"/>
      <c r="F21" s="25"/>
      <c r="G21" s="25"/>
      <c r="H21" s="25"/>
      <c r="J21" s="6"/>
    </row>
    <row r="22" spans="2:10" ht="18.75" customHeight="1" x14ac:dyDescent="0.25">
      <c r="B22" s="25"/>
      <c r="C22" s="25"/>
      <c r="D22" s="25"/>
      <c r="E22" s="25"/>
      <c r="F22" s="25"/>
      <c r="G22" s="25"/>
      <c r="H22" s="25"/>
      <c r="J22" s="8"/>
    </row>
    <row r="23" spans="2:10" s="4" customFormat="1" ht="18.75" customHeight="1" x14ac:dyDescent="0.3">
      <c r="B23" s="5">
        <f t="array" aca="1" ref="B23:H23" ca="1">DaysAndWeeks+DATE(CalendarYear,7,1)-WEEKDAY(DATE(CalendarYear,7,1),(inicio_de_la_semana="lu.")+1)+36</f>
        <v>44045</v>
      </c>
      <c r="C23" s="5">
        <f ca="1"/>
        <v>44046</v>
      </c>
      <c r="D23" s="5">
        <f ca="1"/>
        <v>44047</v>
      </c>
      <c r="E23" s="5">
        <f ca="1"/>
        <v>44048</v>
      </c>
      <c r="F23" s="5">
        <f ca="1"/>
        <v>44049</v>
      </c>
      <c r="G23" s="5">
        <f ca="1"/>
        <v>44050</v>
      </c>
      <c r="H23" s="5">
        <f ca="1"/>
        <v>44051</v>
      </c>
      <c r="J23" s="6"/>
    </row>
    <row r="24" spans="2:10" s="4" customFormat="1" ht="18.75" customHeight="1" x14ac:dyDescent="0.25">
      <c r="B24" s="22"/>
      <c r="C24" s="22"/>
      <c r="D24" s="22"/>
      <c r="E24" s="22"/>
      <c r="F24" s="22"/>
      <c r="G24" s="22"/>
      <c r="H24" s="22"/>
      <c r="J24" s="6"/>
    </row>
  </sheetData>
  <mergeCells count="36">
    <mergeCell ref="H20:H22"/>
    <mergeCell ref="B20:B22"/>
    <mergeCell ref="C20:C22"/>
    <mergeCell ref="D20:D22"/>
    <mergeCell ref="E20:E22"/>
    <mergeCell ref="F20:F22"/>
    <mergeCell ref="G20:G22"/>
    <mergeCell ref="H12:H14"/>
    <mergeCell ref="B16:B18"/>
    <mergeCell ref="C16:C18"/>
    <mergeCell ref="D16:D18"/>
    <mergeCell ref="E16:E18"/>
    <mergeCell ref="F16:F18"/>
    <mergeCell ref="G16:G18"/>
    <mergeCell ref="H16:H18"/>
    <mergeCell ref="B12:B14"/>
    <mergeCell ref="C12:C14"/>
    <mergeCell ref="D12:D14"/>
    <mergeCell ref="E12:E14"/>
    <mergeCell ref="F12:F14"/>
    <mergeCell ref="G12:G14"/>
    <mergeCell ref="G4:G6"/>
    <mergeCell ref="H4:H6"/>
    <mergeCell ref="B8:B10"/>
    <mergeCell ref="C8:C10"/>
    <mergeCell ref="D8:D10"/>
    <mergeCell ref="E8:E10"/>
    <mergeCell ref="F8:F10"/>
    <mergeCell ref="G8:G10"/>
    <mergeCell ref="H8:H10"/>
    <mergeCell ref="F4:F6"/>
    <mergeCell ref="B1:D1"/>
    <mergeCell ref="B4:B6"/>
    <mergeCell ref="C4:C6"/>
    <mergeCell ref="D4:D6"/>
    <mergeCell ref="E4:E6"/>
  </mergeCells>
  <conditionalFormatting sqref="B19:H20 B23:H24">
    <cfRule type="expression" dxfId="11" priority="2">
      <formula>AND(DAY(B19)&gt;=1,DAY(B19)&lt;=15)</formula>
    </cfRule>
  </conditionalFormatting>
  <conditionalFormatting sqref="B3:G4">
    <cfRule type="expression" dxfId="10" priority="1">
      <formula>DAY(B3)&gt;8</formula>
    </cfRule>
  </conditionalFormatting>
  <printOptions horizontalCentered="1" verticalCentered="1"/>
  <pageMargins left="0.7" right="0.7" top="0.75" bottom="0.75" header="0.3" footer="0.3"/>
  <pageSetup paperSize="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-0.249977111117893"/>
    <pageSetUpPr autoPageBreaks="0" fitToPage="1"/>
  </sheetPr>
  <dimension ref="A1:K24"/>
  <sheetViews>
    <sheetView showGridLines="0" zoomScaleNormal="100" workbookViewId="0"/>
  </sheetViews>
  <sheetFormatPr baseColWidth="10" defaultColWidth="8.85546875" defaultRowHeight="14.25" x14ac:dyDescent="0.25"/>
  <cols>
    <col min="1" max="1" width="2.42578125" style="2" customWidth="1"/>
    <col min="2" max="8" width="17.5703125" style="2" customWidth="1"/>
    <col min="9" max="9" width="2.42578125" style="2" customWidth="1"/>
    <col min="10" max="10" width="38.5703125" style="2" customWidth="1"/>
    <col min="11" max="11" width="2.42578125" style="2" customWidth="1"/>
    <col min="12" max="16384" width="8.85546875" style="2"/>
  </cols>
  <sheetData>
    <row r="1" spans="1:11" ht="59.25" customHeight="1" thickBot="1" x14ac:dyDescent="0.3">
      <c r="A1" s="1"/>
      <c r="B1" s="26" t="str">
        <f ca="1">LOWER(TEXT(B11,"mmmm"))</f>
        <v>agosto</v>
      </c>
      <c r="C1" s="26"/>
      <c r="D1" s="26"/>
      <c r="E1" s="18"/>
      <c r="F1" s="18"/>
      <c r="G1" s="18"/>
      <c r="H1" s="20">
        <f ca="1">CalendarYear</f>
        <v>2020</v>
      </c>
      <c r="K1" s="2" t="s">
        <v>7</v>
      </c>
    </row>
    <row r="2" spans="1:11" s="3" customFormat="1" ht="46.5" customHeight="1" x14ac:dyDescent="0.55000000000000004">
      <c r="B2" s="9" t="str">
        <f>inicio_de_la_semana</f>
        <v>do.</v>
      </c>
      <c r="C2" s="9" t="str">
        <f t="shared" ref="C2:H2" ca="1" si="0">LOWER(TEXT(C3,"ddd"))</f>
        <v>lun</v>
      </c>
      <c r="D2" s="9" t="str">
        <f t="shared" ca="1" si="0"/>
        <v>mar</v>
      </c>
      <c r="E2" s="9" t="str">
        <f t="shared" ca="1" si="0"/>
        <v>mié</v>
      </c>
      <c r="F2" s="9" t="str">
        <f t="shared" ca="1" si="0"/>
        <v>jue</v>
      </c>
      <c r="G2" s="9" t="str">
        <f t="shared" ca="1" si="0"/>
        <v>vie</v>
      </c>
      <c r="H2" s="9" t="str">
        <f t="shared" ca="1" si="0"/>
        <v>sáb</v>
      </c>
      <c r="J2" s="16" t="s">
        <v>5</v>
      </c>
    </row>
    <row r="3" spans="1:11" s="4" customFormat="1" ht="19.5" customHeight="1" x14ac:dyDescent="0.3">
      <c r="B3" s="5">
        <f t="array" aca="1" ref="B3:H3" ca="1">DaysAndWeeks+DATE(CalendarYear,8,1)-WEEKDAY(DATE(CalendarYear,8,1),(inicio_de_la_semana="lu.")+1)+1</f>
        <v>44038</v>
      </c>
      <c r="C3" s="5">
        <f ca="1"/>
        <v>44039</v>
      </c>
      <c r="D3" s="5">
        <f ca="1"/>
        <v>44040</v>
      </c>
      <c r="E3" s="5">
        <f ca="1"/>
        <v>44041</v>
      </c>
      <c r="F3" s="5">
        <f ca="1"/>
        <v>44042</v>
      </c>
      <c r="G3" s="5">
        <f ca="1"/>
        <v>44043</v>
      </c>
      <c r="H3" s="5">
        <f ca="1"/>
        <v>44044</v>
      </c>
      <c r="J3" s="21"/>
    </row>
    <row r="4" spans="1:11" s="4" customFormat="1" ht="19.5" customHeight="1" x14ac:dyDescent="0.25">
      <c r="B4" s="25"/>
      <c r="C4" s="25"/>
      <c r="D4" s="25"/>
      <c r="E4" s="25"/>
      <c r="F4" s="25"/>
      <c r="G4" s="25"/>
      <c r="H4" s="25"/>
    </row>
    <row r="5" spans="1:11" s="4" customFormat="1" ht="19.5" customHeight="1" x14ac:dyDescent="0.25">
      <c r="B5" s="25"/>
      <c r="C5" s="25"/>
      <c r="D5" s="25"/>
      <c r="E5" s="25"/>
      <c r="F5" s="25"/>
      <c r="G5" s="25"/>
      <c r="H5" s="25"/>
      <c r="J5" s="6"/>
    </row>
    <row r="6" spans="1:11" ht="18.75" customHeight="1" x14ac:dyDescent="0.25">
      <c r="B6" s="25"/>
      <c r="C6" s="25"/>
      <c r="D6" s="25"/>
      <c r="E6" s="25"/>
      <c r="F6" s="25"/>
      <c r="G6" s="25"/>
      <c r="H6" s="25"/>
      <c r="J6" s="8"/>
    </row>
    <row r="7" spans="1:11" s="4" customFormat="1" ht="18.75" customHeight="1" x14ac:dyDescent="0.3">
      <c r="B7" s="5">
        <f t="array" aca="1" ref="B7:H7" ca="1">DaysAndWeeks+DATE(CalendarYear,8,1)-WEEKDAY(DATE(CalendarYear,8,1),(inicio_de_la_semana="lu.")+1)+8</f>
        <v>44045</v>
      </c>
      <c r="C7" s="5">
        <f ca="1"/>
        <v>44046</v>
      </c>
      <c r="D7" s="5">
        <f ca="1"/>
        <v>44047</v>
      </c>
      <c r="E7" s="5">
        <f ca="1"/>
        <v>44048</v>
      </c>
      <c r="F7" s="5">
        <f ca="1"/>
        <v>44049</v>
      </c>
      <c r="G7" s="5">
        <f ca="1"/>
        <v>44050</v>
      </c>
      <c r="H7" s="5">
        <f ca="1"/>
        <v>44051</v>
      </c>
      <c r="J7" s="6"/>
    </row>
    <row r="8" spans="1:11" s="4" customFormat="1" ht="18.75" customHeight="1" x14ac:dyDescent="0.25">
      <c r="B8" s="25"/>
      <c r="C8" s="25"/>
      <c r="D8" s="25"/>
      <c r="E8" s="25"/>
      <c r="F8" s="25"/>
      <c r="G8" s="25"/>
      <c r="H8" s="25"/>
      <c r="J8" s="6"/>
    </row>
    <row r="9" spans="1:11" s="4" customFormat="1" ht="18.75" customHeight="1" x14ac:dyDescent="0.25">
      <c r="B9" s="25"/>
      <c r="C9" s="25"/>
      <c r="D9" s="25"/>
      <c r="E9" s="25"/>
      <c r="F9" s="25"/>
      <c r="G9" s="25"/>
      <c r="H9" s="25"/>
      <c r="J9" s="6"/>
    </row>
    <row r="10" spans="1:11" ht="18.75" customHeight="1" x14ac:dyDescent="0.25">
      <c r="B10" s="25"/>
      <c r="C10" s="25"/>
      <c r="D10" s="25"/>
      <c r="E10" s="25"/>
      <c r="F10" s="25"/>
      <c r="G10" s="25"/>
      <c r="H10" s="25"/>
      <c r="J10" s="8"/>
    </row>
    <row r="11" spans="1:11" s="4" customFormat="1" ht="18.75" customHeight="1" x14ac:dyDescent="0.3">
      <c r="B11" s="5">
        <f t="array" aca="1" ref="B11:H11" ca="1">DaysAndWeeks+DATE(CalendarYear,8,1)-WEEKDAY(DATE(CalendarYear,8,1),(inicio_de_la_semana="lu.")+1)+15</f>
        <v>44052</v>
      </c>
      <c r="C11" s="5">
        <f ca="1"/>
        <v>44053</v>
      </c>
      <c r="D11" s="5">
        <f ca="1"/>
        <v>44054</v>
      </c>
      <c r="E11" s="5">
        <f ca="1"/>
        <v>44055</v>
      </c>
      <c r="F11" s="5">
        <f ca="1"/>
        <v>44056</v>
      </c>
      <c r="G11" s="5">
        <f ca="1"/>
        <v>44057</v>
      </c>
      <c r="H11" s="5">
        <f ca="1"/>
        <v>44058</v>
      </c>
      <c r="J11" s="6"/>
    </row>
    <row r="12" spans="1:11" s="4" customFormat="1" ht="18.75" customHeight="1" x14ac:dyDescent="0.25">
      <c r="B12" s="25"/>
      <c r="C12" s="25"/>
      <c r="D12" s="25"/>
      <c r="E12" s="25"/>
      <c r="F12" s="25"/>
      <c r="G12" s="25"/>
      <c r="H12" s="25"/>
      <c r="J12" s="6"/>
    </row>
    <row r="13" spans="1:11" s="4" customFormat="1" ht="18.75" customHeight="1" x14ac:dyDescent="0.25">
      <c r="B13" s="25"/>
      <c r="C13" s="25"/>
      <c r="D13" s="25"/>
      <c r="E13" s="25"/>
      <c r="F13" s="25"/>
      <c r="G13" s="25"/>
      <c r="H13" s="25"/>
      <c r="J13" s="6"/>
    </row>
    <row r="14" spans="1:11" ht="18.75" customHeight="1" x14ac:dyDescent="0.25">
      <c r="B14" s="25"/>
      <c r="C14" s="25"/>
      <c r="D14" s="25"/>
      <c r="E14" s="25"/>
      <c r="F14" s="25"/>
      <c r="G14" s="25"/>
      <c r="H14" s="25"/>
      <c r="J14" s="8"/>
    </row>
    <row r="15" spans="1:11" s="4" customFormat="1" ht="18.75" customHeight="1" x14ac:dyDescent="0.3">
      <c r="B15" s="5">
        <f t="array" aca="1" ref="B15:H15" ca="1">DaysAndWeeks+DATE(CalendarYear,8,1)-WEEKDAY(DATE(CalendarYear,8,1),(inicio_de_la_semana="lu.")+1)+22</f>
        <v>44059</v>
      </c>
      <c r="C15" s="5">
        <f ca="1"/>
        <v>44060</v>
      </c>
      <c r="D15" s="5">
        <f ca="1"/>
        <v>44061</v>
      </c>
      <c r="E15" s="5">
        <f ca="1"/>
        <v>44062</v>
      </c>
      <c r="F15" s="5">
        <f ca="1"/>
        <v>44063</v>
      </c>
      <c r="G15" s="5">
        <f ca="1"/>
        <v>44064</v>
      </c>
      <c r="H15" s="5">
        <f ca="1"/>
        <v>44065</v>
      </c>
      <c r="J15" s="6"/>
    </row>
    <row r="16" spans="1:11" s="4" customFormat="1" ht="18.75" customHeight="1" x14ac:dyDescent="0.25">
      <c r="B16" s="25"/>
      <c r="C16" s="25"/>
      <c r="D16" s="25"/>
      <c r="E16" s="25"/>
      <c r="F16" s="25"/>
      <c r="G16" s="25"/>
      <c r="H16" s="25"/>
      <c r="J16" s="6"/>
    </row>
    <row r="17" spans="2:10" s="4" customFormat="1" ht="18.75" customHeight="1" x14ac:dyDescent="0.25">
      <c r="B17" s="25"/>
      <c r="C17" s="25"/>
      <c r="D17" s="25"/>
      <c r="E17" s="25"/>
      <c r="F17" s="25"/>
      <c r="G17" s="25"/>
      <c r="H17" s="25"/>
      <c r="J17" s="6"/>
    </row>
    <row r="18" spans="2:10" ht="18.75" customHeight="1" x14ac:dyDescent="0.25">
      <c r="B18" s="25"/>
      <c r="C18" s="25"/>
      <c r="D18" s="25"/>
      <c r="E18" s="25"/>
      <c r="F18" s="25"/>
      <c r="G18" s="25"/>
      <c r="H18" s="25"/>
      <c r="J18" s="8"/>
    </row>
    <row r="19" spans="2:10" s="4" customFormat="1" ht="18.75" customHeight="1" x14ac:dyDescent="0.3">
      <c r="B19" s="5">
        <f t="array" aca="1" ref="B19:H19" ca="1">DaysAndWeeks+DATE(CalendarYear,8,1)-WEEKDAY(DATE(CalendarYear,8,1),(inicio_de_la_semana="lu.")+1)+29</f>
        <v>44066</v>
      </c>
      <c r="C19" s="5">
        <f ca="1"/>
        <v>44067</v>
      </c>
      <c r="D19" s="5">
        <f ca="1"/>
        <v>44068</v>
      </c>
      <c r="E19" s="5">
        <f ca="1"/>
        <v>44069</v>
      </c>
      <c r="F19" s="5">
        <f ca="1"/>
        <v>44070</v>
      </c>
      <c r="G19" s="5">
        <f ca="1"/>
        <v>44071</v>
      </c>
      <c r="H19" s="5">
        <f ca="1"/>
        <v>44072</v>
      </c>
      <c r="J19" s="6"/>
    </row>
    <row r="20" spans="2:10" s="4" customFormat="1" ht="18.75" customHeight="1" x14ac:dyDescent="0.25">
      <c r="B20" s="25"/>
      <c r="C20" s="25"/>
      <c r="D20" s="25"/>
      <c r="E20" s="25"/>
      <c r="F20" s="25"/>
      <c r="G20" s="25"/>
      <c r="H20" s="25"/>
      <c r="J20" s="6"/>
    </row>
    <row r="21" spans="2:10" s="4" customFormat="1" ht="18.75" customHeight="1" x14ac:dyDescent="0.25">
      <c r="B21" s="25"/>
      <c r="C21" s="25"/>
      <c r="D21" s="25"/>
      <c r="E21" s="25"/>
      <c r="F21" s="25"/>
      <c r="G21" s="25"/>
      <c r="H21" s="25"/>
      <c r="J21" s="6"/>
    </row>
    <row r="22" spans="2:10" ht="18.75" customHeight="1" x14ac:dyDescent="0.25">
      <c r="B22" s="25"/>
      <c r="C22" s="25"/>
      <c r="D22" s="25"/>
      <c r="E22" s="25"/>
      <c r="F22" s="25"/>
      <c r="G22" s="25"/>
      <c r="H22" s="25"/>
      <c r="J22" s="8"/>
    </row>
    <row r="23" spans="2:10" s="4" customFormat="1" ht="18.75" customHeight="1" x14ac:dyDescent="0.3">
      <c r="B23" s="5">
        <f t="array" aca="1" ref="B23:H23" ca="1">DaysAndWeeks+DATE(CalendarYear,8,1)-WEEKDAY(DATE(CalendarYear,8,1),(inicio_de_la_semana="lu.")+1)+36</f>
        <v>44073</v>
      </c>
      <c r="C23" s="5">
        <f ca="1"/>
        <v>44074</v>
      </c>
      <c r="D23" s="5">
        <f ca="1"/>
        <v>44075</v>
      </c>
      <c r="E23" s="5">
        <f ca="1"/>
        <v>44076</v>
      </c>
      <c r="F23" s="5">
        <f ca="1"/>
        <v>44077</v>
      </c>
      <c r="G23" s="5">
        <f ca="1"/>
        <v>44078</v>
      </c>
      <c r="H23" s="5">
        <f ca="1"/>
        <v>44079</v>
      </c>
      <c r="J23" s="6"/>
    </row>
    <row r="24" spans="2:10" s="4" customFormat="1" ht="18.75" customHeight="1" x14ac:dyDescent="0.25">
      <c r="B24" s="22"/>
      <c r="C24" s="22"/>
      <c r="D24" s="22"/>
      <c r="E24" s="22"/>
      <c r="F24" s="22"/>
      <c r="G24" s="22"/>
      <c r="H24" s="22"/>
      <c r="J24" s="6"/>
    </row>
  </sheetData>
  <mergeCells count="36">
    <mergeCell ref="H20:H22"/>
    <mergeCell ref="B20:B22"/>
    <mergeCell ref="C20:C22"/>
    <mergeCell ref="D20:D22"/>
    <mergeCell ref="E20:E22"/>
    <mergeCell ref="F20:F22"/>
    <mergeCell ref="G20:G22"/>
    <mergeCell ref="H12:H14"/>
    <mergeCell ref="B16:B18"/>
    <mergeCell ref="C16:C18"/>
    <mergeCell ref="D16:D18"/>
    <mergeCell ref="E16:E18"/>
    <mergeCell ref="F16:F18"/>
    <mergeCell ref="G16:G18"/>
    <mergeCell ref="H16:H18"/>
    <mergeCell ref="B12:B14"/>
    <mergeCell ref="C12:C14"/>
    <mergeCell ref="D12:D14"/>
    <mergeCell ref="E12:E14"/>
    <mergeCell ref="F12:F14"/>
    <mergeCell ref="G12:G14"/>
    <mergeCell ref="G4:G6"/>
    <mergeCell ref="H4:H6"/>
    <mergeCell ref="B8:B10"/>
    <mergeCell ref="C8:C10"/>
    <mergeCell ref="D8:D10"/>
    <mergeCell ref="E8:E10"/>
    <mergeCell ref="F8:F10"/>
    <mergeCell ref="G8:G10"/>
    <mergeCell ref="H8:H10"/>
    <mergeCell ref="F4:F6"/>
    <mergeCell ref="B1:D1"/>
    <mergeCell ref="B4:B6"/>
    <mergeCell ref="C4:C6"/>
    <mergeCell ref="D4:D6"/>
    <mergeCell ref="E4:E6"/>
  </mergeCells>
  <conditionalFormatting sqref="B19:H20 B23:H24">
    <cfRule type="expression" dxfId="9" priority="2">
      <formula>AND(DAY(B19)&gt;=1,DAY(B19)&lt;=15)</formula>
    </cfRule>
  </conditionalFormatting>
  <conditionalFormatting sqref="B3:G4">
    <cfRule type="expression" dxfId="8" priority="1">
      <formula>DAY(B3)&gt;8</formula>
    </cfRule>
  </conditionalFormatting>
  <printOptions horizontalCentered="1" verticalCentered="1"/>
  <pageMargins left="0.7" right="0.7" top="0.75" bottom="0.75" header="0.3" footer="0.3"/>
  <pageSetup paperSize="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/>
    <pageSetUpPr autoPageBreaks="0" fitToPage="1"/>
  </sheetPr>
  <dimension ref="A1:K24"/>
  <sheetViews>
    <sheetView showGridLines="0" zoomScaleNormal="100" workbookViewId="0"/>
  </sheetViews>
  <sheetFormatPr baseColWidth="10" defaultColWidth="8.85546875" defaultRowHeight="14.25" x14ac:dyDescent="0.25"/>
  <cols>
    <col min="1" max="1" width="2.42578125" style="2" customWidth="1"/>
    <col min="2" max="8" width="17.5703125" style="2" customWidth="1"/>
    <col min="9" max="9" width="2.42578125" style="2" customWidth="1"/>
    <col min="10" max="10" width="38.5703125" style="2" customWidth="1"/>
    <col min="11" max="11" width="2.42578125" style="2" customWidth="1"/>
    <col min="12" max="16384" width="8.85546875" style="2"/>
  </cols>
  <sheetData>
    <row r="1" spans="1:11" ht="59.25" customHeight="1" thickBot="1" x14ac:dyDescent="0.3">
      <c r="A1" s="1"/>
      <c r="B1" s="26" t="str">
        <f ca="1">LOWER(TEXT(B11,"mmmm"))</f>
        <v>septiembre</v>
      </c>
      <c r="C1" s="26"/>
      <c r="D1" s="26"/>
      <c r="E1" s="18"/>
      <c r="F1" s="18"/>
      <c r="G1" s="18"/>
      <c r="H1" s="20">
        <f ca="1">CalendarYear</f>
        <v>2020</v>
      </c>
      <c r="K1" s="2" t="s">
        <v>7</v>
      </c>
    </row>
    <row r="2" spans="1:11" s="3" customFormat="1" ht="46.5" customHeight="1" x14ac:dyDescent="0.55000000000000004">
      <c r="B2" s="9" t="str">
        <f>inicio_de_la_semana</f>
        <v>do.</v>
      </c>
      <c r="C2" s="9" t="str">
        <f t="shared" ref="C2:H2" ca="1" si="0">LOWER(TEXT(C3,"ddd"))</f>
        <v>lun</v>
      </c>
      <c r="D2" s="9" t="str">
        <f t="shared" ca="1" si="0"/>
        <v>mar</v>
      </c>
      <c r="E2" s="9" t="str">
        <f t="shared" ca="1" si="0"/>
        <v>mié</v>
      </c>
      <c r="F2" s="9" t="str">
        <f t="shared" ca="1" si="0"/>
        <v>jue</v>
      </c>
      <c r="G2" s="9" t="str">
        <f t="shared" ca="1" si="0"/>
        <v>vie</v>
      </c>
      <c r="H2" s="9" t="str">
        <f t="shared" ca="1" si="0"/>
        <v>sáb</v>
      </c>
      <c r="J2" s="16" t="s">
        <v>5</v>
      </c>
    </row>
    <row r="3" spans="1:11" s="4" customFormat="1" ht="19.5" customHeight="1" x14ac:dyDescent="0.3">
      <c r="B3" s="5">
        <f t="array" aca="1" ref="B3:H3" ca="1">DaysAndWeeks+DATE(CalendarYear,9,1)-WEEKDAY(DATE(CalendarYear,9,1),(inicio_de_la_semana="lu.")+1)+1</f>
        <v>44073</v>
      </c>
      <c r="C3" s="5">
        <f ca="1"/>
        <v>44074</v>
      </c>
      <c r="D3" s="5">
        <f ca="1"/>
        <v>44075</v>
      </c>
      <c r="E3" s="5">
        <f ca="1"/>
        <v>44076</v>
      </c>
      <c r="F3" s="5">
        <f ca="1"/>
        <v>44077</v>
      </c>
      <c r="G3" s="5">
        <f ca="1"/>
        <v>44078</v>
      </c>
      <c r="H3" s="5">
        <f ca="1"/>
        <v>44079</v>
      </c>
      <c r="J3" s="21"/>
    </row>
    <row r="4" spans="1:11" s="4" customFormat="1" ht="19.5" customHeight="1" x14ac:dyDescent="0.25">
      <c r="B4" s="25"/>
      <c r="C4" s="25"/>
      <c r="D4" s="25"/>
      <c r="E4" s="25"/>
      <c r="F4" s="25"/>
      <c r="G4" s="25"/>
      <c r="H4" s="25"/>
    </row>
    <row r="5" spans="1:11" s="4" customFormat="1" ht="19.5" customHeight="1" x14ac:dyDescent="0.25">
      <c r="B5" s="25"/>
      <c r="C5" s="25"/>
      <c r="D5" s="25"/>
      <c r="E5" s="25"/>
      <c r="F5" s="25"/>
      <c r="G5" s="25"/>
      <c r="H5" s="25"/>
      <c r="J5" s="6"/>
    </row>
    <row r="6" spans="1:11" ht="18.75" customHeight="1" x14ac:dyDescent="0.25">
      <c r="B6" s="25"/>
      <c r="C6" s="25"/>
      <c r="D6" s="25"/>
      <c r="E6" s="25"/>
      <c r="F6" s="25"/>
      <c r="G6" s="25"/>
      <c r="H6" s="25"/>
      <c r="J6" s="8"/>
    </row>
    <row r="7" spans="1:11" s="4" customFormat="1" ht="18.75" customHeight="1" x14ac:dyDescent="0.3">
      <c r="B7" s="5">
        <f t="array" aca="1" ref="B7:H7" ca="1">DaysAndWeeks+DATE(CalendarYear,9,1)-WEEKDAY(DATE(CalendarYear,9,1),(inicio_de_la_semana="lu.")+1)+8</f>
        <v>44080</v>
      </c>
      <c r="C7" s="5">
        <f ca="1"/>
        <v>44081</v>
      </c>
      <c r="D7" s="5">
        <f ca="1"/>
        <v>44082</v>
      </c>
      <c r="E7" s="5">
        <f ca="1"/>
        <v>44083</v>
      </c>
      <c r="F7" s="5">
        <f ca="1"/>
        <v>44084</v>
      </c>
      <c r="G7" s="5">
        <f ca="1"/>
        <v>44085</v>
      </c>
      <c r="H7" s="5">
        <f ca="1"/>
        <v>44086</v>
      </c>
      <c r="J7" s="6"/>
    </row>
    <row r="8" spans="1:11" s="4" customFormat="1" ht="18.75" customHeight="1" x14ac:dyDescent="0.25">
      <c r="B8" s="25"/>
      <c r="C8" s="25"/>
      <c r="D8" s="25"/>
      <c r="E8" s="25"/>
      <c r="F8" s="25"/>
      <c r="G8" s="25"/>
      <c r="H8" s="25"/>
      <c r="J8" s="6"/>
    </row>
    <row r="9" spans="1:11" s="4" customFormat="1" ht="18.75" customHeight="1" x14ac:dyDescent="0.25">
      <c r="B9" s="25"/>
      <c r="C9" s="25"/>
      <c r="D9" s="25"/>
      <c r="E9" s="25"/>
      <c r="F9" s="25"/>
      <c r="G9" s="25"/>
      <c r="H9" s="25"/>
      <c r="J9" s="6"/>
    </row>
    <row r="10" spans="1:11" ht="18.75" customHeight="1" x14ac:dyDescent="0.25">
      <c r="B10" s="25"/>
      <c r="C10" s="25"/>
      <c r="D10" s="25"/>
      <c r="E10" s="25"/>
      <c r="F10" s="25"/>
      <c r="G10" s="25"/>
      <c r="H10" s="25"/>
      <c r="J10" s="8"/>
    </row>
    <row r="11" spans="1:11" s="4" customFormat="1" ht="18.75" customHeight="1" x14ac:dyDescent="0.3">
      <c r="B11" s="5">
        <f t="array" aca="1" ref="B11:H11" ca="1">DaysAndWeeks+DATE(CalendarYear,9,1)-WEEKDAY(DATE(CalendarYear,9,1),(inicio_de_la_semana="lu.")+1)+15</f>
        <v>44087</v>
      </c>
      <c r="C11" s="5">
        <f ca="1"/>
        <v>44088</v>
      </c>
      <c r="D11" s="5">
        <f ca="1"/>
        <v>44089</v>
      </c>
      <c r="E11" s="5">
        <f ca="1"/>
        <v>44090</v>
      </c>
      <c r="F11" s="5">
        <f ca="1"/>
        <v>44091</v>
      </c>
      <c r="G11" s="5">
        <f ca="1"/>
        <v>44092</v>
      </c>
      <c r="H11" s="5">
        <f ca="1"/>
        <v>44093</v>
      </c>
      <c r="J11" s="6"/>
    </row>
    <row r="12" spans="1:11" s="4" customFormat="1" ht="18.75" customHeight="1" x14ac:dyDescent="0.25">
      <c r="B12" s="25"/>
      <c r="C12" s="25"/>
      <c r="D12" s="25"/>
      <c r="E12" s="25"/>
      <c r="F12" s="25"/>
      <c r="G12" s="25"/>
      <c r="H12" s="25"/>
      <c r="J12" s="6"/>
    </row>
    <row r="13" spans="1:11" s="4" customFormat="1" ht="18.75" customHeight="1" x14ac:dyDescent="0.25">
      <c r="B13" s="25"/>
      <c r="C13" s="25"/>
      <c r="D13" s="25"/>
      <c r="E13" s="25"/>
      <c r="F13" s="25"/>
      <c r="G13" s="25"/>
      <c r="H13" s="25"/>
      <c r="J13" s="6"/>
    </row>
    <row r="14" spans="1:11" ht="18.75" customHeight="1" x14ac:dyDescent="0.25">
      <c r="B14" s="25"/>
      <c r="C14" s="25"/>
      <c r="D14" s="25"/>
      <c r="E14" s="25"/>
      <c r="F14" s="25"/>
      <c r="G14" s="25"/>
      <c r="H14" s="25"/>
      <c r="J14" s="8"/>
    </row>
    <row r="15" spans="1:11" s="4" customFormat="1" ht="18.75" customHeight="1" x14ac:dyDescent="0.3">
      <c r="B15" s="5">
        <f t="array" aca="1" ref="B15:H15" ca="1">DaysAndWeeks+DATE(CalendarYear,9,1)-WEEKDAY(DATE(CalendarYear,9,1),(inicio_de_la_semana="lu.")+1)+22</f>
        <v>44094</v>
      </c>
      <c r="C15" s="5">
        <f ca="1"/>
        <v>44095</v>
      </c>
      <c r="D15" s="5">
        <f ca="1"/>
        <v>44096</v>
      </c>
      <c r="E15" s="5">
        <f ca="1"/>
        <v>44097</v>
      </c>
      <c r="F15" s="5">
        <f ca="1"/>
        <v>44098</v>
      </c>
      <c r="G15" s="5">
        <f ca="1"/>
        <v>44099</v>
      </c>
      <c r="H15" s="5">
        <f ca="1"/>
        <v>44100</v>
      </c>
      <c r="J15" s="6"/>
    </row>
    <row r="16" spans="1:11" s="4" customFormat="1" ht="18.75" customHeight="1" x14ac:dyDescent="0.25">
      <c r="B16" s="25"/>
      <c r="C16" s="25"/>
      <c r="D16" s="25"/>
      <c r="E16" s="25"/>
      <c r="F16" s="25"/>
      <c r="G16" s="25"/>
      <c r="H16" s="25"/>
      <c r="J16" s="6"/>
    </row>
    <row r="17" spans="2:10" s="4" customFormat="1" ht="18.75" customHeight="1" x14ac:dyDescent="0.25">
      <c r="B17" s="25"/>
      <c r="C17" s="25"/>
      <c r="D17" s="25"/>
      <c r="E17" s="25"/>
      <c r="F17" s="25"/>
      <c r="G17" s="25"/>
      <c r="H17" s="25"/>
      <c r="J17" s="6"/>
    </row>
    <row r="18" spans="2:10" ht="18.75" customHeight="1" x14ac:dyDescent="0.25">
      <c r="B18" s="25"/>
      <c r="C18" s="25"/>
      <c r="D18" s="25"/>
      <c r="E18" s="25"/>
      <c r="F18" s="25"/>
      <c r="G18" s="25"/>
      <c r="H18" s="25"/>
      <c r="J18" s="8"/>
    </row>
    <row r="19" spans="2:10" s="4" customFormat="1" ht="18.75" customHeight="1" x14ac:dyDescent="0.3">
      <c r="B19" s="5">
        <f t="array" aca="1" ref="B19:H19" ca="1">DaysAndWeeks+DATE(CalendarYear,9,1)-WEEKDAY(DATE(CalendarYear,9,1),(inicio_de_la_semana="lu.")+1)+29</f>
        <v>44101</v>
      </c>
      <c r="C19" s="5">
        <f ca="1"/>
        <v>44102</v>
      </c>
      <c r="D19" s="5">
        <f ca="1"/>
        <v>44103</v>
      </c>
      <c r="E19" s="5">
        <f ca="1"/>
        <v>44104</v>
      </c>
      <c r="F19" s="5">
        <f ca="1"/>
        <v>44105</v>
      </c>
      <c r="G19" s="5">
        <f ca="1"/>
        <v>44106</v>
      </c>
      <c r="H19" s="5">
        <f ca="1"/>
        <v>44107</v>
      </c>
      <c r="J19" s="6"/>
    </row>
    <row r="20" spans="2:10" s="4" customFormat="1" ht="18.75" customHeight="1" x14ac:dyDescent="0.25">
      <c r="B20" s="25"/>
      <c r="C20" s="25"/>
      <c r="D20" s="25"/>
      <c r="E20" s="25"/>
      <c r="F20" s="25"/>
      <c r="G20" s="25"/>
      <c r="H20" s="25"/>
      <c r="J20" s="6"/>
    </row>
    <row r="21" spans="2:10" s="4" customFormat="1" ht="18.75" customHeight="1" x14ac:dyDescent="0.25">
      <c r="B21" s="25"/>
      <c r="C21" s="25"/>
      <c r="D21" s="25"/>
      <c r="E21" s="25"/>
      <c r="F21" s="25"/>
      <c r="G21" s="25"/>
      <c r="H21" s="25"/>
      <c r="J21" s="6"/>
    </row>
    <row r="22" spans="2:10" ht="18.75" customHeight="1" x14ac:dyDescent="0.25">
      <c r="B22" s="25"/>
      <c r="C22" s="25"/>
      <c r="D22" s="25"/>
      <c r="E22" s="25"/>
      <c r="F22" s="25"/>
      <c r="G22" s="25"/>
      <c r="H22" s="25"/>
      <c r="J22" s="8"/>
    </row>
    <row r="23" spans="2:10" s="4" customFormat="1" ht="18.75" customHeight="1" x14ac:dyDescent="0.3">
      <c r="B23" s="5">
        <f t="array" aca="1" ref="B23:H23" ca="1">DaysAndWeeks+DATE(CalendarYear,9,1)-WEEKDAY(DATE(CalendarYear,9,1),(inicio_de_la_semana="lu.")+1)+36</f>
        <v>44108</v>
      </c>
      <c r="C23" s="5">
        <f ca="1"/>
        <v>44109</v>
      </c>
      <c r="D23" s="5">
        <f ca="1"/>
        <v>44110</v>
      </c>
      <c r="E23" s="5">
        <f ca="1"/>
        <v>44111</v>
      </c>
      <c r="F23" s="5">
        <f ca="1"/>
        <v>44112</v>
      </c>
      <c r="G23" s="5">
        <f ca="1"/>
        <v>44113</v>
      </c>
      <c r="H23" s="5">
        <f ca="1"/>
        <v>44114</v>
      </c>
      <c r="J23" s="6"/>
    </row>
    <row r="24" spans="2:10" s="4" customFormat="1" ht="18.75" customHeight="1" x14ac:dyDescent="0.25">
      <c r="B24" s="22"/>
      <c r="C24" s="22"/>
      <c r="D24" s="22"/>
      <c r="E24" s="22"/>
      <c r="F24" s="22"/>
      <c r="G24" s="22"/>
      <c r="H24" s="22"/>
      <c r="J24" s="6"/>
    </row>
  </sheetData>
  <mergeCells count="36">
    <mergeCell ref="H20:H22"/>
    <mergeCell ref="B20:B22"/>
    <mergeCell ref="C20:C22"/>
    <mergeCell ref="D20:D22"/>
    <mergeCell ref="E20:E22"/>
    <mergeCell ref="F20:F22"/>
    <mergeCell ref="G20:G22"/>
    <mergeCell ref="H12:H14"/>
    <mergeCell ref="B16:B18"/>
    <mergeCell ref="C16:C18"/>
    <mergeCell ref="D16:D18"/>
    <mergeCell ref="E16:E18"/>
    <mergeCell ref="F16:F18"/>
    <mergeCell ref="G16:G18"/>
    <mergeCell ref="H16:H18"/>
    <mergeCell ref="B12:B14"/>
    <mergeCell ref="C12:C14"/>
    <mergeCell ref="D12:D14"/>
    <mergeCell ref="E12:E14"/>
    <mergeCell ref="F12:F14"/>
    <mergeCell ref="G12:G14"/>
    <mergeCell ref="G4:G6"/>
    <mergeCell ref="H4:H6"/>
    <mergeCell ref="B8:B10"/>
    <mergeCell ref="C8:C10"/>
    <mergeCell ref="D8:D10"/>
    <mergeCell ref="E8:E10"/>
    <mergeCell ref="F8:F10"/>
    <mergeCell ref="G8:G10"/>
    <mergeCell ref="H8:H10"/>
    <mergeCell ref="F4:F6"/>
    <mergeCell ref="B1:D1"/>
    <mergeCell ref="B4:B6"/>
    <mergeCell ref="C4:C6"/>
    <mergeCell ref="D4:D6"/>
    <mergeCell ref="E4:E6"/>
  </mergeCells>
  <conditionalFormatting sqref="B19:H20 B23:H24">
    <cfRule type="expression" dxfId="7" priority="2">
      <formula>AND(DAY(B19)&gt;=1,DAY(B19)&lt;=15)</formula>
    </cfRule>
  </conditionalFormatting>
  <conditionalFormatting sqref="B3:G4">
    <cfRule type="expression" dxfId="6" priority="1">
      <formula>DAY(B3)&gt;8</formula>
    </cfRule>
  </conditionalFormatting>
  <printOptions horizontalCentered="1" verticalCentered="1"/>
  <pageMargins left="0.7" right="0.7" top="0.75" bottom="0.75" header="0.3" footer="0.3"/>
  <pageSetup paperSize="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 tint="0.39997558519241921"/>
    <pageSetUpPr autoPageBreaks="0" fitToPage="1"/>
  </sheetPr>
  <dimension ref="A1:K24"/>
  <sheetViews>
    <sheetView showGridLines="0" zoomScaleNormal="100" workbookViewId="0"/>
  </sheetViews>
  <sheetFormatPr baseColWidth="10" defaultColWidth="8.85546875" defaultRowHeight="14.25" x14ac:dyDescent="0.25"/>
  <cols>
    <col min="1" max="1" width="2.42578125" style="2" customWidth="1"/>
    <col min="2" max="8" width="17.5703125" style="2" customWidth="1"/>
    <col min="9" max="9" width="2.42578125" style="2" customWidth="1"/>
    <col min="10" max="10" width="38.5703125" style="2" customWidth="1"/>
    <col min="11" max="11" width="2.42578125" style="2" customWidth="1"/>
    <col min="12" max="16384" width="8.85546875" style="2"/>
  </cols>
  <sheetData>
    <row r="1" spans="1:11" ht="59.25" customHeight="1" thickBot="1" x14ac:dyDescent="0.3">
      <c r="A1" s="1"/>
      <c r="B1" s="26" t="str">
        <f ca="1">LOWER(TEXT(B11,"mmmm"))</f>
        <v>octubre</v>
      </c>
      <c r="C1" s="26"/>
      <c r="D1" s="26"/>
      <c r="E1" s="18"/>
      <c r="F1" s="18"/>
      <c r="G1" s="18"/>
      <c r="H1" s="20">
        <f ca="1">CalendarYear</f>
        <v>2020</v>
      </c>
      <c r="K1" s="2" t="s">
        <v>7</v>
      </c>
    </row>
    <row r="2" spans="1:11" s="3" customFormat="1" ht="46.5" customHeight="1" x14ac:dyDescent="0.55000000000000004">
      <c r="B2" s="9" t="str">
        <f>inicio_de_la_semana</f>
        <v>do.</v>
      </c>
      <c r="C2" s="9" t="str">
        <f t="shared" ref="C2:H2" ca="1" si="0">LOWER(TEXT(C3,"ddd"))</f>
        <v>lun</v>
      </c>
      <c r="D2" s="9" t="str">
        <f t="shared" ca="1" si="0"/>
        <v>mar</v>
      </c>
      <c r="E2" s="9" t="str">
        <f t="shared" ca="1" si="0"/>
        <v>mié</v>
      </c>
      <c r="F2" s="9" t="str">
        <f t="shared" ca="1" si="0"/>
        <v>jue</v>
      </c>
      <c r="G2" s="9" t="str">
        <f t="shared" ca="1" si="0"/>
        <v>vie</v>
      </c>
      <c r="H2" s="9" t="str">
        <f t="shared" ca="1" si="0"/>
        <v>sáb</v>
      </c>
      <c r="J2" s="16" t="s">
        <v>5</v>
      </c>
    </row>
    <row r="3" spans="1:11" s="4" customFormat="1" ht="19.5" customHeight="1" x14ac:dyDescent="0.3">
      <c r="B3" s="5">
        <f t="array" aca="1" ref="B3:H3" ca="1">DaysAndWeeks+DATE(CalendarYear,10,1)-WEEKDAY(DATE(CalendarYear,10,1),(inicio_de_la_semana="lu.")+1)+1</f>
        <v>44101</v>
      </c>
      <c r="C3" s="5">
        <f ca="1"/>
        <v>44102</v>
      </c>
      <c r="D3" s="5">
        <f ca="1"/>
        <v>44103</v>
      </c>
      <c r="E3" s="5">
        <f ca="1"/>
        <v>44104</v>
      </c>
      <c r="F3" s="5">
        <f ca="1"/>
        <v>44105</v>
      </c>
      <c r="G3" s="5">
        <f ca="1"/>
        <v>44106</v>
      </c>
      <c r="H3" s="5">
        <f ca="1"/>
        <v>44107</v>
      </c>
      <c r="J3" s="21"/>
    </row>
    <row r="4" spans="1:11" s="4" customFormat="1" ht="19.5" customHeight="1" x14ac:dyDescent="0.25">
      <c r="B4" s="25"/>
      <c r="C4" s="25"/>
      <c r="D4" s="25"/>
      <c r="E4" s="25"/>
      <c r="F4" s="25"/>
      <c r="G4" s="25"/>
      <c r="H4" s="25"/>
    </row>
    <row r="5" spans="1:11" s="4" customFormat="1" ht="19.5" customHeight="1" x14ac:dyDescent="0.25">
      <c r="B5" s="25"/>
      <c r="C5" s="25"/>
      <c r="D5" s="25"/>
      <c r="E5" s="25"/>
      <c r="F5" s="25"/>
      <c r="G5" s="25"/>
      <c r="H5" s="25"/>
      <c r="J5" s="6"/>
    </row>
    <row r="6" spans="1:11" ht="18.75" customHeight="1" x14ac:dyDescent="0.25">
      <c r="B6" s="25"/>
      <c r="C6" s="25"/>
      <c r="D6" s="25"/>
      <c r="E6" s="25"/>
      <c r="F6" s="25"/>
      <c r="G6" s="25"/>
      <c r="H6" s="25"/>
      <c r="J6" s="8"/>
    </row>
    <row r="7" spans="1:11" s="4" customFormat="1" ht="18.75" customHeight="1" x14ac:dyDescent="0.3">
      <c r="B7" s="5">
        <f t="array" aca="1" ref="B7:H7" ca="1">DaysAndWeeks+DATE(CalendarYear,10,1)-WEEKDAY(DATE(CalendarYear,10,1),(inicio_de_la_semana="lu.")+1)+8</f>
        <v>44108</v>
      </c>
      <c r="C7" s="5">
        <f ca="1"/>
        <v>44109</v>
      </c>
      <c r="D7" s="5">
        <f ca="1"/>
        <v>44110</v>
      </c>
      <c r="E7" s="5">
        <f ca="1"/>
        <v>44111</v>
      </c>
      <c r="F7" s="5">
        <f ca="1"/>
        <v>44112</v>
      </c>
      <c r="G7" s="5">
        <f ca="1"/>
        <v>44113</v>
      </c>
      <c r="H7" s="5">
        <f ca="1"/>
        <v>44114</v>
      </c>
      <c r="J7" s="6"/>
    </row>
    <row r="8" spans="1:11" s="4" customFormat="1" ht="18.75" customHeight="1" x14ac:dyDescent="0.25">
      <c r="B8" s="25"/>
      <c r="C8" s="25"/>
      <c r="D8" s="25"/>
      <c r="E8" s="25"/>
      <c r="F8" s="25"/>
      <c r="G8" s="25"/>
      <c r="H8" s="25"/>
      <c r="J8" s="6"/>
    </row>
    <row r="9" spans="1:11" s="4" customFormat="1" ht="18.75" customHeight="1" x14ac:dyDescent="0.25">
      <c r="B9" s="25"/>
      <c r="C9" s="25"/>
      <c r="D9" s="25"/>
      <c r="E9" s="25"/>
      <c r="F9" s="25"/>
      <c r="G9" s="25"/>
      <c r="H9" s="25"/>
      <c r="J9" s="6"/>
    </row>
    <row r="10" spans="1:11" ht="18.75" customHeight="1" x14ac:dyDescent="0.25">
      <c r="B10" s="25"/>
      <c r="C10" s="25"/>
      <c r="D10" s="25"/>
      <c r="E10" s="25"/>
      <c r="F10" s="25"/>
      <c r="G10" s="25"/>
      <c r="H10" s="25"/>
      <c r="J10" s="8"/>
    </row>
    <row r="11" spans="1:11" s="4" customFormat="1" ht="18.75" customHeight="1" x14ac:dyDescent="0.3">
      <c r="B11" s="5">
        <f t="array" aca="1" ref="B11:H11" ca="1">DaysAndWeeks+DATE(CalendarYear,10,1)-WEEKDAY(DATE(CalendarYear,10,1),(inicio_de_la_semana="lu.")+1)+15</f>
        <v>44115</v>
      </c>
      <c r="C11" s="5">
        <f ca="1"/>
        <v>44116</v>
      </c>
      <c r="D11" s="5">
        <f ca="1"/>
        <v>44117</v>
      </c>
      <c r="E11" s="5">
        <f ca="1"/>
        <v>44118</v>
      </c>
      <c r="F11" s="5">
        <f ca="1"/>
        <v>44119</v>
      </c>
      <c r="G11" s="5">
        <f ca="1"/>
        <v>44120</v>
      </c>
      <c r="H11" s="5">
        <f ca="1"/>
        <v>44121</v>
      </c>
      <c r="J11" s="6"/>
    </row>
    <row r="12" spans="1:11" s="4" customFormat="1" ht="18.75" customHeight="1" x14ac:dyDescent="0.25">
      <c r="B12" s="25"/>
      <c r="C12" s="25"/>
      <c r="D12" s="25"/>
      <c r="E12" s="25"/>
      <c r="F12" s="25"/>
      <c r="G12" s="25"/>
      <c r="H12" s="25"/>
      <c r="J12" s="6"/>
    </row>
    <row r="13" spans="1:11" s="4" customFormat="1" ht="18.75" customHeight="1" x14ac:dyDescent="0.25">
      <c r="B13" s="25"/>
      <c r="C13" s="25"/>
      <c r="D13" s="25"/>
      <c r="E13" s="25"/>
      <c r="F13" s="25"/>
      <c r="G13" s="25"/>
      <c r="H13" s="25"/>
      <c r="J13" s="6"/>
    </row>
    <row r="14" spans="1:11" ht="18.75" customHeight="1" x14ac:dyDescent="0.25">
      <c r="B14" s="25"/>
      <c r="C14" s="25"/>
      <c r="D14" s="25"/>
      <c r="E14" s="25"/>
      <c r="F14" s="25"/>
      <c r="G14" s="25"/>
      <c r="H14" s="25"/>
      <c r="J14" s="8"/>
    </row>
    <row r="15" spans="1:11" s="4" customFormat="1" ht="18.75" customHeight="1" x14ac:dyDescent="0.3">
      <c r="B15" s="5">
        <f t="array" aca="1" ref="B15:H15" ca="1">DaysAndWeeks+DATE(CalendarYear,10,1)-WEEKDAY(DATE(CalendarYear,10,1),(inicio_de_la_semana="lu.")+1)+22</f>
        <v>44122</v>
      </c>
      <c r="C15" s="5">
        <f ca="1"/>
        <v>44123</v>
      </c>
      <c r="D15" s="5">
        <f ca="1"/>
        <v>44124</v>
      </c>
      <c r="E15" s="5">
        <f ca="1"/>
        <v>44125</v>
      </c>
      <c r="F15" s="5">
        <f ca="1"/>
        <v>44126</v>
      </c>
      <c r="G15" s="5">
        <f ca="1"/>
        <v>44127</v>
      </c>
      <c r="H15" s="5">
        <f ca="1"/>
        <v>44128</v>
      </c>
      <c r="J15" s="6"/>
    </row>
    <row r="16" spans="1:11" s="4" customFormat="1" ht="18.75" customHeight="1" x14ac:dyDescent="0.25">
      <c r="B16" s="25"/>
      <c r="C16" s="25"/>
      <c r="D16" s="25"/>
      <c r="E16" s="25"/>
      <c r="F16" s="25"/>
      <c r="G16" s="25"/>
      <c r="H16" s="25"/>
      <c r="J16" s="6"/>
    </row>
    <row r="17" spans="2:10" s="4" customFormat="1" ht="18.75" customHeight="1" x14ac:dyDescent="0.25">
      <c r="B17" s="25"/>
      <c r="C17" s="25"/>
      <c r="D17" s="25"/>
      <c r="E17" s="25"/>
      <c r="F17" s="25"/>
      <c r="G17" s="25"/>
      <c r="H17" s="25"/>
      <c r="J17" s="6"/>
    </row>
    <row r="18" spans="2:10" ht="18.75" customHeight="1" x14ac:dyDescent="0.25">
      <c r="B18" s="25"/>
      <c r="C18" s="25"/>
      <c r="D18" s="25"/>
      <c r="E18" s="25"/>
      <c r="F18" s="25"/>
      <c r="G18" s="25"/>
      <c r="H18" s="25"/>
      <c r="J18" s="8"/>
    </row>
    <row r="19" spans="2:10" s="4" customFormat="1" ht="18.75" customHeight="1" x14ac:dyDescent="0.3">
      <c r="B19" s="5">
        <f t="array" aca="1" ref="B19:H19" ca="1">DaysAndWeeks+DATE(CalendarYear,10,1)-WEEKDAY(DATE(CalendarYear,10,1),(inicio_de_la_semana="lu.")+1)+29</f>
        <v>44129</v>
      </c>
      <c r="C19" s="5">
        <f ca="1"/>
        <v>44130</v>
      </c>
      <c r="D19" s="5">
        <f ca="1"/>
        <v>44131</v>
      </c>
      <c r="E19" s="5">
        <f ca="1"/>
        <v>44132</v>
      </c>
      <c r="F19" s="5">
        <f ca="1"/>
        <v>44133</v>
      </c>
      <c r="G19" s="5">
        <f ca="1"/>
        <v>44134</v>
      </c>
      <c r="H19" s="5">
        <f ca="1"/>
        <v>44135</v>
      </c>
      <c r="J19" s="6"/>
    </row>
    <row r="20" spans="2:10" s="4" customFormat="1" ht="18.75" customHeight="1" x14ac:dyDescent="0.25">
      <c r="B20" s="25"/>
      <c r="C20" s="25"/>
      <c r="D20" s="25"/>
      <c r="E20" s="25"/>
      <c r="F20" s="25"/>
      <c r="G20" s="25"/>
      <c r="H20" s="25"/>
      <c r="J20" s="6"/>
    </row>
    <row r="21" spans="2:10" s="4" customFormat="1" ht="18.75" customHeight="1" x14ac:dyDescent="0.25">
      <c r="B21" s="25"/>
      <c r="C21" s="25"/>
      <c r="D21" s="25"/>
      <c r="E21" s="25"/>
      <c r="F21" s="25"/>
      <c r="G21" s="25"/>
      <c r="H21" s="25"/>
      <c r="J21" s="6"/>
    </row>
    <row r="22" spans="2:10" ht="18.75" customHeight="1" x14ac:dyDescent="0.25">
      <c r="B22" s="25"/>
      <c r="C22" s="25"/>
      <c r="D22" s="25"/>
      <c r="E22" s="25"/>
      <c r="F22" s="25"/>
      <c r="G22" s="25"/>
      <c r="H22" s="25"/>
      <c r="J22" s="8"/>
    </row>
    <row r="23" spans="2:10" s="4" customFormat="1" ht="18.75" customHeight="1" x14ac:dyDescent="0.3">
      <c r="B23" s="5">
        <f t="array" aca="1" ref="B23:H23" ca="1">DaysAndWeeks+DATE(CalendarYear,10,1)-WEEKDAY(DATE(CalendarYear,10,1),(inicio_de_la_semana="lu.")+1)+36</f>
        <v>44136</v>
      </c>
      <c r="C23" s="5">
        <f ca="1"/>
        <v>44137</v>
      </c>
      <c r="D23" s="5">
        <f ca="1"/>
        <v>44138</v>
      </c>
      <c r="E23" s="5">
        <f ca="1"/>
        <v>44139</v>
      </c>
      <c r="F23" s="5">
        <f ca="1"/>
        <v>44140</v>
      </c>
      <c r="G23" s="5">
        <f ca="1"/>
        <v>44141</v>
      </c>
      <c r="H23" s="5">
        <f ca="1"/>
        <v>44142</v>
      </c>
      <c r="J23" s="6"/>
    </row>
    <row r="24" spans="2:10" s="4" customFormat="1" ht="18.75" customHeight="1" x14ac:dyDescent="0.25">
      <c r="B24" s="22"/>
      <c r="C24" s="22"/>
      <c r="D24" s="22"/>
      <c r="E24" s="22"/>
      <c r="F24" s="22"/>
      <c r="G24" s="22"/>
      <c r="H24" s="22"/>
      <c r="J24" s="6"/>
    </row>
  </sheetData>
  <mergeCells count="36">
    <mergeCell ref="H20:H22"/>
    <mergeCell ref="B20:B22"/>
    <mergeCell ref="C20:C22"/>
    <mergeCell ref="D20:D22"/>
    <mergeCell ref="E20:E22"/>
    <mergeCell ref="F20:F22"/>
    <mergeCell ref="G20:G22"/>
    <mergeCell ref="H12:H14"/>
    <mergeCell ref="B16:B18"/>
    <mergeCell ref="C16:C18"/>
    <mergeCell ref="D16:D18"/>
    <mergeCell ref="E16:E18"/>
    <mergeCell ref="F16:F18"/>
    <mergeCell ref="G16:G18"/>
    <mergeCell ref="H16:H18"/>
    <mergeCell ref="B12:B14"/>
    <mergeCell ref="C12:C14"/>
    <mergeCell ref="D12:D14"/>
    <mergeCell ref="E12:E14"/>
    <mergeCell ref="F12:F14"/>
    <mergeCell ref="G12:G14"/>
    <mergeCell ref="G4:G6"/>
    <mergeCell ref="H4:H6"/>
    <mergeCell ref="B8:B10"/>
    <mergeCell ref="C8:C10"/>
    <mergeCell ref="D8:D10"/>
    <mergeCell ref="E8:E10"/>
    <mergeCell ref="F8:F10"/>
    <mergeCell ref="G8:G10"/>
    <mergeCell ref="H8:H10"/>
    <mergeCell ref="F4:F6"/>
    <mergeCell ref="B1:D1"/>
    <mergeCell ref="B4:B6"/>
    <mergeCell ref="C4:C6"/>
    <mergeCell ref="D4:D6"/>
    <mergeCell ref="E4:E6"/>
  </mergeCells>
  <conditionalFormatting sqref="B19:H20 B23:H24">
    <cfRule type="expression" dxfId="5" priority="2">
      <formula>AND(DAY(B19)&gt;=1,DAY(B19)&lt;=15)</formula>
    </cfRule>
  </conditionalFormatting>
  <conditionalFormatting sqref="B3:G4">
    <cfRule type="expression" dxfId="4" priority="1">
      <formula>DAY(B3)&gt;8</formula>
    </cfRule>
  </conditionalFormatting>
  <printOptions horizontalCentered="1" verticalCentered="1"/>
  <pageMargins left="0.7" right="0.7" top="0.75" bottom="0.75" header="0.3" footer="0.3"/>
  <pageSetup paperSize="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0.59999389629810485"/>
    <pageSetUpPr autoPageBreaks="0" fitToPage="1"/>
  </sheetPr>
  <dimension ref="A1:K24"/>
  <sheetViews>
    <sheetView showGridLines="0" zoomScaleNormal="100" workbookViewId="0"/>
  </sheetViews>
  <sheetFormatPr baseColWidth="10" defaultColWidth="8.85546875" defaultRowHeight="14.25" x14ac:dyDescent="0.25"/>
  <cols>
    <col min="1" max="1" width="2.42578125" style="2" customWidth="1"/>
    <col min="2" max="8" width="17.5703125" style="2" customWidth="1"/>
    <col min="9" max="9" width="2.42578125" style="2" customWidth="1"/>
    <col min="10" max="10" width="38.5703125" style="2" customWidth="1"/>
    <col min="11" max="11" width="2.42578125" style="2" customWidth="1"/>
    <col min="12" max="16384" width="8.85546875" style="2"/>
  </cols>
  <sheetData>
    <row r="1" spans="1:11" ht="59.25" customHeight="1" thickBot="1" x14ac:dyDescent="0.3">
      <c r="A1" s="1"/>
      <c r="B1" s="26" t="str">
        <f ca="1">LOWER(TEXT(B11,"mmmm"))</f>
        <v>noviembre</v>
      </c>
      <c r="C1" s="26"/>
      <c r="D1" s="26"/>
      <c r="E1" s="18"/>
      <c r="F1" s="18"/>
      <c r="G1" s="18"/>
      <c r="H1" s="20">
        <f ca="1">CalendarYear</f>
        <v>2020</v>
      </c>
      <c r="K1" s="2" t="s">
        <v>7</v>
      </c>
    </row>
    <row r="2" spans="1:11" s="3" customFormat="1" ht="46.5" customHeight="1" x14ac:dyDescent="0.55000000000000004">
      <c r="B2" s="9" t="str">
        <f>inicio_de_la_semana</f>
        <v>do.</v>
      </c>
      <c r="C2" s="9" t="str">
        <f t="shared" ref="C2:H2" ca="1" si="0">LOWER(TEXT(C3,"ddd"))</f>
        <v>lun</v>
      </c>
      <c r="D2" s="9" t="str">
        <f t="shared" ca="1" si="0"/>
        <v>mar</v>
      </c>
      <c r="E2" s="9" t="str">
        <f t="shared" ca="1" si="0"/>
        <v>mié</v>
      </c>
      <c r="F2" s="9" t="str">
        <f t="shared" ca="1" si="0"/>
        <v>jue</v>
      </c>
      <c r="G2" s="9" t="str">
        <f t="shared" ca="1" si="0"/>
        <v>vie</v>
      </c>
      <c r="H2" s="9" t="str">
        <f t="shared" ca="1" si="0"/>
        <v>sáb</v>
      </c>
      <c r="J2" s="16" t="s">
        <v>5</v>
      </c>
    </row>
    <row r="3" spans="1:11" s="4" customFormat="1" ht="19.5" customHeight="1" x14ac:dyDescent="0.3">
      <c r="B3" s="5">
        <f t="array" aca="1" ref="B3:H3" ca="1">DaysAndWeeks+DATE(CalendarYear,11,1)-WEEKDAY(DATE(CalendarYear,11,1),(inicio_de_la_semana="lu.")+1)+1</f>
        <v>44136</v>
      </c>
      <c r="C3" s="5">
        <f ca="1"/>
        <v>44137</v>
      </c>
      <c r="D3" s="5">
        <f ca="1"/>
        <v>44138</v>
      </c>
      <c r="E3" s="5">
        <f ca="1"/>
        <v>44139</v>
      </c>
      <c r="F3" s="5">
        <f ca="1"/>
        <v>44140</v>
      </c>
      <c r="G3" s="5">
        <f ca="1"/>
        <v>44141</v>
      </c>
      <c r="H3" s="5">
        <f ca="1"/>
        <v>44142</v>
      </c>
      <c r="J3" s="21"/>
    </row>
    <row r="4" spans="1:11" s="4" customFormat="1" ht="19.5" customHeight="1" x14ac:dyDescent="0.25">
      <c r="B4" s="25"/>
      <c r="C4" s="25"/>
      <c r="D4" s="25"/>
      <c r="E4" s="25"/>
      <c r="F4" s="25"/>
      <c r="G4" s="25"/>
      <c r="H4" s="25"/>
    </row>
    <row r="5" spans="1:11" s="4" customFormat="1" ht="19.5" customHeight="1" x14ac:dyDescent="0.25">
      <c r="B5" s="25"/>
      <c r="C5" s="25"/>
      <c r="D5" s="25"/>
      <c r="E5" s="25"/>
      <c r="F5" s="25"/>
      <c r="G5" s="25"/>
      <c r="H5" s="25"/>
      <c r="J5" s="6"/>
    </row>
    <row r="6" spans="1:11" ht="18.75" customHeight="1" x14ac:dyDescent="0.25">
      <c r="B6" s="25"/>
      <c r="C6" s="25"/>
      <c r="D6" s="25"/>
      <c r="E6" s="25"/>
      <c r="F6" s="25"/>
      <c r="G6" s="25"/>
      <c r="H6" s="25"/>
      <c r="J6" s="8"/>
    </row>
    <row r="7" spans="1:11" s="4" customFormat="1" ht="18.75" customHeight="1" x14ac:dyDescent="0.3">
      <c r="B7" s="5">
        <f t="array" aca="1" ref="B7:H7" ca="1">DaysAndWeeks+DATE(CalendarYear,11,1)-WEEKDAY(DATE(CalendarYear,11,1),(inicio_de_la_semana="lu.")+1)+8</f>
        <v>44143</v>
      </c>
      <c r="C7" s="5">
        <f ca="1"/>
        <v>44144</v>
      </c>
      <c r="D7" s="5">
        <f ca="1"/>
        <v>44145</v>
      </c>
      <c r="E7" s="5">
        <f ca="1"/>
        <v>44146</v>
      </c>
      <c r="F7" s="5">
        <f ca="1"/>
        <v>44147</v>
      </c>
      <c r="G7" s="5">
        <f ca="1"/>
        <v>44148</v>
      </c>
      <c r="H7" s="5">
        <f ca="1"/>
        <v>44149</v>
      </c>
      <c r="J7" s="6"/>
    </row>
    <row r="8" spans="1:11" s="4" customFormat="1" ht="18.75" customHeight="1" x14ac:dyDescent="0.25">
      <c r="B8" s="25"/>
      <c r="C8" s="25"/>
      <c r="D8" s="25"/>
      <c r="E8" s="25"/>
      <c r="F8" s="25"/>
      <c r="G8" s="25"/>
      <c r="H8" s="25"/>
      <c r="J8" s="6"/>
    </row>
    <row r="9" spans="1:11" s="4" customFormat="1" ht="18.75" customHeight="1" x14ac:dyDescent="0.25">
      <c r="B9" s="25"/>
      <c r="C9" s="25"/>
      <c r="D9" s="25"/>
      <c r="E9" s="25"/>
      <c r="F9" s="25"/>
      <c r="G9" s="25"/>
      <c r="H9" s="25"/>
      <c r="J9" s="6"/>
    </row>
    <row r="10" spans="1:11" ht="18.75" customHeight="1" x14ac:dyDescent="0.25">
      <c r="B10" s="25"/>
      <c r="C10" s="25"/>
      <c r="D10" s="25"/>
      <c r="E10" s="25"/>
      <c r="F10" s="25"/>
      <c r="G10" s="25"/>
      <c r="H10" s="25"/>
      <c r="J10" s="8"/>
    </row>
    <row r="11" spans="1:11" s="4" customFormat="1" ht="18.75" customHeight="1" x14ac:dyDescent="0.3">
      <c r="B11" s="5">
        <f t="array" aca="1" ref="B11:H11" ca="1">DaysAndWeeks+DATE(CalendarYear,11,1)-WEEKDAY(DATE(CalendarYear,11,1),(inicio_de_la_semana="lu.")+1)+15</f>
        <v>44150</v>
      </c>
      <c r="C11" s="5">
        <f ca="1"/>
        <v>44151</v>
      </c>
      <c r="D11" s="5">
        <f ca="1"/>
        <v>44152</v>
      </c>
      <c r="E11" s="5">
        <f ca="1"/>
        <v>44153</v>
      </c>
      <c r="F11" s="5">
        <f ca="1"/>
        <v>44154</v>
      </c>
      <c r="G11" s="5">
        <f ca="1"/>
        <v>44155</v>
      </c>
      <c r="H11" s="5">
        <f ca="1"/>
        <v>44156</v>
      </c>
      <c r="J11" s="6"/>
    </row>
    <row r="12" spans="1:11" s="4" customFormat="1" ht="18.75" customHeight="1" x14ac:dyDescent="0.25">
      <c r="B12" s="25"/>
      <c r="C12" s="25"/>
      <c r="D12" s="25"/>
      <c r="E12" s="25"/>
      <c r="F12" s="25"/>
      <c r="G12" s="25"/>
      <c r="H12" s="25"/>
      <c r="J12" s="6"/>
    </row>
    <row r="13" spans="1:11" s="4" customFormat="1" ht="18.75" customHeight="1" x14ac:dyDescent="0.25">
      <c r="B13" s="25"/>
      <c r="C13" s="25"/>
      <c r="D13" s="25"/>
      <c r="E13" s="25"/>
      <c r="F13" s="25"/>
      <c r="G13" s="25"/>
      <c r="H13" s="25"/>
      <c r="J13" s="6"/>
    </row>
    <row r="14" spans="1:11" ht="18.75" customHeight="1" x14ac:dyDescent="0.25">
      <c r="B14" s="25"/>
      <c r="C14" s="25"/>
      <c r="D14" s="25"/>
      <c r="E14" s="25"/>
      <c r="F14" s="25"/>
      <c r="G14" s="25"/>
      <c r="H14" s="25"/>
      <c r="J14" s="8"/>
    </row>
    <row r="15" spans="1:11" s="4" customFormat="1" ht="18.75" customHeight="1" x14ac:dyDescent="0.3">
      <c r="B15" s="5">
        <f t="array" aca="1" ref="B15:H15" ca="1">DaysAndWeeks+DATE(CalendarYear,11,1)-WEEKDAY(DATE(CalendarYear,11,1),(inicio_de_la_semana="lu.")+1)+22</f>
        <v>44157</v>
      </c>
      <c r="C15" s="5">
        <f ca="1"/>
        <v>44158</v>
      </c>
      <c r="D15" s="5">
        <f ca="1"/>
        <v>44159</v>
      </c>
      <c r="E15" s="5">
        <f ca="1"/>
        <v>44160</v>
      </c>
      <c r="F15" s="5">
        <f ca="1"/>
        <v>44161</v>
      </c>
      <c r="G15" s="5">
        <f ca="1"/>
        <v>44162</v>
      </c>
      <c r="H15" s="5">
        <f ca="1"/>
        <v>44163</v>
      </c>
      <c r="J15" s="6"/>
    </row>
    <row r="16" spans="1:11" s="4" customFormat="1" ht="18.75" customHeight="1" x14ac:dyDescent="0.25">
      <c r="B16" s="25"/>
      <c r="C16" s="25"/>
      <c r="D16" s="25"/>
      <c r="E16" s="25"/>
      <c r="F16" s="25"/>
      <c r="G16" s="25"/>
      <c r="H16" s="25"/>
      <c r="J16" s="6"/>
    </row>
    <row r="17" spans="2:10" s="4" customFormat="1" ht="18.75" customHeight="1" x14ac:dyDescent="0.25">
      <c r="B17" s="25"/>
      <c r="C17" s="25"/>
      <c r="D17" s="25"/>
      <c r="E17" s="25"/>
      <c r="F17" s="25"/>
      <c r="G17" s="25"/>
      <c r="H17" s="25"/>
      <c r="J17" s="6"/>
    </row>
    <row r="18" spans="2:10" ht="18.75" customHeight="1" x14ac:dyDescent="0.25">
      <c r="B18" s="25"/>
      <c r="C18" s="25"/>
      <c r="D18" s="25"/>
      <c r="E18" s="25"/>
      <c r="F18" s="25"/>
      <c r="G18" s="25"/>
      <c r="H18" s="25"/>
      <c r="J18" s="8"/>
    </row>
    <row r="19" spans="2:10" s="4" customFormat="1" ht="18.75" customHeight="1" x14ac:dyDescent="0.3">
      <c r="B19" s="5">
        <f t="array" aca="1" ref="B19:H19" ca="1">DaysAndWeeks+DATE(CalendarYear,11,1)-WEEKDAY(DATE(CalendarYear,11,1),(inicio_de_la_semana="lu.")+1)+29</f>
        <v>44164</v>
      </c>
      <c r="C19" s="5">
        <f ca="1"/>
        <v>44165</v>
      </c>
      <c r="D19" s="5">
        <f ca="1"/>
        <v>44166</v>
      </c>
      <c r="E19" s="5">
        <f ca="1"/>
        <v>44167</v>
      </c>
      <c r="F19" s="5">
        <f ca="1"/>
        <v>44168</v>
      </c>
      <c r="G19" s="5">
        <f ca="1"/>
        <v>44169</v>
      </c>
      <c r="H19" s="5">
        <f ca="1"/>
        <v>44170</v>
      </c>
      <c r="J19" s="6"/>
    </row>
    <row r="20" spans="2:10" s="4" customFormat="1" ht="18.75" customHeight="1" x14ac:dyDescent="0.25">
      <c r="B20" s="25"/>
      <c r="C20" s="25"/>
      <c r="D20" s="25"/>
      <c r="E20" s="25"/>
      <c r="F20" s="25"/>
      <c r="G20" s="25"/>
      <c r="H20" s="25"/>
      <c r="J20" s="6"/>
    </row>
    <row r="21" spans="2:10" s="4" customFormat="1" ht="18.75" customHeight="1" x14ac:dyDescent="0.25">
      <c r="B21" s="25"/>
      <c r="C21" s="25"/>
      <c r="D21" s="25"/>
      <c r="E21" s="25"/>
      <c r="F21" s="25"/>
      <c r="G21" s="25"/>
      <c r="H21" s="25"/>
      <c r="J21" s="6"/>
    </row>
    <row r="22" spans="2:10" ht="18.75" customHeight="1" x14ac:dyDescent="0.25">
      <c r="B22" s="25"/>
      <c r="C22" s="25"/>
      <c r="D22" s="25"/>
      <c r="E22" s="25"/>
      <c r="F22" s="25"/>
      <c r="G22" s="25"/>
      <c r="H22" s="25"/>
      <c r="J22" s="8"/>
    </row>
    <row r="23" spans="2:10" s="4" customFormat="1" ht="18.75" customHeight="1" x14ac:dyDescent="0.3">
      <c r="B23" s="5">
        <f t="array" aca="1" ref="B23:H23" ca="1">DaysAndWeeks+DATE(CalendarYear,11,1)-WEEKDAY(DATE(CalendarYear,11,1),(inicio_de_la_semana="lu.")+1)+36</f>
        <v>44171</v>
      </c>
      <c r="C23" s="5">
        <f ca="1"/>
        <v>44172</v>
      </c>
      <c r="D23" s="5">
        <f ca="1"/>
        <v>44173</v>
      </c>
      <c r="E23" s="5">
        <f ca="1"/>
        <v>44174</v>
      </c>
      <c r="F23" s="5">
        <f ca="1"/>
        <v>44175</v>
      </c>
      <c r="G23" s="5">
        <f ca="1"/>
        <v>44176</v>
      </c>
      <c r="H23" s="5">
        <f ca="1"/>
        <v>44177</v>
      </c>
      <c r="J23" s="6"/>
    </row>
    <row r="24" spans="2:10" s="4" customFormat="1" ht="18.75" customHeight="1" x14ac:dyDescent="0.25">
      <c r="B24" s="22"/>
      <c r="C24" s="22"/>
      <c r="D24" s="22"/>
      <c r="E24" s="22"/>
      <c r="F24" s="22"/>
      <c r="G24" s="22"/>
      <c r="H24" s="22"/>
      <c r="J24" s="6"/>
    </row>
  </sheetData>
  <mergeCells count="36">
    <mergeCell ref="H20:H22"/>
    <mergeCell ref="B20:B22"/>
    <mergeCell ref="C20:C22"/>
    <mergeCell ref="D20:D22"/>
    <mergeCell ref="E20:E22"/>
    <mergeCell ref="F20:F22"/>
    <mergeCell ref="G20:G22"/>
    <mergeCell ref="H12:H14"/>
    <mergeCell ref="B16:B18"/>
    <mergeCell ref="C16:C18"/>
    <mergeCell ref="D16:D18"/>
    <mergeCell ref="E16:E18"/>
    <mergeCell ref="F16:F18"/>
    <mergeCell ref="G16:G18"/>
    <mergeCell ref="H16:H18"/>
    <mergeCell ref="B12:B14"/>
    <mergeCell ref="C12:C14"/>
    <mergeCell ref="D12:D14"/>
    <mergeCell ref="E12:E14"/>
    <mergeCell ref="F12:F14"/>
    <mergeCell ref="G12:G14"/>
    <mergeCell ref="G4:G6"/>
    <mergeCell ref="H4:H6"/>
    <mergeCell ref="B8:B10"/>
    <mergeCell ref="C8:C10"/>
    <mergeCell ref="D8:D10"/>
    <mergeCell ref="E8:E10"/>
    <mergeCell ref="F8:F10"/>
    <mergeCell ref="G8:G10"/>
    <mergeCell ref="H8:H10"/>
    <mergeCell ref="F4:F6"/>
    <mergeCell ref="B1:D1"/>
    <mergeCell ref="B4:B6"/>
    <mergeCell ref="C4:C6"/>
    <mergeCell ref="D4:D6"/>
    <mergeCell ref="E4:E6"/>
  </mergeCells>
  <conditionalFormatting sqref="B19:H20 B23:H24">
    <cfRule type="expression" dxfId="3" priority="2">
      <formula>AND(DAY(B19)&gt;=1,DAY(B19)&lt;=15)</formula>
    </cfRule>
  </conditionalFormatting>
  <conditionalFormatting sqref="B3:G4">
    <cfRule type="expression" dxfId="2" priority="1">
      <formula>DAY(B3)&gt;8</formula>
    </cfRule>
  </conditionalFormatting>
  <printOptions horizontalCentered="1" verticalCentered="1"/>
  <pageMargins left="0.7" right="0.7" top="0.75" bottom="0.75" header="0.3" footer="0.3"/>
  <pageSetup paperSize="9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4" tint="0.79998168889431442"/>
    <pageSetUpPr autoPageBreaks="0" fitToPage="1"/>
  </sheetPr>
  <dimension ref="A1:K24"/>
  <sheetViews>
    <sheetView showGridLines="0" zoomScaleNormal="100" workbookViewId="0"/>
  </sheetViews>
  <sheetFormatPr baseColWidth="10" defaultColWidth="8.85546875" defaultRowHeight="14.25" x14ac:dyDescent="0.25"/>
  <cols>
    <col min="1" max="1" width="2.42578125" style="2" customWidth="1"/>
    <col min="2" max="8" width="17.5703125" style="2" customWidth="1"/>
    <col min="9" max="9" width="2.42578125" style="2" customWidth="1"/>
    <col min="10" max="10" width="38.5703125" style="2" customWidth="1"/>
    <col min="11" max="11" width="2.42578125" style="2" customWidth="1"/>
    <col min="12" max="16384" width="8.85546875" style="2"/>
  </cols>
  <sheetData>
    <row r="1" spans="1:11" ht="59.25" customHeight="1" thickBot="1" x14ac:dyDescent="0.3">
      <c r="A1" s="1"/>
      <c r="B1" s="26" t="str">
        <f ca="1">LOWER(TEXT(B11,"mmmm"))</f>
        <v>diciembre</v>
      </c>
      <c r="C1" s="26"/>
      <c r="D1" s="26"/>
      <c r="E1" s="18"/>
      <c r="F1" s="18"/>
      <c r="G1" s="18"/>
      <c r="H1" s="20">
        <f ca="1">CalendarYear</f>
        <v>2020</v>
      </c>
      <c r="K1" s="2" t="s">
        <v>7</v>
      </c>
    </row>
    <row r="2" spans="1:11" s="3" customFormat="1" ht="46.5" customHeight="1" x14ac:dyDescent="0.55000000000000004">
      <c r="B2" s="9" t="str">
        <f>inicio_de_la_semana</f>
        <v>do.</v>
      </c>
      <c r="C2" s="9" t="str">
        <f t="shared" ref="C2:H2" ca="1" si="0">LOWER(TEXT(C3,"ddd"))</f>
        <v>lun</v>
      </c>
      <c r="D2" s="9" t="str">
        <f t="shared" ca="1" si="0"/>
        <v>mar</v>
      </c>
      <c r="E2" s="9" t="str">
        <f t="shared" ca="1" si="0"/>
        <v>mié</v>
      </c>
      <c r="F2" s="9" t="str">
        <f t="shared" ca="1" si="0"/>
        <v>jue</v>
      </c>
      <c r="G2" s="9" t="str">
        <f t="shared" ca="1" si="0"/>
        <v>vie</v>
      </c>
      <c r="H2" s="9" t="str">
        <f t="shared" ca="1" si="0"/>
        <v>sáb</v>
      </c>
      <c r="J2" s="16" t="s">
        <v>5</v>
      </c>
    </row>
    <row r="3" spans="1:11" s="4" customFormat="1" ht="19.5" customHeight="1" x14ac:dyDescent="0.3">
      <c r="B3" s="5">
        <f t="array" aca="1" ref="B3:H3" ca="1">DaysAndWeeks+DATE(CalendarYear,12,1)-WEEKDAY(DATE(CalendarYear,12,1),(inicio_de_la_semana="lu.")+1)+1</f>
        <v>44164</v>
      </c>
      <c r="C3" s="5">
        <f ca="1"/>
        <v>44165</v>
      </c>
      <c r="D3" s="5">
        <f ca="1"/>
        <v>44166</v>
      </c>
      <c r="E3" s="5">
        <f ca="1"/>
        <v>44167</v>
      </c>
      <c r="F3" s="5">
        <f ca="1"/>
        <v>44168</v>
      </c>
      <c r="G3" s="5">
        <f ca="1"/>
        <v>44169</v>
      </c>
      <c r="H3" s="5">
        <f ca="1"/>
        <v>44170</v>
      </c>
      <c r="J3" s="21"/>
    </row>
    <row r="4" spans="1:11" s="4" customFormat="1" ht="19.5" customHeight="1" x14ac:dyDescent="0.25">
      <c r="B4" s="25"/>
      <c r="C4" s="25"/>
      <c r="D4" s="25"/>
      <c r="E4" s="25"/>
      <c r="F4" s="25"/>
      <c r="G4" s="25"/>
      <c r="H4" s="25"/>
    </row>
    <row r="5" spans="1:11" s="4" customFormat="1" ht="19.5" customHeight="1" x14ac:dyDescent="0.25">
      <c r="B5" s="25"/>
      <c r="C5" s="25"/>
      <c r="D5" s="25"/>
      <c r="E5" s="25"/>
      <c r="F5" s="25"/>
      <c r="G5" s="25"/>
      <c r="H5" s="25"/>
      <c r="J5" s="6"/>
    </row>
    <row r="6" spans="1:11" ht="18.75" customHeight="1" x14ac:dyDescent="0.25">
      <c r="B6" s="25"/>
      <c r="C6" s="25"/>
      <c r="D6" s="25"/>
      <c r="E6" s="25"/>
      <c r="F6" s="25"/>
      <c r="G6" s="25"/>
      <c r="H6" s="25"/>
      <c r="J6" s="8"/>
    </row>
    <row r="7" spans="1:11" s="4" customFormat="1" ht="18.75" customHeight="1" x14ac:dyDescent="0.3">
      <c r="B7" s="5">
        <f t="array" aca="1" ref="B7:H7" ca="1">DaysAndWeeks+DATE(CalendarYear,12,1)-WEEKDAY(DATE(CalendarYear,12,1),(inicio_de_la_semana="lu.")+1)+8</f>
        <v>44171</v>
      </c>
      <c r="C7" s="5">
        <f ca="1"/>
        <v>44172</v>
      </c>
      <c r="D7" s="5">
        <f ca="1"/>
        <v>44173</v>
      </c>
      <c r="E7" s="5">
        <f ca="1"/>
        <v>44174</v>
      </c>
      <c r="F7" s="5">
        <f ca="1"/>
        <v>44175</v>
      </c>
      <c r="G7" s="5">
        <f ca="1"/>
        <v>44176</v>
      </c>
      <c r="H7" s="5">
        <f ca="1"/>
        <v>44177</v>
      </c>
      <c r="J7" s="6"/>
    </row>
    <row r="8" spans="1:11" s="4" customFormat="1" ht="18.75" customHeight="1" x14ac:dyDescent="0.25">
      <c r="B8" s="25"/>
      <c r="C8" s="25"/>
      <c r="D8" s="25"/>
      <c r="E8" s="25"/>
      <c r="F8" s="25"/>
      <c r="G8" s="25"/>
      <c r="H8" s="25"/>
      <c r="J8" s="6"/>
    </row>
    <row r="9" spans="1:11" s="4" customFormat="1" ht="18.75" customHeight="1" x14ac:dyDescent="0.25">
      <c r="B9" s="25"/>
      <c r="C9" s="25"/>
      <c r="D9" s="25"/>
      <c r="E9" s="25"/>
      <c r="F9" s="25"/>
      <c r="G9" s="25"/>
      <c r="H9" s="25"/>
      <c r="J9" s="6"/>
    </row>
    <row r="10" spans="1:11" ht="18.75" customHeight="1" x14ac:dyDescent="0.25">
      <c r="B10" s="25"/>
      <c r="C10" s="25"/>
      <c r="D10" s="25"/>
      <c r="E10" s="25"/>
      <c r="F10" s="25"/>
      <c r="G10" s="25"/>
      <c r="H10" s="25"/>
      <c r="J10" s="8"/>
    </row>
    <row r="11" spans="1:11" s="4" customFormat="1" ht="18.75" customHeight="1" x14ac:dyDescent="0.3">
      <c r="B11" s="5">
        <f t="array" aca="1" ref="B11:H11" ca="1">DaysAndWeeks+DATE(CalendarYear,12,1)-WEEKDAY(DATE(CalendarYear,12,1),(inicio_de_la_semana="lu.")+1)+15</f>
        <v>44178</v>
      </c>
      <c r="C11" s="5">
        <f ca="1"/>
        <v>44179</v>
      </c>
      <c r="D11" s="5">
        <f ca="1"/>
        <v>44180</v>
      </c>
      <c r="E11" s="5">
        <f ca="1"/>
        <v>44181</v>
      </c>
      <c r="F11" s="5">
        <f ca="1"/>
        <v>44182</v>
      </c>
      <c r="G11" s="5">
        <f ca="1"/>
        <v>44183</v>
      </c>
      <c r="H11" s="5">
        <f ca="1"/>
        <v>44184</v>
      </c>
      <c r="J11" s="6"/>
    </row>
    <row r="12" spans="1:11" s="4" customFormat="1" ht="18.75" customHeight="1" x14ac:dyDescent="0.25">
      <c r="B12" s="25"/>
      <c r="C12" s="25"/>
      <c r="D12" s="25"/>
      <c r="E12" s="25"/>
      <c r="F12" s="25"/>
      <c r="G12" s="25"/>
      <c r="H12" s="25"/>
      <c r="J12" s="6"/>
    </row>
    <row r="13" spans="1:11" s="4" customFormat="1" ht="18.75" customHeight="1" x14ac:dyDescent="0.25">
      <c r="B13" s="25"/>
      <c r="C13" s="25"/>
      <c r="D13" s="25"/>
      <c r="E13" s="25"/>
      <c r="F13" s="25"/>
      <c r="G13" s="25"/>
      <c r="H13" s="25"/>
      <c r="J13" s="6"/>
    </row>
    <row r="14" spans="1:11" ht="18.75" customHeight="1" x14ac:dyDescent="0.25">
      <c r="B14" s="25"/>
      <c r="C14" s="25"/>
      <c r="D14" s="25"/>
      <c r="E14" s="25"/>
      <c r="F14" s="25"/>
      <c r="G14" s="25"/>
      <c r="H14" s="25"/>
      <c r="J14" s="8"/>
    </row>
    <row r="15" spans="1:11" s="4" customFormat="1" ht="18.75" customHeight="1" x14ac:dyDescent="0.3">
      <c r="B15" s="5">
        <f t="array" aca="1" ref="B15:H15" ca="1">DaysAndWeeks+DATE(CalendarYear,12,1)-WEEKDAY(DATE(CalendarYear,12,1),(inicio_de_la_semana="lu.")+1)+22</f>
        <v>44185</v>
      </c>
      <c r="C15" s="5">
        <f ca="1"/>
        <v>44186</v>
      </c>
      <c r="D15" s="5">
        <f ca="1"/>
        <v>44187</v>
      </c>
      <c r="E15" s="5">
        <f ca="1"/>
        <v>44188</v>
      </c>
      <c r="F15" s="5">
        <f ca="1"/>
        <v>44189</v>
      </c>
      <c r="G15" s="5">
        <f ca="1"/>
        <v>44190</v>
      </c>
      <c r="H15" s="5">
        <f ca="1"/>
        <v>44191</v>
      </c>
      <c r="J15" s="6"/>
    </row>
    <row r="16" spans="1:11" s="4" customFormat="1" ht="18.75" customHeight="1" x14ac:dyDescent="0.25">
      <c r="B16" s="25"/>
      <c r="C16" s="25"/>
      <c r="D16" s="25"/>
      <c r="E16" s="25"/>
      <c r="F16" s="25"/>
      <c r="G16" s="25"/>
      <c r="H16" s="25"/>
      <c r="J16" s="6"/>
    </row>
    <row r="17" spans="2:10" s="4" customFormat="1" ht="18.75" customHeight="1" x14ac:dyDescent="0.25">
      <c r="B17" s="25"/>
      <c r="C17" s="25"/>
      <c r="D17" s="25"/>
      <c r="E17" s="25"/>
      <c r="F17" s="25"/>
      <c r="G17" s="25"/>
      <c r="H17" s="25"/>
      <c r="J17" s="6"/>
    </row>
    <row r="18" spans="2:10" ht="18.75" customHeight="1" x14ac:dyDescent="0.25">
      <c r="B18" s="25"/>
      <c r="C18" s="25"/>
      <c r="D18" s="25"/>
      <c r="E18" s="25"/>
      <c r="F18" s="25"/>
      <c r="G18" s="25"/>
      <c r="H18" s="25"/>
      <c r="J18" s="8"/>
    </row>
    <row r="19" spans="2:10" s="4" customFormat="1" ht="18.75" customHeight="1" x14ac:dyDescent="0.3">
      <c r="B19" s="5">
        <f t="array" aca="1" ref="B19:H19" ca="1">DaysAndWeeks+DATE(CalendarYear,12,1)-WEEKDAY(DATE(CalendarYear,12,1),(inicio_de_la_semana="lu.")+1)+29</f>
        <v>44192</v>
      </c>
      <c r="C19" s="5">
        <f ca="1"/>
        <v>44193</v>
      </c>
      <c r="D19" s="5">
        <f ca="1"/>
        <v>44194</v>
      </c>
      <c r="E19" s="5">
        <f ca="1"/>
        <v>44195</v>
      </c>
      <c r="F19" s="5">
        <f ca="1"/>
        <v>44196</v>
      </c>
      <c r="G19" s="5">
        <f ca="1"/>
        <v>44197</v>
      </c>
      <c r="H19" s="5">
        <f ca="1"/>
        <v>44198</v>
      </c>
      <c r="J19" s="6"/>
    </row>
    <row r="20" spans="2:10" s="4" customFormat="1" ht="18.75" customHeight="1" x14ac:dyDescent="0.25">
      <c r="B20" s="25"/>
      <c r="C20" s="25"/>
      <c r="D20" s="25"/>
      <c r="E20" s="25"/>
      <c r="F20" s="25"/>
      <c r="G20" s="25"/>
      <c r="H20" s="25"/>
      <c r="J20" s="6"/>
    </row>
    <row r="21" spans="2:10" s="4" customFormat="1" ht="18.75" customHeight="1" x14ac:dyDescent="0.25">
      <c r="B21" s="25"/>
      <c r="C21" s="25"/>
      <c r="D21" s="25"/>
      <c r="E21" s="25"/>
      <c r="F21" s="25"/>
      <c r="G21" s="25"/>
      <c r="H21" s="25"/>
      <c r="J21" s="6"/>
    </row>
    <row r="22" spans="2:10" ht="18.75" customHeight="1" x14ac:dyDescent="0.25">
      <c r="B22" s="25"/>
      <c r="C22" s="25"/>
      <c r="D22" s="25"/>
      <c r="E22" s="25"/>
      <c r="F22" s="25"/>
      <c r="G22" s="25"/>
      <c r="H22" s="25"/>
      <c r="J22" s="8"/>
    </row>
    <row r="23" spans="2:10" s="4" customFormat="1" ht="18.75" customHeight="1" x14ac:dyDescent="0.3">
      <c r="B23" s="5">
        <f t="array" aca="1" ref="B23:H23" ca="1">DaysAndWeeks+DATE(CalendarYear,12,1)-WEEKDAY(DATE(CalendarYear,12,1),(inicio_de_la_semana="lu.")+1)+36</f>
        <v>44199</v>
      </c>
      <c r="C23" s="5">
        <f ca="1"/>
        <v>44200</v>
      </c>
      <c r="D23" s="5">
        <f ca="1"/>
        <v>44201</v>
      </c>
      <c r="E23" s="5">
        <f ca="1"/>
        <v>44202</v>
      </c>
      <c r="F23" s="5">
        <f ca="1"/>
        <v>44203</v>
      </c>
      <c r="G23" s="5">
        <f ca="1"/>
        <v>44204</v>
      </c>
      <c r="H23" s="5">
        <f ca="1"/>
        <v>44205</v>
      </c>
      <c r="J23" s="6"/>
    </row>
    <row r="24" spans="2:10" s="4" customFormat="1" ht="18.75" customHeight="1" x14ac:dyDescent="0.25">
      <c r="B24" s="22"/>
      <c r="C24" s="22"/>
      <c r="D24" s="22"/>
      <c r="E24" s="22"/>
      <c r="F24" s="22"/>
      <c r="G24" s="22"/>
      <c r="H24" s="22"/>
      <c r="J24" s="6"/>
    </row>
  </sheetData>
  <mergeCells count="36">
    <mergeCell ref="H20:H22"/>
    <mergeCell ref="B20:B22"/>
    <mergeCell ref="C20:C22"/>
    <mergeCell ref="D20:D22"/>
    <mergeCell ref="E20:E22"/>
    <mergeCell ref="F20:F22"/>
    <mergeCell ref="G20:G22"/>
    <mergeCell ref="H12:H14"/>
    <mergeCell ref="B16:B18"/>
    <mergeCell ref="C16:C18"/>
    <mergeCell ref="D16:D18"/>
    <mergeCell ref="E16:E18"/>
    <mergeCell ref="F16:F18"/>
    <mergeCell ref="G16:G18"/>
    <mergeCell ref="H16:H18"/>
    <mergeCell ref="B12:B14"/>
    <mergeCell ref="C12:C14"/>
    <mergeCell ref="D12:D14"/>
    <mergeCell ref="E12:E14"/>
    <mergeCell ref="F12:F14"/>
    <mergeCell ref="G12:G14"/>
    <mergeCell ref="G4:G6"/>
    <mergeCell ref="H4:H6"/>
    <mergeCell ref="B8:B10"/>
    <mergeCell ref="C8:C10"/>
    <mergeCell ref="D8:D10"/>
    <mergeCell ref="E8:E10"/>
    <mergeCell ref="F8:F10"/>
    <mergeCell ref="G8:G10"/>
    <mergeCell ref="H8:H10"/>
    <mergeCell ref="F4:F6"/>
    <mergeCell ref="B1:D1"/>
    <mergeCell ref="B4:B6"/>
    <mergeCell ref="C4:C6"/>
    <mergeCell ref="D4:D6"/>
    <mergeCell ref="E4:E6"/>
  </mergeCells>
  <conditionalFormatting sqref="B19:H20 B23:H24">
    <cfRule type="expression" dxfId="1" priority="2">
      <formula>AND(DAY(B19)&gt;=1,DAY(B19)&lt;=15)</formula>
    </cfRule>
  </conditionalFormatting>
  <conditionalFormatting sqref="B3:G4">
    <cfRule type="expression" dxfId="0" priority="1">
      <formula>DAY(B3)&gt;8</formula>
    </cfRule>
  </conditionalFormatting>
  <printOptions horizontalCentered="1" verticalCentered="1"/>
  <pageMargins left="0.7" right="0.7" top="0.75" bottom="0.75" header="0.3" footer="0.3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3</vt:i4>
      </vt:variant>
    </vt:vector>
  </HeadingPairs>
  <TitlesOfParts>
    <vt:vector size="16" baseType="lpstr">
      <vt:lpstr>configuración del calendario</vt:lpstr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  <vt:lpstr>'configuración del calendario'!Área_de_impresión</vt:lpstr>
      <vt:lpstr>CalendarYear</vt:lpstr>
      <vt:lpstr>inicio_de_la_semana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</dc:creator>
  <cp:lastModifiedBy>01</cp:lastModifiedBy>
  <dcterms:created xsi:type="dcterms:W3CDTF">2017-11-29T09:31:23Z</dcterms:created>
  <dcterms:modified xsi:type="dcterms:W3CDTF">2020-04-23T02:25:43Z</dcterms:modified>
</cp:coreProperties>
</file>