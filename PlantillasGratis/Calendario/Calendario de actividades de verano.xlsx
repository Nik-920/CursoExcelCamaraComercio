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 filterPrivacy="1"/>
  <xr:revisionPtr revIDLastSave="0" documentId="8_{BD55CA12-DC54-466F-AC38-9BC5F2080FED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alendario De Actividades De..." sheetId="1" r:id="rId1"/>
  </sheets>
  <externalReferences>
    <externalReference r:id="rId2"/>
  </externalReferences>
  <definedNames>
    <definedName name="AñoCalendario">'Calendario De Actividades De...'!$B$12</definedName>
    <definedName name="JunSun1">DATE(AñoCalendario,6,1)-WEEKDAY(DATE(AñoCalendario,6,1))+1</definedName>
    <definedName name="Range_Dates">'Calendario De Actividades De...'!$D$4:$J$4,'Calendario De Actividades De...'!$D$6:$J$6,'Calendario De Actividades De...'!$D$8:$J$8,'Calendario De Actividades De...'!$D$10:$J$10,'Calendario De Actividades De...'!$D$12:$J$12,'Calendario De Actividades De...'!$D$14:$J$14,'Calendario De Actividades De...'!$D$16:$J$16,'Calendario De Actividades De...'!$D$18:$J$18,'Calendario De Actividades De...'!$D$20:$J$20,'Calendario De Actividades De...'!$D$22:$J$22,'Calendario De Actividades De...'!$D$26:$J$26,'Calendario De Actividades De...'!$D$28:$J$28,'Calendario De Actividades De...'!$D$30:$J$30,'Calendario De Actividades De...'!$D$32:$J$32,'Calendario De Actividades De...'!$D$34:$J$34,'Calendario De Actividades De...'!$D$36:$J$36,'Calendario De Actividades De...'!$D$38:$J$38,'Calendario De Actividades De...'!$D$40:$J$40</definedName>
    <definedName name="Range_Notes">'Calendario De Actividades De...'!$D$5:$J$5,'Calendario De Actividades De...'!$D$7:$J$7,'Calendario De Actividades De...'!$D$9:$J$9,'Calendario De Actividades De...'!$D$11:$J$11,'Calendario De Actividades De...'!$D$13:$J$13,'Calendario De Actividades De...'!$D$15:$J$15,'Calendario De Actividades De...'!$D$17:$J$17,'Calendario De Actividades De...'!$D$19:$J$19,'Calendario De Actividades De...'!$D$21:$J$21,'Calendario De Actividades De...'!$D$23:$J$23,'Calendario De Actividades De...'!$D$25:$J$25,'Calendario De Actividades De...'!$D$27:$J$27,'Calendario De Actividades De...'!$D$29:$J$29,'Calendario De Actividades De...'!$D$31:$J$31,'Calendario De Actividades De...'!$D$33:$J$33,'Calendario De Actividades De...'!$D$35:$J$35,'Calendario De Actividades De...'!$D$37:$J$37,'Calendario De Actividades De...'!$D$39:$J$39,'Calendario De Actividades De...'!$D$41:$J$41</definedName>
    <definedName name="Rows_Dates">'Calendario De Actividades De...'!$4:$4,'Calendario De Actividades De...'!$6:$6,'Calendario De Actividades De...'!$8:$8,'Calendario De Actividades De...'!$10:$10,'Calendario De Actividades De...'!$12:$12,'Calendario De Actividades De...'!$14:$14,'Calendario De Actividades De...'!$16:$16,'Calendario De Actividades De...'!$18:$18,'Calendario De Actividades De...'!$20:$20,'Calendario De Actividades De...'!$22:$22,'Calendario De Actividades De...'!$24:$24,'Calendario De Actividades De...'!$26:$26,'Calendario De Actividades De...'!$28:$28,'Calendario De Actividades De...'!$30:$30,'Calendario De Actividades De...'!$32:$32,'Calendario De Actividades De...'!$34:$34,'Calendario De Actividades De...'!$36:$36,'Calendario De Actividades De...'!$38:$38,'Calendario De Actividades De...'!$40:$40</definedName>
    <definedName name="Rows_Notes">‘Calendario de actividades de '[1]ve’'!$41:$41,’Calendario de actividades de '[1]ve’'!$39:$39,’Calendario de actividades de '[1]ve’'!$37:$37,’Calendario de actividades de '[1]ve’'!$35:$35,’Calendario de actividades de '[1]ve’'!$33:$33,’Calendario de actividades de '[1]ve’'!$31:$31,’Calendario de actividades de '[1]ve’'!$29:$29,’Calendario de actividades de '[1]ve’'!$27:$27,’Calendario de actividades de '[1]ve’'!$25:$25,’Calendario de actividades de '[1]ve’'!$23:$23,’Calendario de actividades de '[1]ve’'!$21:$21,’Calendario de actividades de '[1]ve’'!$19:$19,’Calendario de actividades de '[1]ve’'!$17:$17,’Calendario de actividades de '[1]ve’'!$15:$15,’Calendario de actividades de '[1]ve’'!$13:$13,’Calendario de actividades de '[1]ve’'!$11:$11,’Calendario de actividades de '[1]ve’'!$9:$9,’Calendario de actividades de '[1]ve’'!$7:$7,’Calendario de actividades de '[1]ve’'!$5:$5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4" i="1" l="1" a="1"/>
  <c r="D4" i="1" s="1"/>
  <c r="J4" i="1" l="1"/>
  <c r="D6" i="1" s="1"/>
  <c r="I4" i="1"/>
  <c r="H4" i="1"/>
  <c r="G4" i="1"/>
  <c r="F4" i="1"/>
  <c r="E4" i="1"/>
  <c r="E6" i="1" l="1"/>
  <c r="F6" i="1" s="1"/>
  <c r="G6" i="1" s="1"/>
  <c r="H6" i="1" s="1"/>
  <c r="I6" i="1" s="1"/>
  <c r="J6" i="1" s="1"/>
  <c r="D8" i="1" s="1"/>
  <c r="E8" i="1" s="1"/>
  <c r="F8" i="1" s="1"/>
  <c r="G8" i="1" s="1"/>
  <c r="H8" i="1" s="1"/>
  <c r="I8" i="1" s="1"/>
  <c r="J8" i="1" s="1"/>
  <c r="D10" i="1" s="1"/>
  <c r="E10" i="1" l="1"/>
  <c r="F10" i="1" s="1"/>
  <c r="G10" i="1" s="1"/>
  <c r="H10" i="1" s="1"/>
  <c r="I10" i="1" s="1"/>
  <c r="J10" i="1" s="1"/>
  <c r="D12" i="1" s="1"/>
  <c r="E12" i="1" s="1"/>
  <c r="F12" i="1" s="1"/>
  <c r="G12" i="1" s="1"/>
  <c r="H12" i="1" s="1"/>
  <c r="I12" i="1" s="1"/>
  <c r="J12" i="1" s="1"/>
  <c r="C12" i="1" s="1"/>
  <c r="C14" i="1" s="1"/>
  <c r="D14" i="1" l="1"/>
  <c r="E14" i="1" l="1"/>
  <c r="F14" i="1" s="1"/>
  <c r="G14" i="1" s="1"/>
  <c r="H14" i="1" s="1"/>
  <c r="I14" i="1" s="1"/>
  <c r="J14" i="1" s="1"/>
  <c r="D16" i="1" s="1"/>
  <c r="E16" i="1" l="1"/>
  <c r="F16" i="1" s="1"/>
  <c r="G16" i="1" s="1"/>
  <c r="H16" i="1" s="1"/>
  <c r="I16" i="1" s="1"/>
  <c r="J16" i="1" s="1"/>
  <c r="D18" i="1" s="1"/>
  <c r="E18" i="1" l="1"/>
  <c r="F18" i="1" s="1"/>
  <c r="G18" i="1" s="1"/>
  <c r="H18" i="1" s="1"/>
  <c r="I18" i="1" s="1"/>
  <c r="J18" i="1" s="1"/>
  <c r="D20" i="1" s="1"/>
  <c r="E20" i="1" l="1"/>
  <c r="F20" i="1" s="1"/>
  <c r="G20" i="1" s="1"/>
  <c r="H20" i="1" s="1"/>
  <c r="I20" i="1" s="1"/>
  <c r="J20" i="1" s="1"/>
  <c r="C20" i="1" s="1"/>
  <c r="C22" i="1" s="1"/>
  <c r="D22" i="1" l="1"/>
  <c r="E22" i="1" s="1"/>
  <c r="F22" i="1" s="1"/>
  <c r="G22" i="1" s="1"/>
  <c r="H22" i="1" s="1"/>
  <c r="I22" i="1" s="1"/>
  <c r="J22" i="1" s="1"/>
  <c r="D24" i="1" s="1"/>
  <c r="E24" i="1" l="1"/>
  <c r="F24" i="1" s="1"/>
  <c r="G24" i="1" s="1"/>
  <c r="H24" i="1" s="1"/>
  <c r="I24" i="1" s="1"/>
  <c r="J24" i="1" s="1"/>
  <c r="D26" i="1" s="1"/>
  <c r="E26" i="1" l="1"/>
  <c r="F26" i="1" s="1"/>
  <c r="G26" i="1" s="1"/>
  <c r="H26" i="1" s="1"/>
  <c r="I26" i="1" s="1"/>
  <c r="J26" i="1" s="1"/>
  <c r="D28" i="1" s="1"/>
  <c r="E28" i="1" l="1"/>
  <c r="F28" i="1" s="1"/>
  <c r="G28" i="1" s="1"/>
  <c r="H28" i="1" s="1"/>
  <c r="I28" i="1" s="1"/>
  <c r="J28" i="1" s="1"/>
  <c r="D30" i="1" s="1"/>
  <c r="E30" i="1" s="1"/>
  <c r="F30" i="1" s="1"/>
  <c r="G30" i="1" s="1"/>
  <c r="H30" i="1" s="1"/>
  <c r="I30" i="1" s="1"/>
  <c r="J30" i="1" s="1"/>
  <c r="C30" i="1" s="1"/>
  <c r="C32" i="1" s="1"/>
  <c r="D32" i="1" l="1"/>
  <c r="E32" i="1" l="1"/>
  <c r="F32" i="1" s="1"/>
  <c r="G32" i="1" s="1"/>
  <c r="H32" i="1" s="1"/>
  <c r="I32" i="1" s="1"/>
  <c r="J32" i="1" s="1"/>
  <c r="D34" i="1" s="1"/>
  <c r="E34" i="1" l="1"/>
  <c r="F34" i="1" s="1"/>
  <c r="G34" i="1" s="1"/>
  <c r="H34" i="1" s="1"/>
  <c r="I34" i="1" s="1"/>
  <c r="J34" i="1" s="1"/>
  <c r="D36" i="1" s="1"/>
  <c r="E36" i="1" l="1"/>
  <c r="F36" i="1" s="1"/>
  <c r="G36" i="1" s="1"/>
  <c r="H36" i="1" s="1"/>
  <c r="I36" i="1" s="1"/>
  <c r="J36" i="1" s="1"/>
  <c r="D38" i="1" s="1"/>
  <c r="E38" i="1" s="1"/>
  <c r="F38" i="1" s="1"/>
  <c r="G38" i="1" s="1"/>
  <c r="H38" i="1" s="1"/>
  <c r="I38" i="1" s="1"/>
  <c r="J38" i="1" s="1"/>
  <c r="D40" i="1" s="1"/>
  <c r="E40" i="1" s="1"/>
  <c r="F40" i="1" s="1"/>
  <c r="G40" i="1" s="1"/>
  <c r="H40" i="1" s="1"/>
  <c r="I40" i="1" s="1"/>
  <c r="J40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<sst xmlns="http://schemas.openxmlformats.org/spreadsheetml/2006/main" count="11" uniqueCount="11">
  <si>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Junio</t>
  </si>
  <si>
    <t>Lunes</t>
  </si>
  <si>
    <t>Martes</t>
  </si>
  <si>
    <t>Miércoles</t>
  </si>
  <si>
    <t>Jueves</t>
  </si>
  <si>
    <t>Viernes</t>
  </si>
  <si>
    <t>Sábado</t>
  </si>
  <si>
    <t>Domingo</t>
  </si>
  <si>
    <t xml:space="preserve">     </t>
  </si>
  <si>
    <t>Cumpleaños en 
la playa</t>
  </si>
  <si>
    <r>
      <t xml:space="preserve">CALENDARIO DE ACTIVIDADES 
</t>
    </r>
    <r>
      <rPr>
        <sz val="46"/>
        <color rgb="FF9B6A17"/>
        <rFont val="Tw Cen MT Condensed"/>
        <family val="2"/>
      </rPr>
      <t>DE VERANO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</si>
</sst>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"/>
  </numFmts>
  <fonts count="14">
    <font>
      <sz val="11"/>
      <color theme="1"/>
      <name val="Franklin Gothic Book"/>
      <family val="2"/>
      <scheme val="minor"/>
    </font>
    <font>
      <sz val="11"/>
      <color theme="1" tint="0.14999847407452621"/>
      <name val="Franklin Gothic Book"/>
      <family val="2"/>
      <scheme val="minor"/>
    </font>
    <font>
      <sz val="9"/>
      <color theme="1" tint="0.14999847407452621"/>
      <name val="Franklin Gothic Book"/>
      <family val="2"/>
      <scheme val="minor"/>
    </font>
    <font>
      <sz val="12"/>
      <color theme="1" tint="0.14999847407452621"/>
      <name val="Franklin Gothic Book"/>
      <family val="2"/>
      <scheme val="minor"/>
    </font>
    <font>
      <sz val="26"/>
      <color theme="1" tint="0.14999847407452621"/>
      <name val="Franklin Gothic Book"/>
      <family val="2"/>
      <scheme val="minor"/>
    </font>
    <font>
      <sz val="50"/>
      <color theme="1" tint="0.34998626667073579"/>
      <name val="Tw Cen MT Condensed"/>
      <family val="2"/>
    </font>
    <font>
      <sz val="16"/>
      <color theme="1" tint="0.34998626667073579"/>
      <name val="Tw Cen MT Condensed"/>
      <family val="2"/>
      <scheme val="major"/>
    </font>
    <font>
      <sz val="11"/>
      <color theme="1" tint="0.34998626667073579"/>
      <name val="Tw Cen MT Condensed"/>
      <family val="2"/>
      <scheme val="major"/>
    </font>
    <font>
      <sz val="46"/>
      <color theme="1" tint="0.14999847407452621"/>
      <name val="Tw Cen MT Condensed"/>
      <family val="2"/>
    </font>
    <font>
      <sz val="46"/>
      <color theme="1" tint="0.34998626667073579"/>
      <name val="Tw Cen MT Condensed"/>
      <family val="2"/>
    </font>
    <font>
      <sz val="11"/>
      <color theme="1" tint="4.9989318521683403E-2"/>
      <name val="Franklin Gothic Book"/>
      <family val="2"/>
      <scheme val="minor"/>
    </font>
    <font>
      <sz val="9"/>
      <color theme="1" tint="4.9989318521683403E-2"/>
      <name val="Franklin Gothic Book"/>
      <family val="2"/>
      <scheme val="minor"/>
    </font>
    <font>
      <sz val="6"/>
      <name val="Franklin Gothic Book"/>
      <family val="3"/>
      <charset val="128"/>
      <scheme val="minor"/>
    </font>
    <font>
      <sz val="46"/>
      <color rgb="FF9B6A17"/>
      <name val="Tw Cen MT Condensed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 style="medium">
        <color theme="0"/>
      </right>
      <top/>
      <bottom/>
      <diagonal/>
    </border>
    <border>
      <left/>
      <right/>
      <top/>
      <bottom style="thin">
        <color theme="0" tint="-0.1499679555650502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right" vertical="top" indent="1"/>
    </xf>
    <xf numFmtId="0" fontId="1" fillId="0" borderId="0" xfId="0" applyFont="1" applyAlignment="1">
      <alignment horizontal="right" vertical="top" wrapText="1" indent="1"/>
    </xf>
    <xf numFmtId="0" fontId="6" fillId="0" borderId="7" xfId="0" applyFont="1" applyBorder="1" applyAlignment="1">
      <alignment horizontal="center" vertical="center"/>
    </xf>
    <xf numFmtId="0" fontId="7" fillId="0" borderId="0" xfId="0" applyFont="1"/>
    <xf numFmtId="0" fontId="6" fillId="0" borderId="0" xfId="0" applyFont="1" applyAlignment="1">
      <alignment horizontal="right" indent="1"/>
    </xf>
    <xf numFmtId="0" fontId="6" fillId="0" borderId="6" xfId="0" applyFont="1" applyBorder="1" applyAlignment="1">
      <alignment horizontal="right" vertical="center" indent="1"/>
    </xf>
    <xf numFmtId="0" fontId="6" fillId="0" borderId="0" xfId="0" applyFont="1" applyAlignment="1">
      <alignment horizontal="right" vertical="center" wrapText="1" indent="1"/>
    </xf>
    <xf numFmtId="0" fontId="6" fillId="0" borderId="0" xfId="0" applyFont="1" applyAlignment="1">
      <alignment horizontal="right" vertical="top" indent="1"/>
    </xf>
    <xf numFmtId="164" fontId="10" fillId="0" borderId="3" xfId="0" applyNumberFormat="1" applyFont="1" applyBorder="1" applyAlignment="1">
      <alignment horizontal="right" vertical="top" indent="1"/>
    </xf>
    <xf numFmtId="164" fontId="10" fillId="0" borderId="1" xfId="0" applyNumberFormat="1" applyFont="1" applyBorder="1" applyAlignment="1">
      <alignment horizontal="right" vertical="top" indent="1"/>
    </xf>
    <xf numFmtId="164" fontId="11" fillId="0" borderId="4" xfId="0" applyNumberFormat="1" applyFont="1" applyBorder="1" applyAlignment="1">
      <alignment horizontal="left" vertical="top" wrapText="1" indent="1"/>
    </xf>
    <xf numFmtId="164" fontId="11" fillId="0" borderId="5" xfId="0" applyNumberFormat="1" applyFont="1" applyBorder="1" applyAlignment="1">
      <alignment horizontal="left" vertical="top" wrapText="1" indent="1"/>
    </xf>
    <xf numFmtId="164" fontId="11" fillId="0" borderId="2" xfId="0" applyNumberFormat="1" applyFont="1" applyBorder="1" applyAlignment="1">
      <alignment horizontal="left" vertical="top" wrapText="1" indent="1"/>
    </xf>
    <xf numFmtId="0" fontId="6" fillId="0" borderId="0" xfId="0" applyFont="1" applyAlignment="1">
      <alignment horizontal="right" vertical="center" indent="1"/>
    </xf>
    <xf numFmtId="0" fontId="6" fillId="0" borderId="6" xfId="0" applyFont="1" applyBorder="1" applyAlignment="1">
      <alignment horizontal="right" vertical="center" indent="1"/>
    </xf>
    <xf numFmtId="0" fontId="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</cellXfs>
  <cellStyles count="1">
    <cellStyle name="Normal" xfId="0" builtinId="0"/>
  </cellStyles>
  <dxfs count="8"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4"/>
        </patternFill>
      </fill>
    </dxf>
    <dxf>
      <fill>
        <patternFill>
          <bgColor theme="5"/>
        </patternFill>
      </fill>
    </dxf>
  </dxfs>
  <tableStyles count="0" defaultTableStyle="TableStyleMedium2" defaultPivotStyle="PivotStyleLight16"/>
  <colors>
    <mruColors>
      <color rgb="FF9B6A17"/>
      <color rgb="FF26B5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Spin" dx="16" fmlaLink="$B$12" max="2999" min="1900" page="10" val="2019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1651000</xdr:colOff>
      <xdr:row>12</xdr:row>
      <xdr:rowOff>114300</xdr:rowOff>
    </xdr:from>
    <xdr:to>
      <xdr:col>1</xdr:col>
      <xdr:colOff>1803400</xdr:colOff>
      <xdr:row>12</xdr:row>
      <xdr:rowOff>419100</xdr:rowOff>
    </xdr:to>
    <xdr:sp macro="" textlink="">
      <xdr:nvSpPr>
        <xdr:cNvPr id="1025" name="Control numérico" descr="Use el botón giratorio para cambiar el año en el calendario o cambiar el año en la celda AE3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 fPrintsWithSheet="0"/>
  </xdr:twoCellAnchor>
  <xdr:twoCellAnchor editAs="oneCell">
    <xdr:from>
      <xdr:col>1</xdr:col>
      <xdr:colOff>0</xdr:colOff>
      <xdr:row>0</xdr:row>
      <xdr:rowOff>71566</xdr:rowOff>
    </xdr:from>
    <xdr:to>
      <xdr:col>10</xdr:col>
      <xdr:colOff>0</xdr:colOff>
      <xdr:row>1</xdr:row>
      <xdr:rowOff>4076</xdr:rowOff>
    </xdr:to>
    <xdr:pic>
      <xdr:nvPicPr>
        <xdr:cNvPr id="2" name="Imagen 1" descr="Imagen dibujos de un avión y una playa" title="Banne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71566"/>
          <a:ext cx="11172825" cy="1570810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466726</xdr:colOff>
      <xdr:row>16</xdr:row>
      <xdr:rowOff>414094</xdr:rowOff>
    </xdr:from>
    <xdr:to>
      <xdr:col>1</xdr:col>
      <xdr:colOff>2590800</xdr:colOff>
      <xdr:row>41</xdr:row>
      <xdr:rowOff>161759</xdr:rowOff>
    </xdr:to>
    <xdr:pic>
      <xdr:nvPicPr>
        <xdr:cNvPr id="3" name="Imagen 2" descr="Imagen dibujos de los objetos de la playa y las vacaciones" title="Banne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6" y="6291019"/>
          <a:ext cx="2124074" cy="750101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2057400</xdr:colOff>
          <xdr:row>12</xdr:row>
          <xdr:rowOff>152400</xdr:rowOff>
        </xdr:from>
        <xdr:to>
          <xdr:col>1</xdr:col>
          <xdr:colOff>2171700</xdr:colOff>
          <xdr:row>12</xdr:row>
          <xdr:rowOff>381000</xdr:rowOff>
        </xdr:to>
        <xdr:sp macro="" textlink="">
          <xdr:nvSpPr>
            <xdr:cNvPr id="4" name="Control numérico" descr="Use el botón giratorio para cambiar el año en el calendario o cambiar el año en la celda AE3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&#8217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’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Summer Activity 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C2DDF4"/>
      </a:accent1>
      <a:accent2>
        <a:srgbClr val="EBC07C"/>
      </a:accent2>
      <a:accent3>
        <a:srgbClr val="A7D296"/>
      </a:accent3>
      <a:accent4>
        <a:srgbClr val="86D4C9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29">
      <a:majorFont>
        <a:latin typeface="Tw Cen MT Condensed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41"/>
  <sheetViews>
    <sheetView showGridLines="0" showRowColHeaders="0" tabSelected="1" zoomScaleNormal="100" workbookViewId="0">
      <selection activeCell="F7" sqref="F7"/>
    </sheetView>
  </sheetViews>
  <sheetFormatPr baseColWidth="10" defaultColWidth="8.77734375" defaultRowHeight="20.25"/>
  <cols>
    <col min="1" max="1" width="1.77734375" style="1" customWidth="1"/>
    <col min="2" max="2" width="35.5546875" style="1" customWidth="1"/>
    <col min="3" max="3" width="8.44140625" style="10" customWidth="1"/>
    <col min="4" max="10" width="12.33203125" style="2" customWidth="1"/>
    <col min="11" max="11" width="3.77734375" style="1" customWidth="1"/>
    <col min="12" max="16384" width="8.77734375" style="1"/>
  </cols>
  <sheetData>
    <row r="1" spans="2:11" ht="129" customHeight="1">
      <c r="K1" s="1" t="s">
        <v>8</v>
      </c>
    </row>
    <row r="2" spans="2:11" s="9" customFormat="1" ht="30.75" customHeight="1">
      <c r="B2" s="22" t="s">
        <v>10</v>
      </c>
      <c r="C2" s="20"/>
      <c r="D2" s="8" t="s">
        <v>1</v>
      </c>
      <c r="E2" s="8" t="s">
        <v>2</v>
      </c>
      <c r="F2" s="8" t="s">
        <v>3</v>
      </c>
      <c r="G2" s="8" t="s">
        <v>4</v>
      </c>
      <c r="H2" s="8" t="s">
        <v>5</v>
      </c>
      <c r="I2" s="8" t="s">
        <v>6</v>
      </c>
      <c r="J2" s="8" t="s">
        <v>7</v>
      </c>
    </row>
    <row r="3" spans="2:11" ht="1.5" customHeight="1" thickBot="1">
      <c r="B3" s="23"/>
      <c r="C3" s="20"/>
      <c r="D3" s="3"/>
      <c r="E3" s="3"/>
      <c r="F3" s="3"/>
      <c r="G3" s="3"/>
      <c r="H3" s="3"/>
      <c r="I3" s="3"/>
      <c r="J3" s="3"/>
    </row>
    <row r="4" spans="2:11" s="6" customFormat="1" ht="14.1" customHeight="1">
      <c r="B4" s="23"/>
      <c r="C4" s="20" t="s">
        <v>0</v>
      </c>
      <c r="D4" s="14" t="str" cm="1">
        <f t="array" ref="D4">IF(DAY(JunSun1)=1,"",IF(AND(YEAR(JunSun1+1)=AñoCalendario,MONTH(JunSun1+1)=6),JunSun1+1,""))</f>
        <v/>
      </c>
      <c r="E4" s="15" t="str">
        <f>IF(DAY(JunSun1)=1,"",IF(AND(YEAR(JunSun1+2)=AñoCalendario,MONTH(JunSun1+2)=6),JunSun1+2,""))</f>
        <v/>
      </c>
      <c r="F4" s="15" t="str">
        <f>IF(DAY(JunSun1)=1,"",IF(AND(YEAR(JunSun1+3)=AñoCalendario,MONTH(JunSun1+3)=6),JunSun1+3,""))</f>
        <v/>
      </c>
      <c r="G4" s="15" t="str">
        <f>IF(DAY(JunSun1)=1,"",IF(AND(YEAR(JunSun1+4)=AñoCalendario,MONTH(JunSun1+4)=6),JunSun1+4,""))</f>
        <v/>
      </c>
      <c r="H4" s="15" t="str">
        <f>IF(DAY(JunSun1)=1,"",IF(AND(YEAR(JunSun1+5)=AñoCalendario,MONTH(JunSun1+5)=6),JunSun1+5,""))</f>
        <v/>
      </c>
      <c r="I4" s="15">
        <f>IF(DAY(JunSun1)=1,"",IF(AND(YEAR(JunSun1+6)=AñoCalendario,MONTH(JunSun1+6)=6),JunSun1+6,""))</f>
        <v>43617</v>
      </c>
      <c r="J4" s="15">
        <f>IF(DAY(JunSun1)=1,IF(AND(YEAR(JunSun1)=AñoCalendario,MONTH(JunSun1)=6),JunSun1,""),IF(AND(YEAR(JunSun1+7)=AñoCalendario,MONTH(JunSun1+7)=6),JunSun1+7,""))</f>
        <v>43618</v>
      </c>
    </row>
    <row r="5" spans="2:11" s="5" customFormat="1" ht="35.1" customHeight="1" thickBot="1">
      <c r="B5" s="23"/>
      <c r="C5" s="20"/>
      <c r="D5" s="16"/>
      <c r="E5" s="17"/>
      <c r="F5" s="17"/>
      <c r="G5" s="17"/>
      <c r="H5" s="17"/>
      <c r="I5" s="17"/>
      <c r="J5" s="17"/>
    </row>
    <row r="6" spans="2:11" s="6" customFormat="1" ht="14.1" customHeight="1">
      <c r="B6" s="23"/>
      <c r="C6" s="11"/>
      <c r="D6" s="15">
        <f>J4+1</f>
        <v>43619</v>
      </c>
      <c r="E6" s="15">
        <f t="shared" ref="E6:J6" si="0">D6+1</f>
        <v>43620</v>
      </c>
      <c r="F6" s="15">
        <f t="shared" si="0"/>
        <v>43621</v>
      </c>
      <c r="G6" s="15">
        <f t="shared" si="0"/>
        <v>43622</v>
      </c>
      <c r="H6" s="15">
        <f t="shared" si="0"/>
        <v>43623</v>
      </c>
      <c r="I6" s="15">
        <f t="shared" si="0"/>
        <v>43624</v>
      </c>
      <c r="J6" s="15">
        <f t="shared" si="0"/>
        <v>43625</v>
      </c>
    </row>
    <row r="7" spans="2:11" s="5" customFormat="1" ht="35.1" customHeight="1" thickBot="1">
      <c r="B7" s="23"/>
      <c r="C7" s="12"/>
      <c r="D7" s="18"/>
      <c r="E7" s="18"/>
      <c r="F7" s="18"/>
      <c r="G7" s="18"/>
      <c r="H7" s="18"/>
      <c r="I7" s="18"/>
      <c r="J7" s="18"/>
    </row>
    <row r="8" spans="2:11" s="6" customFormat="1" ht="14.1" customHeight="1">
      <c r="B8" s="23"/>
      <c r="C8" s="13"/>
      <c r="D8" s="15">
        <f>J6+1</f>
        <v>43626</v>
      </c>
      <c r="E8" s="15">
        <f t="shared" ref="E8:J8" si="1">D8+1</f>
        <v>43627</v>
      </c>
      <c r="F8" s="15">
        <f t="shared" si="1"/>
        <v>43628</v>
      </c>
      <c r="G8" s="15">
        <f t="shared" si="1"/>
        <v>43629</v>
      </c>
      <c r="H8" s="15">
        <f t="shared" si="1"/>
        <v>43630</v>
      </c>
      <c r="I8" s="15">
        <f t="shared" si="1"/>
        <v>43631</v>
      </c>
      <c r="J8" s="15">
        <f t="shared" si="1"/>
        <v>43632</v>
      </c>
    </row>
    <row r="9" spans="2:11" s="5" customFormat="1" ht="35.1" customHeight="1" thickBot="1">
      <c r="B9" s="23"/>
      <c r="C9" s="12"/>
      <c r="D9" s="18"/>
      <c r="E9" s="18"/>
      <c r="F9" s="18"/>
      <c r="G9" s="18"/>
      <c r="H9" s="18"/>
      <c r="I9" s="18"/>
      <c r="J9" s="18"/>
    </row>
    <row r="10" spans="2:11" s="6" customFormat="1" ht="14.1" customHeight="1">
      <c r="B10" s="23"/>
      <c r="C10" s="13"/>
      <c r="D10" s="15">
        <f>J8+1</f>
        <v>43633</v>
      </c>
      <c r="E10" s="15">
        <f t="shared" ref="E10:J10" si="2">D10+1</f>
        <v>43634</v>
      </c>
      <c r="F10" s="15">
        <f t="shared" si="2"/>
        <v>43635</v>
      </c>
      <c r="G10" s="15">
        <f t="shared" si="2"/>
        <v>43636</v>
      </c>
      <c r="H10" s="15">
        <f t="shared" si="2"/>
        <v>43637</v>
      </c>
      <c r="I10" s="15">
        <f t="shared" si="2"/>
        <v>43638</v>
      </c>
      <c r="J10" s="15">
        <f t="shared" si="2"/>
        <v>43639</v>
      </c>
    </row>
    <row r="11" spans="2:11" s="5" customFormat="1" ht="35.1" customHeight="1" thickBot="1">
      <c r="B11" s="23"/>
      <c r="C11" s="12"/>
      <c r="D11" s="18"/>
      <c r="E11" s="18"/>
      <c r="F11" s="18"/>
      <c r="G11" s="18"/>
      <c r="H11" s="18"/>
      <c r="I11" s="18" t="s">
        <v>9</v>
      </c>
      <c r="J11" s="18"/>
    </row>
    <row r="12" spans="2:11" s="6" customFormat="1" ht="14.1" customHeight="1">
      <c r="B12" s="21">
        <v>2019</v>
      </c>
      <c r="C12" s="20" t="str">
        <f>IF(MONTH(J12)&lt;&gt;7,"","Julio")</f>
        <v/>
      </c>
      <c r="D12" s="15">
        <f>J10+1</f>
        <v>43640</v>
      </c>
      <c r="E12" s="15">
        <f t="shared" ref="E12:J12" si="3">D12+1</f>
        <v>43641</v>
      </c>
      <c r="F12" s="15">
        <f t="shared" si="3"/>
        <v>43642</v>
      </c>
      <c r="G12" s="15">
        <f t="shared" si="3"/>
        <v>43643</v>
      </c>
      <c r="H12" s="15">
        <f t="shared" si="3"/>
        <v>43644</v>
      </c>
      <c r="I12" s="15">
        <f t="shared" si="3"/>
        <v>43645</v>
      </c>
      <c r="J12" s="15">
        <f t="shared" si="3"/>
        <v>43646</v>
      </c>
    </row>
    <row r="13" spans="2:11" s="5" customFormat="1" ht="35.1" customHeight="1" thickBot="1">
      <c r="B13" s="21"/>
      <c r="C13" s="20"/>
      <c r="D13" s="18"/>
      <c r="E13" s="18"/>
      <c r="F13" s="18"/>
      <c r="G13" s="18"/>
      <c r="H13" s="18"/>
      <c r="I13" s="18"/>
      <c r="J13" s="18"/>
    </row>
    <row r="14" spans="2:11" s="6" customFormat="1" ht="14.1" customHeight="1">
      <c r="B14" s="21"/>
      <c r="C14" s="20" t="str">
        <f>IF(C12&lt;&gt;"","","Julio")</f>
        <v>Julio</v>
      </c>
      <c r="D14" s="15">
        <f>J12+1</f>
        <v>43647</v>
      </c>
      <c r="E14" s="15">
        <f t="shared" ref="E14:J14" si="4">D14+1</f>
        <v>43648</v>
      </c>
      <c r="F14" s="15">
        <f t="shared" si="4"/>
        <v>43649</v>
      </c>
      <c r="G14" s="15">
        <f t="shared" si="4"/>
        <v>43650</v>
      </c>
      <c r="H14" s="15">
        <f t="shared" si="4"/>
        <v>43651</v>
      </c>
      <c r="I14" s="15">
        <f t="shared" si="4"/>
        <v>43652</v>
      </c>
      <c r="J14" s="15">
        <f t="shared" si="4"/>
        <v>43653</v>
      </c>
    </row>
    <row r="15" spans="2:11" s="5" customFormat="1" ht="35.1" customHeight="1" thickBot="1">
      <c r="B15" s="4"/>
      <c r="C15" s="20"/>
      <c r="D15" s="17"/>
      <c r="E15" s="17"/>
      <c r="F15" s="17"/>
      <c r="G15" s="17"/>
      <c r="H15" s="17"/>
      <c r="I15" s="17"/>
      <c r="J15" s="17"/>
    </row>
    <row r="16" spans="2:11" s="6" customFormat="1" ht="14.1" customHeight="1">
      <c r="C16" s="13"/>
      <c r="D16" s="15">
        <f>J14+1</f>
        <v>43654</v>
      </c>
      <c r="E16" s="15">
        <f t="shared" ref="E16:J16" si="5">D16+1</f>
        <v>43655</v>
      </c>
      <c r="F16" s="15">
        <f t="shared" si="5"/>
        <v>43656</v>
      </c>
      <c r="G16" s="15">
        <f t="shared" si="5"/>
        <v>43657</v>
      </c>
      <c r="H16" s="15">
        <f t="shared" si="5"/>
        <v>43658</v>
      </c>
      <c r="I16" s="15">
        <f t="shared" si="5"/>
        <v>43659</v>
      </c>
      <c r="J16" s="15">
        <f t="shared" si="5"/>
        <v>43660</v>
      </c>
    </row>
    <row r="17" spans="2:10" s="5" customFormat="1" ht="35.1" customHeight="1" thickBot="1">
      <c r="B17" s="4"/>
      <c r="C17" s="12"/>
      <c r="D17" s="18"/>
      <c r="E17" s="18"/>
      <c r="F17" s="18"/>
      <c r="G17" s="18"/>
      <c r="H17" s="18"/>
      <c r="I17" s="18"/>
      <c r="J17" s="18"/>
    </row>
    <row r="18" spans="2:10" s="6" customFormat="1" ht="14.1" customHeight="1">
      <c r="B18" s="7"/>
      <c r="C18" s="13"/>
      <c r="D18" s="15">
        <f>J16+1</f>
        <v>43661</v>
      </c>
      <c r="E18" s="15">
        <f t="shared" ref="E18:J18" si="6">D18+1</f>
        <v>43662</v>
      </c>
      <c r="F18" s="15">
        <f t="shared" si="6"/>
        <v>43663</v>
      </c>
      <c r="G18" s="15">
        <f t="shared" si="6"/>
        <v>43664</v>
      </c>
      <c r="H18" s="15">
        <f t="shared" si="6"/>
        <v>43665</v>
      </c>
      <c r="I18" s="15">
        <f t="shared" si="6"/>
        <v>43666</v>
      </c>
      <c r="J18" s="15">
        <f t="shared" si="6"/>
        <v>43667</v>
      </c>
    </row>
    <row r="19" spans="2:10" s="5" customFormat="1" ht="35.1" customHeight="1" thickBot="1">
      <c r="B19" s="4"/>
      <c r="C19" s="12"/>
      <c r="D19" s="18"/>
      <c r="E19" s="18"/>
      <c r="F19" s="18"/>
      <c r="G19" s="18"/>
      <c r="H19" s="18"/>
      <c r="I19" s="18"/>
      <c r="J19" s="18"/>
    </row>
    <row r="20" spans="2:10" s="6" customFormat="1" ht="14.1" customHeight="1">
      <c r="B20" s="7"/>
      <c r="C20" s="19" t="str">
        <f>IF(MONTH(J20)&lt;&gt;8,"","Ago")</f>
        <v/>
      </c>
      <c r="D20" s="15">
        <f>J18+1</f>
        <v>43668</v>
      </c>
      <c r="E20" s="15">
        <f t="shared" ref="E20:J20" si="7">D20+1</f>
        <v>43669</v>
      </c>
      <c r="F20" s="15">
        <f t="shared" si="7"/>
        <v>43670</v>
      </c>
      <c r="G20" s="15">
        <f t="shared" si="7"/>
        <v>43671</v>
      </c>
      <c r="H20" s="15">
        <f t="shared" si="7"/>
        <v>43672</v>
      </c>
      <c r="I20" s="15">
        <f t="shared" si="7"/>
        <v>43673</v>
      </c>
      <c r="J20" s="15">
        <f t="shared" si="7"/>
        <v>43674</v>
      </c>
    </row>
    <row r="21" spans="2:10" s="5" customFormat="1" ht="35.1" customHeight="1" thickBot="1">
      <c r="B21" s="4"/>
      <c r="C21" s="19"/>
      <c r="D21" s="18"/>
      <c r="E21" s="18"/>
      <c r="F21" s="18"/>
      <c r="G21" s="18"/>
      <c r="H21" s="18"/>
      <c r="I21" s="18"/>
      <c r="J21" s="18"/>
    </row>
    <row r="22" spans="2:10" s="6" customFormat="1" ht="14.1" customHeight="1">
      <c r="B22" s="7"/>
      <c r="C22" s="19" t="str">
        <f>IF(C20&lt;&gt;"","","Ago")</f>
        <v>Ago</v>
      </c>
      <c r="D22" s="15">
        <f>J20+1</f>
        <v>43675</v>
      </c>
      <c r="E22" s="15">
        <f t="shared" ref="E22:J22" si="8">D22+1</f>
        <v>43676</v>
      </c>
      <c r="F22" s="15">
        <f t="shared" si="8"/>
        <v>43677</v>
      </c>
      <c r="G22" s="15">
        <f t="shared" si="8"/>
        <v>43678</v>
      </c>
      <c r="H22" s="15">
        <f t="shared" si="8"/>
        <v>43679</v>
      </c>
      <c r="I22" s="15">
        <f t="shared" si="8"/>
        <v>43680</v>
      </c>
      <c r="J22" s="15">
        <f t="shared" si="8"/>
        <v>43681</v>
      </c>
    </row>
    <row r="23" spans="2:10" s="5" customFormat="1" ht="35.1" customHeight="1" thickBot="1">
      <c r="B23" s="4"/>
      <c r="C23" s="19"/>
      <c r="D23" s="18"/>
      <c r="E23" s="18"/>
      <c r="F23" s="18"/>
      <c r="G23" s="18"/>
      <c r="H23" s="18"/>
      <c r="I23" s="18"/>
      <c r="J23" s="18"/>
    </row>
    <row r="24" spans="2:10" s="6" customFormat="1" ht="14.1" customHeight="1">
      <c r="B24" s="7"/>
      <c r="C24" s="13"/>
      <c r="D24" s="15">
        <f>J22+1</f>
        <v>43682</v>
      </c>
      <c r="E24" s="15">
        <f t="shared" ref="E24:J24" si="9">D24+1</f>
        <v>43683</v>
      </c>
      <c r="F24" s="15">
        <f t="shared" si="9"/>
        <v>43684</v>
      </c>
      <c r="G24" s="15">
        <f t="shared" si="9"/>
        <v>43685</v>
      </c>
      <c r="H24" s="15">
        <f t="shared" si="9"/>
        <v>43686</v>
      </c>
      <c r="I24" s="15">
        <f t="shared" si="9"/>
        <v>43687</v>
      </c>
      <c r="J24" s="15">
        <f t="shared" si="9"/>
        <v>43688</v>
      </c>
    </row>
    <row r="25" spans="2:10" s="5" customFormat="1" ht="35.1" customHeight="1" thickBot="1">
      <c r="B25" s="4"/>
      <c r="C25" s="12"/>
      <c r="D25" s="18"/>
      <c r="E25" s="18"/>
      <c r="F25" s="18"/>
      <c r="G25" s="18"/>
      <c r="H25" s="18"/>
      <c r="I25" s="18"/>
      <c r="J25" s="18"/>
    </row>
    <row r="26" spans="2:10" s="6" customFormat="1" ht="14.1" customHeight="1">
      <c r="B26" s="7"/>
      <c r="C26" s="13"/>
      <c r="D26" s="15">
        <f>J24+1</f>
        <v>43689</v>
      </c>
      <c r="E26" s="15">
        <f t="shared" ref="E26:J26" si="10">D26+1</f>
        <v>43690</v>
      </c>
      <c r="F26" s="15">
        <f t="shared" si="10"/>
        <v>43691</v>
      </c>
      <c r="G26" s="15">
        <f t="shared" si="10"/>
        <v>43692</v>
      </c>
      <c r="H26" s="15">
        <f t="shared" si="10"/>
        <v>43693</v>
      </c>
      <c r="I26" s="15">
        <f t="shared" si="10"/>
        <v>43694</v>
      </c>
      <c r="J26" s="15">
        <f t="shared" si="10"/>
        <v>43695</v>
      </c>
    </row>
    <row r="27" spans="2:10" s="5" customFormat="1" ht="35.1" customHeight="1" thickBot="1">
      <c r="B27" s="4"/>
      <c r="C27" s="12"/>
      <c r="D27" s="18"/>
      <c r="E27" s="18"/>
      <c r="F27" s="18"/>
      <c r="G27" s="18"/>
      <c r="H27" s="18"/>
      <c r="I27" s="18"/>
      <c r="J27" s="18"/>
    </row>
    <row r="28" spans="2:10" s="6" customFormat="1" ht="14.1" customHeight="1">
      <c r="B28" s="7"/>
      <c r="C28" s="13"/>
      <c r="D28" s="15">
        <f t="shared" ref="D28" si="11">J26+1</f>
        <v>43696</v>
      </c>
      <c r="E28" s="15">
        <f t="shared" ref="E28:J28" si="12">D28+1</f>
        <v>43697</v>
      </c>
      <c r="F28" s="15">
        <f t="shared" si="12"/>
        <v>43698</v>
      </c>
      <c r="G28" s="15">
        <f t="shared" si="12"/>
        <v>43699</v>
      </c>
      <c r="H28" s="15">
        <f t="shared" si="12"/>
        <v>43700</v>
      </c>
      <c r="I28" s="15">
        <f t="shared" si="12"/>
        <v>43701</v>
      </c>
      <c r="J28" s="15">
        <f t="shared" si="12"/>
        <v>43702</v>
      </c>
    </row>
    <row r="29" spans="2:10" s="5" customFormat="1" ht="35.1" customHeight="1" thickBot="1">
      <c r="B29" s="4"/>
      <c r="C29" s="12"/>
      <c r="D29" s="18"/>
      <c r="E29" s="18"/>
      <c r="F29" s="18"/>
      <c r="G29" s="18"/>
      <c r="H29" s="18"/>
      <c r="I29" s="18"/>
      <c r="J29" s="18"/>
    </row>
    <row r="30" spans="2:10" s="6" customFormat="1" ht="14.1" customHeight="1">
      <c r="B30" s="7"/>
      <c r="C30" s="19" t="str">
        <f>IF(MONTH(J30)&lt;&gt;9,"","Sept")</f>
        <v>Sept</v>
      </c>
      <c r="D30" s="15">
        <f>J28+1</f>
        <v>43703</v>
      </c>
      <c r="E30" s="15">
        <f t="shared" ref="E30:J30" si="13">D30+1</f>
        <v>43704</v>
      </c>
      <c r="F30" s="15">
        <f t="shared" si="13"/>
        <v>43705</v>
      </c>
      <c r="G30" s="15">
        <f t="shared" si="13"/>
        <v>43706</v>
      </c>
      <c r="H30" s="15">
        <f t="shared" si="13"/>
        <v>43707</v>
      </c>
      <c r="I30" s="15">
        <f t="shared" si="13"/>
        <v>43708</v>
      </c>
      <c r="J30" s="15">
        <f t="shared" si="13"/>
        <v>43709</v>
      </c>
    </row>
    <row r="31" spans="2:10" s="5" customFormat="1" ht="35.1" customHeight="1" thickBot="1">
      <c r="B31" s="4"/>
      <c r="C31" s="19"/>
      <c r="D31" s="18"/>
      <c r="E31" s="18"/>
      <c r="F31" s="18"/>
      <c r="G31" s="18"/>
      <c r="H31" s="18"/>
      <c r="I31" s="18"/>
      <c r="J31" s="18"/>
    </row>
    <row r="32" spans="2:10" s="6" customFormat="1" ht="14.1" customHeight="1">
      <c r="B32" s="7"/>
      <c r="C32" s="19" t="str">
        <f>IF(C30&lt;&gt;"","","Sept")</f>
        <v/>
      </c>
      <c r="D32" s="15">
        <f>J30+1</f>
        <v>43710</v>
      </c>
      <c r="E32" s="15">
        <f t="shared" ref="E32:J32" si="14">D32+1</f>
        <v>43711</v>
      </c>
      <c r="F32" s="15">
        <f t="shared" si="14"/>
        <v>43712</v>
      </c>
      <c r="G32" s="15">
        <f t="shared" si="14"/>
        <v>43713</v>
      </c>
      <c r="H32" s="15">
        <f t="shared" si="14"/>
        <v>43714</v>
      </c>
      <c r="I32" s="15">
        <f t="shared" si="14"/>
        <v>43715</v>
      </c>
      <c r="J32" s="15">
        <f t="shared" si="14"/>
        <v>43716</v>
      </c>
    </row>
    <row r="33" spans="2:10" s="5" customFormat="1" ht="35.1" customHeight="1" thickBot="1">
      <c r="B33" s="4"/>
      <c r="C33" s="19"/>
      <c r="D33" s="18"/>
      <c r="E33" s="18"/>
      <c r="F33" s="18"/>
      <c r="G33" s="18"/>
      <c r="H33" s="18"/>
      <c r="I33" s="18"/>
      <c r="J33" s="18"/>
    </row>
    <row r="34" spans="2:10" s="6" customFormat="1" ht="14.1" customHeight="1">
      <c r="B34" s="7"/>
      <c r="C34" s="13"/>
      <c r="D34" s="15">
        <f>J32+1</f>
        <v>43717</v>
      </c>
      <c r="E34" s="15">
        <f t="shared" ref="E34:J34" si="15">D34+1</f>
        <v>43718</v>
      </c>
      <c r="F34" s="15">
        <f t="shared" si="15"/>
        <v>43719</v>
      </c>
      <c r="G34" s="15">
        <f t="shared" si="15"/>
        <v>43720</v>
      </c>
      <c r="H34" s="15">
        <f t="shared" si="15"/>
        <v>43721</v>
      </c>
      <c r="I34" s="15">
        <f t="shared" si="15"/>
        <v>43722</v>
      </c>
      <c r="J34" s="15">
        <f t="shared" si="15"/>
        <v>43723</v>
      </c>
    </row>
    <row r="35" spans="2:10" s="5" customFormat="1" ht="35.1" customHeight="1" thickBot="1">
      <c r="B35" s="4"/>
      <c r="C35" s="12"/>
      <c r="D35" s="18"/>
      <c r="E35" s="18"/>
      <c r="F35" s="18"/>
      <c r="G35" s="18"/>
      <c r="H35" s="18"/>
      <c r="I35" s="18"/>
      <c r="J35" s="18"/>
    </row>
    <row r="36" spans="2:10" s="6" customFormat="1" ht="14.1" customHeight="1">
      <c r="B36" s="7"/>
      <c r="C36" s="13"/>
      <c r="D36" s="15">
        <f t="shared" ref="D36" si="16">J34+1</f>
        <v>43724</v>
      </c>
      <c r="E36" s="15">
        <f t="shared" ref="E36:J36" si="17">D36+1</f>
        <v>43725</v>
      </c>
      <c r="F36" s="15">
        <f t="shared" si="17"/>
        <v>43726</v>
      </c>
      <c r="G36" s="15">
        <f t="shared" si="17"/>
        <v>43727</v>
      </c>
      <c r="H36" s="15">
        <f t="shared" si="17"/>
        <v>43728</v>
      </c>
      <c r="I36" s="15">
        <f t="shared" si="17"/>
        <v>43729</v>
      </c>
      <c r="J36" s="15">
        <f t="shared" si="17"/>
        <v>43730</v>
      </c>
    </row>
    <row r="37" spans="2:10" s="5" customFormat="1" ht="35.1" customHeight="1" thickBot="1">
      <c r="B37" s="4"/>
      <c r="C37" s="12"/>
      <c r="D37" s="18"/>
      <c r="E37" s="18"/>
      <c r="F37" s="18"/>
      <c r="G37" s="18"/>
      <c r="H37" s="18"/>
      <c r="I37" s="18"/>
      <c r="J37" s="18"/>
    </row>
    <row r="38" spans="2:10" s="6" customFormat="1" ht="14.1" customHeight="1">
      <c r="B38" s="7"/>
      <c r="C38" s="13"/>
      <c r="D38" s="15">
        <f>IFERROR(IF(MONTH(J36+1)&gt;9,"",J36+1),"")</f>
        <v>43731</v>
      </c>
      <c r="E38" s="15">
        <f>IFERROR(IF(MONTH(D38+1)&lt;&gt;9,"",D38+1),"")</f>
        <v>43732</v>
      </c>
      <c r="F38" s="15">
        <f t="shared" ref="F38:J40" si="18">IFERROR(IF(MONTH(E38+1)&lt;&gt;9,"",E38+1),"")</f>
        <v>43733</v>
      </c>
      <c r="G38" s="15">
        <f t="shared" si="18"/>
        <v>43734</v>
      </c>
      <c r="H38" s="15">
        <f t="shared" si="18"/>
        <v>43735</v>
      </c>
      <c r="I38" s="15">
        <f t="shared" si="18"/>
        <v>43736</v>
      </c>
      <c r="J38" s="15">
        <f t="shared" si="18"/>
        <v>43737</v>
      </c>
    </row>
    <row r="39" spans="2:10" s="5" customFormat="1" ht="35.1" customHeight="1" thickBot="1">
      <c r="B39" s="4"/>
      <c r="C39" s="12"/>
      <c r="D39" s="18"/>
      <c r="E39" s="18"/>
      <c r="F39" s="18"/>
      <c r="G39" s="18"/>
      <c r="H39" s="18"/>
      <c r="I39" s="18"/>
      <c r="J39" s="18"/>
    </row>
    <row r="40" spans="2:10" s="6" customFormat="1" ht="14.1" customHeight="1">
      <c r="C40" s="13"/>
      <c r="D40" s="15">
        <f>IFERROR(IF(MONTH(J38+1)&gt;9,"",J38+1),"")</f>
        <v>43738</v>
      </c>
      <c r="E40" s="15" t="str">
        <f>IFERROR(IF(MONTH(D40+1)&lt;&gt;9,"",D40+1),"")</f>
        <v/>
      </c>
      <c r="F40" s="15" t="str">
        <f t="shared" si="18"/>
        <v/>
      </c>
      <c r="G40" s="15" t="str">
        <f t="shared" si="18"/>
        <v/>
      </c>
      <c r="H40" s="15" t="str">
        <f t="shared" si="18"/>
        <v/>
      </c>
      <c r="I40" s="15" t="str">
        <f t="shared" si="18"/>
        <v/>
      </c>
      <c r="J40" s="15" t="str">
        <f t="shared" si="18"/>
        <v/>
      </c>
    </row>
    <row r="41" spans="2:10" s="5" customFormat="1" ht="35.1" customHeight="1" thickBot="1">
      <c r="B41" s="4"/>
      <c r="C41" s="12"/>
      <c r="D41" s="18"/>
      <c r="E41" s="18"/>
      <c r="F41" s="18"/>
      <c r="G41" s="18"/>
      <c r="H41" s="18"/>
      <c r="I41" s="18"/>
      <c r="J41" s="18"/>
    </row>
  </sheetData>
  <mergeCells count="10">
    <mergeCell ref="B12:B14"/>
    <mergeCell ref="C2:C3"/>
    <mergeCell ref="B2:B11"/>
    <mergeCell ref="C4:C5"/>
    <mergeCell ref="C20:C21"/>
    <mergeCell ref="C22:C23"/>
    <mergeCell ref="C30:C31"/>
    <mergeCell ref="C32:C33"/>
    <mergeCell ref="C14:C15"/>
    <mergeCell ref="C12:C13"/>
  </mergeCells>
  <phoneticPr fontId="12"/>
  <conditionalFormatting sqref="D5:J5 D7:J7 D9:J9 D11:J11 D13:J13 D15:J15 D17:J17 D19:J19 D21:J21 D23:J23 D25:J25 D27:J27 D29:J29 D31:J31 D33:J33 D35:J35 D37:J37 D39:J39 D41:J41">
    <cfRule type="expression" dxfId="7" priority="5" stopIfTrue="1">
      <formula>MONTH(D4)=7</formula>
    </cfRule>
    <cfRule type="expression" dxfId="6" priority="6" stopIfTrue="1">
      <formula>MONTH(D4)=6</formula>
    </cfRule>
    <cfRule type="expression" dxfId="5" priority="7" stopIfTrue="1">
      <formula>MONTH(D4)=8</formula>
    </cfRule>
    <cfRule type="expression" dxfId="4" priority="8" stopIfTrue="1">
      <formula>MONTH(D4)=9</formula>
    </cfRule>
  </conditionalFormatting>
  <conditionalFormatting sqref="D4:J4 D6:J6 D8:J8 D10:J10 D12:J12 D14:J14 D16:J16 D18:J18 D20:J20 D22:J22 D24:J24 D26:J26 D28:J28 D30:J30 D32:J32 D34:J34 D36:J36 D38:J38 D40:J40">
    <cfRule type="expression" dxfId="3" priority="1" stopIfTrue="1">
      <formula>MONTH(D4)=6</formula>
    </cfRule>
    <cfRule type="expression" dxfId="2" priority="2" stopIfTrue="1">
      <formula>MONTH(D4)=7</formula>
    </cfRule>
    <cfRule type="expression" dxfId="1" priority="3" stopIfTrue="1">
      <formula>MONTH(D4)=8</formula>
    </cfRule>
    <cfRule type="expression" dxfId="0" priority="4" stopIfTrue="1">
      <formula>MONTH(D4)=9</formula>
    </cfRule>
  </conditionalFormatting>
  <dataValidations count="2">
    <dataValidation allowBlank="1" showInputMessage="1" showErrorMessage="1" promptTitle="Calendario de actividades de verano" prompt="Para cambiar el año natural, use los botones de número. _x000a__x000a_Enter notas o actividades para cada fecha en el calendario. _x000a_" sqref="A1" xr:uid="{00000000-0002-0000-0000-000000000000}"/>
    <dataValidation allowBlank="1" showInputMessage="1" showErrorMessage="1" prompt="Use el control numérico para cambiar fácilmente el año natural" sqref="B12:B14" xr:uid="{00000000-0002-0000-0000-000001000000}"/>
  </dataValidations>
  <printOptions horizontalCentered="1" verticalCentered="1"/>
  <pageMargins left="0.25" right="0.25" top="0.5" bottom="0.5" header="0.3" footer="0.3"/>
  <pageSetup paperSize="9" scale="5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" r:id="rId4" name="Control numérico">
              <controlPr defaultSize="0" print="0" autoPict="0" altText="Use el botón giratorio para cambiar el año en el calendario o cambiar el año en la celda AE3">
                <anchor moveWithCells="1">
                  <from>
                    <xdr:col>1</xdr:col>
                    <xdr:colOff>2057400</xdr:colOff>
                    <xdr:row>12</xdr:row>
                    <xdr:rowOff>152400</xdr:rowOff>
                  </from>
                  <to>
                    <xdr:col>1</xdr:col>
                    <xdr:colOff>2171700</xdr:colOff>
                    <xdr:row>12</xdr:row>
                    <xdr:rowOff>381000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1" ma:contentTypeDescription="Create a new document." ma:contentTypeScope="" ma:versionID="1c2eb7a32e66fb6e4260f3771546a5e2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04e1f6479c48b08974ba73b5ca973489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0BEAC70A-2013-4A6B-8034-06313C9711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C2E74E-059C-4750-8A99-287EC7DEB1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7928CC-FFA4-40BB-BE36-AB5D11AFE33B}">
  <ds:schemaRefs>
    <ds:schemaRef ds:uri="http://schemas.microsoft.com/office/2006/metadata/properties"/>
    <ds:schemaRef ds:uri="http://schemas.microsoft.com/office/infopath/2007/PartnerControls"/>
    <ds:schemaRef ds:uri="71af3243-3dd4-4a8d-8c0d-dd76da1f02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Calendario De Actividades De...</vt:lpstr>
      <vt:lpstr>AñoCalendario</vt:lpstr>
      <vt:lpstr>Range_Dates</vt:lpstr>
      <vt:lpstr>Range_Notes</vt:lpstr>
      <vt:lpstr>Rows_Dates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2019-01-30T04:55:27Z</dcterms:created>
  <dcterms:modified xsi:type="dcterms:W3CDTF">2020-04-23T20:43:08Z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