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 codeName="ThisWorkbook"/>
  <xr:revisionPtr revIDLastSave="0" documentId="8_{087B80C1-6A12-4064-A264-B301F9FF95F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de cumpleaños" sheetId="4" r:id="rId1"/>
  </sheets>
  <definedNames>
    <definedName name="AbrDom1">DATE(AñoCalendario,4,1)-WEEKDAY(DATE(AñoCalendario,4,1))+1</definedName>
    <definedName name="AgoDom1">DATE(AñoCalendario,8,1)-WEEKDAY(DATE(AñoCalendario,8,1))+1</definedName>
    <definedName name="AñoCalendario">'Calendario de cumpleaños'!$Z$2</definedName>
    <definedName name="_xlnm.Print_Area" localSheetId="0">'Calendario de cumpleaños'!$A$1:$AG$44</definedName>
    <definedName name="DecSun1">DATE(AñoCalendario,12,1)-WEEKDAY(DATE(AñoCalendario,12,1))+1</definedName>
    <definedName name="FebSun1">DATE(AñoCalendario,2,1)-WEEKDAY(DATE(AñoCalendario,2,1))+1</definedName>
    <definedName name="Fechas_Nacimiento">'Calendario de cumpleaños'!$AH$5:$AH$24</definedName>
    <definedName name="JanSun1">DATE(AñoCalendario,1,1)-WEEKDAY(DATE(AñoCalendario,1,1))+1</definedName>
    <definedName name="JulSun1">DATE(AñoCalendario,7,1)-WEEKDAY(DATE(AñoCalendario,7,1))+1</definedName>
    <definedName name="JunSun1">DATE(AñoCalendario,6,1)-WEEKDAY(DATE(AñoCalendario,6,1))+1</definedName>
    <definedName name="MarSun1">DATE(AñoCalendario,3,1)-WEEKDAY(DATE(AñoCalendario,3,1))+1</definedName>
    <definedName name="MaySun1">DATE(AñoCalendario,5,1)-WEEKDAY(DATE(AñoCalendario,5,1))+1</definedName>
    <definedName name="NovSun1">DATE(AñoCalendario,11,1)-WEEKDAY(DATE(AñoCalendario,11,1))+1</definedName>
    <definedName name="OctSun1">DATE(AñoCalendario,10,1)-WEEKDAY(DATE(AñoCalendario,10,1))+1</definedName>
    <definedName name="SepDom1">DATE(AñoCalendario,9,1)-WEEKDAY(DATE(AñoCalendario,9,1))+1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H15" i="4" l="1"/>
  <c r="AH24" i="4"/>
  <c r="AH20" i="4"/>
  <c r="AH16" i="4"/>
  <c r="AH23" i="4"/>
  <c r="AH19" i="4"/>
  <c r="AH17" i="4"/>
  <c r="AH22" i="4"/>
  <c r="AH18" i="4"/>
  <c r="AH21" i="4"/>
  <c r="AH5" i="4"/>
  <c r="AH14" i="4"/>
  <c r="AH10" i="4"/>
  <c r="AH6" i="4"/>
  <c r="AH13" i="4"/>
  <c r="AH9" i="4"/>
  <c r="AH7" i="4"/>
  <c r="AH12" i="4"/>
  <c r="AH8" i="4"/>
  <c r="AH11" i="4"/>
  <c r="AF43" i="4" l="1"/>
  <c r="AE43" i="4"/>
  <c r="AD43" i="4"/>
  <c r="AC43" i="4"/>
  <c r="AB43" i="4"/>
  <c r="AA43" i="4"/>
  <c r="Z43" i="4"/>
  <c r="AF42" i="4"/>
  <c r="AE42" i="4"/>
  <c r="AD42" i="4"/>
  <c r="AC42" i="4"/>
  <c r="AB42" i="4"/>
  <c r="AA42" i="4"/>
  <c r="Z42" i="4"/>
  <c r="AF41" i="4"/>
  <c r="AE41" i="4"/>
  <c r="AD41" i="4"/>
  <c r="AC41" i="4"/>
  <c r="AB41" i="4"/>
  <c r="AA41" i="4"/>
  <c r="Z41" i="4"/>
  <c r="AF40" i="4"/>
  <c r="AE40" i="4"/>
  <c r="AD40" i="4"/>
  <c r="AC40" i="4"/>
  <c r="AB40" i="4"/>
  <c r="AA40" i="4"/>
  <c r="Z40" i="4"/>
  <c r="AF39" i="4"/>
  <c r="AE39" i="4"/>
  <c r="AD39" i="4"/>
  <c r="AC39" i="4"/>
  <c r="AB39" i="4"/>
  <c r="AA39" i="4"/>
  <c r="Z39" i="4"/>
  <c r="AF38" i="4"/>
  <c r="AE38" i="4"/>
  <c r="AD38" i="4"/>
  <c r="AC38" i="4"/>
  <c r="AB38" i="4"/>
  <c r="AA38" i="4"/>
  <c r="Z38" i="4"/>
  <c r="X43" i="4"/>
  <c r="W43" i="4"/>
  <c r="V43" i="4"/>
  <c r="U43" i="4"/>
  <c r="T43" i="4"/>
  <c r="S43" i="4"/>
  <c r="R43" i="4"/>
  <c r="X42" i="4"/>
  <c r="W42" i="4"/>
  <c r="V42" i="4"/>
  <c r="U42" i="4"/>
  <c r="T42" i="4"/>
  <c r="S42" i="4"/>
  <c r="R42" i="4"/>
  <c r="X41" i="4"/>
  <c r="W41" i="4"/>
  <c r="V41" i="4"/>
  <c r="U41" i="4"/>
  <c r="T41" i="4"/>
  <c r="S41" i="4"/>
  <c r="R41" i="4"/>
  <c r="X40" i="4"/>
  <c r="W40" i="4"/>
  <c r="V40" i="4"/>
  <c r="U40" i="4"/>
  <c r="T40" i="4"/>
  <c r="S40" i="4"/>
  <c r="R40" i="4"/>
  <c r="X39" i="4"/>
  <c r="W39" i="4"/>
  <c r="V39" i="4"/>
  <c r="U39" i="4"/>
  <c r="T39" i="4"/>
  <c r="S39" i="4"/>
  <c r="R39" i="4"/>
  <c r="X38" i="4"/>
  <c r="W38" i="4"/>
  <c r="V38" i="4"/>
  <c r="U38" i="4"/>
  <c r="T38" i="4"/>
  <c r="S38" i="4"/>
  <c r="R38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40" i="4"/>
  <c r="O40" i="4"/>
  <c r="N40" i="4"/>
  <c r="M40" i="4"/>
  <c r="L40" i="4"/>
  <c r="K40" i="4"/>
  <c r="J40" i="4"/>
  <c r="P39" i="4"/>
  <c r="O39" i="4"/>
  <c r="N39" i="4"/>
  <c r="M39" i="4"/>
  <c r="L39" i="4"/>
  <c r="K39" i="4"/>
  <c r="J39" i="4"/>
  <c r="P38" i="4"/>
  <c r="O38" i="4"/>
  <c r="N38" i="4"/>
  <c r="M38" i="4"/>
  <c r="L38" i="4"/>
  <c r="K38" i="4"/>
  <c r="J38" i="4"/>
  <c r="H43" i="4"/>
  <c r="G43" i="4"/>
  <c r="F43" i="4"/>
  <c r="E43" i="4"/>
  <c r="D43" i="4"/>
  <c r="C43" i="4"/>
  <c r="B43" i="4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H40" i="4"/>
  <c r="G40" i="4"/>
  <c r="F40" i="4"/>
  <c r="E40" i="4"/>
  <c r="D40" i="4"/>
  <c r="C40" i="4"/>
  <c r="B40" i="4"/>
  <c r="H39" i="4"/>
  <c r="G39" i="4"/>
  <c r="F39" i="4"/>
  <c r="E39" i="4"/>
  <c r="D39" i="4"/>
  <c r="C39" i="4"/>
  <c r="B39" i="4"/>
  <c r="H38" i="4"/>
  <c r="G38" i="4"/>
  <c r="F38" i="4"/>
  <c r="E38" i="4"/>
  <c r="D38" i="4"/>
  <c r="C38" i="4"/>
  <c r="B38" i="4"/>
  <c r="AF34" i="4"/>
  <c r="AE34" i="4"/>
  <c r="AD34" i="4"/>
  <c r="AC34" i="4"/>
  <c r="AB34" i="4"/>
  <c r="AA34" i="4"/>
  <c r="Z34" i="4"/>
  <c r="AF33" i="4"/>
  <c r="AE33" i="4"/>
  <c r="AD33" i="4"/>
  <c r="AC33" i="4"/>
  <c r="AB33" i="4"/>
  <c r="AA33" i="4"/>
  <c r="Z33" i="4"/>
  <c r="AF32" i="4"/>
  <c r="AE32" i="4"/>
  <c r="AD32" i="4"/>
  <c r="AC32" i="4"/>
  <c r="AB32" i="4"/>
  <c r="AA32" i="4"/>
  <c r="Z32" i="4"/>
  <c r="AF31" i="4"/>
  <c r="AE31" i="4"/>
  <c r="AD31" i="4"/>
  <c r="AC31" i="4"/>
  <c r="AB31" i="4"/>
  <c r="AA31" i="4"/>
  <c r="Z31" i="4"/>
  <c r="AF30" i="4"/>
  <c r="AE30" i="4"/>
  <c r="AD30" i="4"/>
  <c r="AC30" i="4"/>
  <c r="AB30" i="4"/>
  <c r="AA30" i="4"/>
  <c r="Z30" i="4"/>
  <c r="AF29" i="4"/>
  <c r="AE29" i="4"/>
  <c r="AD29" i="4"/>
  <c r="AC29" i="4"/>
  <c r="AB29" i="4"/>
  <c r="AA29" i="4"/>
  <c r="Z29" i="4"/>
  <c r="X34" i="4"/>
  <c r="W34" i="4"/>
  <c r="V34" i="4"/>
  <c r="U34" i="4"/>
  <c r="T34" i="4"/>
  <c r="S34" i="4"/>
  <c r="R34" i="4"/>
  <c r="X33" i="4"/>
  <c r="W33" i="4"/>
  <c r="V33" i="4"/>
  <c r="U33" i="4"/>
  <c r="T33" i="4"/>
  <c r="S33" i="4"/>
  <c r="R33" i="4"/>
  <c r="X32" i="4"/>
  <c r="W32" i="4"/>
  <c r="V32" i="4"/>
  <c r="U32" i="4"/>
  <c r="T32" i="4"/>
  <c r="S32" i="4"/>
  <c r="R32" i="4"/>
  <c r="X31" i="4"/>
  <c r="W31" i="4"/>
  <c r="V31" i="4"/>
  <c r="U31" i="4"/>
  <c r="T31" i="4"/>
  <c r="S31" i="4"/>
  <c r="R31" i="4"/>
  <c r="X30" i="4"/>
  <c r="W30" i="4"/>
  <c r="V30" i="4"/>
  <c r="U30" i="4"/>
  <c r="T30" i="4"/>
  <c r="S30" i="4"/>
  <c r="R30" i="4"/>
  <c r="X29" i="4"/>
  <c r="W29" i="4"/>
  <c r="V29" i="4"/>
  <c r="U29" i="4"/>
  <c r="T29" i="4"/>
  <c r="S29" i="4"/>
  <c r="R29" i="4"/>
  <c r="P34" i="4"/>
  <c r="O34" i="4"/>
  <c r="N34" i="4"/>
  <c r="M34" i="4"/>
  <c r="L34" i="4"/>
  <c r="K34" i="4"/>
  <c r="J34" i="4"/>
  <c r="P33" i="4"/>
  <c r="O33" i="4"/>
  <c r="N33" i="4"/>
  <c r="M33" i="4"/>
  <c r="L33" i="4"/>
  <c r="K33" i="4"/>
  <c r="J33" i="4"/>
  <c r="P32" i="4"/>
  <c r="O32" i="4"/>
  <c r="N32" i="4"/>
  <c r="M32" i="4"/>
  <c r="L32" i="4"/>
  <c r="K32" i="4"/>
  <c r="J32" i="4"/>
  <c r="P31" i="4"/>
  <c r="O31" i="4"/>
  <c r="N31" i="4"/>
  <c r="M31" i="4"/>
  <c r="L31" i="4"/>
  <c r="K31" i="4"/>
  <c r="J31" i="4"/>
  <c r="P30" i="4"/>
  <c r="O30" i="4"/>
  <c r="N30" i="4"/>
  <c r="M30" i="4"/>
  <c r="L30" i="4"/>
  <c r="K30" i="4"/>
  <c r="J30" i="4"/>
  <c r="P29" i="4"/>
  <c r="O29" i="4"/>
  <c r="N29" i="4"/>
  <c r="M29" i="4"/>
  <c r="L29" i="4"/>
  <c r="K29" i="4"/>
  <c r="J29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H31" i="4"/>
  <c r="G31" i="4"/>
  <c r="F31" i="4"/>
  <c r="E31" i="4"/>
  <c r="D31" i="4"/>
  <c r="C31" i="4"/>
  <c r="B31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AF25" i="4"/>
  <c r="AE25" i="4"/>
  <c r="AD25" i="4"/>
  <c r="AC25" i="4"/>
  <c r="AB25" i="4"/>
  <c r="AA25" i="4"/>
  <c r="Z25" i="4"/>
  <c r="AF24" i="4"/>
  <c r="AE24" i="4"/>
  <c r="AD24" i="4"/>
  <c r="AC24" i="4"/>
  <c r="AB24" i="4"/>
  <c r="AA24" i="4"/>
  <c r="Z24" i="4"/>
  <c r="AF23" i="4"/>
  <c r="AE23" i="4"/>
  <c r="AD23" i="4"/>
  <c r="AC23" i="4"/>
  <c r="AB23" i="4"/>
  <c r="AA23" i="4"/>
  <c r="Z23" i="4"/>
  <c r="AF22" i="4"/>
  <c r="AE22" i="4"/>
  <c r="AD22" i="4"/>
  <c r="AC22" i="4"/>
  <c r="AB22" i="4"/>
  <c r="AA22" i="4"/>
  <c r="Z22" i="4"/>
  <c r="AF21" i="4"/>
  <c r="AE21" i="4"/>
  <c r="AD21" i="4"/>
  <c r="AC21" i="4"/>
  <c r="AB21" i="4"/>
  <c r="AA21" i="4"/>
  <c r="Z21" i="4"/>
  <c r="AF20" i="4"/>
  <c r="AE20" i="4"/>
  <c r="AD20" i="4"/>
  <c r="AC20" i="4"/>
  <c r="AB20" i="4"/>
  <c r="AA20" i="4"/>
  <c r="Z20" i="4"/>
  <c r="X25" i="4"/>
  <c r="W25" i="4"/>
  <c r="V25" i="4"/>
  <c r="U25" i="4"/>
  <c r="T25" i="4"/>
  <c r="S25" i="4"/>
  <c r="R25" i="4"/>
  <c r="X24" i="4"/>
  <c r="W24" i="4"/>
  <c r="V24" i="4"/>
  <c r="U24" i="4"/>
  <c r="T24" i="4"/>
  <c r="S24" i="4"/>
  <c r="R24" i="4"/>
  <c r="X23" i="4"/>
  <c r="W23" i="4"/>
  <c r="V23" i="4"/>
  <c r="U23" i="4"/>
  <c r="T23" i="4"/>
  <c r="S23" i="4"/>
  <c r="R23" i="4"/>
  <c r="X22" i="4"/>
  <c r="W22" i="4"/>
  <c r="V22" i="4"/>
  <c r="U22" i="4"/>
  <c r="T22" i="4"/>
  <c r="S22" i="4"/>
  <c r="R22" i="4"/>
  <c r="X21" i="4"/>
  <c r="W21" i="4"/>
  <c r="V21" i="4"/>
  <c r="U21" i="4"/>
  <c r="T21" i="4"/>
  <c r="S21" i="4"/>
  <c r="R21" i="4"/>
  <c r="X20" i="4"/>
  <c r="W20" i="4"/>
  <c r="V20" i="4"/>
  <c r="U20" i="4"/>
  <c r="T20" i="4"/>
  <c r="S20" i="4"/>
  <c r="R20" i="4"/>
  <c r="P25" i="4"/>
  <c r="O25" i="4"/>
  <c r="N25" i="4"/>
  <c r="M25" i="4"/>
  <c r="L25" i="4"/>
  <c r="K25" i="4"/>
  <c r="J25" i="4"/>
  <c r="P24" i="4"/>
  <c r="O24" i="4"/>
  <c r="N24" i="4"/>
  <c r="M24" i="4"/>
  <c r="L24" i="4"/>
  <c r="K24" i="4"/>
  <c r="J24" i="4"/>
  <c r="P23" i="4"/>
  <c r="O23" i="4"/>
  <c r="N23" i="4"/>
  <c r="M23" i="4"/>
  <c r="L23" i="4"/>
  <c r="K23" i="4"/>
  <c r="J23" i="4"/>
  <c r="P22" i="4"/>
  <c r="O22" i="4"/>
  <c r="N22" i="4"/>
  <c r="M22" i="4"/>
  <c r="L22" i="4"/>
  <c r="K22" i="4"/>
  <c r="J22" i="4"/>
  <c r="P21" i="4"/>
  <c r="O21" i="4"/>
  <c r="N21" i="4"/>
  <c r="M21" i="4"/>
  <c r="L21" i="4"/>
  <c r="K21" i="4"/>
  <c r="J21" i="4"/>
  <c r="P20" i="4"/>
  <c r="O20" i="4"/>
  <c r="N20" i="4"/>
  <c r="M20" i="4"/>
  <c r="L20" i="4"/>
  <c r="K20" i="4"/>
  <c r="J20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Z36" i="4"/>
  <c r="R36" i="4"/>
  <c r="J36" i="4"/>
  <c r="B36" i="4"/>
  <c r="Z27" i="4"/>
  <c r="R27" i="4"/>
  <c r="J27" i="4"/>
  <c r="B27" i="4"/>
  <c r="Z18" i="4"/>
  <c r="R18" i="4"/>
  <c r="J18" i="4"/>
  <c r="B18" i="4"/>
</calcChain>
</file>

<file path=xl/sharedStrings.xml><?xml version="1.0" encoding="utf-8"?>
<sst xmlns="http://schemas.openxmlformats.org/spreadsheetml/2006/main" count="90" uniqueCount="13">
  <si>
    <t>Calendario de cumpleaños</t>
  </si>
  <si>
    <t>Lu.</t>
  </si>
  <si>
    <t>Ma.</t>
  </si>
  <si>
    <t>Mi.</t>
  </si>
  <si>
    <t>Ju.</t>
  </si>
  <si>
    <t>Vi.</t>
  </si>
  <si>
    <t>Mamá</t>
  </si>
  <si>
    <t>Tío Víctor</t>
  </si>
  <si>
    <t>Tía Flora</t>
  </si>
  <si>
    <t>Sá.</t>
  </si>
  <si>
    <t>Do.</t>
  </si>
  <si>
    <t>Papá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</si>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</sst>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"/>
    <numFmt numFmtId="169" formatCode="[$-C0A]d\ &quot;de&quot;\ mmmm"/>
    <numFmt numFmtId="170" formatCode="mmmm"/>
  </numFmts>
  <fonts count="32" x14ac:knownFonts="1">
    <font>
      <sz val="10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name val="Verdana"/>
      <family val="2"/>
      <scheme val="minor"/>
    </font>
    <font>
      <sz val="10"/>
      <color theme="1" tint="0.249977111117893"/>
      <name val="Verdana"/>
      <family val="2"/>
      <scheme val="minor"/>
    </font>
    <font>
      <sz val="10"/>
      <color theme="1" tint="0.14999847407452621"/>
      <name val="Verdana"/>
      <family val="2"/>
      <scheme val="minor"/>
    </font>
    <font>
      <sz val="12"/>
      <color theme="1" tint="0.14999847407452621"/>
      <name val="Verdana"/>
      <family val="2"/>
      <scheme val="minor"/>
    </font>
    <font>
      <b/>
      <sz val="12"/>
      <color theme="1" tint="0.14999847407452621"/>
      <name val="Verdana"/>
      <family val="2"/>
      <scheme val="minor"/>
    </font>
    <font>
      <sz val="10"/>
      <color theme="1" tint="0.14999847407452621"/>
      <name val="Franklin Gothic Heavy"/>
      <family val="1"/>
      <scheme val="major"/>
    </font>
    <font>
      <sz val="8"/>
      <color theme="1" tint="0.34998626667073579"/>
      <name val="Verdana"/>
      <family val="2"/>
      <scheme val="minor"/>
    </font>
    <font>
      <sz val="36"/>
      <color theme="7" tint="-0.499984740745262"/>
      <name val="Franklin Gothic Heavy"/>
      <family val="1"/>
      <scheme val="major"/>
    </font>
    <font>
      <sz val="40"/>
      <color theme="7" tint="-0.499984740745262"/>
      <name val="Franklin Gothic Heavy"/>
      <family val="1"/>
      <scheme val="major"/>
    </font>
    <font>
      <sz val="10"/>
      <color theme="0"/>
      <name val="Verdana"/>
      <family val="2"/>
      <scheme val="minor"/>
    </font>
    <font>
      <sz val="10"/>
      <color theme="7" tint="0.39997558519241921"/>
      <name val="Verdana"/>
      <family val="2"/>
      <scheme val="minor"/>
    </font>
    <font>
      <sz val="12"/>
      <color theme="7" tint="0.39997558519241921"/>
      <name val="Verdana"/>
      <family val="2"/>
      <scheme val="minor"/>
    </font>
    <font>
      <sz val="11"/>
      <color theme="7" tint="-0.499984740745262"/>
      <name val="Verdana"/>
      <family val="2"/>
      <scheme val="minor"/>
    </font>
    <font>
      <sz val="10"/>
      <color theme="1"/>
      <name val="Verdana"/>
      <family val="2"/>
      <scheme val="minor"/>
    </font>
    <font>
      <sz val="18"/>
      <color theme="3"/>
      <name val="Franklin Gothic Heavy"/>
      <family val="2"/>
      <scheme val="major"/>
    </font>
    <font>
      <b/>
      <sz val="15"/>
      <color theme="3"/>
      <name val="Verdana"/>
      <family val="2"/>
      <scheme val="minor"/>
    </font>
    <font>
      <b/>
      <sz val="13"/>
      <color theme="3"/>
      <name val="Verdana"/>
      <family val="2"/>
      <scheme val="minor"/>
    </font>
    <font>
      <b/>
      <sz val="11"/>
      <color theme="3"/>
      <name val="Verdana"/>
      <family val="2"/>
      <scheme val="minor"/>
    </font>
    <font>
      <sz val="11"/>
      <color rgb="FF006100"/>
      <name val="Verdana"/>
      <family val="2"/>
      <scheme val="minor"/>
    </font>
    <font>
      <sz val="11"/>
      <color rgb="FF9C0006"/>
      <name val="Verdana"/>
      <family val="2"/>
      <scheme val="minor"/>
    </font>
    <font>
      <sz val="11"/>
      <color rgb="FF9C5700"/>
      <name val="Verdana"/>
      <family val="2"/>
      <scheme val="minor"/>
    </font>
    <font>
      <sz val="11"/>
      <color rgb="FF3F3F76"/>
      <name val="Verdana"/>
      <family val="2"/>
      <scheme val="minor"/>
    </font>
    <font>
      <b/>
      <sz val="11"/>
      <color rgb="FF3F3F3F"/>
      <name val="Verdana"/>
      <family val="2"/>
      <scheme val="minor"/>
    </font>
    <font>
      <b/>
      <sz val="11"/>
      <color rgb="FFFA7D00"/>
      <name val="Verdana"/>
      <family val="2"/>
      <scheme val="minor"/>
    </font>
    <font>
      <sz val="11"/>
      <color rgb="FFFA7D00"/>
      <name val="Verdana"/>
      <family val="2"/>
      <scheme val="minor"/>
    </font>
    <font>
      <b/>
      <sz val="11"/>
      <color theme="0"/>
      <name val="Verdana"/>
      <family val="2"/>
      <scheme val="minor"/>
    </font>
    <font>
      <sz val="11"/>
      <color rgb="FFFF0000"/>
      <name val="Verdana"/>
      <family val="2"/>
      <scheme val="minor"/>
    </font>
    <font>
      <i/>
      <sz val="11"/>
      <color rgb="FF7F7F7F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11"/>
      <color theme="0"/>
      <name val="Verdan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dotted">
        <color theme="7" tint="0.59996337778862885"/>
      </bottom>
      <diagonal/>
    </border>
    <border>
      <left/>
      <right/>
      <top style="dotted">
        <color theme="7" tint="0.59996337778862885"/>
      </top>
      <bottom style="dotted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/>
    <xf numFmtId="167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7" applyNumberFormat="0" applyAlignment="0" applyProtection="0"/>
    <xf numFmtId="0" fontId="24" fillId="7" borderId="8" applyNumberFormat="0" applyAlignment="0" applyProtection="0"/>
    <xf numFmtId="0" fontId="25" fillId="7" borderId="7" applyNumberFormat="0" applyAlignment="0" applyProtection="0"/>
    <xf numFmtId="0" fontId="26" fillId="0" borderId="9" applyNumberFormat="0" applyFill="0" applyAlignment="0" applyProtection="0"/>
    <xf numFmtId="0" fontId="27" fillId="8" borderId="10" applyNumberFormat="0" applyAlignment="0" applyProtection="0"/>
    <xf numFmtId="0" fontId="28" fillId="0" borderId="0" applyNumberFormat="0" applyFill="0" applyBorder="0" applyAlignment="0" applyProtection="0"/>
    <xf numFmtId="0" fontId="15" fillId="9" borderId="11" applyNumberFormat="0" applyFont="0" applyAlignment="0" applyProtection="0"/>
    <xf numFmtId="0" fontId="29" fillId="0" borderId="0" applyNumberFormat="0" applyFill="0" applyBorder="0" applyAlignment="0" applyProtection="0"/>
    <xf numFmtId="0" fontId="30" fillId="0" borderId="12" applyNumberFormat="0" applyFill="0" applyAlignment="0" applyProtection="0"/>
    <xf numFmtId="0" fontId="3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8">
    <xf numFmtId="0" fontId="0" fillId="0" borderId="0" xfId="0"/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14" fontId="1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11" fillId="0" borderId="0" xfId="0" applyFont="1"/>
    <xf numFmtId="168" fontId="4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9" fontId="4" fillId="2" borderId="1" xfId="0" applyNumberFormat="1" applyFont="1" applyFill="1" applyBorder="1" applyAlignment="1">
      <alignment horizontal="left" vertical="center"/>
    </xf>
    <xf numFmtId="169" fontId="4" fillId="2" borderId="2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center" wrapText="1"/>
    </xf>
    <xf numFmtId="170" fontId="14" fillId="0" borderId="3" xfId="0" applyNumberFormat="1" applyFont="1" applyBorder="1" applyAlignment="1">
      <alignment horizontal="center" vertical="center"/>
    </xf>
  </cellXfs>
  <cellStyles count="48">
    <cellStyle name="20% - Énfasis1" xfId="25" builtinId="30" customBuiltin="1"/>
    <cellStyle name="20% - Énfasis2" xfId="29" builtinId="34" customBuiltin="1"/>
    <cellStyle name="20% - Énfasis3" xfId="33" builtinId="38" customBuiltin="1"/>
    <cellStyle name="20% - Énfasis4" xfId="37" builtinId="42" customBuiltin="1"/>
    <cellStyle name="20% - Énfasis5" xfId="41" builtinId="46" customBuiltin="1"/>
    <cellStyle name="20% - Énfasis6" xfId="45" builtinId="50" customBuiltin="1"/>
    <cellStyle name="40% - Énfasis1" xfId="26" builtinId="31" customBuiltin="1"/>
    <cellStyle name="40% - Énfasis2" xfId="30" builtinId="35" customBuiltin="1"/>
    <cellStyle name="40% - Énfasis3" xfId="34" builtinId="39" customBuiltin="1"/>
    <cellStyle name="40% - Énfasis4" xfId="38" builtinId="43" customBuiltin="1"/>
    <cellStyle name="40% - Énfasis5" xfId="42" builtinId="47" customBuiltin="1"/>
    <cellStyle name="40% - Énfasis6" xfId="46" builtinId="51" customBuiltin="1"/>
    <cellStyle name="60% - Énfasis1" xfId="27" builtinId="32" customBuiltin="1"/>
    <cellStyle name="60% - Énfasis2" xfId="31" builtinId="36" customBuiltin="1"/>
    <cellStyle name="60% - Énfasis3" xfId="35" builtinId="40" customBuiltin="1"/>
    <cellStyle name="60% - Énfasis4" xfId="39" builtinId="44" customBuiltin="1"/>
    <cellStyle name="60% - Énfasis5" xfId="43" builtinId="48" customBuiltin="1"/>
    <cellStyle name="60% - Énfasis6" xfId="47" builtinId="52" customBuiltin="1"/>
    <cellStyle name="Bueno" xfId="12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8" builtinId="16" customBuiltin="1"/>
    <cellStyle name="Encabezado 4" xfId="11" builtinId="19" customBuiltin="1"/>
    <cellStyle name="Énfasis1" xfId="24" builtinId="29" customBuiltin="1"/>
    <cellStyle name="Énfasis2" xfId="28" builtinId="33" customBuiltin="1"/>
    <cellStyle name="Énfasis3" xfId="32" builtinId="37" customBuiltin="1"/>
    <cellStyle name="Énfasis4" xfId="36" builtinId="41" customBuiltin="1"/>
    <cellStyle name="Énfasis5" xfId="40" builtinId="45" customBuiltin="1"/>
    <cellStyle name="Énfasis6" xfId="44" builtinId="49" customBuiltin="1"/>
    <cellStyle name="Entrada" xfId="15" builtinId="20" customBuiltin="1"/>
    <cellStyle name="Incorrecto" xfId="13" builtinId="27" customBuiltin="1"/>
    <cellStyle name="Millares" xfId="2" builtinId="3" customBuiltin="1"/>
    <cellStyle name="Millares [0]" xfId="3" builtinId="6" customBuiltin="1"/>
    <cellStyle name="Moneda" xfId="4" builtinId="4" customBuiltin="1"/>
    <cellStyle name="Moneda [0]" xfId="5" builtinId="7" customBuiltin="1"/>
    <cellStyle name="Neutral" xfId="14" builtinId="28" customBuiltin="1"/>
    <cellStyle name="Normal" xfId="0" builtinId="0" customBuiltin="1"/>
    <cellStyle name="Normal 2" xfId="1" xr:uid="{00000000-0005-0000-0000-000001000000}"/>
    <cellStyle name="Notas" xfId="21" builtinId="10" customBuiltin="1"/>
    <cellStyle name="Porcentaje" xfId="6" builtinId="5" customBuiltin="1"/>
    <cellStyle name="Salida" xfId="16" builtinId="21" customBuiltin="1"/>
    <cellStyle name="Texto de advertencia" xfId="20" builtinId="11" customBuiltin="1"/>
    <cellStyle name="Texto explicativo" xfId="22" builtinId="53" customBuiltin="1"/>
    <cellStyle name="Título" xfId="7" builtinId="15" customBuiltin="1"/>
    <cellStyle name="Título 2" xfId="9" builtinId="17" customBuiltin="1"/>
    <cellStyle name="Título 3" xfId="10" builtinId="18" customBuiltin="1"/>
    <cellStyle name="Total" xfId="23" builtinId="25" customBuiltin="1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Verdana"/>
        <scheme val="minor"/>
      </font>
      <numFmt numFmtId="168" formatCode="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34998626667073579"/>
        <name val="Verdana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$Z$2" max="2999" min="1900" page="10" val="202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0</xdr:colOff>
          <xdr:row>1</xdr:row>
          <xdr:rowOff>238125</xdr:rowOff>
        </xdr:from>
        <xdr:to>
          <xdr:col>33</xdr:col>
          <xdr:colOff>28575</xdr:colOff>
          <xdr:row>1</xdr:row>
          <xdr:rowOff>542925</xdr:rowOff>
        </xdr:to>
        <xdr:sp macro="" textlink="">
          <xdr:nvSpPr>
            <xdr:cNvPr id="1025" name="Control numérico" descr="Use el botón giratorio para cambiar el año del calendario o cambiar el año en la celda AE1&#10;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15</xdr:row>
      <xdr:rowOff>0</xdr:rowOff>
    </xdr:from>
    <xdr:to>
      <xdr:col>32</xdr:col>
      <xdr:colOff>0</xdr:colOff>
      <xdr:row>16</xdr:row>
      <xdr:rowOff>2350</xdr:rowOff>
    </xdr:to>
    <xdr:pic>
      <xdr:nvPicPr>
        <xdr:cNvPr id="2" name="Imagen 1" descr="Gráficos de dibujos animados de elementos de cumpleaños" title="Imágenes de bord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4895850"/>
          <a:ext cx="7677150" cy="659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32</xdr:col>
      <xdr:colOff>0</xdr:colOff>
      <xdr:row>3</xdr:row>
      <xdr:rowOff>11628</xdr:rowOff>
    </xdr:to>
    <xdr:pic>
      <xdr:nvPicPr>
        <xdr:cNvPr id="4" name="Imagen 3" descr="Gráficos de dibujos animados de elementos de cumpleaños" title="Imágenes de bord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971550"/>
          <a:ext cx="7677150" cy="62122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ero" displayName="Enero" ref="B19:H25" totalsRowShown="0" headerRowDxfId="107" dataDxfId="106">
  <autoFilter ref="B19:H2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Lu." dataDxfId="105"/>
    <tableColumn id="2" xr3:uid="{00000000-0010-0000-0000-000002000000}" name="Ma." dataDxfId="104"/>
    <tableColumn id="3" xr3:uid="{00000000-0010-0000-0000-000003000000}" name="Mi." dataDxfId="103"/>
    <tableColumn id="4" xr3:uid="{00000000-0010-0000-0000-000004000000}" name="Ju." dataDxfId="102"/>
    <tableColumn id="5" xr3:uid="{00000000-0010-0000-0000-000005000000}" name="Vi." dataDxfId="101"/>
    <tableColumn id="6" xr3:uid="{00000000-0010-0000-0000-000006000000}" name="Sá." dataDxfId="100"/>
    <tableColumn id="7" xr3:uid="{00000000-0010-0000-0000-000007000000}" name="Do." dataDxfId="99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enero, los días de la semana se calculan automáticamente para el año especificado en la celda AE3 en esta tabla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ebrero" displayName="Febrero" ref="J19:P25" totalsRowShown="0" headerRowDxfId="98" dataDxfId="97">
  <autoFilter ref="J19:P25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Lu." dataDxfId="96"/>
    <tableColumn id="2" xr3:uid="{00000000-0010-0000-0100-000002000000}" name="Ma." dataDxfId="95"/>
    <tableColumn id="3" xr3:uid="{00000000-0010-0000-0100-000003000000}" name="Mi." dataDxfId="94"/>
    <tableColumn id="4" xr3:uid="{00000000-0010-0000-0100-000004000000}" name="Ju." dataDxfId="93"/>
    <tableColumn id="5" xr3:uid="{00000000-0010-0000-0100-000005000000}" name="Vi." dataDxfId="92"/>
    <tableColumn id="6" xr3:uid="{00000000-0010-0000-0100-000006000000}" name="Sá." dataDxfId="91"/>
    <tableColumn id="7" xr3:uid="{00000000-0010-0000-0100-000007000000}" name="Do." dataDxfId="90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febrero, los días de la semana se calculan automáticamente para el año especificado en la celda AE3 en esta tabla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rzo" displayName="Marzo" ref="R19:X25" totalsRowShown="0" headerRowDxfId="89" dataDxfId="88">
  <autoFilter ref="R19:X2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200-000001000000}" name="Lu." dataDxfId="87"/>
    <tableColumn id="2" xr3:uid="{00000000-0010-0000-0200-000002000000}" name="Ma." dataDxfId="86"/>
    <tableColumn id="3" xr3:uid="{00000000-0010-0000-0200-000003000000}" name="Mi." dataDxfId="85"/>
    <tableColumn id="4" xr3:uid="{00000000-0010-0000-0200-000004000000}" name="Ju." dataDxfId="84"/>
    <tableColumn id="5" xr3:uid="{00000000-0010-0000-0200-000005000000}" name="Vi." dataDxfId="83"/>
    <tableColumn id="6" xr3:uid="{00000000-0010-0000-0200-000006000000}" name="Sá." dataDxfId="82"/>
    <tableColumn id="7" xr3:uid="{00000000-0010-0000-0200-000007000000}" name="Do." dataDxfId="81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marzo, los días de la semana se calculan automáticamente para el año especificado en la celda AE3 en esta tabla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bril" displayName="Abril" ref="Z19:AF25" totalsRowShown="0" headerRowDxfId="80" dataDxfId="79">
  <autoFilter ref="Z19:AF25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300-000001000000}" name="Lu." dataDxfId="78"/>
    <tableColumn id="2" xr3:uid="{00000000-0010-0000-0300-000002000000}" name="Ma." dataDxfId="77"/>
    <tableColumn id="3" xr3:uid="{00000000-0010-0000-0300-000003000000}" name="Mi." dataDxfId="76"/>
    <tableColumn id="4" xr3:uid="{00000000-0010-0000-0300-000004000000}" name="Ju." dataDxfId="75"/>
    <tableColumn id="5" xr3:uid="{00000000-0010-0000-0300-000005000000}" name="Vi." dataDxfId="74"/>
    <tableColumn id="6" xr3:uid="{00000000-0010-0000-0300-000006000000}" name="Sá." dataDxfId="73"/>
    <tableColumn id="7" xr3:uid="{00000000-0010-0000-0300-000007000000}" name="Do." dataDxfId="72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abril, los días de la semana se calculan automáticamente para el año especificado en la celda AE3 en esta tabla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gosto" displayName="Agosto" ref="Z28:AF34" totalsRowShown="0" headerRowDxfId="71" dataDxfId="70">
  <autoFilter ref="Z28:AF34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400-000001000000}" name="Lu." dataDxfId="69"/>
    <tableColumn id="2" xr3:uid="{00000000-0010-0000-0400-000002000000}" name="Ma." dataDxfId="68"/>
    <tableColumn id="3" xr3:uid="{00000000-0010-0000-0400-000003000000}" name="Mi." dataDxfId="67"/>
    <tableColumn id="4" xr3:uid="{00000000-0010-0000-0400-000004000000}" name="Ju." dataDxfId="66"/>
    <tableColumn id="5" xr3:uid="{00000000-0010-0000-0400-000005000000}" name="Vi." dataDxfId="65"/>
    <tableColumn id="6" xr3:uid="{00000000-0010-0000-0400-000006000000}" name="Sá." dataDxfId="64"/>
    <tableColumn id="7" xr3:uid="{00000000-0010-0000-0400-000007000000}" name="Do." dataDxfId="63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agosto, los días de la semana se calculan automáticamente para el año especificado en la celda AE3 en esta tabla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ciembre" displayName="Diciembre" ref="Z37:AF43" totalsRowShown="0" headerRowDxfId="62" dataDxfId="61">
  <autoFilter ref="Z37:AF43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500-000001000000}" name="Lu." dataDxfId="60"/>
    <tableColumn id="2" xr3:uid="{00000000-0010-0000-0500-000002000000}" name="Ma." dataDxfId="59"/>
    <tableColumn id="3" xr3:uid="{00000000-0010-0000-0500-000003000000}" name="Mi." dataDxfId="58"/>
    <tableColumn id="4" xr3:uid="{00000000-0010-0000-0500-000004000000}" name="Ju." dataDxfId="57"/>
    <tableColumn id="5" xr3:uid="{00000000-0010-0000-0500-000005000000}" name="Vi." dataDxfId="56"/>
    <tableColumn id="6" xr3:uid="{00000000-0010-0000-0500-000006000000}" name="Sá." dataDxfId="55"/>
    <tableColumn id="7" xr3:uid="{00000000-0010-0000-0500-000007000000}" name="Do." dataDxfId="54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diciembre, los días de la semana se calculan automáticamente para el año especificado en la celda AE3 en esta tabla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oviembre" displayName="Noviembre" ref="R37:X43" totalsRowShown="0" headerRowDxfId="53" dataDxfId="52">
  <autoFilter ref="R37:X4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600-000001000000}" name="Lu." dataDxfId="51"/>
    <tableColumn id="2" xr3:uid="{00000000-0010-0000-0600-000002000000}" name="Ma." dataDxfId="50"/>
    <tableColumn id="3" xr3:uid="{00000000-0010-0000-0600-000003000000}" name="Mi." dataDxfId="49"/>
    <tableColumn id="4" xr3:uid="{00000000-0010-0000-0600-000004000000}" name="Ju." dataDxfId="48"/>
    <tableColumn id="5" xr3:uid="{00000000-0010-0000-0600-000005000000}" name="Vi." dataDxfId="47"/>
    <tableColumn id="6" xr3:uid="{00000000-0010-0000-0600-000006000000}" name="Sá." dataDxfId="46"/>
    <tableColumn id="7" xr3:uid="{00000000-0010-0000-0600-000007000000}" name="Do." dataDxfId="45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noviembre, los días de la semana se calculan automáticamente para el año especificado en la celda AE3 en esta tabla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ctubre" displayName="Octubre" ref="J37:P43" totalsRowShown="0" headerRowDxfId="44" dataDxfId="43">
  <autoFilter ref="J37:P43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700-000001000000}" name="Lu." dataDxfId="42"/>
    <tableColumn id="2" xr3:uid="{00000000-0010-0000-0700-000002000000}" name="Ma." dataDxfId="41"/>
    <tableColumn id="3" xr3:uid="{00000000-0010-0000-0700-000003000000}" name="Mi." dataDxfId="40"/>
    <tableColumn id="4" xr3:uid="{00000000-0010-0000-0700-000004000000}" name="Ju." dataDxfId="39"/>
    <tableColumn id="5" xr3:uid="{00000000-0010-0000-0700-000005000000}" name="Vi." dataDxfId="38"/>
    <tableColumn id="6" xr3:uid="{00000000-0010-0000-0700-000006000000}" name="Sá." dataDxfId="37"/>
    <tableColumn id="7" xr3:uid="{00000000-0010-0000-0700-000007000000}" name="Do." dataDxfId="36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octubre, los días de la semana se calculan automáticamente para el año especificado en la celda AE3 en esta tabla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ptiembre" displayName="Septiembre" ref="B37:H43" totalsRowShown="0" headerRowDxfId="35" dataDxfId="34">
  <autoFilter ref="B37:H43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800-000001000000}" name="Lu." dataDxfId="33"/>
    <tableColumn id="2" xr3:uid="{00000000-0010-0000-0800-000002000000}" name="Ma." dataDxfId="32"/>
    <tableColumn id="3" xr3:uid="{00000000-0010-0000-0800-000003000000}" name="Mi." dataDxfId="31"/>
    <tableColumn id="4" xr3:uid="{00000000-0010-0000-0800-000004000000}" name="Ju." dataDxfId="30"/>
    <tableColumn id="5" xr3:uid="{00000000-0010-0000-0800-000005000000}" name="Vi." dataDxfId="29"/>
    <tableColumn id="6" xr3:uid="{00000000-0010-0000-0800-000006000000}" name="Sá." dataDxfId="28"/>
    <tableColumn id="7" xr3:uid="{00000000-0010-0000-0800-000007000000}" name="Do." dataDxfId="27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septiembre. Los días de la semana se calculan automáticamente para el año especificado en la celda AE3 en esta tabla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yo" displayName="Mayo" ref="B28:H34" totalsRowShown="0" headerRowDxfId="26" dataDxfId="25">
  <autoFilter ref="B28:H3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900-000001000000}" name="Lu." dataDxfId="24"/>
    <tableColumn id="2" xr3:uid="{00000000-0010-0000-0900-000002000000}" name="Ma." dataDxfId="23"/>
    <tableColumn id="3" xr3:uid="{00000000-0010-0000-0900-000003000000}" name="Mi." dataDxfId="22"/>
    <tableColumn id="4" xr3:uid="{00000000-0010-0000-0900-000004000000}" name="Ju." dataDxfId="21"/>
    <tableColumn id="5" xr3:uid="{00000000-0010-0000-0900-000005000000}" name="Vi." dataDxfId="20"/>
    <tableColumn id="6" xr3:uid="{00000000-0010-0000-0900-000006000000}" name="Sá." dataDxfId="19"/>
    <tableColumn id="7" xr3:uid="{00000000-0010-0000-0900-000007000000}" name="Do." dataDxfId="18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mayo, los días de la semana se calculan automáticamente para el año especificado en la celda AE3 en esta tabla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Junio" displayName="Junio" ref="J28:P34" totalsRowShown="0" headerRowDxfId="17" dataDxfId="16">
  <autoFilter ref="J28:P34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A00-000001000000}" name="Lu." dataDxfId="15"/>
    <tableColumn id="2" xr3:uid="{00000000-0010-0000-0A00-000002000000}" name="Ma." dataDxfId="14"/>
    <tableColumn id="3" xr3:uid="{00000000-0010-0000-0A00-000003000000}" name="Mi." dataDxfId="13"/>
    <tableColumn id="4" xr3:uid="{00000000-0010-0000-0A00-000004000000}" name="Ju." dataDxfId="12"/>
    <tableColumn id="5" xr3:uid="{00000000-0010-0000-0A00-000005000000}" name="Vi." dataDxfId="11"/>
    <tableColumn id="6" xr3:uid="{00000000-0010-0000-0A00-000006000000}" name="Sá." dataDxfId="10"/>
    <tableColumn id="7" xr3:uid="{00000000-0010-0000-0A00-000007000000}" name="Do." dataDxfId="9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junio, los días de la semana se calculan automáticamente para el año especificado en la celda AE3 en esta tabla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Julio" displayName="Julio" ref="R28:X34" totalsRowShown="0" headerRowDxfId="8" dataDxfId="7">
  <autoFilter ref="R28:X34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B00-000001000000}" name="Lu." dataDxfId="6"/>
    <tableColumn id="2" xr3:uid="{00000000-0010-0000-0B00-000002000000}" name="Ma." dataDxfId="5"/>
    <tableColumn id="3" xr3:uid="{00000000-0010-0000-0B00-000003000000}" name="Mi." dataDxfId="4"/>
    <tableColumn id="4" xr3:uid="{00000000-0010-0000-0B00-000004000000}" name="Ju." dataDxfId="3"/>
    <tableColumn id="5" xr3:uid="{00000000-0010-0000-0B00-000005000000}" name="Vi." dataDxfId="2"/>
    <tableColumn id="6" xr3:uid="{00000000-0010-0000-0B00-000006000000}" name="Sá." dataDxfId="1"/>
    <tableColumn id="7" xr3:uid="{00000000-0010-0000-0B00-000007000000}" name="Do." dataDxfId="0"/>
  </tableColumns>
  <tableStyleInfo showFirstColumn="0" showLastColumn="0" showRowStripes="0" showColumnStripes="0"/>
  <extLst>
    <ext xmlns:x14="http://schemas.microsoft.com/office/spreadsheetml/2009/9/main" uri="{504A1905-F514-4f6f-8877-14C23A59335A}">
      <x14:table altTextSummary="Calendario de julio, los días de la semana se calculan automáticamente para el año especificado en la celda AE3 en esta tabla"/>
    </ext>
  </extLst>
</table>
</file>

<file path=xl/theme/theme1.xml><?xml version="1.0" encoding="utf-8"?>
<a:theme xmlns:a="http://schemas.openxmlformats.org/drawingml/2006/main" name="9_calendar">
  <a:themeElements>
    <a:clrScheme name="Birthday Calendar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7BD7EC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27">
      <a:majorFont>
        <a:latin typeface="Franklin Gothic Heavy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13" Type="http://schemas.openxmlformats.org/officeDocument/2006/relationships/table" Target="../tables/table9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3.xml"/><Relationship Id="rId12" Type="http://schemas.openxmlformats.org/officeDocument/2006/relationships/table" Target="../tables/table8.xml"/><Relationship Id="rId2" Type="http://schemas.openxmlformats.org/officeDocument/2006/relationships/drawing" Target="../drawings/drawing1.xml"/><Relationship Id="rId16" Type="http://schemas.openxmlformats.org/officeDocument/2006/relationships/table" Target="../tables/table1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2.xml"/><Relationship Id="rId11" Type="http://schemas.openxmlformats.org/officeDocument/2006/relationships/table" Target="../tables/table7.xml"/><Relationship Id="rId5" Type="http://schemas.openxmlformats.org/officeDocument/2006/relationships/table" Target="../tables/table1.xml"/><Relationship Id="rId15" Type="http://schemas.openxmlformats.org/officeDocument/2006/relationships/table" Target="../tables/table11.xml"/><Relationship Id="rId10" Type="http://schemas.openxmlformats.org/officeDocument/2006/relationships/table" Target="../tables/table6.xml"/><Relationship Id="rId4" Type="http://schemas.openxmlformats.org/officeDocument/2006/relationships/ctrlProp" Target="../ctrlProps/ctrlProp1.xml"/><Relationship Id="rId9" Type="http://schemas.openxmlformats.org/officeDocument/2006/relationships/table" Target="../tables/table5.xml"/><Relationship Id="rId1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AI43"/>
  <sheetViews>
    <sheetView showGridLines="0" showRowColHeaders="0" tabSelected="1" zoomScaleNormal="100" workbookViewId="0">
      <selection activeCell="G5" sqref="G5:P5"/>
    </sheetView>
  </sheetViews>
  <sheetFormatPr baseColWidth="10" defaultColWidth="9" defaultRowHeight="12.75" x14ac:dyDescent="0.2"/>
  <cols>
    <col min="1" max="1" width="1.625" style="11" customWidth="1"/>
    <col min="2" max="32" width="3.25" style="1" customWidth="1"/>
    <col min="33" max="33" width="1.625" style="1" customWidth="1"/>
    <col min="34" max="34" width="9" style="12"/>
    <col min="35" max="16384" width="9" style="1"/>
  </cols>
  <sheetData>
    <row r="1" spans="2:35" ht="11.25" customHeight="1" x14ac:dyDescent="0.2">
      <c r="AG1" s="1" t="s">
        <v>12</v>
      </c>
    </row>
    <row r="2" spans="2:35" s="13" customFormat="1" ht="63" customHeight="1" x14ac:dyDescent="0.2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6">
        <v>2020</v>
      </c>
      <c r="AA2" s="26"/>
      <c r="AB2" s="26"/>
      <c r="AC2" s="26"/>
      <c r="AD2" s="26"/>
      <c r="AE2" s="26"/>
      <c r="AF2" s="26"/>
      <c r="AH2" s="22"/>
      <c r="AI2" s="22"/>
    </row>
    <row r="3" spans="2:35" ht="48" customHeight="1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2:35" ht="9" customHeight="1" x14ac:dyDescent="0.2">
      <c r="B4" s="8"/>
      <c r="C4" s="4"/>
      <c r="D4" s="5"/>
      <c r="E4" s="5"/>
      <c r="F4" s="5"/>
      <c r="G4" s="6"/>
      <c r="H4" s="6"/>
      <c r="I4" s="6"/>
      <c r="J4" s="6"/>
      <c r="K4" s="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9"/>
    </row>
    <row r="5" spans="2:35" ht="15.95" customHeight="1" x14ac:dyDescent="0.2">
      <c r="B5" s="7"/>
      <c r="C5" s="23">
        <v>15349</v>
      </c>
      <c r="D5" s="23"/>
      <c r="E5" s="23"/>
      <c r="F5" s="23"/>
      <c r="G5" s="25" t="s">
        <v>6</v>
      </c>
      <c r="H5" s="25"/>
      <c r="I5" s="25"/>
      <c r="J5" s="25"/>
      <c r="K5" s="25"/>
      <c r="L5" s="25"/>
      <c r="M5" s="25"/>
      <c r="N5" s="25"/>
      <c r="O5" s="25"/>
      <c r="P5" s="25"/>
      <c r="Q5" s="3"/>
      <c r="R5" s="23">
        <v>43589</v>
      </c>
      <c r="S5" s="23"/>
      <c r="T5" s="23"/>
      <c r="U5" s="23"/>
      <c r="V5" s="25" t="s">
        <v>11</v>
      </c>
      <c r="W5" s="25"/>
      <c r="X5" s="25"/>
      <c r="Y5" s="25"/>
      <c r="Z5" s="25"/>
      <c r="AA5" s="25"/>
      <c r="AB5" s="25"/>
      <c r="AC5" s="25"/>
      <c r="AD5" s="25"/>
      <c r="AE5" s="25"/>
      <c r="AF5" s="7"/>
      <c r="AH5" s="12">
        <f t="shared" ref="AH5:AH14" si="0">DATE(AñoCalendario,MONTH(C5),DAY(C5))</f>
        <v>43838</v>
      </c>
    </row>
    <row r="6" spans="2:35" ht="15.95" customHeight="1" x14ac:dyDescent="0.2">
      <c r="B6" s="8"/>
      <c r="C6" s="24">
        <v>31125</v>
      </c>
      <c r="D6" s="24"/>
      <c r="E6" s="24"/>
      <c r="F6" s="24"/>
      <c r="G6" s="21" t="s">
        <v>7</v>
      </c>
      <c r="H6" s="21"/>
      <c r="I6" s="21"/>
      <c r="J6" s="21"/>
      <c r="K6" s="21"/>
      <c r="L6" s="21"/>
      <c r="M6" s="21"/>
      <c r="N6" s="21"/>
      <c r="O6" s="21"/>
      <c r="P6" s="21"/>
      <c r="Q6" s="3"/>
      <c r="R6" s="24"/>
      <c r="S6" s="24"/>
      <c r="T6" s="24"/>
      <c r="U6" s="24"/>
      <c r="V6" s="21"/>
      <c r="W6" s="21"/>
      <c r="X6" s="21"/>
      <c r="Y6" s="21"/>
      <c r="Z6" s="21"/>
      <c r="AA6" s="21"/>
      <c r="AB6" s="21"/>
      <c r="AC6" s="21"/>
      <c r="AD6" s="21"/>
      <c r="AE6" s="21"/>
      <c r="AF6" s="8"/>
      <c r="AH6" s="12">
        <f t="shared" si="0"/>
        <v>43909</v>
      </c>
    </row>
    <row r="7" spans="2:35" ht="15.95" customHeight="1" x14ac:dyDescent="0.2">
      <c r="B7" s="8"/>
      <c r="C7" s="24">
        <v>1214</v>
      </c>
      <c r="D7" s="24"/>
      <c r="E7" s="24"/>
      <c r="F7" s="24"/>
      <c r="G7" s="21" t="s">
        <v>8</v>
      </c>
      <c r="H7" s="21"/>
      <c r="I7" s="21"/>
      <c r="J7" s="21"/>
      <c r="K7" s="21"/>
      <c r="L7" s="21"/>
      <c r="M7" s="21"/>
      <c r="N7" s="21"/>
      <c r="O7" s="21"/>
      <c r="P7" s="21"/>
      <c r="Q7" s="3"/>
      <c r="R7" s="24"/>
      <c r="S7" s="24"/>
      <c r="T7" s="24"/>
      <c r="U7" s="24"/>
      <c r="V7" s="21"/>
      <c r="W7" s="21"/>
      <c r="X7" s="21"/>
      <c r="Y7" s="21"/>
      <c r="Z7" s="21"/>
      <c r="AA7" s="21"/>
      <c r="AB7" s="21"/>
      <c r="AC7" s="21"/>
      <c r="AD7" s="21"/>
      <c r="AE7" s="21"/>
      <c r="AF7" s="8"/>
      <c r="AH7" s="12">
        <f t="shared" si="0"/>
        <v>43949</v>
      </c>
    </row>
    <row r="8" spans="2:35" ht="15.95" customHeight="1" x14ac:dyDescent="0.2">
      <c r="B8" s="8"/>
      <c r="C8" s="24"/>
      <c r="D8" s="24"/>
      <c r="E8" s="24"/>
      <c r="F8" s="24"/>
      <c r="G8" s="21"/>
      <c r="H8" s="21"/>
      <c r="I8" s="21"/>
      <c r="J8" s="21"/>
      <c r="K8" s="21"/>
      <c r="L8" s="21"/>
      <c r="M8" s="21"/>
      <c r="N8" s="21"/>
      <c r="O8" s="21"/>
      <c r="P8" s="21"/>
      <c r="Q8" s="3"/>
      <c r="R8" s="24"/>
      <c r="S8" s="24"/>
      <c r="T8" s="24"/>
      <c r="U8" s="24"/>
      <c r="V8" s="21"/>
      <c r="W8" s="21"/>
      <c r="X8" s="21"/>
      <c r="Y8" s="21"/>
      <c r="Z8" s="21"/>
      <c r="AA8" s="21"/>
      <c r="AB8" s="21"/>
      <c r="AC8" s="21"/>
      <c r="AD8" s="21"/>
      <c r="AE8" s="21"/>
      <c r="AF8" s="8"/>
      <c r="AH8" s="12">
        <f t="shared" si="0"/>
        <v>43830</v>
      </c>
    </row>
    <row r="9" spans="2:35" ht="15.95" customHeight="1" x14ac:dyDescent="0.2">
      <c r="B9" s="8"/>
      <c r="C9" s="24"/>
      <c r="D9" s="24"/>
      <c r="E9" s="24"/>
      <c r="F9" s="24"/>
      <c r="G9" s="21"/>
      <c r="H9" s="21"/>
      <c r="I9" s="21"/>
      <c r="J9" s="21"/>
      <c r="K9" s="21"/>
      <c r="L9" s="21"/>
      <c r="M9" s="21"/>
      <c r="N9" s="21"/>
      <c r="O9" s="21"/>
      <c r="P9" s="21"/>
      <c r="Q9" s="3"/>
      <c r="R9" s="24"/>
      <c r="S9" s="24"/>
      <c r="T9" s="24"/>
      <c r="U9" s="24"/>
      <c r="V9" s="21"/>
      <c r="W9" s="21"/>
      <c r="X9" s="21"/>
      <c r="Y9" s="21"/>
      <c r="Z9" s="21"/>
      <c r="AA9" s="21"/>
      <c r="AB9" s="21"/>
      <c r="AC9" s="21"/>
      <c r="AD9" s="21"/>
      <c r="AE9" s="21"/>
      <c r="AF9" s="8"/>
      <c r="AH9" s="12">
        <f t="shared" si="0"/>
        <v>43830</v>
      </c>
    </row>
    <row r="10" spans="2:35" ht="15.95" customHeight="1" x14ac:dyDescent="0.2">
      <c r="B10" s="8"/>
      <c r="C10" s="24"/>
      <c r="D10" s="24"/>
      <c r="E10" s="24"/>
      <c r="F10" s="24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3"/>
      <c r="R10" s="24"/>
      <c r="S10" s="24"/>
      <c r="T10" s="24"/>
      <c r="U10" s="24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8"/>
      <c r="AH10" s="12">
        <f t="shared" si="0"/>
        <v>43830</v>
      </c>
    </row>
    <row r="11" spans="2:35" ht="15.95" customHeight="1" x14ac:dyDescent="0.2">
      <c r="B11" s="8"/>
      <c r="C11" s="24"/>
      <c r="D11" s="24"/>
      <c r="E11" s="24"/>
      <c r="F11" s="24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3"/>
      <c r="R11" s="24"/>
      <c r="S11" s="24"/>
      <c r="T11" s="24"/>
      <c r="U11" s="24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8"/>
      <c r="AH11" s="12">
        <f t="shared" si="0"/>
        <v>43830</v>
      </c>
    </row>
    <row r="12" spans="2:35" ht="15.95" customHeight="1" x14ac:dyDescent="0.2">
      <c r="B12" s="8"/>
      <c r="C12" s="24"/>
      <c r="D12" s="24"/>
      <c r="E12" s="24"/>
      <c r="F12" s="24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3"/>
      <c r="R12" s="24"/>
      <c r="S12" s="24"/>
      <c r="T12" s="24"/>
      <c r="U12" s="24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8"/>
      <c r="AH12" s="12">
        <f t="shared" si="0"/>
        <v>43830</v>
      </c>
    </row>
    <row r="13" spans="2:35" ht="15.95" customHeight="1" x14ac:dyDescent="0.2">
      <c r="B13" s="8"/>
      <c r="C13" s="24"/>
      <c r="D13" s="24"/>
      <c r="E13" s="24"/>
      <c r="F13" s="2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3"/>
      <c r="R13" s="24"/>
      <c r="S13" s="24"/>
      <c r="T13" s="24"/>
      <c r="U13" s="24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8"/>
      <c r="AH13" s="12">
        <f t="shared" si="0"/>
        <v>43830</v>
      </c>
    </row>
    <row r="14" spans="2:35" ht="15.95" customHeight="1" x14ac:dyDescent="0.2">
      <c r="B14" s="8"/>
      <c r="C14" s="24"/>
      <c r="D14" s="24"/>
      <c r="E14" s="24"/>
      <c r="F14" s="24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3"/>
      <c r="R14" s="24"/>
      <c r="S14" s="24"/>
      <c r="T14" s="24"/>
      <c r="U14" s="24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8"/>
      <c r="AH14" s="12">
        <f t="shared" si="0"/>
        <v>43830</v>
      </c>
    </row>
    <row r="15" spans="2:35" ht="15.75" customHeight="1" x14ac:dyDescent="0.2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8"/>
      <c r="AH15" s="12">
        <f t="shared" ref="AH15:AH24" si="1">DATE(AñoCalendario,MONTH(R5),DAY(R5))</f>
        <v>43955</v>
      </c>
    </row>
    <row r="16" spans="2:35" ht="51.75" customHeight="1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H16" s="12">
        <f t="shared" si="1"/>
        <v>43830</v>
      </c>
    </row>
    <row r="17" spans="1:34" ht="15.95" customHeight="1" x14ac:dyDescent="0.2">
      <c r="AH17" s="12">
        <f t="shared" si="1"/>
        <v>43830</v>
      </c>
    </row>
    <row r="18" spans="1:34" s="16" customFormat="1" ht="21" customHeight="1" x14ac:dyDescent="0.2">
      <c r="A18" s="14"/>
      <c r="B18" s="27">
        <f>DATE(AñoCalendario,1,1)</f>
        <v>43831</v>
      </c>
      <c r="C18" s="27"/>
      <c r="D18" s="27"/>
      <c r="E18" s="27"/>
      <c r="F18" s="27"/>
      <c r="G18" s="27"/>
      <c r="H18" s="27"/>
      <c r="J18" s="27">
        <f>DATE(AñoCalendario,2,1)</f>
        <v>43862</v>
      </c>
      <c r="K18" s="27"/>
      <c r="L18" s="27"/>
      <c r="M18" s="27"/>
      <c r="N18" s="27"/>
      <c r="O18" s="27"/>
      <c r="P18" s="27"/>
      <c r="R18" s="27">
        <f>DATE(AñoCalendario,3,1)</f>
        <v>43891</v>
      </c>
      <c r="S18" s="27"/>
      <c r="T18" s="27"/>
      <c r="U18" s="27"/>
      <c r="V18" s="27"/>
      <c r="W18" s="27"/>
      <c r="X18" s="27"/>
      <c r="Z18" s="27">
        <f>DATE(AñoCalendario,4,1)</f>
        <v>43922</v>
      </c>
      <c r="AA18" s="27"/>
      <c r="AB18" s="27"/>
      <c r="AC18" s="27"/>
      <c r="AD18" s="27"/>
      <c r="AE18" s="27"/>
      <c r="AF18" s="27"/>
      <c r="AH18" s="12">
        <f t="shared" si="1"/>
        <v>43830</v>
      </c>
    </row>
    <row r="19" spans="1:34" s="18" customFormat="1" ht="15.95" customHeight="1" x14ac:dyDescent="0.2">
      <c r="A19" s="15"/>
      <c r="B19" s="10" t="s">
        <v>1</v>
      </c>
      <c r="C19" s="10" t="s">
        <v>2</v>
      </c>
      <c r="D19" s="10" t="s">
        <v>3</v>
      </c>
      <c r="E19" s="10" t="s">
        <v>4</v>
      </c>
      <c r="F19" s="10" t="s">
        <v>5</v>
      </c>
      <c r="G19" s="10" t="s">
        <v>9</v>
      </c>
      <c r="H19" s="10" t="s">
        <v>10</v>
      </c>
      <c r="I19" s="10"/>
      <c r="J19" s="10" t="s">
        <v>1</v>
      </c>
      <c r="K19" s="10" t="s">
        <v>2</v>
      </c>
      <c r="L19" s="10" t="s">
        <v>3</v>
      </c>
      <c r="M19" s="10" t="s">
        <v>4</v>
      </c>
      <c r="N19" s="10" t="s">
        <v>5</v>
      </c>
      <c r="O19" s="10" t="s">
        <v>9</v>
      </c>
      <c r="P19" s="10" t="s">
        <v>10</v>
      </c>
      <c r="Q19" s="10"/>
      <c r="R19" s="10" t="s">
        <v>1</v>
      </c>
      <c r="S19" s="10" t="s">
        <v>2</v>
      </c>
      <c r="T19" s="10" t="s">
        <v>3</v>
      </c>
      <c r="U19" s="10" t="s">
        <v>4</v>
      </c>
      <c r="V19" s="10" t="s">
        <v>5</v>
      </c>
      <c r="W19" s="10" t="s">
        <v>9</v>
      </c>
      <c r="X19" s="10" t="s">
        <v>10</v>
      </c>
      <c r="Z19" s="10" t="s">
        <v>1</v>
      </c>
      <c r="AA19" s="10" t="s">
        <v>2</v>
      </c>
      <c r="AB19" s="10" t="s">
        <v>3</v>
      </c>
      <c r="AC19" s="10" t="s">
        <v>4</v>
      </c>
      <c r="AD19" s="10" t="s">
        <v>5</v>
      </c>
      <c r="AE19" s="10" t="s">
        <v>9</v>
      </c>
      <c r="AF19" s="10" t="s">
        <v>10</v>
      </c>
      <c r="AH19" s="19">
        <f t="shared" si="1"/>
        <v>43830</v>
      </c>
    </row>
    <row r="20" spans="1:34" ht="15.95" customHeight="1" x14ac:dyDescent="0.2">
      <c r="B20" s="20" t="str">
        <f>IF(DAY(JanSun1)=1,"",IF(AND(YEAR(JanSun1+1)=AñoCalendario,MONTH(JanSun1+1)=1),JanSun1+1,""))</f>
        <v/>
      </c>
      <c r="C20" s="20" t="str">
        <f>IF(DAY(JanSun1)=1,"",IF(AND(YEAR(JanSun1+2)=AñoCalendario,MONTH(JanSun1+2)=1),JanSun1+2,""))</f>
        <v/>
      </c>
      <c r="D20" s="20">
        <f>IF(DAY(JanSun1)=1,"",IF(AND(YEAR(JanSun1+3)=AñoCalendario,MONTH(JanSun1+3)=1),JanSun1+3,""))</f>
        <v>43831</v>
      </c>
      <c r="E20" s="20">
        <f>IF(DAY(JanSun1)=1,"",IF(AND(YEAR(JanSun1+4)=AñoCalendario,MONTH(JanSun1+4)=1),JanSun1+4,""))</f>
        <v>43832</v>
      </c>
      <c r="F20" s="20">
        <f>IF(DAY(JanSun1)=1,"",IF(AND(YEAR(JanSun1+5)=AñoCalendario,MONTH(JanSun1+5)=1),JanSun1+5,""))</f>
        <v>43833</v>
      </c>
      <c r="G20" s="20">
        <f>IF(DAY(JanSun1)=1,"",IF(AND(YEAR(JanSun1+6)=AñoCalendario,MONTH(JanSun1+6)=1),JanSun1+6,""))</f>
        <v>43834</v>
      </c>
      <c r="H20" s="20">
        <f>IF(DAY(JanSun1)=1,IF(AND(YEAR(JanSun1)=AñoCalendario,MONTH(JanSun1)=1),JanSun1,""),IF(AND(YEAR(JanSun1+7)=AñoCalendario,MONTH(JanSun1+7)=1),JanSun1+7,""))</f>
        <v>43835</v>
      </c>
      <c r="I20" s="16"/>
      <c r="J20" s="20" t="str">
        <f>IF(DAY(FebSun1)=1,"",IF(AND(YEAR(FebSun1+1)=AñoCalendario,MONTH(FebSun1+1)=2),FebSun1+1,""))</f>
        <v/>
      </c>
      <c r="K20" s="20" t="str">
        <f>IF(DAY(FebSun1)=1,"",IF(AND(YEAR(FebSun1+2)=AñoCalendario,MONTH(FebSun1+2)=2),FebSun1+2,""))</f>
        <v/>
      </c>
      <c r="L20" s="20" t="str">
        <f>IF(DAY(FebSun1)=1,"",IF(AND(YEAR(FebSun1+3)=AñoCalendario,MONTH(FebSun1+3)=2),FebSun1+3,""))</f>
        <v/>
      </c>
      <c r="M20" s="20" t="str">
        <f>IF(DAY(FebSun1)=1,"",IF(AND(YEAR(FebSun1+4)=AñoCalendario,MONTH(FebSun1+4)=2),FebSun1+4,""))</f>
        <v/>
      </c>
      <c r="N20" s="20" t="str">
        <f>IF(DAY(FebSun1)=1,"",IF(AND(YEAR(FebSun1+5)=AñoCalendario,MONTH(FebSun1+5)=2),FebSun1+5,""))</f>
        <v/>
      </c>
      <c r="O20" s="20">
        <f>IF(DAY(FebSun1)=1,"",IF(AND(YEAR(FebSun1+6)=AñoCalendario,MONTH(FebSun1+6)=2),FebSun1+6,""))</f>
        <v>43862</v>
      </c>
      <c r="P20" s="20">
        <f>IF(DAY(FebSun1)=1,IF(AND(YEAR(FebSun1)=AñoCalendario,MONTH(FebSun1)=2),FebSun1,""),IF(AND(YEAR(FebSun1+7)=AñoCalendario,MONTH(FebSun1+7)=2),FebSun1+7,""))</f>
        <v>43863</v>
      </c>
      <c r="Q20" s="16"/>
      <c r="R20" s="20" t="str">
        <f>IF(DAY(MarSun1)=1,"",IF(AND(YEAR(MarSun1+1)=AñoCalendario,MONTH(MarSun1+1)=3),MarSun1+1,""))</f>
        <v/>
      </c>
      <c r="S20" s="20" t="str">
        <f>IF(DAY(MarSun1)=1,"",IF(AND(YEAR(MarSun1+2)=AñoCalendario,MONTH(MarSun1+2)=3),MarSun1+2,""))</f>
        <v/>
      </c>
      <c r="T20" s="20" t="str">
        <f>IF(DAY(MarSun1)=1,"",IF(AND(YEAR(MarSun1+3)=AñoCalendario,MONTH(MarSun1+3)=3),MarSun1+3,""))</f>
        <v/>
      </c>
      <c r="U20" s="20" t="str">
        <f>IF(DAY(MarSun1)=1,"",IF(AND(YEAR(MarSun1+4)=AñoCalendario,MONTH(MarSun1+4)=3),MarSun1+4,""))</f>
        <v/>
      </c>
      <c r="V20" s="20" t="str">
        <f>IF(DAY(MarSun1)=1,"",IF(AND(YEAR(MarSun1+5)=AñoCalendario,MONTH(MarSun1+5)=3),MarSun1+5,""))</f>
        <v/>
      </c>
      <c r="W20" s="20" t="str">
        <f>IF(DAY(MarSun1)=1,"",IF(AND(YEAR(MarSun1+6)=AñoCalendario,MONTH(MarSun1+6)=3),MarSun1+6,""))</f>
        <v/>
      </c>
      <c r="X20" s="20">
        <f>IF(DAY(MarSun1)=1,IF(AND(YEAR(MarSun1)=AñoCalendario,MONTH(MarSun1)=3),MarSun1,""),IF(AND(YEAR(MarSun1+7)=AñoCalendario,MONTH(MarSun1+7)=3),MarSun1+7,""))</f>
        <v>43891</v>
      </c>
      <c r="Y20" s="16"/>
      <c r="Z20" s="20" t="str">
        <f>IF(DAY(AbrDom1)=1,"",IF(AND(YEAR(AbrDom1+1)=AñoCalendario,MONTH(AbrDom1+1)=4),AbrDom1+1,""))</f>
        <v/>
      </c>
      <c r="AA20" s="20" t="str">
        <f>IF(DAY(AbrDom1)=1,"",IF(AND(YEAR(AbrDom1+2)=AñoCalendario,MONTH(AbrDom1+2)=4),AbrDom1+2,""))</f>
        <v/>
      </c>
      <c r="AB20" s="20">
        <f>IF(DAY(AbrDom1)=1,"",IF(AND(YEAR(AbrDom1+3)=AñoCalendario,MONTH(AbrDom1+3)=4),AbrDom1+3,""))</f>
        <v>43922</v>
      </c>
      <c r="AC20" s="20">
        <f>IF(DAY(AbrDom1)=1,"",IF(AND(YEAR(AbrDom1+4)=AñoCalendario,MONTH(AbrDom1+4)=4),AbrDom1+4,""))</f>
        <v>43923</v>
      </c>
      <c r="AD20" s="20">
        <f>IF(DAY(AbrDom1)=1,"",IF(AND(YEAR(AbrDom1+5)=AñoCalendario,MONTH(AbrDom1+5)=4),AbrDom1+5,""))</f>
        <v>43924</v>
      </c>
      <c r="AE20" s="20">
        <f>IF(DAY(AbrDom1)=1,"",IF(AND(YEAR(AbrDom1+6)=AñoCalendario,MONTH(AbrDom1+6)=4),AbrDom1+6,""))</f>
        <v>43925</v>
      </c>
      <c r="AF20" s="20">
        <f>IF(DAY(AbrDom1)=1,IF(AND(YEAR(AbrDom1)=AñoCalendario,MONTH(AbrDom1)=4),AbrDom1,""),IF(AND(YEAR(AbrDom1+7)=AñoCalendario,MONTH(AbrDom1+7)=4),AbrDom1+7,""))</f>
        <v>43926</v>
      </c>
      <c r="AH20" s="12">
        <f t="shared" si="1"/>
        <v>43830</v>
      </c>
    </row>
    <row r="21" spans="1:34" ht="15.95" customHeight="1" x14ac:dyDescent="0.2">
      <c r="B21" s="20">
        <f>IF(DAY(JanSun1)=1,IF(AND(YEAR(JanSun1+1)=AñoCalendario,MONTH(JanSun1+1)=1),JanSun1+1,""),IF(AND(YEAR(JanSun1+8)=AñoCalendario,MONTH(JanSun1+8)=1),JanSun1+8,""))</f>
        <v>43836</v>
      </c>
      <c r="C21" s="20">
        <f>IF(DAY(JanSun1)=1,IF(AND(YEAR(JanSun1+2)=AñoCalendario,MONTH(JanSun1+2)=1),JanSun1+2,""),IF(AND(YEAR(JanSun1+9)=AñoCalendario,MONTH(JanSun1+9)=1),JanSun1+9,""))</f>
        <v>43837</v>
      </c>
      <c r="D21" s="20">
        <f>IF(DAY(JanSun1)=1,IF(AND(YEAR(JanSun1+3)=AñoCalendario,MONTH(JanSun1+3)=1),JanSun1+3,""),IF(AND(YEAR(JanSun1+10)=AñoCalendario,MONTH(JanSun1+10)=1),JanSun1+10,""))</f>
        <v>43838</v>
      </c>
      <c r="E21" s="20">
        <f>IF(DAY(JanSun1)=1,IF(AND(YEAR(JanSun1+4)=AñoCalendario,MONTH(JanSun1+4)=1),JanSun1+4,""),IF(AND(YEAR(JanSun1+11)=AñoCalendario,MONTH(JanSun1+11)=1),JanSun1+11,""))</f>
        <v>43839</v>
      </c>
      <c r="F21" s="20">
        <f>IF(DAY(JanSun1)=1,IF(AND(YEAR(JanSun1+5)=AñoCalendario,MONTH(JanSun1+5)=1),JanSun1+5,""),IF(AND(YEAR(JanSun1+12)=AñoCalendario,MONTH(JanSun1+12)=1),JanSun1+12,""))</f>
        <v>43840</v>
      </c>
      <c r="G21" s="20">
        <f>IF(DAY(JanSun1)=1,IF(AND(YEAR(JanSun1+6)=AñoCalendario,MONTH(JanSun1+6)=1),JanSun1+6,""),IF(AND(YEAR(JanSun1+13)=AñoCalendario,MONTH(JanSun1+13)=1),JanSun1+13,""))</f>
        <v>43841</v>
      </c>
      <c r="H21" s="20">
        <f>IF(DAY(JanSun1)=1,IF(AND(YEAR(JanSun1+7)=AñoCalendario,MONTH(JanSun1+7)=1),JanSun1+7,""),IF(AND(YEAR(JanSun1+14)=AñoCalendario,MONTH(JanSun1+14)=1),JanSun1+14,""))</f>
        <v>43842</v>
      </c>
      <c r="I21" s="16"/>
      <c r="J21" s="20">
        <f>IF(DAY(FebSun1)=1,IF(AND(YEAR(FebSun1+1)=AñoCalendario,MONTH(FebSun1+1)=2),FebSun1+1,""),IF(AND(YEAR(FebSun1+8)=AñoCalendario,MONTH(FebSun1+8)=2),FebSun1+8,""))</f>
        <v>43864</v>
      </c>
      <c r="K21" s="20">
        <f>IF(DAY(FebSun1)=1,IF(AND(YEAR(FebSun1+2)=AñoCalendario,MONTH(FebSun1+2)=2),FebSun1+2,""),IF(AND(YEAR(FebSun1+9)=AñoCalendario,MONTH(FebSun1+9)=2),FebSun1+9,""))</f>
        <v>43865</v>
      </c>
      <c r="L21" s="20">
        <f>IF(DAY(FebSun1)=1,IF(AND(YEAR(FebSun1+3)=AñoCalendario,MONTH(FebSun1+3)=2),FebSun1+3,""),IF(AND(YEAR(FebSun1+10)=AñoCalendario,MONTH(FebSun1+10)=2),FebSun1+10,""))</f>
        <v>43866</v>
      </c>
      <c r="M21" s="20">
        <f>IF(DAY(FebSun1)=1,IF(AND(YEAR(FebSun1+4)=AñoCalendario,MONTH(FebSun1+4)=2),FebSun1+4,""),IF(AND(YEAR(FebSun1+11)=AñoCalendario,MONTH(FebSun1+11)=2),FebSun1+11,""))</f>
        <v>43867</v>
      </c>
      <c r="N21" s="20">
        <f>IF(DAY(FebSun1)=1,IF(AND(YEAR(FebSun1+5)=AñoCalendario,MONTH(FebSun1+5)=2),FebSun1+5,""),IF(AND(YEAR(FebSun1+12)=AñoCalendario,MONTH(FebSun1+12)=2),FebSun1+12,""))</f>
        <v>43868</v>
      </c>
      <c r="O21" s="20">
        <f>IF(DAY(FebSun1)=1,IF(AND(YEAR(FebSun1+6)=AñoCalendario,MONTH(FebSun1+6)=2),FebSun1+6,""),IF(AND(YEAR(FebSun1+13)=AñoCalendario,MONTH(FebSun1+13)=2),FebSun1+13,""))</f>
        <v>43869</v>
      </c>
      <c r="P21" s="20">
        <f>IF(DAY(FebSun1)=1,IF(AND(YEAR(FebSun1+7)=AñoCalendario,MONTH(FebSun1+7)=2),FebSun1+7,""),IF(AND(YEAR(FebSun1+14)=AñoCalendario,MONTH(FebSun1+14)=2),FebSun1+14,""))</f>
        <v>43870</v>
      </c>
      <c r="Q21" s="16"/>
      <c r="R21" s="20">
        <f>IF(DAY(MarSun1)=1,IF(AND(YEAR(MarSun1+1)=AñoCalendario,MONTH(MarSun1+1)=3),MarSun1+1,""),IF(AND(YEAR(MarSun1+8)=AñoCalendario,MONTH(MarSun1+8)=3),MarSun1+8,""))</f>
        <v>43892</v>
      </c>
      <c r="S21" s="20">
        <f>IF(DAY(MarSun1)=1,IF(AND(YEAR(MarSun1+2)=AñoCalendario,MONTH(MarSun1+2)=3),MarSun1+2,""),IF(AND(YEAR(MarSun1+9)=AñoCalendario,MONTH(MarSun1+9)=3),MarSun1+9,""))</f>
        <v>43893</v>
      </c>
      <c r="T21" s="20">
        <f>IF(DAY(MarSun1)=1,IF(AND(YEAR(MarSun1+3)=AñoCalendario,MONTH(MarSun1+3)=3),MarSun1+3,""),IF(AND(YEAR(MarSun1+10)=AñoCalendario,MONTH(MarSun1+10)=3),MarSun1+10,""))</f>
        <v>43894</v>
      </c>
      <c r="U21" s="20">
        <f>IF(DAY(MarSun1)=1,IF(AND(YEAR(MarSun1+4)=AñoCalendario,MONTH(MarSun1+4)=3),MarSun1+4,""),IF(AND(YEAR(MarSun1+11)=AñoCalendario,MONTH(MarSun1+11)=3),MarSun1+11,""))</f>
        <v>43895</v>
      </c>
      <c r="V21" s="20">
        <f>IF(DAY(MarSun1)=1,IF(AND(YEAR(MarSun1+5)=AñoCalendario,MONTH(MarSun1+5)=3),MarSun1+5,""),IF(AND(YEAR(MarSun1+12)=AñoCalendario,MONTH(MarSun1+12)=3),MarSun1+12,""))</f>
        <v>43896</v>
      </c>
      <c r="W21" s="20">
        <f>IF(DAY(MarSun1)=1,IF(AND(YEAR(MarSun1+6)=AñoCalendario,MONTH(MarSun1+6)=3),MarSun1+6,""),IF(AND(YEAR(MarSun1+13)=AñoCalendario,MONTH(MarSun1+13)=3),MarSun1+13,""))</f>
        <v>43897</v>
      </c>
      <c r="X21" s="20">
        <f>IF(DAY(MarSun1)=1,IF(AND(YEAR(MarSun1+7)=AñoCalendario,MONTH(MarSun1+7)=3),MarSun1+7,""),IF(AND(YEAR(MarSun1+14)=AñoCalendario,MONTH(MarSun1+14)=3),MarSun1+14,""))</f>
        <v>43898</v>
      </c>
      <c r="Y21" s="16"/>
      <c r="Z21" s="20">
        <f>IF(DAY(AbrDom1)=1,IF(AND(YEAR(AbrDom1+1)=AñoCalendario,MONTH(AbrDom1+1)=4),AbrDom1+1,""),IF(AND(YEAR(AbrDom1+8)=AñoCalendario,MONTH(AbrDom1+8)=4),AbrDom1+8,""))</f>
        <v>43927</v>
      </c>
      <c r="AA21" s="20">
        <f>IF(DAY(AbrDom1)=1,IF(AND(YEAR(AbrDom1+2)=AñoCalendario,MONTH(AbrDom1+2)=4),AbrDom1+2,""),IF(AND(YEAR(AbrDom1+9)=AñoCalendario,MONTH(AbrDom1+9)=4),AbrDom1+9,""))</f>
        <v>43928</v>
      </c>
      <c r="AB21" s="20">
        <f>IF(DAY(AbrDom1)=1,IF(AND(YEAR(AbrDom1+3)=AñoCalendario,MONTH(AbrDom1+3)=4),AbrDom1+3,""),IF(AND(YEAR(AbrDom1+10)=AñoCalendario,MONTH(AbrDom1+10)=4),AbrDom1+10,""))</f>
        <v>43929</v>
      </c>
      <c r="AC21" s="20">
        <f>IF(DAY(AbrDom1)=1,IF(AND(YEAR(AbrDom1+4)=AñoCalendario,MONTH(AbrDom1+4)=4),AbrDom1+4,""),IF(AND(YEAR(AbrDom1+11)=AñoCalendario,MONTH(AbrDom1+11)=4),AbrDom1+11,""))</f>
        <v>43930</v>
      </c>
      <c r="AD21" s="20">
        <f>IF(DAY(AbrDom1)=1,IF(AND(YEAR(AbrDom1+5)=AñoCalendario,MONTH(AbrDom1+5)=4),AbrDom1+5,""),IF(AND(YEAR(AbrDom1+12)=AñoCalendario,MONTH(AbrDom1+12)=4),AbrDom1+12,""))</f>
        <v>43931</v>
      </c>
      <c r="AE21" s="20">
        <f>IF(DAY(AbrDom1)=1,IF(AND(YEAR(AbrDom1+6)=AñoCalendario,MONTH(AbrDom1+6)=4),AbrDom1+6,""),IF(AND(YEAR(AbrDom1+13)=AñoCalendario,MONTH(AbrDom1+13)=4),AbrDom1+13,""))</f>
        <v>43932</v>
      </c>
      <c r="AF21" s="20">
        <f>IF(DAY(AbrDom1)=1,IF(AND(YEAR(AbrDom1+7)=AñoCalendario,MONTH(AbrDom1+7)=4),AbrDom1+7,""),IF(AND(YEAR(AbrDom1+14)=AñoCalendario,MONTH(AbrDom1+14)=4),AbrDom1+14,""))</f>
        <v>43933</v>
      </c>
      <c r="AH21" s="12">
        <f t="shared" si="1"/>
        <v>43830</v>
      </c>
    </row>
    <row r="22" spans="1:34" ht="15.95" customHeight="1" x14ac:dyDescent="0.2">
      <c r="B22" s="20">
        <f>IF(DAY(JanSun1)=1,IF(AND(YEAR(JanSun1+8)=AñoCalendario,MONTH(JanSun1+8)=1),JanSun1+8,""),IF(AND(YEAR(JanSun1+15)=AñoCalendario,MONTH(JanSun1+15)=1),JanSun1+15,""))</f>
        <v>43843</v>
      </c>
      <c r="C22" s="20">
        <f>IF(DAY(JanSun1)=1,IF(AND(YEAR(JanSun1+9)=AñoCalendario,MONTH(JanSun1+9)=1),JanSun1+9,""),IF(AND(YEAR(JanSun1+16)=AñoCalendario,MONTH(JanSun1+16)=1),JanSun1+16,""))</f>
        <v>43844</v>
      </c>
      <c r="D22" s="20">
        <f>IF(DAY(JanSun1)=1,IF(AND(YEAR(JanSun1+10)=AñoCalendario,MONTH(JanSun1+10)=1),JanSun1+10,""),IF(AND(YEAR(JanSun1+17)=AñoCalendario,MONTH(JanSun1+17)=1),JanSun1+17,""))</f>
        <v>43845</v>
      </c>
      <c r="E22" s="20">
        <f>IF(DAY(JanSun1)=1,IF(AND(YEAR(JanSun1+11)=AñoCalendario,MONTH(JanSun1+11)=1),JanSun1+11,""),IF(AND(YEAR(JanSun1+18)=AñoCalendario,MONTH(JanSun1+18)=1),JanSun1+18,""))</f>
        <v>43846</v>
      </c>
      <c r="F22" s="20">
        <f>IF(DAY(JanSun1)=1,IF(AND(YEAR(JanSun1+12)=AñoCalendario,MONTH(JanSun1+12)=1),JanSun1+12,""),IF(AND(YEAR(JanSun1+19)=AñoCalendario,MONTH(JanSun1+19)=1),JanSun1+19,""))</f>
        <v>43847</v>
      </c>
      <c r="G22" s="20">
        <f>IF(DAY(JanSun1)=1,IF(AND(YEAR(JanSun1+13)=AñoCalendario,MONTH(JanSun1+13)=1),JanSun1+13,""),IF(AND(YEAR(JanSun1+20)=AñoCalendario,MONTH(JanSun1+20)=1),JanSun1+20,""))</f>
        <v>43848</v>
      </c>
      <c r="H22" s="20">
        <f>IF(DAY(JanSun1)=1,IF(AND(YEAR(JanSun1+14)=AñoCalendario,MONTH(JanSun1+14)=1),JanSun1+14,""),IF(AND(YEAR(JanSun1+21)=AñoCalendario,MONTH(JanSun1+21)=1),JanSun1+21,""))</f>
        <v>43849</v>
      </c>
      <c r="I22" s="16"/>
      <c r="J22" s="20">
        <f>IF(DAY(FebSun1)=1,IF(AND(YEAR(FebSun1+8)=AñoCalendario,MONTH(FebSun1+8)=2),FebSun1+8,""),IF(AND(YEAR(FebSun1+15)=AñoCalendario,MONTH(FebSun1+15)=2),FebSun1+15,""))</f>
        <v>43871</v>
      </c>
      <c r="K22" s="20">
        <f>IF(DAY(FebSun1)=1,IF(AND(YEAR(FebSun1+9)=AñoCalendario,MONTH(FebSun1+9)=2),FebSun1+9,""),IF(AND(YEAR(FebSun1+16)=AñoCalendario,MONTH(FebSun1+16)=2),FebSun1+16,""))</f>
        <v>43872</v>
      </c>
      <c r="L22" s="20">
        <f>IF(DAY(FebSun1)=1,IF(AND(YEAR(FebSun1+10)=AñoCalendario,MONTH(FebSun1+10)=2),FebSun1+10,""),IF(AND(YEAR(FebSun1+17)=AñoCalendario,MONTH(FebSun1+17)=2),FebSun1+17,""))</f>
        <v>43873</v>
      </c>
      <c r="M22" s="20">
        <f>IF(DAY(FebSun1)=1,IF(AND(YEAR(FebSun1+11)=AñoCalendario,MONTH(FebSun1+11)=2),FebSun1+11,""),IF(AND(YEAR(FebSun1+18)=AñoCalendario,MONTH(FebSun1+18)=2),FebSun1+18,""))</f>
        <v>43874</v>
      </c>
      <c r="N22" s="20">
        <f>IF(DAY(FebSun1)=1,IF(AND(YEAR(FebSun1+12)=AñoCalendario,MONTH(FebSun1+12)=2),FebSun1+12,""),IF(AND(YEAR(FebSun1+19)=AñoCalendario,MONTH(FebSun1+19)=2),FebSun1+19,""))</f>
        <v>43875</v>
      </c>
      <c r="O22" s="20">
        <f>IF(DAY(FebSun1)=1,IF(AND(YEAR(FebSun1+13)=AñoCalendario,MONTH(FebSun1+13)=2),FebSun1+13,""),IF(AND(YEAR(FebSun1+20)=AñoCalendario,MONTH(FebSun1+20)=2),FebSun1+20,""))</f>
        <v>43876</v>
      </c>
      <c r="P22" s="20">
        <f>IF(DAY(FebSun1)=1,IF(AND(YEAR(FebSun1+14)=AñoCalendario,MONTH(FebSun1+14)=2),FebSun1+14,""),IF(AND(YEAR(FebSun1+21)=AñoCalendario,MONTH(FebSun1+21)=2),FebSun1+21,""))</f>
        <v>43877</v>
      </c>
      <c r="Q22" s="16"/>
      <c r="R22" s="20">
        <f>IF(DAY(MarSun1)=1,IF(AND(YEAR(MarSun1+8)=AñoCalendario,MONTH(MarSun1+8)=3),MarSun1+8,""),IF(AND(YEAR(MarSun1+15)=AñoCalendario,MONTH(MarSun1+15)=3),MarSun1+15,""))</f>
        <v>43899</v>
      </c>
      <c r="S22" s="20">
        <f>IF(DAY(MarSun1)=1,IF(AND(YEAR(MarSun1+9)=AñoCalendario,MONTH(MarSun1+9)=3),MarSun1+9,""),IF(AND(YEAR(MarSun1+16)=AñoCalendario,MONTH(MarSun1+16)=3),MarSun1+16,""))</f>
        <v>43900</v>
      </c>
      <c r="T22" s="20">
        <f>IF(DAY(MarSun1)=1,IF(AND(YEAR(MarSun1+10)=AñoCalendario,MONTH(MarSun1+10)=3),MarSun1+10,""),IF(AND(YEAR(MarSun1+17)=AñoCalendario,MONTH(MarSun1+17)=3),MarSun1+17,""))</f>
        <v>43901</v>
      </c>
      <c r="U22" s="20">
        <f>IF(DAY(MarSun1)=1,IF(AND(YEAR(MarSun1+11)=AñoCalendario,MONTH(MarSun1+11)=3),MarSun1+11,""),IF(AND(YEAR(MarSun1+18)=AñoCalendario,MONTH(MarSun1+18)=3),MarSun1+18,""))</f>
        <v>43902</v>
      </c>
      <c r="V22" s="20">
        <f>IF(DAY(MarSun1)=1,IF(AND(YEAR(MarSun1+12)=AñoCalendario,MONTH(MarSun1+12)=3),MarSun1+12,""),IF(AND(YEAR(MarSun1+19)=AñoCalendario,MONTH(MarSun1+19)=3),MarSun1+19,""))</f>
        <v>43903</v>
      </c>
      <c r="W22" s="20">
        <f>IF(DAY(MarSun1)=1,IF(AND(YEAR(MarSun1+13)=AñoCalendario,MONTH(MarSun1+13)=3),MarSun1+13,""),IF(AND(YEAR(MarSun1+20)=AñoCalendario,MONTH(MarSun1+20)=3),MarSun1+20,""))</f>
        <v>43904</v>
      </c>
      <c r="X22" s="20">
        <f>IF(DAY(MarSun1)=1,IF(AND(YEAR(MarSun1+14)=AñoCalendario,MONTH(MarSun1+14)=3),MarSun1+14,""),IF(AND(YEAR(MarSun1+21)=AñoCalendario,MONTH(MarSun1+21)=3),MarSun1+21,""))</f>
        <v>43905</v>
      </c>
      <c r="Y22" s="16"/>
      <c r="Z22" s="20">
        <f>IF(DAY(AbrDom1)=1,IF(AND(YEAR(AbrDom1+8)=AñoCalendario,MONTH(AbrDom1+8)=4),AbrDom1+8,""),IF(AND(YEAR(AbrDom1+15)=AñoCalendario,MONTH(AbrDom1+15)=4),AbrDom1+15,""))</f>
        <v>43934</v>
      </c>
      <c r="AA22" s="20">
        <f>IF(DAY(AbrDom1)=1,IF(AND(YEAR(AbrDom1+9)=AñoCalendario,MONTH(AbrDom1+9)=4),AbrDom1+9,""),IF(AND(YEAR(AbrDom1+16)=AñoCalendario,MONTH(AbrDom1+16)=4),AbrDom1+16,""))</f>
        <v>43935</v>
      </c>
      <c r="AB22" s="20">
        <f>IF(DAY(AbrDom1)=1,IF(AND(YEAR(AbrDom1+10)=AñoCalendario,MONTH(AbrDom1+10)=4),AbrDom1+10,""),IF(AND(YEAR(AbrDom1+17)=AñoCalendario,MONTH(AbrDom1+17)=4),AbrDom1+17,""))</f>
        <v>43936</v>
      </c>
      <c r="AC22" s="20">
        <f>IF(DAY(AbrDom1)=1,IF(AND(YEAR(AbrDom1+11)=AñoCalendario,MONTH(AbrDom1+11)=4),AbrDom1+11,""),IF(AND(YEAR(AbrDom1+18)=AñoCalendario,MONTH(AbrDom1+18)=4),AbrDom1+18,""))</f>
        <v>43937</v>
      </c>
      <c r="AD22" s="20">
        <f>IF(DAY(AbrDom1)=1,IF(AND(YEAR(AbrDom1+12)=AñoCalendario,MONTH(AbrDom1+12)=4),AbrDom1+12,""),IF(AND(YEAR(AbrDom1+19)=AñoCalendario,MONTH(AbrDom1+19)=4),AbrDom1+19,""))</f>
        <v>43938</v>
      </c>
      <c r="AE22" s="20">
        <f>IF(DAY(AbrDom1)=1,IF(AND(YEAR(AbrDom1+13)=AñoCalendario,MONTH(AbrDom1+13)=4),AbrDom1+13,""),IF(AND(YEAR(AbrDom1+20)=AñoCalendario,MONTH(AbrDom1+20)=4),AbrDom1+20,""))</f>
        <v>43939</v>
      </c>
      <c r="AF22" s="20">
        <f>IF(DAY(AbrDom1)=1,IF(AND(YEAR(AbrDom1+14)=AñoCalendario,MONTH(AbrDom1+14)=4),AbrDom1+14,""),IF(AND(YEAR(AbrDom1+21)=AñoCalendario,MONTH(AbrDom1+21)=4),AbrDom1+21,""))</f>
        <v>43940</v>
      </c>
      <c r="AH22" s="12">
        <f t="shared" si="1"/>
        <v>43830</v>
      </c>
    </row>
    <row r="23" spans="1:34" ht="15.95" customHeight="1" x14ac:dyDescent="0.2">
      <c r="B23" s="20">
        <f>IF(DAY(JanSun1)=1,IF(AND(YEAR(JanSun1+15)=AñoCalendario,MONTH(JanSun1+15)=1),JanSun1+15,""),IF(AND(YEAR(JanSun1+22)=AñoCalendario,MONTH(JanSun1+22)=1),JanSun1+22,""))</f>
        <v>43850</v>
      </c>
      <c r="C23" s="20">
        <f>IF(DAY(JanSun1)=1,IF(AND(YEAR(JanSun1+16)=AñoCalendario,MONTH(JanSun1+16)=1),JanSun1+16,""),IF(AND(YEAR(JanSun1+23)=AñoCalendario,MONTH(JanSun1+23)=1),JanSun1+23,""))</f>
        <v>43851</v>
      </c>
      <c r="D23" s="20">
        <f>IF(DAY(JanSun1)=1,IF(AND(YEAR(JanSun1+17)=AñoCalendario,MONTH(JanSun1+17)=1),JanSun1+17,""),IF(AND(YEAR(JanSun1+24)=AñoCalendario,MONTH(JanSun1+24)=1),JanSun1+24,""))</f>
        <v>43852</v>
      </c>
      <c r="E23" s="20">
        <f>IF(DAY(JanSun1)=1,IF(AND(YEAR(JanSun1+18)=AñoCalendario,MONTH(JanSun1+18)=1),JanSun1+18,""),IF(AND(YEAR(JanSun1+25)=AñoCalendario,MONTH(JanSun1+25)=1),JanSun1+25,""))</f>
        <v>43853</v>
      </c>
      <c r="F23" s="20">
        <f>IF(DAY(JanSun1)=1,IF(AND(YEAR(JanSun1+19)=AñoCalendario,MONTH(JanSun1+19)=1),JanSun1+19,""),IF(AND(YEAR(JanSun1+26)=AñoCalendario,MONTH(JanSun1+26)=1),JanSun1+26,""))</f>
        <v>43854</v>
      </c>
      <c r="G23" s="20">
        <f>IF(DAY(JanSun1)=1,IF(AND(YEAR(JanSun1+20)=AñoCalendario,MONTH(JanSun1+20)=1),JanSun1+20,""),IF(AND(YEAR(JanSun1+27)=AñoCalendario,MONTH(JanSun1+27)=1),JanSun1+27,""))</f>
        <v>43855</v>
      </c>
      <c r="H23" s="20">
        <f>IF(DAY(JanSun1)=1,IF(AND(YEAR(JanSun1+21)=AñoCalendario,MONTH(JanSun1+21)=1),JanSun1+21,""),IF(AND(YEAR(JanSun1+28)=AñoCalendario,MONTH(JanSun1+28)=1),JanSun1+28,""))</f>
        <v>43856</v>
      </c>
      <c r="I23" s="16"/>
      <c r="J23" s="20">
        <f>IF(DAY(FebSun1)=1,IF(AND(YEAR(FebSun1+15)=AñoCalendario,MONTH(FebSun1+15)=2),FebSun1+15,""),IF(AND(YEAR(FebSun1+22)=AñoCalendario,MONTH(FebSun1+22)=2),FebSun1+22,""))</f>
        <v>43878</v>
      </c>
      <c r="K23" s="20">
        <f>IF(DAY(FebSun1)=1,IF(AND(YEAR(FebSun1+16)=AñoCalendario,MONTH(FebSun1+16)=2),FebSun1+16,""),IF(AND(YEAR(FebSun1+23)=AñoCalendario,MONTH(FebSun1+23)=2),FebSun1+23,""))</f>
        <v>43879</v>
      </c>
      <c r="L23" s="20">
        <f>IF(DAY(FebSun1)=1,IF(AND(YEAR(FebSun1+17)=AñoCalendario,MONTH(FebSun1+17)=2),FebSun1+17,""),IF(AND(YEAR(FebSun1+24)=AñoCalendario,MONTH(FebSun1+24)=2),FebSun1+24,""))</f>
        <v>43880</v>
      </c>
      <c r="M23" s="20">
        <f>IF(DAY(FebSun1)=1,IF(AND(YEAR(FebSun1+18)=AñoCalendario,MONTH(FebSun1+18)=2),FebSun1+18,""),IF(AND(YEAR(FebSun1+25)=AñoCalendario,MONTH(FebSun1+25)=2),FebSun1+25,""))</f>
        <v>43881</v>
      </c>
      <c r="N23" s="20">
        <f>IF(DAY(FebSun1)=1,IF(AND(YEAR(FebSun1+19)=AñoCalendario,MONTH(FebSun1+19)=2),FebSun1+19,""),IF(AND(YEAR(FebSun1+26)=AñoCalendario,MONTH(FebSun1+26)=2),FebSun1+26,""))</f>
        <v>43882</v>
      </c>
      <c r="O23" s="20">
        <f>IF(DAY(FebSun1)=1,IF(AND(YEAR(FebSun1+20)=AñoCalendario,MONTH(FebSun1+20)=2),FebSun1+20,""),IF(AND(YEAR(FebSun1+27)=AñoCalendario,MONTH(FebSun1+27)=2),FebSun1+27,""))</f>
        <v>43883</v>
      </c>
      <c r="P23" s="20">
        <f>IF(DAY(FebSun1)=1,IF(AND(YEAR(FebSun1+21)=AñoCalendario,MONTH(FebSun1+21)=2),FebSun1+21,""),IF(AND(YEAR(FebSun1+28)=AñoCalendario,MONTH(FebSun1+28)=2),FebSun1+28,""))</f>
        <v>43884</v>
      </c>
      <c r="Q23" s="16"/>
      <c r="R23" s="20">
        <f>IF(DAY(MarSun1)=1,IF(AND(YEAR(MarSun1+15)=AñoCalendario,MONTH(MarSun1+15)=3),MarSun1+15,""),IF(AND(YEAR(MarSun1+22)=AñoCalendario,MONTH(MarSun1+22)=3),MarSun1+22,""))</f>
        <v>43906</v>
      </c>
      <c r="S23" s="20">
        <f>IF(DAY(MarSun1)=1,IF(AND(YEAR(MarSun1+16)=AñoCalendario,MONTH(MarSun1+16)=3),MarSun1+16,""),IF(AND(YEAR(MarSun1+23)=AñoCalendario,MONTH(MarSun1+23)=3),MarSun1+23,""))</f>
        <v>43907</v>
      </c>
      <c r="T23" s="20">
        <f>IF(DAY(MarSun1)=1,IF(AND(YEAR(MarSun1+17)=AñoCalendario,MONTH(MarSun1+17)=3),MarSun1+17,""),IF(AND(YEAR(MarSun1+24)=AñoCalendario,MONTH(MarSun1+24)=3),MarSun1+24,""))</f>
        <v>43908</v>
      </c>
      <c r="U23" s="20">
        <f>IF(DAY(MarSun1)=1,IF(AND(YEAR(MarSun1+18)=AñoCalendario,MONTH(MarSun1+18)=3),MarSun1+18,""),IF(AND(YEAR(MarSun1+25)=AñoCalendario,MONTH(MarSun1+25)=3),MarSun1+25,""))</f>
        <v>43909</v>
      </c>
      <c r="V23" s="20">
        <f>IF(DAY(MarSun1)=1,IF(AND(YEAR(MarSun1+19)=AñoCalendario,MONTH(MarSun1+19)=3),MarSun1+19,""),IF(AND(YEAR(MarSun1+26)=AñoCalendario,MONTH(MarSun1+26)=3),MarSun1+26,""))</f>
        <v>43910</v>
      </c>
      <c r="W23" s="20">
        <f>IF(DAY(MarSun1)=1,IF(AND(YEAR(MarSun1+20)=AñoCalendario,MONTH(MarSun1+20)=3),MarSun1+20,""),IF(AND(YEAR(MarSun1+27)=AñoCalendario,MONTH(MarSun1+27)=3),MarSun1+27,""))</f>
        <v>43911</v>
      </c>
      <c r="X23" s="20">
        <f>IF(DAY(MarSun1)=1,IF(AND(YEAR(MarSun1+21)=AñoCalendario,MONTH(MarSun1+21)=3),MarSun1+21,""),IF(AND(YEAR(MarSun1+28)=AñoCalendario,MONTH(MarSun1+28)=3),MarSun1+28,""))</f>
        <v>43912</v>
      </c>
      <c r="Y23" s="16"/>
      <c r="Z23" s="20">
        <f>IF(DAY(AbrDom1)=1,IF(AND(YEAR(AbrDom1+15)=AñoCalendario,MONTH(AbrDom1+15)=4),AbrDom1+15,""),IF(AND(YEAR(AbrDom1+22)=AñoCalendario,MONTH(AbrDom1+22)=4),AbrDom1+22,""))</f>
        <v>43941</v>
      </c>
      <c r="AA23" s="20">
        <f>IF(DAY(AbrDom1)=1,IF(AND(YEAR(AbrDom1+16)=AñoCalendario,MONTH(AbrDom1+16)=4),AbrDom1+16,""),IF(AND(YEAR(AbrDom1+23)=AñoCalendario,MONTH(AbrDom1+23)=4),AbrDom1+23,""))</f>
        <v>43942</v>
      </c>
      <c r="AB23" s="20">
        <f>IF(DAY(AbrDom1)=1,IF(AND(YEAR(AbrDom1+17)=AñoCalendario,MONTH(AbrDom1+17)=4),AbrDom1+17,""),IF(AND(YEAR(AbrDom1+24)=AñoCalendario,MONTH(AbrDom1+24)=4),AbrDom1+24,""))</f>
        <v>43943</v>
      </c>
      <c r="AC23" s="20">
        <f>IF(DAY(AbrDom1)=1,IF(AND(YEAR(AbrDom1+18)=AñoCalendario,MONTH(AbrDom1+18)=4),AbrDom1+18,""),IF(AND(YEAR(AbrDom1+25)=AñoCalendario,MONTH(AbrDom1+25)=4),AbrDom1+25,""))</f>
        <v>43944</v>
      </c>
      <c r="AD23" s="20">
        <f>IF(DAY(AbrDom1)=1,IF(AND(YEAR(AbrDom1+19)=AñoCalendario,MONTH(AbrDom1+19)=4),AbrDom1+19,""),IF(AND(YEAR(AbrDom1+26)=AñoCalendario,MONTH(AbrDom1+26)=4),AbrDom1+26,""))</f>
        <v>43945</v>
      </c>
      <c r="AE23" s="20">
        <f>IF(DAY(AbrDom1)=1,IF(AND(YEAR(AbrDom1+20)=AñoCalendario,MONTH(AbrDom1+20)=4),AbrDom1+20,""),IF(AND(YEAR(AbrDom1+27)=AñoCalendario,MONTH(AbrDom1+27)=4),AbrDom1+27,""))</f>
        <v>43946</v>
      </c>
      <c r="AF23" s="20">
        <f>IF(DAY(AbrDom1)=1,IF(AND(YEAR(AbrDom1+21)=AñoCalendario,MONTH(AbrDom1+21)=4),AbrDom1+21,""),IF(AND(YEAR(AbrDom1+28)=AñoCalendario,MONTH(AbrDom1+28)=4),AbrDom1+28,""))</f>
        <v>43947</v>
      </c>
      <c r="AH23" s="12">
        <f t="shared" si="1"/>
        <v>43830</v>
      </c>
    </row>
    <row r="24" spans="1:34" ht="15.95" customHeight="1" x14ac:dyDescent="0.2">
      <c r="B24" s="20">
        <f>IF(DAY(JanSun1)=1,IF(AND(YEAR(JanSun1+22)=AñoCalendario,MONTH(JanSun1+22)=1),JanSun1+22,""),IF(AND(YEAR(JanSun1+29)=AñoCalendario,MONTH(JanSun1+29)=1),JanSun1+29,""))</f>
        <v>43857</v>
      </c>
      <c r="C24" s="20">
        <f>IF(DAY(JanSun1)=1,IF(AND(YEAR(JanSun1+23)=AñoCalendario,MONTH(JanSun1+23)=1),JanSun1+23,""),IF(AND(YEAR(JanSun1+30)=AñoCalendario,MONTH(JanSun1+30)=1),JanSun1+30,""))</f>
        <v>43858</v>
      </c>
      <c r="D24" s="20">
        <f>IF(DAY(JanSun1)=1,IF(AND(YEAR(JanSun1+24)=AñoCalendario,MONTH(JanSun1+24)=1),JanSun1+24,""),IF(AND(YEAR(JanSun1+31)=AñoCalendario,MONTH(JanSun1+31)=1),JanSun1+31,""))</f>
        <v>43859</v>
      </c>
      <c r="E24" s="20">
        <f>IF(DAY(JanSun1)=1,IF(AND(YEAR(JanSun1+25)=AñoCalendario,MONTH(JanSun1+25)=1),JanSun1+25,""),IF(AND(YEAR(JanSun1+32)=AñoCalendario,MONTH(JanSun1+32)=1),JanSun1+32,""))</f>
        <v>43860</v>
      </c>
      <c r="F24" s="20">
        <f>IF(DAY(JanSun1)=1,IF(AND(YEAR(JanSun1+26)=AñoCalendario,MONTH(JanSun1+26)=1),JanSun1+26,""),IF(AND(YEAR(JanSun1+33)=AñoCalendario,MONTH(JanSun1+33)=1),JanSun1+33,""))</f>
        <v>43861</v>
      </c>
      <c r="G24" s="20" t="str">
        <f>IF(DAY(JanSun1)=1,IF(AND(YEAR(JanSun1+27)=AñoCalendario,MONTH(JanSun1+27)=1),JanSun1+27,""),IF(AND(YEAR(JanSun1+34)=AñoCalendario,MONTH(JanSun1+34)=1),JanSun1+34,""))</f>
        <v/>
      </c>
      <c r="H24" s="20" t="str">
        <f>IF(DAY(JanSun1)=1,IF(AND(YEAR(JanSun1+28)=AñoCalendario,MONTH(JanSun1+28)=1),JanSun1+28,""),IF(AND(YEAR(JanSun1+35)=AñoCalendario,MONTH(JanSun1+35)=1),JanSun1+35,""))</f>
        <v/>
      </c>
      <c r="I24" s="16"/>
      <c r="J24" s="20">
        <f>IF(DAY(FebSun1)=1,IF(AND(YEAR(FebSun1+22)=AñoCalendario,MONTH(FebSun1+22)=2),FebSun1+22,""),IF(AND(YEAR(FebSun1+29)=AñoCalendario,MONTH(FebSun1+29)=2),FebSun1+29,""))</f>
        <v>43885</v>
      </c>
      <c r="K24" s="20">
        <f>IF(DAY(FebSun1)=1,IF(AND(YEAR(FebSun1+23)=AñoCalendario,MONTH(FebSun1+23)=2),FebSun1+23,""),IF(AND(YEAR(FebSun1+30)=AñoCalendario,MONTH(FebSun1+30)=2),FebSun1+30,""))</f>
        <v>43886</v>
      </c>
      <c r="L24" s="20">
        <f>IF(DAY(FebSun1)=1,IF(AND(YEAR(FebSun1+24)=AñoCalendario,MONTH(FebSun1+24)=2),FebSun1+24,""),IF(AND(YEAR(FebSun1+31)=AñoCalendario,MONTH(FebSun1+31)=2),FebSun1+31,""))</f>
        <v>43887</v>
      </c>
      <c r="M24" s="20">
        <f>IF(DAY(FebSun1)=1,IF(AND(YEAR(FebSun1+25)=AñoCalendario,MONTH(FebSun1+25)=2),FebSun1+25,""),IF(AND(YEAR(FebSun1+32)=AñoCalendario,MONTH(FebSun1+32)=2),FebSun1+32,""))</f>
        <v>43888</v>
      </c>
      <c r="N24" s="20">
        <f>IF(DAY(FebSun1)=1,IF(AND(YEAR(FebSun1+26)=AñoCalendario,MONTH(FebSun1+26)=2),FebSun1+26,""),IF(AND(YEAR(FebSun1+33)=AñoCalendario,MONTH(FebSun1+33)=2),FebSun1+33,""))</f>
        <v>43889</v>
      </c>
      <c r="O24" s="20">
        <f>IF(DAY(FebSun1)=1,IF(AND(YEAR(FebSun1+27)=AñoCalendario,MONTH(FebSun1+27)=2),FebSun1+27,""),IF(AND(YEAR(FebSun1+34)=AñoCalendario,MONTH(FebSun1+34)=2),FebSun1+34,""))</f>
        <v>43890</v>
      </c>
      <c r="P24" s="20" t="str">
        <f>IF(DAY(FebSun1)=1,IF(AND(YEAR(FebSun1+28)=AñoCalendario,MONTH(FebSun1+28)=2),FebSun1+28,""),IF(AND(YEAR(FebSun1+35)=AñoCalendario,MONTH(FebSun1+35)=2),FebSun1+35,""))</f>
        <v/>
      </c>
      <c r="Q24" s="16"/>
      <c r="R24" s="20">
        <f>IF(DAY(MarSun1)=1,IF(AND(YEAR(MarSun1+22)=AñoCalendario,MONTH(MarSun1+22)=3),MarSun1+22,""),IF(AND(YEAR(MarSun1+29)=AñoCalendario,MONTH(MarSun1+29)=3),MarSun1+29,""))</f>
        <v>43913</v>
      </c>
      <c r="S24" s="20">
        <f>IF(DAY(MarSun1)=1,IF(AND(YEAR(MarSun1+23)=AñoCalendario,MONTH(MarSun1+23)=3),MarSun1+23,""),IF(AND(YEAR(MarSun1+30)=AñoCalendario,MONTH(MarSun1+30)=3),MarSun1+30,""))</f>
        <v>43914</v>
      </c>
      <c r="T24" s="20">
        <f>IF(DAY(MarSun1)=1,IF(AND(YEAR(MarSun1+24)=AñoCalendario,MONTH(MarSun1+24)=3),MarSun1+24,""),IF(AND(YEAR(MarSun1+31)=AñoCalendario,MONTH(MarSun1+31)=3),MarSun1+31,""))</f>
        <v>43915</v>
      </c>
      <c r="U24" s="20">
        <f>IF(DAY(MarSun1)=1,IF(AND(YEAR(MarSun1+25)=AñoCalendario,MONTH(MarSun1+25)=3),MarSun1+25,""),IF(AND(YEAR(MarSun1+32)=AñoCalendario,MONTH(MarSun1+32)=3),MarSun1+32,""))</f>
        <v>43916</v>
      </c>
      <c r="V24" s="20">
        <f>IF(DAY(MarSun1)=1,IF(AND(YEAR(MarSun1+26)=AñoCalendario,MONTH(MarSun1+26)=3),MarSun1+26,""),IF(AND(YEAR(MarSun1+33)=AñoCalendario,MONTH(MarSun1+33)=3),MarSun1+33,""))</f>
        <v>43917</v>
      </c>
      <c r="W24" s="20">
        <f>IF(DAY(MarSun1)=1,IF(AND(YEAR(MarSun1+27)=AñoCalendario,MONTH(MarSun1+27)=3),MarSun1+27,""),IF(AND(YEAR(MarSun1+34)=AñoCalendario,MONTH(MarSun1+34)=3),MarSun1+34,""))</f>
        <v>43918</v>
      </c>
      <c r="X24" s="20">
        <f>IF(DAY(MarSun1)=1,IF(AND(YEAR(MarSun1+28)=AñoCalendario,MONTH(MarSun1+28)=3),MarSun1+28,""),IF(AND(YEAR(MarSun1+35)=AñoCalendario,MONTH(MarSun1+35)=3),MarSun1+35,""))</f>
        <v>43919</v>
      </c>
      <c r="Y24" s="16"/>
      <c r="Z24" s="20">
        <f>IF(DAY(AbrDom1)=1,IF(AND(YEAR(AbrDom1+22)=AñoCalendario,MONTH(AbrDom1+22)=4),AbrDom1+22,""),IF(AND(YEAR(AbrDom1+29)=AñoCalendario,MONTH(AbrDom1+29)=4),AbrDom1+29,""))</f>
        <v>43948</v>
      </c>
      <c r="AA24" s="20">
        <f>IF(DAY(AbrDom1)=1,IF(AND(YEAR(AbrDom1+23)=AñoCalendario,MONTH(AbrDom1+23)=4),AbrDom1+23,""),IF(AND(YEAR(AbrDom1+30)=AñoCalendario,MONTH(AbrDom1+30)=4),AbrDom1+30,""))</f>
        <v>43949</v>
      </c>
      <c r="AB24" s="20">
        <f>IF(DAY(AbrDom1)=1,IF(AND(YEAR(AbrDom1+24)=AñoCalendario,MONTH(AbrDom1+24)=4),AbrDom1+24,""),IF(AND(YEAR(AbrDom1+31)=AñoCalendario,MONTH(AbrDom1+31)=4),AbrDom1+31,""))</f>
        <v>43950</v>
      </c>
      <c r="AC24" s="20">
        <f>IF(DAY(AbrDom1)=1,IF(AND(YEAR(AbrDom1+25)=AñoCalendario,MONTH(AbrDom1+25)=4),AbrDom1+25,""),IF(AND(YEAR(AbrDom1+32)=AñoCalendario,MONTH(AbrDom1+32)=4),AbrDom1+32,""))</f>
        <v>43951</v>
      </c>
      <c r="AD24" s="20" t="str">
        <f>IF(DAY(AbrDom1)=1,IF(AND(YEAR(AbrDom1+26)=AñoCalendario,MONTH(AbrDom1+26)=4),AbrDom1+26,""),IF(AND(YEAR(AbrDom1+33)=AñoCalendario,MONTH(AbrDom1+33)=4),AbrDom1+33,""))</f>
        <v/>
      </c>
      <c r="AE24" s="20" t="str">
        <f>IF(DAY(AbrDom1)=1,IF(AND(YEAR(AbrDom1+27)=AñoCalendario,MONTH(AbrDom1+27)=4),AbrDom1+27,""),IF(AND(YEAR(AbrDom1+34)=AñoCalendario,MONTH(AbrDom1+34)=4),AbrDom1+34,""))</f>
        <v/>
      </c>
      <c r="AF24" s="20" t="str">
        <f>IF(DAY(AbrDom1)=1,IF(AND(YEAR(AbrDom1+28)=AñoCalendario,MONTH(AbrDom1+28)=4),AbrDom1+28,""),IF(AND(YEAR(AbrDom1+35)=AñoCalendario,MONTH(AbrDom1+35)=4),AbrDom1+35,""))</f>
        <v/>
      </c>
      <c r="AH24" s="12">
        <f t="shared" si="1"/>
        <v>43830</v>
      </c>
    </row>
    <row r="25" spans="1:34" ht="15.95" customHeight="1" x14ac:dyDescent="0.2">
      <c r="B25" s="20" t="str">
        <f>IF(DAY(JanSun1)=1,IF(AND(YEAR(JanSun1+29)=AñoCalendario,MONTH(JanSun1+29)=1),JanSun1+29,""),IF(AND(YEAR(JanSun1+36)=AñoCalendario,MONTH(JanSun1+36)=1),JanSun1+36,""))</f>
        <v/>
      </c>
      <c r="C25" s="20" t="str">
        <f>IF(DAY(JanSun1)=1,IF(AND(YEAR(JanSun1+30)=AñoCalendario,MONTH(JanSun1+30)=1),JanSun1+30,""),IF(AND(YEAR(JanSun1+37)=AñoCalendario,MONTH(JanSun1+37)=1),JanSun1+37,""))</f>
        <v/>
      </c>
      <c r="D25" s="20" t="str">
        <f>IF(DAY(JanSun1)=1,IF(AND(YEAR(JanSun1+31)=AñoCalendario,MONTH(JanSun1+31)=1),JanSun1+31,""),IF(AND(YEAR(JanSun1+38)=AñoCalendario,MONTH(JanSun1+38)=1),JanSun1+38,""))</f>
        <v/>
      </c>
      <c r="E25" s="20" t="str">
        <f>IF(DAY(JanSun1)=1,IF(AND(YEAR(JanSun1+32)=AñoCalendario,MONTH(JanSun1+32)=1),JanSun1+32,""),IF(AND(YEAR(JanSun1+39)=AñoCalendario,MONTH(JanSun1+39)=1),JanSun1+39,""))</f>
        <v/>
      </c>
      <c r="F25" s="20" t="str">
        <f>IF(DAY(JanSun1)=1,IF(AND(YEAR(JanSun1+33)=AñoCalendario,MONTH(JanSun1+33)=1),JanSun1+33,""),IF(AND(YEAR(JanSun1+40)=AñoCalendario,MONTH(JanSun1+40)=1),JanSun1+40,""))</f>
        <v/>
      </c>
      <c r="G25" s="20" t="str">
        <f>IF(DAY(JanSun1)=1,IF(AND(YEAR(JanSun1+34)=AñoCalendario,MONTH(JanSun1+34)=1),JanSun1+34,""),IF(AND(YEAR(JanSun1+41)=AñoCalendario,MONTH(JanSun1+41)=1),JanSun1+41,""))</f>
        <v/>
      </c>
      <c r="H25" s="20" t="str">
        <f>IF(DAY(JanSun1)=1,IF(AND(YEAR(JanSun1+35)=AñoCalendario,MONTH(JanSun1+35)=1),JanSun1+35,""),IF(AND(YEAR(JanSun1+42)=AñoCalendario,MONTH(JanSun1+42)=1),JanSun1+42,""))</f>
        <v/>
      </c>
      <c r="I25" s="16"/>
      <c r="J25" s="20" t="str">
        <f>IF(DAY(FebSun1)=1,IF(AND(YEAR(FebSun1+29)=AñoCalendario,MONTH(FebSun1+29)=2),FebSun1+29,""),IF(AND(YEAR(FebSun1+36)=AñoCalendario,MONTH(FebSun1+36)=2),FebSun1+36,""))</f>
        <v/>
      </c>
      <c r="K25" s="20" t="str">
        <f>IF(DAY(FebSun1)=1,IF(AND(YEAR(FebSun1+30)=AñoCalendario,MONTH(FebSun1+30)=2),FebSun1+30,""),IF(AND(YEAR(FebSun1+37)=AñoCalendario,MONTH(FebSun1+37)=2),FebSun1+37,""))</f>
        <v/>
      </c>
      <c r="L25" s="20" t="str">
        <f>IF(DAY(FebSun1)=1,IF(AND(YEAR(FebSun1+31)=AñoCalendario,MONTH(FebSun1+31)=2),FebSun1+31,""),IF(AND(YEAR(FebSun1+38)=AñoCalendario,MONTH(FebSun1+38)=2),FebSun1+38,""))</f>
        <v/>
      </c>
      <c r="M25" s="20" t="str">
        <f>IF(DAY(FebSun1)=1,IF(AND(YEAR(FebSun1+32)=AñoCalendario,MONTH(FebSun1+32)=2),FebSun1+32,""),IF(AND(YEAR(FebSun1+39)=AñoCalendario,MONTH(FebSun1+39)=2),FebSun1+39,""))</f>
        <v/>
      </c>
      <c r="N25" s="20" t="str">
        <f>IF(DAY(FebSun1)=1,IF(AND(YEAR(FebSun1+33)=AñoCalendario,MONTH(FebSun1+33)=2),FebSun1+33,""),IF(AND(YEAR(FebSun1+40)=AñoCalendario,MONTH(FebSun1+40)=2),FebSun1+40,""))</f>
        <v/>
      </c>
      <c r="O25" s="20" t="str">
        <f>IF(DAY(FebSun1)=1,IF(AND(YEAR(FebSun1+34)=AñoCalendario,MONTH(FebSun1+34)=2),FebSun1+34,""),IF(AND(YEAR(FebSun1+41)=AñoCalendario,MONTH(FebSun1+41)=2),FebSun1+41,""))</f>
        <v/>
      </c>
      <c r="P25" s="20" t="str">
        <f>IF(DAY(FebSun1)=1,IF(AND(YEAR(FebSun1+35)=AñoCalendario,MONTH(FebSun1+35)=2),FebSun1+35,""),IF(AND(YEAR(FebSun1+42)=AñoCalendario,MONTH(FebSun1+42)=2),FebSun1+42,""))</f>
        <v/>
      </c>
      <c r="Q25" s="16"/>
      <c r="R25" s="20">
        <f>IF(DAY(MarSun1)=1,IF(AND(YEAR(MarSun1+29)=AñoCalendario,MONTH(MarSun1+29)=3),MarSun1+29,""),IF(AND(YEAR(MarSun1+36)=AñoCalendario,MONTH(MarSun1+36)=3),MarSun1+36,""))</f>
        <v>43920</v>
      </c>
      <c r="S25" s="20">
        <f>IF(DAY(MarSun1)=1,IF(AND(YEAR(MarSun1+30)=AñoCalendario,MONTH(MarSun1+30)=3),MarSun1+30,""),IF(AND(YEAR(MarSun1+37)=AñoCalendario,MONTH(MarSun1+37)=3),MarSun1+37,""))</f>
        <v>43921</v>
      </c>
      <c r="T25" s="20" t="str">
        <f>IF(DAY(MarSun1)=1,IF(AND(YEAR(MarSun1+31)=AñoCalendario,MONTH(MarSun1+31)=3),MarSun1+31,""),IF(AND(YEAR(MarSun1+38)=AñoCalendario,MONTH(MarSun1+38)=3),MarSun1+38,""))</f>
        <v/>
      </c>
      <c r="U25" s="20" t="str">
        <f>IF(DAY(MarSun1)=1,IF(AND(YEAR(MarSun1+32)=AñoCalendario,MONTH(MarSun1+32)=3),MarSun1+32,""),IF(AND(YEAR(MarSun1+39)=AñoCalendario,MONTH(MarSun1+39)=3),MarSun1+39,""))</f>
        <v/>
      </c>
      <c r="V25" s="20" t="str">
        <f>IF(DAY(MarSun1)=1,IF(AND(YEAR(MarSun1+33)=AñoCalendario,MONTH(MarSun1+33)=3),MarSun1+33,""),IF(AND(YEAR(MarSun1+40)=AñoCalendario,MONTH(MarSun1+40)=3),MarSun1+40,""))</f>
        <v/>
      </c>
      <c r="W25" s="20" t="str">
        <f>IF(DAY(MarSun1)=1,IF(AND(YEAR(MarSun1+34)=AñoCalendario,MONTH(MarSun1+34)=3),MarSun1+34,""),IF(AND(YEAR(MarSun1+41)=AñoCalendario,MONTH(MarSun1+41)=3),MarSun1+41,""))</f>
        <v/>
      </c>
      <c r="X25" s="20" t="str">
        <f>IF(DAY(MarSun1)=1,IF(AND(YEAR(MarSun1+35)=AñoCalendario,MONTH(MarSun1+35)=3),MarSun1+35,""),IF(AND(YEAR(MarSun1+42)=AñoCalendario,MONTH(MarSun1+42)=3),MarSun1+42,""))</f>
        <v/>
      </c>
      <c r="Y25" s="16"/>
      <c r="Z25" s="20" t="str">
        <f>IF(DAY(AbrDom1)=1,IF(AND(YEAR(AbrDom1+29)=AñoCalendario,MONTH(AbrDom1+29)=4),AbrDom1+29,""),IF(AND(YEAR(AbrDom1+36)=AñoCalendario,MONTH(AbrDom1+36)=4),AbrDom1+36,""))</f>
        <v/>
      </c>
      <c r="AA25" s="20" t="str">
        <f>IF(DAY(AbrDom1)=1,IF(AND(YEAR(AbrDom1+30)=AñoCalendario,MONTH(AbrDom1+30)=4),AbrDom1+30,""),IF(AND(YEAR(AbrDom1+37)=AñoCalendario,MONTH(AbrDom1+37)=4),AbrDom1+37,""))</f>
        <v/>
      </c>
      <c r="AB25" s="20" t="str">
        <f>IF(DAY(AbrDom1)=1,IF(AND(YEAR(AbrDom1+31)=AñoCalendario,MONTH(AbrDom1+31)=4),AbrDom1+31,""),IF(AND(YEAR(AbrDom1+38)=AñoCalendario,MONTH(AbrDom1+38)=4),AbrDom1+38,""))</f>
        <v/>
      </c>
      <c r="AC25" s="20" t="str">
        <f>IF(DAY(AbrDom1)=1,IF(AND(YEAR(AbrDom1+32)=AñoCalendario,MONTH(AbrDom1+32)=4),AbrDom1+32,""),IF(AND(YEAR(AbrDom1+39)=AñoCalendario,MONTH(AbrDom1+39)=4),AbrDom1+39,""))</f>
        <v/>
      </c>
      <c r="AD25" s="20" t="str">
        <f>IF(DAY(AbrDom1)=1,IF(AND(YEAR(AbrDom1+33)=AñoCalendario,MONTH(AbrDom1+33)=4),AbrDom1+33,""),IF(AND(YEAR(AbrDom1+40)=AñoCalendario,MONTH(AbrDom1+40)=4),AbrDom1+40,""))</f>
        <v/>
      </c>
      <c r="AE25" s="20" t="str">
        <f>IF(DAY(AbrDom1)=1,IF(AND(YEAR(AbrDom1+34)=AñoCalendario,MONTH(AbrDom1+34)=4),AbrDom1+34,""),IF(AND(YEAR(AbrDom1+41)=AñoCalendario,MONTH(AbrDom1+41)=4),AbrDom1+41,""))</f>
        <v/>
      </c>
      <c r="AF25" s="20" t="str">
        <f>IF(DAY(AbrDom1)=1,IF(AND(YEAR(AbrDom1+35)=AñoCalendario,MONTH(AbrDom1+35)=4),AbrDom1+35,""),IF(AND(YEAR(AbrDom1+42)=AñoCalendario,MONTH(AbrDom1+42)=4),AbrDom1+42,""))</f>
        <v/>
      </c>
    </row>
    <row r="26" spans="1:34" ht="15.95" customHeight="1" x14ac:dyDescent="0.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34" s="16" customFormat="1" ht="21" customHeight="1" x14ac:dyDescent="0.2">
      <c r="A27" s="14"/>
      <c r="B27" s="27">
        <f>DATE(AñoCalendario,5,1)</f>
        <v>43952</v>
      </c>
      <c r="C27" s="27"/>
      <c r="D27" s="27"/>
      <c r="E27" s="27"/>
      <c r="F27" s="27"/>
      <c r="G27" s="27"/>
      <c r="H27" s="27"/>
      <c r="J27" s="27">
        <f>DATE(AñoCalendario,6,1)</f>
        <v>43983</v>
      </c>
      <c r="K27" s="27"/>
      <c r="L27" s="27"/>
      <c r="M27" s="27"/>
      <c r="N27" s="27"/>
      <c r="O27" s="27"/>
      <c r="P27" s="27"/>
      <c r="R27" s="27">
        <f>DATE(AñoCalendario,7,1)</f>
        <v>44013</v>
      </c>
      <c r="S27" s="27"/>
      <c r="T27" s="27"/>
      <c r="U27" s="27"/>
      <c r="V27" s="27"/>
      <c r="W27" s="27"/>
      <c r="X27" s="27"/>
      <c r="Z27" s="27">
        <f>DATE(AñoCalendario,8,1)</f>
        <v>44044</v>
      </c>
      <c r="AA27" s="27"/>
      <c r="AB27" s="27"/>
      <c r="AC27" s="27"/>
      <c r="AD27" s="27"/>
      <c r="AE27" s="27"/>
      <c r="AF27" s="27"/>
      <c r="AH27" s="12"/>
    </row>
    <row r="28" spans="1:34" s="18" customFormat="1" ht="15.95" customHeight="1" x14ac:dyDescent="0.2">
      <c r="A28" s="15"/>
      <c r="B28" s="10" t="s">
        <v>1</v>
      </c>
      <c r="C28" s="10" t="s">
        <v>2</v>
      </c>
      <c r="D28" s="10" t="s">
        <v>3</v>
      </c>
      <c r="E28" s="10" t="s">
        <v>4</v>
      </c>
      <c r="F28" s="10" t="s">
        <v>5</v>
      </c>
      <c r="G28" s="10" t="s">
        <v>9</v>
      </c>
      <c r="H28" s="10" t="s">
        <v>10</v>
      </c>
      <c r="I28" s="10"/>
      <c r="J28" s="10" t="s">
        <v>1</v>
      </c>
      <c r="K28" s="10" t="s">
        <v>2</v>
      </c>
      <c r="L28" s="10" t="s">
        <v>3</v>
      </c>
      <c r="M28" s="10" t="s">
        <v>4</v>
      </c>
      <c r="N28" s="10" t="s">
        <v>5</v>
      </c>
      <c r="O28" s="10" t="s">
        <v>9</v>
      </c>
      <c r="P28" s="10" t="s">
        <v>10</v>
      </c>
      <c r="Q28" s="10"/>
      <c r="R28" s="10" t="s">
        <v>1</v>
      </c>
      <c r="S28" s="10" t="s">
        <v>2</v>
      </c>
      <c r="T28" s="10" t="s">
        <v>3</v>
      </c>
      <c r="U28" s="10" t="s">
        <v>4</v>
      </c>
      <c r="V28" s="10" t="s">
        <v>5</v>
      </c>
      <c r="W28" s="10" t="s">
        <v>9</v>
      </c>
      <c r="X28" s="10" t="s">
        <v>10</v>
      </c>
      <c r="Z28" s="10" t="s">
        <v>1</v>
      </c>
      <c r="AA28" s="10" t="s">
        <v>2</v>
      </c>
      <c r="AB28" s="10" t="s">
        <v>3</v>
      </c>
      <c r="AC28" s="10" t="s">
        <v>4</v>
      </c>
      <c r="AD28" s="10" t="s">
        <v>5</v>
      </c>
      <c r="AE28" s="10" t="s">
        <v>9</v>
      </c>
      <c r="AF28" s="10" t="s">
        <v>10</v>
      </c>
      <c r="AH28" s="19"/>
    </row>
    <row r="29" spans="1:34" ht="15.95" customHeight="1" x14ac:dyDescent="0.2">
      <c r="B29" s="20" t="str">
        <f>IF(DAY(MaySun1)=1,"",IF(AND(YEAR(MaySun1+1)=AñoCalendario,MONTH(MaySun1+1)=5),MaySun1+1,""))</f>
        <v/>
      </c>
      <c r="C29" s="20" t="str">
        <f>IF(DAY(MaySun1)=1,"",IF(AND(YEAR(MaySun1+2)=AñoCalendario,MONTH(MaySun1+2)=5),MaySun1+2,""))</f>
        <v/>
      </c>
      <c r="D29" s="20" t="str">
        <f>IF(DAY(MaySun1)=1,"",IF(AND(YEAR(MaySun1+3)=AñoCalendario,MONTH(MaySun1+3)=5),MaySun1+3,""))</f>
        <v/>
      </c>
      <c r="E29" s="20" t="str">
        <f>IF(DAY(MaySun1)=1,"",IF(AND(YEAR(MaySun1+4)=AñoCalendario,MONTH(MaySun1+4)=5),MaySun1+4,""))</f>
        <v/>
      </c>
      <c r="F29" s="20">
        <f>IF(DAY(MaySun1)=1,"",IF(AND(YEAR(MaySun1+5)=AñoCalendario,MONTH(MaySun1+5)=5),MaySun1+5,""))</f>
        <v>43952</v>
      </c>
      <c r="G29" s="20">
        <f>IF(DAY(MaySun1)=1,"",IF(AND(YEAR(MaySun1+6)=AñoCalendario,MONTH(MaySun1+6)=5),MaySun1+6,""))</f>
        <v>43953</v>
      </c>
      <c r="H29" s="20">
        <f>IF(DAY(MaySun1)=1,IF(AND(YEAR(MaySun1)=AñoCalendario,MONTH(MaySun1)=5),MaySun1,""),IF(AND(YEAR(MaySun1+7)=AñoCalendario,MONTH(MaySun1+7)=5),MaySun1+7,""))</f>
        <v>43954</v>
      </c>
      <c r="I29" s="17"/>
      <c r="J29" s="20">
        <f>IF(DAY(JunSun1)=1,"",IF(AND(YEAR(JunSun1+1)=AñoCalendario,MONTH(JunSun1+1)=6),JunSun1+1,""))</f>
        <v>43983</v>
      </c>
      <c r="K29" s="20">
        <f>IF(DAY(JunSun1)=1,"",IF(AND(YEAR(JunSun1+2)=AñoCalendario,MONTH(JunSun1+2)=6),JunSun1+2,""))</f>
        <v>43984</v>
      </c>
      <c r="L29" s="20">
        <f>IF(DAY(JunSun1)=1,"",IF(AND(YEAR(JunSun1+3)=AñoCalendario,MONTH(JunSun1+3)=6),JunSun1+3,""))</f>
        <v>43985</v>
      </c>
      <c r="M29" s="20">
        <f>IF(DAY(JunSun1)=1,"",IF(AND(YEAR(JunSun1+4)=AñoCalendario,MONTH(JunSun1+4)=6),JunSun1+4,""))</f>
        <v>43986</v>
      </c>
      <c r="N29" s="20">
        <f>IF(DAY(JunSun1)=1,"",IF(AND(YEAR(JunSun1+5)=AñoCalendario,MONTH(JunSun1+5)=6),JunSun1+5,""))</f>
        <v>43987</v>
      </c>
      <c r="O29" s="20">
        <f>IF(DAY(JunSun1)=1,"",IF(AND(YEAR(JunSun1+6)=AñoCalendario,MONTH(JunSun1+6)=6),JunSun1+6,""))</f>
        <v>43988</v>
      </c>
      <c r="P29" s="20">
        <f>IF(DAY(JunSun1)=1,IF(AND(YEAR(JunSun1)=AñoCalendario,MONTH(JunSun1)=6),JunSun1,""),IF(AND(YEAR(JunSun1+7)=AñoCalendario,MONTH(JunSun1+7)=6),JunSun1+7,""))</f>
        <v>43989</v>
      </c>
      <c r="Q29" s="16"/>
      <c r="R29" s="20" t="str">
        <f>IF(DAY(JulSun1)=1,"",IF(AND(YEAR(JulSun1+1)=AñoCalendario,MONTH(JulSun1+1)=7),JulSun1+1,""))</f>
        <v/>
      </c>
      <c r="S29" s="20" t="str">
        <f>IF(DAY(JulSun1)=1,"",IF(AND(YEAR(JulSun1+2)=AñoCalendario,MONTH(JulSun1+2)=7),JulSun1+2,""))</f>
        <v/>
      </c>
      <c r="T29" s="20">
        <f>IF(DAY(JulSun1)=1,"",IF(AND(YEAR(JulSun1+3)=AñoCalendario,MONTH(JulSun1+3)=7),JulSun1+3,""))</f>
        <v>44013</v>
      </c>
      <c r="U29" s="20">
        <f>IF(DAY(JulSun1)=1,"",IF(AND(YEAR(JulSun1+4)=AñoCalendario,MONTH(JulSun1+4)=7),JulSun1+4,""))</f>
        <v>44014</v>
      </c>
      <c r="V29" s="20">
        <f>IF(DAY(JulSun1)=1,"",IF(AND(YEAR(JulSun1+5)=AñoCalendario,MONTH(JulSun1+5)=7),JulSun1+5,""))</f>
        <v>44015</v>
      </c>
      <c r="W29" s="20">
        <f>IF(DAY(JulSun1)=1,"",IF(AND(YEAR(JulSun1+6)=AñoCalendario,MONTH(JulSun1+6)=7),JulSun1+6,""))</f>
        <v>44016</v>
      </c>
      <c r="X29" s="20">
        <f>IF(DAY(JulSun1)=1,IF(AND(YEAR(JulSun1)=AñoCalendario,MONTH(JulSun1)=7),JulSun1,""),IF(AND(YEAR(JulSun1+7)=AñoCalendario,MONTH(JulSun1+7)=7),JulSun1+7,""))</f>
        <v>44017</v>
      </c>
      <c r="Z29" s="20" t="str">
        <f>IF(DAY(AgoDom1)=1,"",IF(AND(YEAR(AgoDom1+1)=AñoCalendario,MONTH(AgoDom1+1)=8),AgoDom1+1,""))</f>
        <v/>
      </c>
      <c r="AA29" s="20" t="str">
        <f>IF(DAY(AgoDom1)=1,"",IF(AND(YEAR(AgoDom1+2)=AñoCalendario,MONTH(AgoDom1+2)=8),AgoDom1+2,""))</f>
        <v/>
      </c>
      <c r="AB29" s="20" t="str">
        <f>IF(DAY(AgoDom1)=1,"",IF(AND(YEAR(AgoDom1+3)=AñoCalendario,MONTH(AgoDom1+3)=8),AgoDom1+3,""))</f>
        <v/>
      </c>
      <c r="AC29" s="20" t="str">
        <f>IF(DAY(AgoDom1)=1,"",IF(AND(YEAR(AgoDom1+4)=AñoCalendario,MONTH(AgoDom1+4)=8),AgoDom1+4,""))</f>
        <v/>
      </c>
      <c r="AD29" s="20" t="str">
        <f>IF(DAY(AgoDom1)=1,"",IF(AND(YEAR(AgoDom1+5)=AñoCalendario,MONTH(AgoDom1+5)=8),AgoDom1+5,""))</f>
        <v/>
      </c>
      <c r="AE29" s="20">
        <f>IF(DAY(AgoDom1)=1,"",IF(AND(YEAR(AgoDom1+6)=AñoCalendario,MONTH(AgoDom1+6)=8),AgoDom1+6,""))</f>
        <v>44044</v>
      </c>
      <c r="AF29" s="20">
        <f>IF(DAY(AgoDom1)=1,IF(AND(YEAR(AgoDom1)=AñoCalendario,MONTH(AgoDom1)=8),AgoDom1,""),IF(AND(YEAR(AgoDom1+7)=AñoCalendario,MONTH(AgoDom1+7)=8),AgoDom1+7,""))</f>
        <v>44045</v>
      </c>
    </row>
    <row r="30" spans="1:34" ht="15.95" customHeight="1" x14ac:dyDescent="0.2">
      <c r="B30" s="20">
        <f>IF(DAY(MaySun1)=1,IF(AND(YEAR(MaySun1+1)=AñoCalendario,MONTH(MaySun1+1)=5),MaySun1+1,""),IF(AND(YEAR(MaySun1+8)=AñoCalendario,MONTH(MaySun1+8)=5),MaySun1+8,""))</f>
        <v>43955</v>
      </c>
      <c r="C30" s="20">
        <f>IF(DAY(MaySun1)=1,IF(AND(YEAR(MaySun1+2)=AñoCalendario,MONTH(MaySun1+2)=5),MaySun1+2,""),IF(AND(YEAR(MaySun1+9)=AñoCalendario,MONTH(MaySun1+9)=5),MaySun1+9,""))</f>
        <v>43956</v>
      </c>
      <c r="D30" s="20">
        <f>IF(DAY(MaySun1)=1,IF(AND(YEAR(MaySun1+3)=AñoCalendario,MONTH(MaySun1+3)=5),MaySun1+3,""),IF(AND(YEAR(MaySun1+10)=AñoCalendario,MONTH(MaySun1+10)=5),MaySun1+10,""))</f>
        <v>43957</v>
      </c>
      <c r="E30" s="20">
        <f>IF(DAY(MaySun1)=1,IF(AND(YEAR(MaySun1+4)=AñoCalendario,MONTH(MaySun1+4)=5),MaySun1+4,""),IF(AND(YEAR(MaySun1+11)=AñoCalendario,MONTH(MaySun1+11)=5),MaySun1+11,""))</f>
        <v>43958</v>
      </c>
      <c r="F30" s="20">
        <f>IF(DAY(MaySun1)=1,IF(AND(YEAR(MaySun1+5)=AñoCalendario,MONTH(MaySun1+5)=5),MaySun1+5,""),IF(AND(YEAR(MaySun1+12)=AñoCalendario,MONTH(MaySun1+12)=5),MaySun1+12,""))</f>
        <v>43959</v>
      </c>
      <c r="G30" s="20">
        <f>IF(DAY(MaySun1)=1,IF(AND(YEAR(MaySun1+6)=AñoCalendario,MONTH(MaySun1+6)=5),MaySun1+6,""),IF(AND(YEAR(MaySun1+13)=AñoCalendario,MONTH(MaySun1+13)=5),MaySun1+13,""))</f>
        <v>43960</v>
      </c>
      <c r="H30" s="20">
        <f>IF(DAY(MaySun1)=1,IF(AND(YEAR(MaySun1+7)=AñoCalendario,MONTH(MaySun1+7)=5),MaySun1+7,""),IF(AND(YEAR(MaySun1+14)=AñoCalendario,MONTH(MaySun1+14)=5),MaySun1+14,""))</f>
        <v>43961</v>
      </c>
      <c r="I30" s="16"/>
      <c r="J30" s="20">
        <f>IF(DAY(JunSun1)=1,IF(AND(YEAR(JunSun1+1)=AñoCalendario,MONTH(JunSun1+1)=6),JunSun1+1,""),IF(AND(YEAR(JunSun1+8)=AñoCalendario,MONTH(JunSun1+8)=6),JunSun1+8,""))</f>
        <v>43990</v>
      </c>
      <c r="K30" s="20">
        <f>IF(DAY(JunSun1)=1,IF(AND(YEAR(JunSun1+2)=AñoCalendario,MONTH(JunSun1+2)=6),JunSun1+2,""),IF(AND(YEAR(JunSun1+9)=AñoCalendario,MONTH(JunSun1+9)=6),JunSun1+9,""))</f>
        <v>43991</v>
      </c>
      <c r="L30" s="20">
        <f>IF(DAY(JunSun1)=1,IF(AND(YEAR(JunSun1+3)=AñoCalendario,MONTH(JunSun1+3)=6),JunSun1+3,""),IF(AND(YEAR(JunSun1+10)=AñoCalendario,MONTH(JunSun1+10)=6),JunSun1+10,""))</f>
        <v>43992</v>
      </c>
      <c r="M30" s="20">
        <f>IF(DAY(JunSun1)=1,IF(AND(YEAR(JunSun1+4)=AñoCalendario,MONTH(JunSun1+4)=6),JunSun1+4,""),IF(AND(YEAR(JunSun1+11)=AñoCalendario,MONTH(JunSun1+11)=6),JunSun1+11,""))</f>
        <v>43993</v>
      </c>
      <c r="N30" s="20">
        <f>IF(DAY(JunSun1)=1,IF(AND(YEAR(JunSun1+5)=AñoCalendario,MONTH(JunSun1+5)=6),JunSun1+5,""),IF(AND(YEAR(JunSun1+12)=AñoCalendario,MONTH(JunSun1+12)=6),JunSun1+12,""))</f>
        <v>43994</v>
      </c>
      <c r="O30" s="20">
        <f>IF(DAY(JunSun1)=1,IF(AND(YEAR(JunSun1+6)=AñoCalendario,MONTH(JunSun1+6)=6),JunSun1+6,""),IF(AND(YEAR(JunSun1+13)=AñoCalendario,MONTH(JunSun1+13)=6),JunSun1+13,""))</f>
        <v>43995</v>
      </c>
      <c r="P30" s="20">
        <f>IF(DAY(JunSun1)=1,IF(AND(YEAR(JunSun1+7)=AñoCalendario,MONTH(JunSun1+7)=6),JunSun1+7,""),IF(AND(YEAR(JunSun1+14)=AñoCalendario,MONTH(JunSun1+14)=6),JunSun1+14,""))</f>
        <v>43996</v>
      </c>
      <c r="Q30" s="16"/>
      <c r="R30" s="20">
        <f>IF(DAY(JulSun1)=1,IF(AND(YEAR(JulSun1+1)=AñoCalendario,MONTH(JulSun1+1)=7),JulSun1+1,""),IF(AND(YEAR(JulSun1+8)=AñoCalendario,MONTH(JulSun1+8)=7),JulSun1+8,""))</f>
        <v>44018</v>
      </c>
      <c r="S30" s="20">
        <f>IF(DAY(JulSun1)=1,IF(AND(YEAR(JulSun1+2)=AñoCalendario,MONTH(JulSun1+2)=7),JulSun1+2,""),IF(AND(YEAR(JulSun1+9)=AñoCalendario,MONTH(JulSun1+9)=7),JulSun1+9,""))</f>
        <v>44019</v>
      </c>
      <c r="T30" s="20">
        <f>IF(DAY(JulSun1)=1,IF(AND(YEAR(JulSun1+3)=AñoCalendario,MONTH(JulSun1+3)=7),JulSun1+3,""),IF(AND(YEAR(JulSun1+10)=AñoCalendario,MONTH(JulSun1+10)=7),JulSun1+10,""))</f>
        <v>44020</v>
      </c>
      <c r="U30" s="20">
        <f>IF(DAY(JulSun1)=1,IF(AND(YEAR(JulSun1+4)=AñoCalendario,MONTH(JulSun1+4)=7),JulSun1+4,""),IF(AND(YEAR(JulSun1+11)=AñoCalendario,MONTH(JulSun1+11)=7),JulSun1+11,""))</f>
        <v>44021</v>
      </c>
      <c r="V30" s="20">
        <f>IF(DAY(JulSun1)=1,IF(AND(YEAR(JulSun1+5)=AñoCalendario,MONTH(JulSun1+5)=7),JulSun1+5,""),IF(AND(YEAR(JulSun1+12)=AñoCalendario,MONTH(JulSun1+12)=7),JulSun1+12,""))</f>
        <v>44022</v>
      </c>
      <c r="W30" s="20">
        <f>IF(DAY(JulSun1)=1,IF(AND(YEAR(JulSun1+6)=AñoCalendario,MONTH(JulSun1+6)=7),JulSun1+6,""),IF(AND(YEAR(JulSun1+13)=AñoCalendario,MONTH(JulSun1+13)=7),JulSun1+13,""))</f>
        <v>44023</v>
      </c>
      <c r="X30" s="20">
        <f>IF(DAY(JulSun1)=1,IF(AND(YEAR(JulSun1+7)=AñoCalendario,MONTH(JulSun1+7)=7),JulSun1+7,""),IF(AND(YEAR(JulSun1+14)=AñoCalendario,MONTH(JulSun1+14)=7),JulSun1+14,""))</f>
        <v>44024</v>
      </c>
      <c r="Z30" s="20">
        <f>IF(DAY(AgoDom1)=1,IF(AND(YEAR(AgoDom1+1)=AñoCalendario,MONTH(AgoDom1+1)=8),AgoDom1+1,""),IF(AND(YEAR(AgoDom1+8)=AñoCalendario,MONTH(AgoDom1+8)=8),AgoDom1+8,""))</f>
        <v>44046</v>
      </c>
      <c r="AA30" s="20">
        <f>IF(DAY(AgoDom1)=1,IF(AND(YEAR(AgoDom1+2)=AñoCalendario,MONTH(AgoDom1+2)=8),AgoDom1+2,""),IF(AND(YEAR(AgoDom1+9)=AñoCalendario,MONTH(AgoDom1+9)=8),AgoDom1+9,""))</f>
        <v>44047</v>
      </c>
      <c r="AB30" s="20">
        <f>IF(DAY(AgoDom1)=1,IF(AND(YEAR(AgoDom1+3)=AñoCalendario,MONTH(AgoDom1+3)=8),AgoDom1+3,""),IF(AND(YEAR(AgoDom1+10)=AñoCalendario,MONTH(AgoDom1+10)=8),AgoDom1+10,""))</f>
        <v>44048</v>
      </c>
      <c r="AC30" s="20">
        <f>IF(DAY(AgoDom1)=1,IF(AND(YEAR(AgoDom1+4)=AñoCalendario,MONTH(AgoDom1+4)=8),AgoDom1+4,""),IF(AND(YEAR(AgoDom1+11)=AñoCalendario,MONTH(AgoDom1+11)=8),AgoDom1+11,""))</f>
        <v>44049</v>
      </c>
      <c r="AD30" s="20">
        <f>IF(DAY(AgoDom1)=1,IF(AND(YEAR(AgoDom1+5)=AñoCalendario,MONTH(AgoDom1+5)=8),AgoDom1+5,""),IF(AND(YEAR(AgoDom1+12)=AñoCalendario,MONTH(AgoDom1+12)=8),AgoDom1+12,""))</f>
        <v>44050</v>
      </c>
      <c r="AE30" s="20">
        <f>IF(DAY(AgoDom1)=1,IF(AND(YEAR(AgoDom1+6)=AñoCalendario,MONTH(AgoDom1+6)=8),AgoDom1+6,""),IF(AND(YEAR(AgoDom1+13)=AñoCalendario,MONTH(AgoDom1+13)=8),AgoDom1+13,""))</f>
        <v>44051</v>
      </c>
      <c r="AF30" s="20">
        <f>IF(DAY(AgoDom1)=1,IF(AND(YEAR(AgoDom1+7)=AñoCalendario,MONTH(AgoDom1+7)=8),AgoDom1+7,""),IF(AND(YEAR(AgoDom1+14)=AñoCalendario,MONTH(AgoDom1+14)=8),AgoDom1+14,""))</f>
        <v>44052</v>
      </c>
    </row>
    <row r="31" spans="1:34" ht="15.95" customHeight="1" x14ac:dyDescent="0.2">
      <c r="B31" s="20">
        <f>IF(DAY(MaySun1)=1,IF(AND(YEAR(MaySun1+8)=AñoCalendario,MONTH(MaySun1+8)=5),MaySun1+8,""),IF(AND(YEAR(MaySun1+15)=AñoCalendario,MONTH(MaySun1+15)=5),MaySun1+15,""))</f>
        <v>43962</v>
      </c>
      <c r="C31" s="20">
        <f>IF(DAY(MaySun1)=1,IF(AND(YEAR(MaySun1+9)=AñoCalendario,MONTH(MaySun1+9)=5),MaySun1+9,""),IF(AND(YEAR(MaySun1+16)=AñoCalendario,MONTH(MaySun1+16)=5),MaySun1+16,""))</f>
        <v>43963</v>
      </c>
      <c r="D31" s="20">
        <f>IF(DAY(MaySun1)=1,IF(AND(YEAR(MaySun1+10)=AñoCalendario,MONTH(MaySun1+10)=5),MaySun1+10,""),IF(AND(YEAR(MaySun1+17)=AñoCalendario,MONTH(MaySun1+17)=5),MaySun1+17,""))</f>
        <v>43964</v>
      </c>
      <c r="E31" s="20">
        <f>IF(DAY(MaySun1)=1,IF(AND(YEAR(MaySun1+11)=AñoCalendario,MONTH(MaySun1+11)=5),MaySun1+11,""),IF(AND(YEAR(MaySun1+18)=AñoCalendario,MONTH(MaySun1+18)=5),MaySun1+18,""))</f>
        <v>43965</v>
      </c>
      <c r="F31" s="20">
        <f>IF(DAY(MaySun1)=1,IF(AND(YEAR(MaySun1+12)=AñoCalendario,MONTH(MaySun1+12)=5),MaySun1+12,""),IF(AND(YEAR(MaySun1+19)=AñoCalendario,MONTH(MaySun1+19)=5),MaySun1+19,""))</f>
        <v>43966</v>
      </c>
      <c r="G31" s="20">
        <f>IF(DAY(MaySun1)=1,IF(AND(YEAR(MaySun1+13)=AñoCalendario,MONTH(MaySun1+13)=5),MaySun1+13,""),IF(AND(YEAR(MaySun1+20)=AñoCalendario,MONTH(MaySun1+20)=5),MaySun1+20,""))</f>
        <v>43967</v>
      </c>
      <c r="H31" s="20">
        <f>IF(DAY(MaySun1)=1,IF(AND(YEAR(MaySun1+14)=AñoCalendario,MONTH(MaySun1+14)=5),MaySun1+14,""),IF(AND(YEAR(MaySun1+21)=AñoCalendario,MONTH(MaySun1+21)=5),MaySun1+21,""))</f>
        <v>43968</v>
      </c>
      <c r="I31" s="16"/>
      <c r="J31" s="20">
        <f>IF(DAY(JunSun1)=1,IF(AND(YEAR(JunSun1+8)=AñoCalendario,MONTH(JunSun1+8)=6),JunSun1+8,""),IF(AND(YEAR(JunSun1+15)=AñoCalendario,MONTH(JunSun1+15)=6),JunSun1+15,""))</f>
        <v>43997</v>
      </c>
      <c r="K31" s="20">
        <f>IF(DAY(JunSun1)=1,IF(AND(YEAR(JunSun1+9)=AñoCalendario,MONTH(JunSun1+9)=6),JunSun1+9,""),IF(AND(YEAR(JunSun1+16)=AñoCalendario,MONTH(JunSun1+16)=6),JunSun1+16,""))</f>
        <v>43998</v>
      </c>
      <c r="L31" s="20">
        <f>IF(DAY(JunSun1)=1,IF(AND(YEAR(JunSun1+10)=AñoCalendario,MONTH(JunSun1+10)=6),JunSun1+10,""),IF(AND(YEAR(JunSun1+17)=AñoCalendario,MONTH(JunSun1+17)=6),JunSun1+17,""))</f>
        <v>43999</v>
      </c>
      <c r="M31" s="20">
        <f>IF(DAY(JunSun1)=1,IF(AND(YEAR(JunSun1+11)=AñoCalendario,MONTH(JunSun1+11)=6),JunSun1+11,""),IF(AND(YEAR(JunSun1+18)=AñoCalendario,MONTH(JunSun1+18)=6),JunSun1+18,""))</f>
        <v>44000</v>
      </c>
      <c r="N31" s="20">
        <f>IF(DAY(JunSun1)=1,IF(AND(YEAR(JunSun1+12)=AñoCalendario,MONTH(JunSun1+12)=6),JunSun1+12,""),IF(AND(YEAR(JunSun1+19)=AñoCalendario,MONTH(JunSun1+19)=6),JunSun1+19,""))</f>
        <v>44001</v>
      </c>
      <c r="O31" s="20">
        <f>IF(DAY(JunSun1)=1,IF(AND(YEAR(JunSun1+13)=AñoCalendario,MONTH(JunSun1+13)=6),JunSun1+13,""),IF(AND(YEAR(JunSun1+20)=AñoCalendario,MONTH(JunSun1+20)=6),JunSun1+20,""))</f>
        <v>44002</v>
      </c>
      <c r="P31" s="20">
        <f>IF(DAY(JunSun1)=1,IF(AND(YEAR(JunSun1+14)=AñoCalendario,MONTH(JunSun1+14)=6),JunSun1+14,""),IF(AND(YEAR(JunSun1+21)=AñoCalendario,MONTH(JunSun1+21)=6),JunSun1+21,""))</f>
        <v>44003</v>
      </c>
      <c r="Q31" s="16"/>
      <c r="R31" s="20">
        <f>IF(DAY(JulSun1)=1,IF(AND(YEAR(JulSun1+8)=AñoCalendario,MONTH(JulSun1+8)=7),JulSun1+8,""),IF(AND(YEAR(JulSun1+15)=AñoCalendario,MONTH(JulSun1+15)=7),JulSun1+15,""))</f>
        <v>44025</v>
      </c>
      <c r="S31" s="20">
        <f>IF(DAY(JulSun1)=1,IF(AND(YEAR(JulSun1+9)=AñoCalendario,MONTH(JulSun1+9)=7),JulSun1+9,""),IF(AND(YEAR(JulSun1+16)=AñoCalendario,MONTH(JulSun1+16)=7),JulSun1+16,""))</f>
        <v>44026</v>
      </c>
      <c r="T31" s="20">
        <f>IF(DAY(JulSun1)=1,IF(AND(YEAR(JulSun1+10)=AñoCalendario,MONTH(JulSun1+10)=7),JulSun1+10,""),IF(AND(YEAR(JulSun1+17)=AñoCalendario,MONTH(JulSun1+17)=7),JulSun1+17,""))</f>
        <v>44027</v>
      </c>
      <c r="U31" s="20">
        <f>IF(DAY(JulSun1)=1,IF(AND(YEAR(JulSun1+11)=AñoCalendario,MONTH(JulSun1+11)=7),JulSun1+11,""),IF(AND(YEAR(JulSun1+18)=AñoCalendario,MONTH(JulSun1+18)=7),JulSun1+18,""))</f>
        <v>44028</v>
      </c>
      <c r="V31" s="20">
        <f>IF(DAY(JulSun1)=1,IF(AND(YEAR(JulSun1+12)=AñoCalendario,MONTH(JulSun1+12)=7),JulSun1+12,""),IF(AND(YEAR(JulSun1+19)=AñoCalendario,MONTH(JulSun1+19)=7),JulSun1+19,""))</f>
        <v>44029</v>
      </c>
      <c r="W31" s="20">
        <f>IF(DAY(JulSun1)=1,IF(AND(YEAR(JulSun1+13)=AñoCalendario,MONTH(JulSun1+13)=7),JulSun1+13,""),IF(AND(YEAR(JulSun1+20)=AñoCalendario,MONTH(JulSun1+20)=7),JulSun1+20,""))</f>
        <v>44030</v>
      </c>
      <c r="X31" s="20">
        <f>IF(DAY(JulSun1)=1,IF(AND(YEAR(JulSun1+14)=AñoCalendario,MONTH(JulSun1+14)=7),JulSun1+14,""),IF(AND(YEAR(JulSun1+21)=AñoCalendario,MONTH(JulSun1+21)=7),JulSun1+21,""))</f>
        <v>44031</v>
      </c>
      <c r="Z31" s="20">
        <f>IF(DAY(AgoDom1)=1,IF(AND(YEAR(AgoDom1+8)=AñoCalendario,MONTH(AgoDom1+8)=8),AgoDom1+8,""),IF(AND(YEAR(AgoDom1+15)=AñoCalendario,MONTH(AgoDom1+15)=8),AgoDom1+15,""))</f>
        <v>44053</v>
      </c>
      <c r="AA31" s="20">
        <f>IF(DAY(AgoDom1)=1,IF(AND(YEAR(AgoDom1+9)=AñoCalendario,MONTH(AgoDom1+9)=8),AgoDom1+9,""),IF(AND(YEAR(AgoDom1+16)=AñoCalendario,MONTH(AgoDom1+16)=8),AgoDom1+16,""))</f>
        <v>44054</v>
      </c>
      <c r="AB31" s="20">
        <f>IF(DAY(AgoDom1)=1,IF(AND(YEAR(AgoDom1+10)=AñoCalendario,MONTH(AgoDom1+10)=8),AgoDom1+10,""),IF(AND(YEAR(AgoDom1+17)=AñoCalendario,MONTH(AgoDom1+17)=8),AgoDom1+17,""))</f>
        <v>44055</v>
      </c>
      <c r="AC31" s="20">
        <f>IF(DAY(AgoDom1)=1,IF(AND(YEAR(AgoDom1+11)=AñoCalendario,MONTH(AgoDom1+11)=8),AgoDom1+11,""),IF(AND(YEAR(AgoDom1+18)=AñoCalendario,MONTH(AgoDom1+18)=8),AgoDom1+18,""))</f>
        <v>44056</v>
      </c>
      <c r="AD31" s="20">
        <f>IF(DAY(AgoDom1)=1,IF(AND(YEAR(AgoDom1+12)=AñoCalendario,MONTH(AgoDom1+12)=8),AgoDom1+12,""),IF(AND(YEAR(AgoDom1+19)=AñoCalendario,MONTH(AgoDom1+19)=8),AgoDom1+19,""))</f>
        <v>44057</v>
      </c>
      <c r="AE31" s="20">
        <f>IF(DAY(AgoDom1)=1,IF(AND(YEAR(AgoDom1+13)=AñoCalendario,MONTH(AgoDom1+13)=8),AgoDom1+13,""),IF(AND(YEAR(AgoDom1+20)=AñoCalendario,MONTH(AgoDom1+20)=8),AgoDom1+20,""))</f>
        <v>44058</v>
      </c>
      <c r="AF31" s="20">
        <f>IF(DAY(AgoDom1)=1,IF(AND(YEAR(AgoDom1+14)=AñoCalendario,MONTH(AgoDom1+14)=8),AgoDom1+14,""),IF(AND(YEAR(AgoDom1+21)=AñoCalendario,MONTH(AgoDom1+21)=8),AgoDom1+21,""))</f>
        <v>44059</v>
      </c>
    </row>
    <row r="32" spans="1:34" ht="15.95" customHeight="1" x14ac:dyDescent="0.2">
      <c r="B32" s="20">
        <f>IF(DAY(MaySun1)=1,IF(AND(YEAR(MaySun1+15)=AñoCalendario,MONTH(MaySun1+15)=5),MaySun1+15,""),IF(AND(YEAR(MaySun1+22)=AñoCalendario,MONTH(MaySun1+22)=5),MaySun1+22,""))</f>
        <v>43969</v>
      </c>
      <c r="C32" s="20">
        <f>IF(DAY(MaySun1)=1,IF(AND(YEAR(MaySun1+16)=AñoCalendario,MONTH(MaySun1+16)=5),MaySun1+16,""),IF(AND(YEAR(MaySun1+23)=AñoCalendario,MONTH(MaySun1+23)=5),MaySun1+23,""))</f>
        <v>43970</v>
      </c>
      <c r="D32" s="20">
        <f>IF(DAY(MaySun1)=1,IF(AND(YEAR(MaySun1+17)=AñoCalendario,MONTH(MaySun1+17)=5),MaySun1+17,""),IF(AND(YEAR(MaySun1+24)=AñoCalendario,MONTH(MaySun1+24)=5),MaySun1+24,""))</f>
        <v>43971</v>
      </c>
      <c r="E32" s="20">
        <f>IF(DAY(MaySun1)=1,IF(AND(YEAR(MaySun1+18)=AñoCalendario,MONTH(MaySun1+18)=5),MaySun1+18,""),IF(AND(YEAR(MaySun1+25)=AñoCalendario,MONTH(MaySun1+25)=5),MaySun1+25,""))</f>
        <v>43972</v>
      </c>
      <c r="F32" s="20">
        <f>IF(DAY(MaySun1)=1,IF(AND(YEAR(MaySun1+19)=AñoCalendario,MONTH(MaySun1+19)=5),MaySun1+19,""),IF(AND(YEAR(MaySun1+26)=AñoCalendario,MONTH(MaySun1+26)=5),MaySun1+26,""))</f>
        <v>43973</v>
      </c>
      <c r="G32" s="20">
        <f>IF(DAY(MaySun1)=1,IF(AND(YEAR(MaySun1+20)=AñoCalendario,MONTH(MaySun1+20)=5),MaySun1+20,""),IF(AND(YEAR(MaySun1+27)=AñoCalendario,MONTH(MaySun1+27)=5),MaySun1+27,""))</f>
        <v>43974</v>
      </c>
      <c r="H32" s="20">
        <f>IF(DAY(MaySun1)=1,IF(AND(YEAR(MaySun1+21)=AñoCalendario,MONTH(MaySun1+21)=5),MaySun1+21,""),IF(AND(YEAR(MaySun1+28)=AñoCalendario,MONTH(MaySun1+28)=5),MaySun1+28,""))</f>
        <v>43975</v>
      </c>
      <c r="I32" s="16"/>
      <c r="J32" s="20">
        <f>IF(DAY(JunSun1)=1,IF(AND(YEAR(JunSun1+15)=AñoCalendario,MONTH(JunSun1+15)=6),JunSun1+15,""),IF(AND(YEAR(JunSun1+22)=AñoCalendario,MONTH(JunSun1+22)=6),JunSun1+22,""))</f>
        <v>44004</v>
      </c>
      <c r="K32" s="20">
        <f>IF(DAY(JunSun1)=1,IF(AND(YEAR(JunSun1+16)=AñoCalendario,MONTH(JunSun1+16)=6),JunSun1+16,""),IF(AND(YEAR(JunSun1+23)=AñoCalendario,MONTH(JunSun1+23)=6),JunSun1+23,""))</f>
        <v>44005</v>
      </c>
      <c r="L32" s="20">
        <f>IF(DAY(JunSun1)=1,IF(AND(YEAR(JunSun1+17)=AñoCalendario,MONTH(JunSun1+17)=6),JunSun1+17,""),IF(AND(YEAR(JunSun1+24)=AñoCalendario,MONTH(JunSun1+24)=6),JunSun1+24,""))</f>
        <v>44006</v>
      </c>
      <c r="M32" s="20">
        <f>IF(DAY(JunSun1)=1,IF(AND(YEAR(JunSun1+18)=AñoCalendario,MONTH(JunSun1+18)=6),JunSun1+18,""),IF(AND(YEAR(JunSun1+25)=AñoCalendario,MONTH(JunSun1+25)=6),JunSun1+25,""))</f>
        <v>44007</v>
      </c>
      <c r="N32" s="20">
        <f>IF(DAY(JunSun1)=1,IF(AND(YEAR(JunSun1+19)=AñoCalendario,MONTH(JunSun1+19)=6),JunSun1+19,""),IF(AND(YEAR(JunSun1+26)=AñoCalendario,MONTH(JunSun1+26)=6),JunSun1+26,""))</f>
        <v>44008</v>
      </c>
      <c r="O32" s="20">
        <f>IF(DAY(JunSun1)=1,IF(AND(YEAR(JunSun1+20)=AñoCalendario,MONTH(JunSun1+20)=6),JunSun1+20,""),IF(AND(YEAR(JunSun1+27)=AñoCalendario,MONTH(JunSun1+27)=6),JunSun1+27,""))</f>
        <v>44009</v>
      </c>
      <c r="P32" s="20">
        <f>IF(DAY(JunSun1)=1,IF(AND(YEAR(JunSun1+21)=AñoCalendario,MONTH(JunSun1+21)=6),JunSun1+21,""),IF(AND(YEAR(JunSun1+28)=AñoCalendario,MONTH(JunSun1+28)=6),JunSun1+28,""))</f>
        <v>44010</v>
      </c>
      <c r="Q32" s="16"/>
      <c r="R32" s="20">
        <f>IF(DAY(JulSun1)=1,IF(AND(YEAR(JulSun1+15)=AñoCalendario,MONTH(JulSun1+15)=7),JulSun1+15,""),IF(AND(YEAR(JulSun1+22)=AñoCalendario,MONTH(JulSun1+22)=7),JulSun1+22,""))</f>
        <v>44032</v>
      </c>
      <c r="S32" s="20">
        <f>IF(DAY(JulSun1)=1,IF(AND(YEAR(JulSun1+16)=AñoCalendario,MONTH(JulSun1+16)=7),JulSun1+16,""),IF(AND(YEAR(JulSun1+23)=AñoCalendario,MONTH(JulSun1+23)=7),JulSun1+23,""))</f>
        <v>44033</v>
      </c>
      <c r="T32" s="20">
        <f>IF(DAY(JulSun1)=1,IF(AND(YEAR(JulSun1+17)=AñoCalendario,MONTH(JulSun1+17)=7),JulSun1+17,""),IF(AND(YEAR(JulSun1+24)=AñoCalendario,MONTH(JulSun1+24)=7),JulSun1+24,""))</f>
        <v>44034</v>
      </c>
      <c r="U32" s="20">
        <f>IF(DAY(JulSun1)=1,IF(AND(YEAR(JulSun1+18)=AñoCalendario,MONTH(JulSun1+18)=7),JulSun1+18,""),IF(AND(YEAR(JulSun1+25)=AñoCalendario,MONTH(JulSun1+25)=7),JulSun1+25,""))</f>
        <v>44035</v>
      </c>
      <c r="V32" s="20">
        <f>IF(DAY(JulSun1)=1,IF(AND(YEAR(JulSun1+19)=AñoCalendario,MONTH(JulSun1+19)=7),JulSun1+19,""),IF(AND(YEAR(JulSun1+26)=AñoCalendario,MONTH(JulSun1+26)=7),JulSun1+26,""))</f>
        <v>44036</v>
      </c>
      <c r="W32" s="20">
        <f>IF(DAY(JulSun1)=1,IF(AND(YEAR(JulSun1+20)=AñoCalendario,MONTH(JulSun1+20)=7),JulSun1+20,""),IF(AND(YEAR(JulSun1+27)=AñoCalendario,MONTH(JulSun1+27)=7),JulSun1+27,""))</f>
        <v>44037</v>
      </c>
      <c r="X32" s="20">
        <f>IF(DAY(JulSun1)=1,IF(AND(YEAR(JulSun1+21)=AñoCalendario,MONTH(JulSun1+21)=7),JulSun1+21,""),IF(AND(YEAR(JulSun1+28)=AñoCalendario,MONTH(JulSun1+28)=7),JulSun1+28,""))</f>
        <v>44038</v>
      </c>
      <c r="Z32" s="20">
        <f>IF(DAY(AgoDom1)=1,IF(AND(YEAR(AgoDom1+15)=AñoCalendario,MONTH(AgoDom1+15)=8),AgoDom1+15,""),IF(AND(YEAR(AgoDom1+22)=AñoCalendario,MONTH(AgoDom1+22)=8),AgoDom1+22,""))</f>
        <v>44060</v>
      </c>
      <c r="AA32" s="20">
        <f>IF(DAY(AgoDom1)=1,IF(AND(YEAR(AgoDom1+16)=AñoCalendario,MONTH(AgoDom1+16)=8),AgoDom1+16,""),IF(AND(YEAR(AgoDom1+23)=AñoCalendario,MONTH(AgoDom1+23)=8),AgoDom1+23,""))</f>
        <v>44061</v>
      </c>
      <c r="AB32" s="20">
        <f>IF(DAY(AgoDom1)=1,IF(AND(YEAR(AgoDom1+17)=AñoCalendario,MONTH(AgoDom1+17)=8),AgoDom1+17,""),IF(AND(YEAR(AgoDom1+24)=AñoCalendario,MONTH(AgoDom1+24)=8),AgoDom1+24,""))</f>
        <v>44062</v>
      </c>
      <c r="AC32" s="20">
        <f>IF(DAY(AgoDom1)=1,IF(AND(YEAR(AgoDom1+18)=AñoCalendario,MONTH(AgoDom1+18)=8),AgoDom1+18,""),IF(AND(YEAR(AgoDom1+25)=AñoCalendario,MONTH(AgoDom1+25)=8),AgoDom1+25,""))</f>
        <v>44063</v>
      </c>
      <c r="AD32" s="20">
        <f>IF(DAY(AgoDom1)=1,IF(AND(YEAR(AgoDom1+19)=AñoCalendario,MONTH(AgoDom1+19)=8),AgoDom1+19,""),IF(AND(YEAR(AgoDom1+26)=AñoCalendario,MONTH(AgoDom1+26)=8),AgoDom1+26,""))</f>
        <v>44064</v>
      </c>
      <c r="AE32" s="20">
        <f>IF(DAY(AgoDom1)=1,IF(AND(YEAR(AgoDom1+20)=AñoCalendario,MONTH(AgoDom1+20)=8),AgoDom1+20,""),IF(AND(YEAR(AgoDom1+27)=AñoCalendario,MONTH(AgoDom1+27)=8),AgoDom1+27,""))</f>
        <v>44065</v>
      </c>
      <c r="AF32" s="20">
        <f>IF(DAY(AgoDom1)=1,IF(AND(YEAR(AgoDom1+21)=AñoCalendario,MONTH(AgoDom1+21)=8),AgoDom1+21,""),IF(AND(YEAR(AgoDom1+28)=AñoCalendario,MONTH(AgoDom1+28)=8),AgoDom1+28,""))</f>
        <v>44066</v>
      </c>
    </row>
    <row r="33" spans="1:34" ht="15.95" customHeight="1" x14ac:dyDescent="0.2">
      <c r="B33" s="20">
        <f>IF(DAY(MaySun1)=1,IF(AND(YEAR(MaySun1+22)=AñoCalendario,MONTH(MaySun1+22)=5),MaySun1+22,""),IF(AND(YEAR(MaySun1+29)=AñoCalendario,MONTH(MaySun1+29)=5),MaySun1+29,""))</f>
        <v>43976</v>
      </c>
      <c r="C33" s="20">
        <f>IF(DAY(MaySun1)=1,IF(AND(YEAR(MaySun1+23)=AñoCalendario,MONTH(MaySun1+23)=5),MaySun1+23,""),IF(AND(YEAR(MaySun1+30)=AñoCalendario,MONTH(MaySun1+30)=5),MaySun1+30,""))</f>
        <v>43977</v>
      </c>
      <c r="D33" s="20">
        <f>IF(DAY(MaySun1)=1,IF(AND(YEAR(MaySun1+24)=AñoCalendario,MONTH(MaySun1+24)=5),MaySun1+24,""),IF(AND(YEAR(MaySun1+31)=AñoCalendario,MONTH(MaySun1+31)=5),MaySun1+31,""))</f>
        <v>43978</v>
      </c>
      <c r="E33" s="20">
        <f>IF(DAY(MaySun1)=1,IF(AND(YEAR(MaySun1+25)=AñoCalendario,MONTH(MaySun1+25)=5),MaySun1+25,""),IF(AND(YEAR(MaySun1+32)=AñoCalendario,MONTH(MaySun1+32)=5),MaySun1+32,""))</f>
        <v>43979</v>
      </c>
      <c r="F33" s="20">
        <f>IF(DAY(MaySun1)=1,IF(AND(YEAR(MaySun1+26)=AñoCalendario,MONTH(MaySun1+26)=5),MaySun1+26,""),IF(AND(YEAR(MaySun1+33)=AñoCalendario,MONTH(MaySun1+33)=5),MaySun1+33,""))</f>
        <v>43980</v>
      </c>
      <c r="G33" s="20">
        <f>IF(DAY(MaySun1)=1,IF(AND(YEAR(MaySun1+27)=AñoCalendario,MONTH(MaySun1+27)=5),MaySun1+27,""),IF(AND(YEAR(MaySun1+34)=AñoCalendario,MONTH(MaySun1+34)=5),MaySun1+34,""))</f>
        <v>43981</v>
      </c>
      <c r="H33" s="20">
        <f>IF(DAY(MaySun1)=1,IF(AND(YEAR(MaySun1+28)=AñoCalendario,MONTH(MaySun1+28)=5),MaySun1+28,""),IF(AND(YEAR(MaySun1+35)=AñoCalendario,MONTH(MaySun1+35)=5),MaySun1+35,""))</f>
        <v>43982</v>
      </c>
      <c r="I33" s="16"/>
      <c r="J33" s="20">
        <f>IF(DAY(JunSun1)=1,IF(AND(YEAR(JunSun1+22)=AñoCalendario,MONTH(JunSun1+22)=6),JunSun1+22,""),IF(AND(YEAR(JunSun1+29)=AñoCalendario,MONTH(JunSun1+29)=6),JunSun1+29,""))</f>
        <v>44011</v>
      </c>
      <c r="K33" s="20">
        <f>IF(DAY(JunSun1)=1,IF(AND(YEAR(JunSun1+23)=AñoCalendario,MONTH(JunSun1+23)=6),JunSun1+23,""),IF(AND(YEAR(JunSun1+30)=AñoCalendario,MONTH(JunSun1+30)=6),JunSun1+30,""))</f>
        <v>44012</v>
      </c>
      <c r="L33" s="20" t="str">
        <f>IF(DAY(JunSun1)=1,IF(AND(YEAR(JunSun1+24)=AñoCalendario,MONTH(JunSun1+24)=6),JunSun1+24,""),IF(AND(YEAR(JunSun1+31)=AñoCalendario,MONTH(JunSun1+31)=6),JunSun1+31,""))</f>
        <v/>
      </c>
      <c r="M33" s="20" t="str">
        <f>IF(DAY(JunSun1)=1,IF(AND(YEAR(JunSun1+25)=AñoCalendario,MONTH(JunSun1+25)=6),JunSun1+25,""),IF(AND(YEAR(JunSun1+32)=AñoCalendario,MONTH(JunSun1+32)=6),JunSun1+32,""))</f>
        <v/>
      </c>
      <c r="N33" s="20" t="str">
        <f>IF(DAY(JunSun1)=1,IF(AND(YEAR(JunSun1+26)=AñoCalendario,MONTH(JunSun1+26)=6),JunSun1+26,""),IF(AND(YEAR(JunSun1+33)=AñoCalendario,MONTH(JunSun1+33)=6),JunSun1+33,""))</f>
        <v/>
      </c>
      <c r="O33" s="20" t="str">
        <f>IF(DAY(JunSun1)=1,IF(AND(YEAR(JunSun1+27)=AñoCalendario,MONTH(JunSun1+27)=6),JunSun1+27,""),IF(AND(YEAR(JunSun1+34)=AñoCalendario,MONTH(JunSun1+34)=6),JunSun1+34,""))</f>
        <v/>
      </c>
      <c r="P33" s="20" t="str">
        <f>IF(DAY(JunSun1)=1,IF(AND(YEAR(JunSun1+28)=AñoCalendario,MONTH(JunSun1+28)=6),JunSun1+28,""),IF(AND(YEAR(JunSun1+35)=AñoCalendario,MONTH(JunSun1+35)=6),JunSun1+35,""))</f>
        <v/>
      </c>
      <c r="Q33" s="16"/>
      <c r="R33" s="20">
        <f>IF(DAY(JulSun1)=1,IF(AND(YEAR(JulSun1+22)=AñoCalendario,MONTH(JulSun1+22)=7),JulSun1+22,""),IF(AND(YEAR(JulSun1+29)=AñoCalendario,MONTH(JulSun1+29)=7),JulSun1+29,""))</f>
        <v>44039</v>
      </c>
      <c r="S33" s="20">
        <f>IF(DAY(JulSun1)=1,IF(AND(YEAR(JulSun1+23)=AñoCalendario,MONTH(JulSun1+23)=7),JulSun1+23,""),IF(AND(YEAR(JulSun1+30)=AñoCalendario,MONTH(JulSun1+30)=7),JulSun1+30,""))</f>
        <v>44040</v>
      </c>
      <c r="T33" s="20">
        <f>IF(DAY(JulSun1)=1,IF(AND(YEAR(JulSun1+24)=AñoCalendario,MONTH(JulSun1+24)=7),JulSun1+24,""),IF(AND(YEAR(JulSun1+31)=AñoCalendario,MONTH(JulSun1+31)=7),JulSun1+31,""))</f>
        <v>44041</v>
      </c>
      <c r="U33" s="20">
        <f>IF(DAY(JulSun1)=1,IF(AND(YEAR(JulSun1+25)=AñoCalendario,MONTH(JulSun1+25)=7),JulSun1+25,""),IF(AND(YEAR(JulSun1+32)=AñoCalendario,MONTH(JulSun1+32)=7),JulSun1+32,""))</f>
        <v>44042</v>
      </c>
      <c r="V33" s="20">
        <f>IF(DAY(JulSun1)=1,IF(AND(YEAR(JulSun1+26)=AñoCalendario,MONTH(JulSun1+26)=7),JulSun1+26,""),IF(AND(YEAR(JulSun1+33)=AñoCalendario,MONTH(JulSun1+33)=7),JulSun1+33,""))</f>
        <v>44043</v>
      </c>
      <c r="W33" s="20" t="str">
        <f>IF(DAY(JulSun1)=1,IF(AND(YEAR(JulSun1+27)=AñoCalendario,MONTH(JulSun1+27)=7),JulSun1+27,""),IF(AND(YEAR(JulSun1+34)=AñoCalendario,MONTH(JulSun1+34)=7),JulSun1+34,""))</f>
        <v/>
      </c>
      <c r="X33" s="20" t="str">
        <f>IF(DAY(JulSun1)=1,IF(AND(YEAR(JulSun1+28)=AñoCalendario,MONTH(JulSun1+28)=7),JulSun1+28,""),IF(AND(YEAR(JulSun1+35)=AñoCalendario,MONTH(JulSun1+35)=7),JulSun1+35,""))</f>
        <v/>
      </c>
      <c r="Z33" s="20">
        <f>IF(DAY(AgoDom1)=1,IF(AND(YEAR(AgoDom1+22)=AñoCalendario,MONTH(AgoDom1+22)=8),AgoDom1+22,""),IF(AND(YEAR(AgoDom1+29)=AñoCalendario,MONTH(AgoDom1+29)=8),AgoDom1+29,""))</f>
        <v>44067</v>
      </c>
      <c r="AA33" s="20">
        <f>IF(DAY(AgoDom1)=1,IF(AND(YEAR(AgoDom1+23)=AñoCalendario,MONTH(AgoDom1+23)=8),AgoDom1+23,""),IF(AND(YEAR(AgoDom1+30)=AñoCalendario,MONTH(AgoDom1+30)=8),AgoDom1+30,""))</f>
        <v>44068</v>
      </c>
      <c r="AB33" s="20">
        <f>IF(DAY(AgoDom1)=1,IF(AND(YEAR(AgoDom1+24)=AñoCalendario,MONTH(AgoDom1+24)=8),AgoDom1+24,""),IF(AND(YEAR(AgoDom1+31)=AñoCalendario,MONTH(AgoDom1+31)=8),AgoDom1+31,""))</f>
        <v>44069</v>
      </c>
      <c r="AC33" s="20">
        <f>IF(DAY(AgoDom1)=1,IF(AND(YEAR(AgoDom1+25)=AñoCalendario,MONTH(AgoDom1+25)=8),AgoDom1+25,""),IF(AND(YEAR(AgoDom1+32)=AñoCalendario,MONTH(AgoDom1+32)=8),AgoDom1+32,""))</f>
        <v>44070</v>
      </c>
      <c r="AD33" s="20">
        <f>IF(DAY(AgoDom1)=1,IF(AND(YEAR(AgoDom1+26)=AñoCalendario,MONTH(AgoDom1+26)=8),AgoDom1+26,""),IF(AND(YEAR(AgoDom1+33)=AñoCalendario,MONTH(AgoDom1+33)=8),AgoDom1+33,""))</f>
        <v>44071</v>
      </c>
      <c r="AE33" s="20">
        <f>IF(DAY(AgoDom1)=1,IF(AND(YEAR(AgoDom1+27)=AñoCalendario,MONTH(AgoDom1+27)=8),AgoDom1+27,""),IF(AND(YEAR(AgoDom1+34)=AñoCalendario,MONTH(AgoDom1+34)=8),AgoDom1+34,""))</f>
        <v>44072</v>
      </c>
      <c r="AF33" s="20">
        <f>IF(DAY(AgoDom1)=1,IF(AND(YEAR(AgoDom1+28)=AñoCalendario,MONTH(AgoDom1+28)=8),AgoDom1+28,""),IF(AND(YEAR(AgoDom1+35)=AñoCalendario,MONTH(AgoDom1+35)=8),AgoDom1+35,""))</f>
        <v>44073</v>
      </c>
    </row>
    <row r="34" spans="1:34" ht="15.95" customHeight="1" x14ac:dyDescent="0.2">
      <c r="B34" s="20" t="str">
        <f>IF(DAY(MaySun1)=1,IF(AND(YEAR(MaySun1+29)=AñoCalendario,MONTH(MaySun1+29)=5),MaySun1+29,""),IF(AND(YEAR(MaySun1+36)=AñoCalendario,MONTH(MaySun1+36)=5),MaySun1+36,""))</f>
        <v/>
      </c>
      <c r="C34" s="20" t="str">
        <f>IF(DAY(MaySun1)=1,IF(AND(YEAR(MaySun1+30)=AñoCalendario,MONTH(MaySun1+30)=5),MaySun1+30,""),IF(AND(YEAR(MaySun1+37)=AñoCalendario,MONTH(MaySun1+37)=5),MaySun1+37,""))</f>
        <v/>
      </c>
      <c r="D34" s="20" t="str">
        <f>IF(DAY(MaySun1)=1,IF(AND(YEAR(MaySun1+31)=AñoCalendario,MONTH(MaySun1+31)=5),MaySun1+31,""),IF(AND(YEAR(MaySun1+38)=AñoCalendario,MONTH(MaySun1+38)=5),MaySun1+38,""))</f>
        <v/>
      </c>
      <c r="E34" s="20" t="str">
        <f>IF(DAY(MaySun1)=1,IF(AND(YEAR(MaySun1+32)=AñoCalendario,MONTH(MaySun1+32)=5),MaySun1+32,""),IF(AND(YEAR(MaySun1+39)=AñoCalendario,MONTH(MaySun1+39)=5),MaySun1+39,""))</f>
        <v/>
      </c>
      <c r="F34" s="20" t="str">
        <f>IF(DAY(MaySun1)=1,IF(AND(YEAR(MaySun1+33)=AñoCalendario,MONTH(MaySun1+33)=5),MaySun1+33,""),IF(AND(YEAR(MaySun1+40)=AñoCalendario,MONTH(MaySun1+40)=5),MaySun1+40,""))</f>
        <v/>
      </c>
      <c r="G34" s="20" t="str">
        <f>IF(DAY(MaySun1)=1,IF(AND(YEAR(MaySun1+34)=AñoCalendario,MONTH(MaySun1+34)=5),MaySun1+34,""),IF(AND(YEAR(MaySun1+41)=AñoCalendario,MONTH(MaySun1+41)=5),MaySun1+41,""))</f>
        <v/>
      </c>
      <c r="H34" s="20" t="str">
        <f>IF(DAY(MaySun1)=1,IF(AND(YEAR(MaySun1+35)=AñoCalendario,MONTH(MaySun1+35)=5),MaySun1+35,""),IF(AND(YEAR(MaySun1+42)=AñoCalendario,MONTH(MaySun1+42)=5),MaySun1+42,""))</f>
        <v/>
      </c>
      <c r="I34" s="16"/>
      <c r="J34" s="20" t="str">
        <f>IF(DAY(JunSun1)=1,IF(AND(YEAR(JunSun1+29)=AñoCalendario,MONTH(JunSun1+29)=6),JunSun1+29,""),IF(AND(YEAR(JunSun1+36)=AñoCalendario,MONTH(JunSun1+36)=6),JunSun1+36,""))</f>
        <v/>
      </c>
      <c r="K34" s="20" t="str">
        <f>IF(DAY(JunSun1)=1,IF(AND(YEAR(JunSun1+30)=AñoCalendario,MONTH(JunSun1+30)=6),JunSun1+30,""),IF(AND(YEAR(JunSun1+37)=AñoCalendario,MONTH(JunSun1+37)=6),JunSun1+37,""))</f>
        <v/>
      </c>
      <c r="L34" s="20" t="str">
        <f>IF(DAY(JunSun1)=1,IF(AND(YEAR(JunSun1+31)=AñoCalendario,MONTH(JunSun1+31)=6),JunSun1+31,""),IF(AND(YEAR(JunSun1+38)=AñoCalendario,MONTH(JunSun1+38)=6),JunSun1+38,""))</f>
        <v/>
      </c>
      <c r="M34" s="20" t="str">
        <f>IF(DAY(JunSun1)=1,IF(AND(YEAR(JunSun1+32)=AñoCalendario,MONTH(JunSun1+32)=6),JunSun1+32,""),IF(AND(YEAR(JunSun1+39)=AñoCalendario,MONTH(JunSun1+39)=6),JunSun1+39,""))</f>
        <v/>
      </c>
      <c r="N34" s="20" t="str">
        <f>IF(DAY(JunSun1)=1,IF(AND(YEAR(JunSun1+33)=AñoCalendario,MONTH(JunSun1+33)=6),JunSun1+33,""),IF(AND(YEAR(JunSun1+40)=AñoCalendario,MONTH(JunSun1+40)=6),JunSun1+40,""))</f>
        <v/>
      </c>
      <c r="O34" s="20" t="str">
        <f>IF(DAY(JunSun1)=1,IF(AND(YEAR(JunSun1+34)=AñoCalendario,MONTH(JunSun1+34)=6),JunSun1+34,""),IF(AND(YEAR(JunSun1+41)=AñoCalendario,MONTH(JunSun1+41)=6),JunSun1+41,""))</f>
        <v/>
      </c>
      <c r="P34" s="20" t="str">
        <f>IF(DAY(JunSun1)=1,IF(AND(YEAR(JunSun1+35)=AñoCalendario,MONTH(JunSun1+35)=6),JunSun1+35,""),IF(AND(YEAR(JunSun1+42)=AñoCalendario,MONTH(JunSun1+42)=6),JunSun1+42,""))</f>
        <v/>
      </c>
      <c r="Q34" s="16"/>
      <c r="R34" s="20" t="str">
        <f>IF(DAY(JulSun1)=1,IF(AND(YEAR(JulSun1+29)=AñoCalendario,MONTH(JulSun1+29)=7),JulSun1+29,""),IF(AND(YEAR(JulSun1+36)=AñoCalendario,MONTH(JulSun1+36)=7),JulSun1+36,""))</f>
        <v/>
      </c>
      <c r="S34" s="20" t="str">
        <f>IF(DAY(JulSun1)=1,IF(AND(YEAR(JulSun1+30)=AñoCalendario,MONTH(JulSun1+30)=7),JulSun1+30,""),IF(AND(YEAR(JulSun1+37)=AñoCalendario,MONTH(JulSun1+37)=7),JulSun1+37,""))</f>
        <v/>
      </c>
      <c r="T34" s="20" t="str">
        <f>IF(DAY(JulSun1)=1,IF(AND(YEAR(JulSun1+31)=AñoCalendario,MONTH(JulSun1+31)=7),JulSun1+31,""),IF(AND(YEAR(JulSun1+38)=AñoCalendario,MONTH(JulSun1+38)=7),JulSun1+38,""))</f>
        <v/>
      </c>
      <c r="U34" s="20" t="str">
        <f>IF(DAY(JulSun1)=1,IF(AND(YEAR(JulSun1+32)=AñoCalendario,MONTH(JulSun1+32)=7),JulSun1+32,""),IF(AND(YEAR(JulSun1+39)=AñoCalendario,MONTH(JulSun1+39)=7),JulSun1+39,""))</f>
        <v/>
      </c>
      <c r="V34" s="20" t="str">
        <f>IF(DAY(JulSun1)=1,IF(AND(YEAR(JulSun1+33)=AñoCalendario,MONTH(JulSun1+33)=7),JulSun1+33,""),IF(AND(YEAR(JulSun1+40)=AñoCalendario,MONTH(JulSun1+40)=7),JulSun1+40,""))</f>
        <v/>
      </c>
      <c r="W34" s="20" t="str">
        <f>IF(DAY(JulSun1)=1,IF(AND(YEAR(JulSun1+34)=AñoCalendario,MONTH(JulSun1+34)=7),JulSun1+34,""),IF(AND(YEAR(JulSun1+41)=AñoCalendario,MONTH(JulSun1+41)=7),JulSun1+41,""))</f>
        <v/>
      </c>
      <c r="X34" s="20" t="str">
        <f>IF(DAY(JulSun1)=1,IF(AND(YEAR(JulSun1+35)=AñoCalendario,MONTH(JulSun1+35)=7),JulSun1+35,""),IF(AND(YEAR(JulSun1+42)=AñoCalendario,MONTH(JulSun1+42)=7),JulSun1+42,""))</f>
        <v/>
      </c>
      <c r="Z34" s="20">
        <f>IF(DAY(AgoDom1)=1,IF(AND(YEAR(AgoDom1+29)=AñoCalendario,MONTH(AgoDom1+29)=8),AgoDom1+29,""),IF(AND(YEAR(AgoDom1+36)=AñoCalendario,MONTH(AgoDom1+36)=8),AgoDom1+36,""))</f>
        <v>44074</v>
      </c>
      <c r="AA34" s="20" t="str">
        <f>IF(DAY(AgoDom1)=1,IF(AND(YEAR(AgoDom1+30)=AñoCalendario,MONTH(AgoDom1+30)=8),AgoDom1+30,""),IF(AND(YEAR(AgoDom1+37)=AñoCalendario,MONTH(AgoDom1+37)=8),AgoDom1+37,""))</f>
        <v/>
      </c>
      <c r="AB34" s="20" t="str">
        <f>IF(DAY(AgoDom1)=1,IF(AND(YEAR(AgoDom1+31)=AñoCalendario,MONTH(AgoDom1+31)=8),AgoDom1+31,""),IF(AND(YEAR(AgoDom1+38)=AñoCalendario,MONTH(AgoDom1+38)=8),AgoDom1+38,""))</f>
        <v/>
      </c>
      <c r="AC34" s="20" t="str">
        <f>IF(DAY(AgoDom1)=1,IF(AND(YEAR(AgoDom1+32)=AñoCalendario,MONTH(AgoDom1+32)=8),AgoDom1+32,""),IF(AND(YEAR(AgoDom1+39)=AñoCalendario,MONTH(AgoDom1+39)=8),AgoDom1+39,""))</f>
        <v/>
      </c>
      <c r="AD34" s="20" t="str">
        <f>IF(DAY(AgoDom1)=1,IF(AND(YEAR(AgoDom1+33)=AñoCalendario,MONTH(AgoDom1+33)=8),AgoDom1+33,""),IF(AND(YEAR(AgoDom1+40)=AñoCalendario,MONTH(AgoDom1+40)=8),AgoDom1+40,""))</f>
        <v/>
      </c>
      <c r="AE34" s="20" t="str">
        <f>IF(DAY(AgoDom1)=1,IF(AND(YEAR(AgoDom1+34)=AñoCalendario,MONTH(AgoDom1+34)=8),AgoDom1+34,""),IF(AND(YEAR(AgoDom1+41)=AñoCalendario,MONTH(AgoDom1+41)=8),AgoDom1+41,""))</f>
        <v/>
      </c>
      <c r="AF34" s="20" t="str">
        <f>IF(DAY(AgoDom1)=1,IF(AND(YEAR(AgoDom1+35)=AñoCalendario,MONTH(AgoDom1+35)=8),AgoDom1+35,""),IF(AND(YEAR(AgoDom1+42)=AñoCalendario,MONTH(AgoDom1+42)=8),AgoDom1+42,""))</f>
        <v/>
      </c>
    </row>
    <row r="35" spans="1:34" ht="15.95" customHeight="1" x14ac:dyDescent="0.2">
      <c r="I35" s="16"/>
      <c r="R35" s="16"/>
      <c r="S35" s="16"/>
      <c r="T35" s="16"/>
      <c r="U35" s="16"/>
      <c r="V35" s="16"/>
      <c r="W35" s="16"/>
      <c r="X35" s="16"/>
      <c r="Z35" s="16"/>
      <c r="AA35" s="16"/>
      <c r="AB35" s="16"/>
      <c r="AC35" s="16"/>
      <c r="AD35" s="16"/>
      <c r="AE35" s="16"/>
      <c r="AF35" s="16"/>
    </row>
    <row r="36" spans="1:34" s="16" customFormat="1" ht="21" customHeight="1" x14ac:dyDescent="0.2">
      <c r="A36" s="14"/>
      <c r="B36" s="27">
        <f>DATE(AñoCalendario,9,1)</f>
        <v>44075</v>
      </c>
      <c r="C36" s="27"/>
      <c r="D36" s="27"/>
      <c r="E36" s="27"/>
      <c r="F36" s="27"/>
      <c r="G36" s="27"/>
      <c r="H36" s="27"/>
      <c r="J36" s="27">
        <f>DATE(AñoCalendario,10,1)</f>
        <v>44105</v>
      </c>
      <c r="K36" s="27"/>
      <c r="L36" s="27"/>
      <c r="M36" s="27"/>
      <c r="N36" s="27"/>
      <c r="O36" s="27"/>
      <c r="P36" s="27"/>
      <c r="R36" s="27">
        <f>DATE(AñoCalendario,11,1)</f>
        <v>44136</v>
      </c>
      <c r="S36" s="27"/>
      <c r="T36" s="27"/>
      <c r="U36" s="27"/>
      <c r="V36" s="27"/>
      <c r="W36" s="27"/>
      <c r="X36" s="27"/>
      <c r="Z36" s="27">
        <f>DATE(AñoCalendario,12,1)</f>
        <v>44166</v>
      </c>
      <c r="AA36" s="27"/>
      <c r="AB36" s="27"/>
      <c r="AC36" s="27"/>
      <c r="AD36" s="27"/>
      <c r="AE36" s="27"/>
      <c r="AF36" s="27"/>
      <c r="AH36" s="12"/>
    </row>
    <row r="37" spans="1:34" s="18" customFormat="1" ht="15.95" customHeight="1" x14ac:dyDescent="0.2">
      <c r="A37" s="15"/>
      <c r="B37" s="10" t="s">
        <v>1</v>
      </c>
      <c r="C37" s="10" t="s">
        <v>2</v>
      </c>
      <c r="D37" s="10" t="s">
        <v>3</v>
      </c>
      <c r="E37" s="10" t="s">
        <v>4</v>
      </c>
      <c r="F37" s="10" t="s">
        <v>5</v>
      </c>
      <c r="G37" s="10" t="s">
        <v>9</v>
      </c>
      <c r="H37" s="10" t="s">
        <v>10</v>
      </c>
      <c r="I37" s="10"/>
      <c r="J37" s="10" t="s">
        <v>1</v>
      </c>
      <c r="K37" s="10" t="s">
        <v>2</v>
      </c>
      <c r="L37" s="10" t="s">
        <v>3</v>
      </c>
      <c r="M37" s="10" t="s">
        <v>4</v>
      </c>
      <c r="N37" s="10" t="s">
        <v>5</v>
      </c>
      <c r="O37" s="10" t="s">
        <v>9</v>
      </c>
      <c r="P37" s="10" t="s">
        <v>10</v>
      </c>
      <c r="Q37" s="10"/>
      <c r="R37" s="10" t="s">
        <v>1</v>
      </c>
      <c r="S37" s="10" t="s">
        <v>2</v>
      </c>
      <c r="T37" s="10" t="s">
        <v>3</v>
      </c>
      <c r="U37" s="10" t="s">
        <v>4</v>
      </c>
      <c r="V37" s="10" t="s">
        <v>5</v>
      </c>
      <c r="W37" s="10" t="s">
        <v>9</v>
      </c>
      <c r="X37" s="10" t="s">
        <v>10</v>
      </c>
      <c r="Z37" s="10" t="s">
        <v>1</v>
      </c>
      <c r="AA37" s="10" t="s">
        <v>2</v>
      </c>
      <c r="AB37" s="10" t="s">
        <v>3</v>
      </c>
      <c r="AC37" s="10" t="s">
        <v>4</v>
      </c>
      <c r="AD37" s="10" t="s">
        <v>5</v>
      </c>
      <c r="AE37" s="10" t="s">
        <v>9</v>
      </c>
      <c r="AF37" s="10" t="s">
        <v>10</v>
      </c>
      <c r="AH37" s="19"/>
    </row>
    <row r="38" spans="1:34" ht="15.95" customHeight="1" x14ac:dyDescent="0.2">
      <c r="B38" s="20" t="str">
        <f>IF(DAY(SepDom1)=1,"",IF(AND(YEAR(SepDom1+1)=AñoCalendario,MONTH(SepDom1+1)=9),SepDom1+1,""))</f>
        <v/>
      </c>
      <c r="C38" s="20">
        <f>IF(DAY(SepDom1)=1,"",IF(AND(YEAR(SepDom1+2)=AñoCalendario,MONTH(SepDom1+2)=9),SepDom1+2,""))</f>
        <v>44075</v>
      </c>
      <c r="D38" s="20">
        <f>IF(DAY(SepDom1)=1,"",IF(AND(YEAR(SepDom1+3)=AñoCalendario,MONTH(SepDom1+3)=9),SepDom1+3,""))</f>
        <v>44076</v>
      </c>
      <c r="E38" s="20">
        <f>IF(DAY(SepDom1)=1,"",IF(AND(YEAR(SepDom1+4)=AñoCalendario,MONTH(SepDom1+4)=9),SepDom1+4,""))</f>
        <v>44077</v>
      </c>
      <c r="F38" s="20">
        <f>IF(DAY(SepDom1)=1,"",IF(AND(YEAR(SepDom1+5)=AñoCalendario,MONTH(SepDom1+5)=9),SepDom1+5,""))</f>
        <v>44078</v>
      </c>
      <c r="G38" s="20">
        <f>IF(DAY(SepDom1)=1,"",IF(AND(YEAR(SepDom1+6)=AñoCalendario,MONTH(SepDom1+6)=9),SepDom1+6,""))</f>
        <v>44079</v>
      </c>
      <c r="H38" s="20">
        <f>IF(DAY(SepDom1)=1,IF(AND(YEAR(SepDom1)=AñoCalendario,MONTH(SepDom1)=9),SepDom1,""),IF(AND(YEAR(SepDom1+7)=AñoCalendario,MONTH(SepDom1+7)=9),SepDom1+7,""))</f>
        <v>44080</v>
      </c>
      <c r="J38" s="20" t="str">
        <f>IF(DAY(OctSun1)=1,"",IF(AND(YEAR(OctSun1+1)=AñoCalendario,MONTH(OctSun1+1)=10),OctSun1+1,""))</f>
        <v/>
      </c>
      <c r="K38" s="20" t="str">
        <f>IF(DAY(OctSun1)=1,"",IF(AND(YEAR(OctSun1+2)=AñoCalendario,MONTH(OctSun1+2)=10),OctSun1+2,""))</f>
        <v/>
      </c>
      <c r="L38" s="20" t="str">
        <f>IF(DAY(OctSun1)=1,"",IF(AND(YEAR(OctSun1+3)=AñoCalendario,MONTH(OctSun1+3)=10),OctSun1+3,""))</f>
        <v/>
      </c>
      <c r="M38" s="20">
        <f>IF(DAY(OctSun1)=1,"",IF(AND(YEAR(OctSun1+4)=AñoCalendario,MONTH(OctSun1+4)=10),OctSun1+4,""))</f>
        <v>44105</v>
      </c>
      <c r="N38" s="20">
        <f>IF(DAY(OctSun1)=1,"",IF(AND(YEAR(OctSun1+5)=AñoCalendario,MONTH(OctSun1+5)=10),OctSun1+5,""))</f>
        <v>44106</v>
      </c>
      <c r="O38" s="20">
        <f>IF(DAY(OctSun1)=1,"",IF(AND(YEAR(OctSun1+6)=AñoCalendario,MONTH(OctSun1+6)=10),OctSun1+6,""))</f>
        <v>44107</v>
      </c>
      <c r="P38" s="20">
        <f>IF(DAY(OctSun1)=1,IF(AND(YEAR(OctSun1)=AñoCalendario,MONTH(OctSun1)=10),OctSun1,""),IF(AND(YEAR(OctSun1+7)=AñoCalendario,MONTH(OctSun1+7)=10),OctSun1+7,""))</f>
        <v>44108</v>
      </c>
      <c r="Q38" s="16"/>
      <c r="R38" s="20" t="str">
        <f>IF(DAY(NovSun1)=1,"",IF(AND(YEAR(NovSun1+1)=AñoCalendario,MONTH(NovSun1+1)=11),NovSun1+1,""))</f>
        <v/>
      </c>
      <c r="S38" s="20" t="str">
        <f>IF(DAY(NovSun1)=1,"",IF(AND(YEAR(NovSun1+2)=AñoCalendario,MONTH(NovSun1+2)=11),NovSun1+2,""))</f>
        <v/>
      </c>
      <c r="T38" s="20" t="str">
        <f>IF(DAY(NovSun1)=1,"",IF(AND(YEAR(NovSun1+3)=AñoCalendario,MONTH(NovSun1+3)=11),NovSun1+3,""))</f>
        <v/>
      </c>
      <c r="U38" s="20" t="str">
        <f>IF(DAY(NovSun1)=1,"",IF(AND(YEAR(NovSun1+4)=AñoCalendario,MONTH(NovSun1+4)=11),NovSun1+4,""))</f>
        <v/>
      </c>
      <c r="V38" s="20" t="str">
        <f>IF(DAY(NovSun1)=1,"",IF(AND(YEAR(NovSun1+5)=AñoCalendario,MONTH(NovSun1+5)=11),NovSun1+5,""))</f>
        <v/>
      </c>
      <c r="W38" s="20" t="str">
        <f>IF(DAY(NovSun1)=1,"",IF(AND(YEAR(NovSun1+6)=AñoCalendario,MONTH(NovSun1+6)=11),NovSun1+6,""))</f>
        <v/>
      </c>
      <c r="X38" s="20">
        <f>IF(DAY(NovSun1)=1,IF(AND(YEAR(NovSun1)=AñoCalendario,MONTH(NovSun1)=11),NovSun1,""),IF(AND(YEAR(NovSun1+7)=AñoCalendario,MONTH(NovSun1+7)=11),NovSun1+7,""))</f>
        <v>44136</v>
      </c>
      <c r="Z38" s="20" t="str">
        <f>IF(DAY(DecSun1)=1,"",IF(AND(YEAR(DecSun1+1)=AñoCalendario,MONTH(DecSun1+1)=12),DecSun1+1,""))</f>
        <v/>
      </c>
      <c r="AA38" s="20">
        <f>IF(DAY(DecSun1)=1,"",IF(AND(YEAR(DecSun1+2)=AñoCalendario,MONTH(DecSun1+2)=12),DecSun1+2,""))</f>
        <v>44166</v>
      </c>
      <c r="AB38" s="20">
        <f>IF(DAY(DecSun1)=1,"",IF(AND(YEAR(DecSun1+3)=AñoCalendario,MONTH(DecSun1+3)=12),DecSun1+3,""))</f>
        <v>44167</v>
      </c>
      <c r="AC38" s="20">
        <f>IF(DAY(DecSun1)=1,"",IF(AND(YEAR(DecSun1+4)=AñoCalendario,MONTH(DecSun1+4)=12),DecSun1+4,""))</f>
        <v>44168</v>
      </c>
      <c r="AD38" s="20">
        <f>IF(DAY(DecSun1)=1,"",IF(AND(YEAR(DecSun1+5)=AñoCalendario,MONTH(DecSun1+5)=12),DecSun1+5,""))</f>
        <v>44169</v>
      </c>
      <c r="AE38" s="20">
        <f>IF(DAY(DecSun1)=1,"",IF(AND(YEAR(DecSun1+6)=AñoCalendario,MONTH(DecSun1+6)=12),DecSun1+6,""))</f>
        <v>44170</v>
      </c>
      <c r="AF38" s="20">
        <f>IF(DAY(DecSun1)=1,IF(AND(YEAR(DecSun1)=AñoCalendario,MONTH(DecSun1)=12),DecSun1,""),IF(AND(YEAR(DecSun1+7)=AñoCalendario,MONTH(DecSun1+7)=12),DecSun1+7,""))</f>
        <v>44171</v>
      </c>
    </row>
    <row r="39" spans="1:34" ht="15.95" customHeight="1" x14ac:dyDescent="0.2">
      <c r="B39" s="20">
        <f>IF(DAY(SepDom1)=1,IF(AND(YEAR(SepDom1+1)=AñoCalendario,MONTH(SepDom1+1)=9),SepDom1+1,""),IF(AND(YEAR(SepDom1+8)=AñoCalendario,MONTH(SepDom1+8)=9),SepDom1+8,""))</f>
        <v>44081</v>
      </c>
      <c r="C39" s="20">
        <f>IF(DAY(SepDom1)=1,IF(AND(YEAR(SepDom1+2)=AñoCalendario,MONTH(SepDom1+2)=9),SepDom1+2,""),IF(AND(YEAR(SepDom1+9)=AñoCalendario,MONTH(SepDom1+9)=9),SepDom1+9,""))</f>
        <v>44082</v>
      </c>
      <c r="D39" s="20">
        <f>IF(DAY(SepDom1)=1,IF(AND(YEAR(SepDom1+3)=AñoCalendario,MONTH(SepDom1+3)=9),SepDom1+3,""),IF(AND(YEAR(SepDom1+10)=AñoCalendario,MONTH(SepDom1+10)=9),SepDom1+10,""))</f>
        <v>44083</v>
      </c>
      <c r="E39" s="20">
        <f>IF(DAY(SepDom1)=1,IF(AND(YEAR(SepDom1+4)=AñoCalendario,MONTH(SepDom1+4)=9),SepDom1+4,""),IF(AND(YEAR(SepDom1+11)=AñoCalendario,MONTH(SepDom1+11)=9),SepDom1+11,""))</f>
        <v>44084</v>
      </c>
      <c r="F39" s="20">
        <f>IF(DAY(SepDom1)=1,IF(AND(YEAR(SepDom1+5)=AñoCalendario,MONTH(SepDom1+5)=9),SepDom1+5,""),IF(AND(YEAR(SepDom1+12)=AñoCalendario,MONTH(SepDom1+12)=9),SepDom1+12,""))</f>
        <v>44085</v>
      </c>
      <c r="G39" s="20">
        <f>IF(DAY(SepDom1)=1,IF(AND(YEAR(SepDom1+6)=AñoCalendario,MONTH(SepDom1+6)=9),SepDom1+6,""),IF(AND(YEAR(SepDom1+13)=AñoCalendario,MONTH(SepDom1+13)=9),SepDom1+13,""))</f>
        <v>44086</v>
      </c>
      <c r="H39" s="20">
        <f>IF(DAY(SepDom1)=1,IF(AND(YEAR(SepDom1+7)=AñoCalendario,MONTH(SepDom1+7)=9),SepDom1+7,""),IF(AND(YEAR(SepDom1+14)=AñoCalendario,MONTH(SepDom1+14)=9),SepDom1+14,""))</f>
        <v>44087</v>
      </c>
      <c r="J39" s="20">
        <f>IF(DAY(OctSun1)=1,IF(AND(YEAR(OctSun1+1)=AñoCalendario,MONTH(OctSun1+1)=10),OctSun1+1,""),IF(AND(YEAR(OctSun1+8)=AñoCalendario,MONTH(OctSun1+8)=10),OctSun1+8,""))</f>
        <v>44109</v>
      </c>
      <c r="K39" s="20">
        <f>IF(DAY(OctSun1)=1,IF(AND(YEAR(OctSun1+2)=AñoCalendario,MONTH(OctSun1+2)=10),OctSun1+2,""),IF(AND(YEAR(OctSun1+9)=AñoCalendario,MONTH(OctSun1+9)=10),OctSun1+9,""))</f>
        <v>44110</v>
      </c>
      <c r="L39" s="20">
        <f>IF(DAY(OctSun1)=1,IF(AND(YEAR(OctSun1+3)=AñoCalendario,MONTH(OctSun1+3)=10),OctSun1+3,""),IF(AND(YEAR(OctSun1+10)=AñoCalendario,MONTH(OctSun1+10)=10),OctSun1+10,""))</f>
        <v>44111</v>
      </c>
      <c r="M39" s="20">
        <f>IF(DAY(OctSun1)=1,IF(AND(YEAR(OctSun1+4)=AñoCalendario,MONTH(OctSun1+4)=10),OctSun1+4,""),IF(AND(YEAR(OctSun1+11)=AñoCalendario,MONTH(OctSun1+11)=10),OctSun1+11,""))</f>
        <v>44112</v>
      </c>
      <c r="N39" s="20">
        <f>IF(DAY(OctSun1)=1,IF(AND(YEAR(OctSun1+5)=AñoCalendario,MONTH(OctSun1+5)=10),OctSun1+5,""),IF(AND(YEAR(OctSun1+12)=AñoCalendario,MONTH(OctSun1+12)=10),OctSun1+12,""))</f>
        <v>44113</v>
      </c>
      <c r="O39" s="20">
        <f>IF(DAY(OctSun1)=1,IF(AND(YEAR(OctSun1+6)=AñoCalendario,MONTH(OctSun1+6)=10),OctSun1+6,""),IF(AND(YEAR(OctSun1+13)=AñoCalendario,MONTH(OctSun1+13)=10),OctSun1+13,""))</f>
        <v>44114</v>
      </c>
      <c r="P39" s="20">
        <f>IF(DAY(OctSun1)=1,IF(AND(YEAR(OctSun1+7)=AñoCalendario,MONTH(OctSun1+7)=10),OctSun1+7,""),IF(AND(YEAR(OctSun1+14)=AñoCalendario,MONTH(OctSun1+14)=10),OctSun1+14,""))</f>
        <v>44115</v>
      </c>
      <c r="Q39" s="16"/>
      <c r="R39" s="20">
        <f>IF(DAY(NovSun1)=1,IF(AND(YEAR(NovSun1+1)=AñoCalendario,MONTH(NovSun1+1)=11),NovSun1+1,""),IF(AND(YEAR(NovSun1+8)=AñoCalendario,MONTH(NovSun1+8)=11),NovSun1+8,""))</f>
        <v>44137</v>
      </c>
      <c r="S39" s="20">
        <f>IF(DAY(NovSun1)=1,IF(AND(YEAR(NovSun1+2)=AñoCalendario,MONTH(NovSun1+2)=11),NovSun1+2,""),IF(AND(YEAR(NovSun1+9)=AñoCalendario,MONTH(NovSun1+9)=11),NovSun1+9,""))</f>
        <v>44138</v>
      </c>
      <c r="T39" s="20">
        <f>IF(DAY(NovSun1)=1,IF(AND(YEAR(NovSun1+3)=AñoCalendario,MONTH(NovSun1+3)=11),NovSun1+3,""),IF(AND(YEAR(NovSun1+10)=AñoCalendario,MONTH(NovSun1+10)=11),NovSun1+10,""))</f>
        <v>44139</v>
      </c>
      <c r="U39" s="20">
        <f>IF(DAY(NovSun1)=1,IF(AND(YEAR(NovSun1+4)=AñoCalendario,MONTH(NovSun1+4)=11),NovSun1+4,""),IF(AND(YEAR(NovSun1+11)=AñoCalendario,MONTH(NovSun1+11)=11),NovSun1+11,""))</f>
        <v>44140</v>
      </c>
      <c r="V39" s="20">
        <f>IF(DAY(NovSun1)=1,IF(AND(YEAR(NovSun1+5)=AñoCalendario,MONTH(NovSun1+5)=11),NovSun1+5,""),IF(AND(YEAR(NovSun1+12)=AñoCalendario,MONTH(NovSun1+12)=11),NovSun1+12,""))</f>
        <v>44141</v>
      </c>
      <c r="W39" s="20">
        <f>IF(DAY(NovSun1)=1,IF(AND(YEAR(NovSun1+6)=AñoCalendario,MONTH(NovSun1+6)=11),NovSun1+6,""),IF(AND(YEAR(NovSun1+13)=AñoCalendario,MONTH(NovSun1+13)=11),NovSun1+13,""))</f>
        <v>44142</v>
      </c>
      <c r="X39" s="20">
        <f>IF(DAY(NovSun1)=1,IF(AND(YEAR(NovSun1+7)=AñoCalendario,MONTH(NovSun1+7)=11),NovSun1+7,""),IF(AND(YEAR(NovSun1+14)=AñoCalendario,MONTH(NovSun1+14)=11),NovSun1+14,""))</f>
        <v>44143</v>
      </c>
      <c r="Z39" s="20">
        <f>IF(DAY(DecSun1)=1,IF(AND(YEAR(DecSun1+1)=AñoCalendario,MONTH(DecSun1+1)=12),DecSun1+1,""),IF(AND(YEAR(DecSun1+8)=AñoCalendario,MONTH(DecSun1+8)=12),DecSun1+8,""))</f>
        <v>44172</v>
      </c>
      <c r="AA39" s="20">
        <f>IF(DAY(DecSun1)=1,IF(AND(YEAR(DecSun1+2)=AñoCalendario,MONTH(DecSun1+2)=12),DecSun1+2,""),IF(AND(YEAR(DecSun1+9)=AñoCalendario,MONTH(DecSun1+9)=12),DecSun1+9,""))</f>
        <v>44173</v>
      </c>
      <c r="AB39" s="20">
        <f>IF(DAY(DecSun1)=1,IF(AND(YEAR(DecSun1+3)=AñoCalendario,MONTH(DecSun1+3)=12),DecSun1+3,""),IF(AND(YEAR(DecSun1+10)=AñoCalendario,MONTH(DecSun1+10)=12),DecSun1+10,""))</f>
        <v>44174</v>
      </c>
      <c r="AC39" s="20">
        <f>IF(DAY(DecSun1)=1,IF(AND(YEAR(DecSun1+4)=AñoCalendario,MONTH(DecSun1+4)=12),DecSun1+4,""),IF(AND(YEAR(DecSun1+11)=AñoCalendario,MONTH(DecSun1+11)=12),DecSun1+11,""))</f>
        <v>44175</v>
      </c>
      <c r="AD39" s="20">
        <f>IF(DAY(DecSun1)=1,IF(AND(YEAR(DecSun1+5)=AñoCalendario,MONTH(DecSun1+5)=12),DecSun1+5,""),IF(AND(YEAR(DecSun1+12)=AñoCalendario,MONTH(DecSun1+12)=12),DecSun1+12,""))</f>
        <v>44176</v>
      </c>
      <c r="AE39" s="20">
        <f>IF(DAY(DecSun1)=1,IF(AND(YEAR(DecSun1+6)=AñoCalendario,MONTH(DecSun1+6)=12),DecSun1+6,""),IF(AND(YEAR(DecSun1+13)=AñoCalendario,MONTH(DecSun1+13)=12),DecSun1+13,""))</f>
        <v>44177</v>
      </c>
      <c r="AF39" s="20">
        <f>IF(DAY(DecSun1)=1,IF(AND(YEAR(DecSun1+7)=AñoCalendario,MONTH(DecSun1+7)=12),DecSun1+7,""),IF(AND(YEAR(DecSun1+14)=AñoCalendario,MONTH(DecSun1+14)=12),DecSun1+14,""))</f>
        <v>44178</v>
      </c>
    </row>
    <row r="40" spans="1:34" ht="15.95" customHeight="1" x14ac:dyDescent="0.2">
      <c r="B40" s="20">
        <f>IF(DAY(SepDom1)=1,IF(AND(YEAR(SepDom1+8)=AñoCalendario,MONTH(SepDom1+8)=9),SepDom1+8,""),IF(AND(YEAR(SepDom1+15)=AñoCalendario,MONTH(SepDom1+15)=9),SepDom1+15,""))</f>
        <v>44088</v>
      </c>
      <c r="C40" s="20">
        <f>IF(DAY(SepDom1)=1,IF(AND(YEAR(SepDom1+9)=AñoCalendario,MONTH(SepDom1+9)=9),SepDom1+9,""),IF(AND(YEAR(SepDom1+16)=AñoCalendario,MONTH(SepDom1+16)=9),SepDom1+16,""))</f>
        <v>44089</v>
      </c>
      <c r="D40" s="20">
        <f>IF(DAY(SepDom1)=1,IF(AND(YEAR(SepDom1+10)=AñoCalendario,MONTH(SepDom1+10)=9),SepDom1+10,""),IF(AND(YEAR(SepDom1+17)=AñoCalendario,MONTH(SepDom1+17)=9),SepDom1+17,""))</f>
        <v>44090</v>
      </c>
      <c r="E40" s="20">
        <f>IF(DAY(SepDom1)=1,IF(AND(YEAR(SepDom1+11)=AñoCalendario,MONTH(SepDom1+11)=9),SepDom1+11,""),IF(AND(YEAR(SepDom1+18)=AñoCalendario,MONTH(SepDom1+18)=9),SepDom1+18,""))</f>
        <v>44091</v>
      </c>
      <c r="F40" s="20">
        <f>IF(DAY(SepDom1)=1,IF(AND(YEAR(SepDom1+12)=AñoCalendario,MONTH(SepDom1+12)=9),SepDom1+12,""),IF(AND(YEAR(SepDom1+19)=AñoCalendario,MONTH(SepDom1+19)=9),SepDom1+19,""))</f>
        <v>44092</v>
      </c>
      <c r="G40" s="20">
        <f>IF(DAY(SepDom1)=1,IF(AND(YEAR(SepDom1+13)=AñoCalendario,MONTH(SepDom1+13)=9),SepDom1+13,""),IF(AND(YEAR(SepDom1+20)=AñoCalendario,MONTH(SepDom1+20)=9),SepDom1+20,""))</f>
        <v>44093</v>
      </c>
      <c r="H40" s="20">
        <f>IF(DAY(SepDom1)=1,IF(AND(YEAR(SepDom1+14)=AñoCalendario,MONTH(SepDom1+14)=9),SepDom1+14,""),IF(AND(YEAR(SepDom1+21)=AñoCalendario,MONTH(SepDom1+21)=9),SepDom1+21,""))</f>
        <v>44094</v>
      </c>
      <c r="J40" s="20">
        <f>IF(DAY(OctSun1)=1,IF(AND(YEAR(OctSun1+8)=AñoCalendario,MONTH(OctSun1+8)=10),OctSun1+8,""),IF(AND(YEAR(OctSun1+15)=AñoCalendario,MONTH(OctSun1+15)=10),OctSun1+15,""))</f>
        <v>44116</v>
      </c>
      <c r="K40" s="20">
        <f>IF(DAY(OctSun1)=1,IF(AND(YEAR(OctSun1+9)=AñoCalendario,MONTH(OctSun1+9)=10),OctSun1+9,""),IF(AND(YEAR(OctSun1+16)=AñoCalendario,MONTH(OctSun1+16)=10),OctSun1+16,""))</f>
        <v>44117</v>
      </c>
      <c r="L40" s="20">
        <f>IF(DAY(OctSun1)=1,IF(AND(YEAR(OctSun1+10)=AñoCalendario,MONTH(OctSun1+10)=10),OctSun1+10,""),IF(AND(YEAR(OctSun1+17)=AñoCalendario,MONTH(OctSun1+17)=10),OctSun1+17,""))</f>
        <v>44118</v>
      </c>
      <c r="M40" s="20">
        <f>IF(DAY(OctSun1)=1,IF(AND(YEAR(OctSun1+11)=AñoCalendario,MONTH(OctSun1+11)=10),OctSun1+11,""),IF(AND(YEAR(OctSun1+18)=AñoCalendario,MONTH(OctSun1+18)=10),OctSun1+18,""))</f>
        <v>44119</v>
      </c>
      <c r="N40" s="20">
        <f>IF(DAY(OctSun1)=1,IF(AND(YEAR(OctSun1+12)=AñoCalendario,MONTH(OctSun1+12)=10),OctSun1+12,""),IF(AND(YEAR(OctSun1+19)=AñoCalendario,MONTH(OctSun1+19)=10),OctSun1+19,""))</f>
        <v>44120</v>
      </c>
      <c r="O40" s="20">
        <f>IF(DAY(OctSun1)=1,IF(AND(YEAR(OctSun1+13)=AñoCalendario,MONTH(OctSun1+13)=10),OctSun1+13,""),IF(AND(YEAR(OctSun1+20)=AñoCalendario,MONTH(OctSun1+20)=10),OctSun1+20,""))</f>
        <v>44121</v>
      </c>
      <c r="P40" s="20">
        <f>IF(DAY(OctSun1)=1,IF(AND(YEAR(OctSun1+14)=AñoCalendario,MONTH(OctSun1+14)=10),OctSun1+14,""),IF(AND(YEAR(OctSun1+21)=AñoCalendario,MONTH(OctSun1+21)=10),OctSun1+21,""))</f>
        <v>44122</v>
      </c>
      <c r="Q40" s="16"/>
      <c r="R40" s="20">
        <f>IF(DAY(NovSun1)=1,IF(AND(YEAR(NovSun1+8)=AñoCalendario,MONTH(NovSun1+8)=11),NovSun1+8,""),IF(AND(YEAR(NovSun1+15)=AñoCalendario,MONTH(NovSun1+15)=11),NovSun1+15,""))</f>
        <v>44144</v>
      </c>
      <c r="S40" s="20">
        <f>IF(DAY(NovSun1)=1,IF(AND(YEAR(NovSun1+9)=AñoCalendario,MONTH(NovSun1+9)=11),NovSun1+9,""),IF(AND(YEAR(NovSun1+16)=AñoCalendario,MONTH(NovSun1+16)=11),NovSun1+16,""))</f>
        <v>44145</v>
      </c>
      <c r="T40" s="20">
        <f>IF(DAY(NovSun1)=1,IF(AND(YEAR(NovSun1+10)=AñoCalendario,MONTH(NovSun1+10)=11),NovSun1+10,""),IF(AND(YEAR(NovSun1+17)=AñoCalendario,MONTH(NovSun1+17)=11),NovSun1+17,""))</f>
        <v>44146</v>
      </c>
      <c r="U40" s="20">
        <f>IF(DAY(NovSun1)=1,IF(AND(YEAR(NovSun1+11)=AñoCalendario,MONTH(NovSun1+11)=11),NovSun1+11,""),IF(AND(YEAR(NovSun1+18)=AñoCalendario,MONTH(NovSun1+18)=11),NovSun1+18,""))</f>
        <v>44147</v>
      </c>
      <c r="V40" s="20">
        <f>IF(DAY(NovSun1)=1,IF(AND(YEAR(NovSun1+12)=AñoCalendario,MONTH(NovSun1+12)=11),NovSun1+12,""),IF(AND(YEAR(NovSun1+19)=AñoCalendario,MONTH(NovSun1+19)=11),NovSun1+19,""))</f>
        <v>44148</v>
      </c>
      <c r="W40" s="20">
        <f>IF(DAY(NovSun1)=1,IF(AND(YEAR(NovSun1+13)=AñoCalendario,MONTH(NovSun1+13)=11),NovSun1+13,""),IF(AND(YEAR(NovSun1+20)=AñoCalendario,MONTH(NovSun1+20)=11),NovSun1+20,""))</f>
        <v>44149</v>
      </c>
      <c r="X40" s="20">
        <f>IF(DAY(NovSun1)=1,IF(AND(YEAR(NovSun1+14)=AñoCalendario,MONTH(NovSun1+14)=11),NovSun1+14,""),IF(AND(YEAR(NovSun1+21)=AñoCalendario,MONTH(NovSun1+21)=11),NovSun1+21,""))</f>
        <v>44150</v>
      </c>
      <c r="Z40" s="20">
        <f>IF(DAY(DecSun1)=1,IF(AND(YEAR(DecSun1+8)=AñoCalendario,MONTH(DecSun1+8)=12),DecSun1+8,""),IF(AND(YEAR(DecSun1+15)=AñoCalendario,MONTH(DecSun1+15)=12),DecSun1+15,""))</f>
        <v>44179</v>
      </c>
      <c r="AA40" s="20">
        <f>IF(DAY(DecSun1)=1,IF(AND(YEAR(DecSun1+9)=AñoCalendario,MONTH(DecSun1+9)=12),DecSun1+9,""),IF(AND(YEAR(DecSun1+16)=AñoCalendario,MONTH(DecSun1+16)=12),DecSun1+16,""))</f>
        <v>44180</v>
      </c>
      <c r="AB40" s="20">
        <f>IF(DAY(DecSun1)=1,IF(AND(YEAR(DecSun1+10)=AñoCalendario,MONTH(DecSun1+10)=12),DecSun1+10,""),IF(AND(YEAR(DecSun1+17)=AñoCalendario,MONTH(DecSun1+17)=12),DecSun1+17,""))</f>
        <v>44181</v>
      </c>
      <c r="AC40" s="20">
        <f>IF(DAY(DecSun1)=1,IF(AND(YEAR(DecSun1+11)=AñoCalendario,MONTH(DecSun1+11)=12),DecSun1+11,""),IF(AND(YEAR(DecSun1+18)=AñoCalendario,MONTH(DecSun1+18)=12),DecSun1+18,""))</f>
        <v>44182</v>
      </c>
      <c r="AD40" s="20">
        <f>IF(DAY(DecSun1)=1,IF(AND(YEAR(DecSun1+12)=AñoCalendario,MONTH(DecSun1+12)=12),DecSun1+12,""),IF(AND(YEAR(DecSun1+19)=AñoCalendario,MONTH(DecSun1+19)=12),DecSun1+19,""))</f>
        <v>44183</v>
      </c>
      <c r="AE40" s="20">
        <f>IF(DAY(DecSun1)=1,IF(AND(YEAR(DecSun1+13)=AñoCalendario,MONTH(DecSun1+13)=12),DecSun1+13,""),IF(AND(YEAR(DecSun1+20)=AñoCalendario,MONTH(DecSun1+20)=12),DecSun1+20,""))</f>
        <v>44184</v>
      </c>
      <c r="AF40" s="20">
        <f>IF(DAY(DecSun1)=1,IF(AND(YEAR(DecSun1+14)=AñoCalendario,MONTH(DecSun1+14)=12),DecSun1+14,""),IF(AND(YEAR(DecSun1+21)=AñoCalendario,MONTH(DecSun1+21)=12),DecSun1+21,""))</f>
        <v>44185</v>
      </c>
    </row>
    <row r="41" spans="1:34" ht="15.95" customHeight="1" x14ac:dyDescent="0.2">
      <c r="B41" s="20">
        <f>IF(DAY(SepDom1)=1,IF(AND(YEAR(SepDom1+15)=AñoCalendario,MONTH(SepDom1+15)=9),SepDom1+15,""),IF(AND(YEAR(SepDom1+22)=AñoCalendario,MONTH(SepDom1+22)=9),SepDom1+22,""))</f>
        <v>44095</v>
      </c>
      <c r="C41" s="20">
        <f>IF(DAY(SepDom1)=1,IF(AND(YEAR(SepDom1+16)=AñoCalendario,MONTH(SepDom1+16)=9),SepDom1+16,""),IF(AND(YEAR(SepDom1+23)=AñoCalendario,MONTH(SepDom1+23)=9),SepDom1+23,""))</f>
        <v>44096</v>
      </c>
      <c r="D41" s="20">
        <f>IF(DAY(SepDom1)=1,IF(AND(YEAR(SepDom1+17)=AñoCalendario,MONTH(SepDom1+17)=9),SepDom1+17,""),IF(AND(YEAR(SepDom1+24)=AñoCalendario,MONTH(SepDom1+24)=9),SepDom1+24,""))</f>
        <v>44097</v>
      </c>
      <c r="E41" s="20">
        <f>IF(DAY(SepDom1)=1,IF(AND(YEAR(SepDom1+18)=AñoCalendario,MONTH(SepDom1+18)=9),SepDom1+18,""),IF(AND(YEAR(SepDom1+25)=AñoCalendario,MONTH(SepDom1+25)=9),SepDom1+25,""))</f>
        <v>44098</v>
      </c>
      <c r="F41" s="20">
        <f>IF(DAY(SepDom1)=1,IF(AND(YEAR(SepDom1+19)=AñoCalendario,MONTH(SepDom1+19)=9),SepDom1+19,""),IF(AND(YEAR(SepDom1+26)=AñoCalendario,MONTH(SepDom1+26)=9),SepDom1+26,""))</f>
        <v>44099</v>
      </c>
      <c r="G41" s="20">
        <f>IF(DAY(SepDom1)=1,IF(AND(YEAR(SepDom1+20)=AñoCalendario,MONTH(SepDom1+20)=9),SepDom1+20,""),IF(AND(YEAR(SepDom1+27)=AñoCalendario,MONTH(SepDom1+27)=9),SepDom1+27,""))</f>
        <v>44100</v>
      </c>
      <c r="H41" s="20">
        <f>IF(DAY(SepDom1)=1,IF(AND(YEAR(SepDom1+21)=AñoCalendario,MONTH(SepDom1+21)=9),SepDom1+21,""),IF(AND(YEAR(SepDom1+28)=AñoCalendario,MONTH(SepDom1+28)=9),SepDom1+28,""))</f>
        <v>44101</v>
      </c>
      <c r="J41" s="20">
        <f>IF(DAY(OctSun1)=1,IF(AND(YEAR(OctSun1+15)=AñoCalendario,MONTH(OctSun1+15)=10),OctSun1+15,""),IF(AND(YEAR(OctSun1+22)=AñoCalendario,MONTH(OctSun1+22)=10),OctSun1+22,""))</f>
        <v>44123</v>
      </c>
      <c r="K41" s="20">
        <f>IF(DAY(OctSun1)=1,IF(AND(YEAR(OctSun1+16)=AñoCalendario,MONTH(OctSun1+16)=10),OctSun1+16,""),IF(AND(YEAR(OctSun1+23)=AñoCalendario,MONTH(OctSun1+23)=10),OctSun1+23,""))</f>
        <v>44124</v>
      </c>
      <c r="L41" s="20">
        <f>IF(DAY(OctSun1)=1,IF(AND(YEAR(OctSun1+17)=AñoCalendario,MONTH(OctSun1+17)=10),OctSun1+17,""),IF(AND(YEAR(OctSun1+24)=AñoCalendario,MONTH(OctSun1+24)=10),OctSun1+24,""))</f>
        <v>44125</v>
      </c>
      <c r="M41" s="20">
        <f>IF(DAY(OctSun1)=1,IF(AND(YEAR(OctSun1+18)=AñoCalendario,MONTH(OctSun1+18)=10),OctSun1+18,""),IF(AND(YEAR(OctSun1+25)=AñoCalendario,MONTH(OctSun1+25)=10),OctSun1+25,""))</f>
        <v>44126</v>
      </c>
      <c r="N41" s="20">
        <f>IF(DAY(OctSun1)=1,IF(AND(YEAR(OctSun1+19)=AñoCalendario,MONTH(OctSun1+19)=10),OctSun1+19,""),IF(AND(YEAR(OctSun1+26)=AñoCalendario,MONTH(OctSun1+26)=10),OctSun1+26,""))</f>
        <v>44127</v>
      </c>
      <c r="O41" s="20">
        <f>IF(DAY(OctSun1)=1,IF(AND(YEAR(OctSun1+20)=AñoCalendario,MONTH(OctSun1+20)=10),OctSun1+20,""),IF(AND(YEAR(OctSun1+27)=AñoCalendario,MONTH(OctSun1+27)=10),OctSun1+27,""))</f>
        <v>44128</v>
      </c>
      <c r="P41" s="20">
        <f>IF(DAY(OctSun1)=1,IF(AND(YEAR(OctSun1+21)=AñoCalendario,MONTH(OctSun1+21)=10),OctSun1+21,""),IF(AND(YEAR(OctSun1+28)=AñoCalendario,MONTH(OctSun1+28)=10),OctSun1+28,""))</f>
        <v>44129</v>
      </c>
      <c r="Q41" s="16"/>
      <c r="R41" s="20">
        <f>IF(DAY(NovSun1)=1,IF(AND(YEAR(NovSun1+15)=AñoCalendario,MONTH(NovSun1+15)=11),NovSun1+15,""),IF(AND(YEAR(NovSun1+22)=AñoCalendario,MONTH(NovSun1+22)=11),NovSun1+22,""))</f>
        <v>44151</v>
      </c>
      <c r="S41" s="20">
        <f>IF(DAY(NovSun1)=1,IF(AND(YEAR(NovSun1+16)=AñoCalendario,MONTH(NovSun1+16)=11),NovSun1+16,""),IF(AND(YEAR(NovSun1+23)=AñoCalendario,MONTH(NovSun1+23)=11),NovSun1+23,""))</f>
        <v>44152</v>
      </c>
      <c r="T41" s="20">
        <f>IF(DAY(NovSun1)=1,IF(AND(YEAR(NovSun1+17)=AñoCalendario,MONTH(NovSun1+17)=11),NovSun1+17,""),IF(AND(YEAR(NovSun1+24)=AñoCalendario,MONTH(NovSun1+24)=11),NovSun1+24,""))</f>
        <v>44153</v>
      </c>
      <c r="U41" s="20">
        <f>IF(DAY(NovSun1)=1,IF(AND(YEAR(NovSun1+18)=AñoCalendario,MONTH(NovSun1+18)=11),NovSun1+18,""),IF(AND(YEAR(NovSun1+25)=AñoCalendario,MONTH(NovSun1+25)=11),NovSun1+25,""))</f>
        <v>44154</v>
      </c>
      <c r="V41" s="20">
        <f>IF(DAY(NovSun1)=1,IF(AND(YEAR(NovSun1+19)=AñoCalendario,MONTH(NovSun1+19)=11),NovSun1+19,""),IF(AND(YEAR(NovSun1+26)=AñoCalendario,MONTH(NovSun1+26)=11),NovSun1+26,""))</f>
        <v>44155</v>
      </c>
      <c r="W41" s="20">
        <f>IF(DAY(NovSun1)=1,IF(AND(YEAR(NovSun1+20)=AñoCalendario,MONTH(NovSun1+20)=11),NovSun1+20,""),IF(AND(YEAR(NovSun1+27)=AñoCalendario,MONTH(NovSun1+27)=11),NovSun1+27,""))</f>
        <v>44156</v>
      </c>
      <c r="X41" s="20">
        <f>IF(DAY(NovSun1)=1,IF(AND(YEAR(NovSun1+21)=AñoCalendario,MONTH(NovSun1+21)=11),NovSun1+21,""),IF(AND(YEAR(NovSun1+28)=AñoCalendario,MONTH(NovSun1+28)=11),NovSun1+28,""))</f>
        <v>44157</v>
      </c>
      <c r="Z41" s="20">
        <f>IF(DAY(DecSun1)=1,IF(AND(YEAR(DecSun1+15)=AñoCalendario,MONTH(DecSun1+15)=12),DecSun1+15,""),IF(AND(YEAR(DecSun1+22)=AñoCalendario,MONTH(DecSun1+22)=12),DecSun1+22,""))</f>
        <v>44186</v>
      </c>
      <c r="AA41" s="20">
        <f>IF(DAY(DecSun1)=1,IF(AND(YEAR(DecSun1+16)=AñoCalendario,MONTH(DecSun1+16)=12),DecSun1+16,""),IF(AND(YEAR(DecSun1+23)=AñoCalendario,MONTH(DecSun1+23)=12),DecSun1+23,""))</f>
        <v>44187</v>
      </c>
      <c r="AB41" s="20">
        <f>IF(DAY(DecSun1)=1,IF(AND(YEAR(DecSun1+17)=AñoCalendario,MONTH(DecSun1+17)=12),DecSun1+17,""),IF(AND(YEAR(DecSun1+24)=AñoCalendario,MONTH(DecSun1+24)=12),DecSun1+24,""))</f>
        <v>44188</v>
      </c>
      <c r="AC41" s="20">
        <f>IF(DAY(DecSun1)=1,IF(AND(YEAR(DecSun1+18)=AñoCalendario,MONTH(DecSun1+18)=12),DecSun1+18,""),IF(AND(YEAR(DecSun1+25)=AñoCalendario,MONTH(DecSun1+25)=12),DecSun1+25,""))</f>
        <v>44189</v>
      </c>
      <c r="AD41" s="20">
        <f>IF(DAY(DecSun1)=1,IF(AND(YEAR(DecSun1+19)=AñoCalendario,MONTH(DecSun1+19)=12),DecSun1+19,""),IF(AND(YEAR(DecSun1+26)=AñoCalendario,MONTH(DecSun1+26)=12),DecSun1+26,""))</f>
        <v>44190</v>
      </c>
      <c r="AE41" s="20">
        <f>IF(DAY(DecSun1)=1,IF(AND(YEAR(DecSun1+20)=AñoCalendario,MONTH(DecSun1+20)=12),DecSun1+20,""),IF(AND(YEAR(DecSun1+27)=AñoCalendario,MONTH(DecSun1+27)=12),DecSun1+27,""))</f>
        <v>44191</v>
      </c>
      <c r="AF41" s="20">
        <f>IF(DAY(DecSun1)=1,IF(AND(YEAR(DecSun1+21)=AñoCalendario,MONTH(DecSun1+21)=12),DecSun1+21,""),IF(AND(YEAR(DecSun1+28)=AñoCalendario,MONTH(DecSun1+28)=12),DecSun1+28,""))</f>
        <v>44192</v>
      </c>
    </row>
    <row r="42" spans="1:34" ht="15.95" customHeight="1" x14ac:dyDescent="0.2">
      <c r="B42" s="20">
        <f>IF(DAY(SepDom1)=1,IF(AND(YEAR(SepDom1+22)=AñoCalendario,MONTH(SepDom1+22)=9),SepDom1+22,""),IF(AND(YEAR(SepDom1+29)=AñoCalendario,MONTH(SepDom1+29)=9),SepDom1+29,""))</f>
        <v>44102</v>
      </c>
      <c r="C42" s="20">
        <f>IF(DAY(SepDom1)=1,IF(AND(YEAR(SepDom1+23)=AñoCalendario,MONTH(SepDom1+23)=9),SepDom1+23,""),IF(AND(YEAR(SepDom1+30)=AñoCalendario,MONTH(SepDom1+30)=9),SepDom1+30,""))</f>
        <v>44103</v>
      </c>
      <c r="D42" s="20">
        <f>IF(DAY(SepDom1)=1,IF(AND(YEAR(SepDom1+24)=AñoCalendario,MONTH(SepDom1+24)=9),SepDom1+24,""),IF(AND(YEAR(SepDom1+31)=AñoCalendario,MONTH(SepDom1+31)=9),SepDom1+31,""))</f>
        <v>44104</v>
      </c>
      <c r="E42" s="20" t="str">
        <f>IF(DAY(SepDom1)=1,IF(AND(YEAR(SepDom1+25)=AñoCalendario,MONTH(SepDom1+25)=9),SepDom1+25,""),IF(AND(YEAR(SepDom1+32)=AñoCalendario,MONTH(SepDom1+32)=9),SepDom1+32,""))</f>
        <v/>
      </c>
      <c r="F42" s="20" t="str">
        <f>IF(DAY(SepDom1)=1,IF(AND(YEAR(SepDom1+26)=AñoCalendario,MONTH(SepDom1+26)=9),SepDom1+26,""),IF(AND(YEAR(SepDom1+33)=AñoCalendario,MONTH(SepDom1+33)=9),SepDom1+33,""))</f>
        <v/>
      </c>
      <c r="G42" s="20" t="str">
        <f>IF(DAY(SepDom1)=1,IF(AND(YEAR(SepDom1+27)=AñoCalendario,MONTH(SepDom1+27)=9),SepDom1+27,""),IF(AND(YEAR(SepDom1+34)=AñoCalendario,MONTH(SepDom1+34)=9),SepDom1+34,""))</f>
        <v/>
      </c>
      <c r="H42" s="20" t="str">
        <f>IF(DAY(SepDom1)=1,IF(AND(YEAR(SepDom1+28)=AñoCalendario,MONTH(SepDom1+28)=9),SepDom1+28,""),IF(AND(YEAR(SepDom1+35)=AñoCalendario,MONTH(SepDom1+35)=9),SepDom1+35,""))</f>
        <v/>
      </c>
      <c r="J42" s="20">
        <f>IF(DAY(OctSun1)=1,IF(AND(YEAR(OctSun1+22)=AñoCalendario,MONTH(OctSun1+22)=10),OctSun1+22,""),IF(AND(YEAR(OctSun1+29)=AñoCalendario,MONTH(OctSun1+29)=10),OctSun1+29,""))</f>
        <v>44130</v>
      </c>
      <c r="K42" s="20">
        <f>IF(DAY(OctSun1)=1,IF(AND(YEAR(OctSun1+23)=AñoCalendario,MONTH(OctSun1+23)=10),OctSun1+23,""),IF(AND(YEAR(OctSun1+30)=AñoCalendario,MONTH(OctSun1+30)=10),OctSun1+30,""))</f>
        <v>44131</v>
      </c>
      <c r="L42" s="20">
        <f>IF(DAY(OctSun1)=1,IF(AND(YEAR(OctSun1+24)=AñoCalendario,MONTH(OctSun1+24)=10),OctSun1+24,""),IF(AND(YEAR(OctSun1+31)=AñoCalendario,MONTH(OctSun1+31)=10),OctSun1+31,""))</f>
        <v>44132</v>
      </c>
      <c r="M42" s="20">
        <f>IF(DAY(OctSun1)=1,IF(AND(YEAR(OctSun1+25)=AñoCalendario,MONTH(OctSun1+25)=10),OctSun1+25,""),IF(AND(YEAR(OctSun1+32)=AñoCalendario,MONTH(OctSun1+32)=10),OctSun1+32,""))</f>
        <v>44133</v>
      </c>
      <c r="N42" s="20">
        <f>IF(DAY(OctSun1)=1,IF(AND(YEAR(OctSun1+26)=AñoCalendario,MONTH(OctSun1+26)=10),OctSun1+26,""),IF(AND(YEAR(OctSun1+33)=AñoCalendario,MONTH(OctSun1+33)=10),OctSun1+33,""))</f>
        <v>44134</v>
      </c>
      <c r="O42" s="20">
        <f>IF(DAY(OctSun1)=1,IF(AND(YEAR(OctSun1+27)=AñoCalendario,MONTH(OctSun1+27)=10),OctSun1+27,""),IF(AND(YEAR(OctSun1+34)=AñoCalendario,MONTH(OctSun1+34)=10),OctSun1+34,""))</f>
        <v>44135</v>
      </c>
      <c r="P42" s="20" t="str">
        <f>IF(DAY(OctSun1)=1,IF(AND(YEAR(OctSun1+28)=AñoCalendario,MONTH(OctSun1+28)=10),OctSun1+28,""),IF(AND(YEAR(OctSun1+35)=AñoCalendario,MONTH(OctSun1+35)=10),OctSun1+35,""))</f>
        <v/>
      </c>
      <c r="Q42" s="16"/>
      <c r="R42" s="20">
        <f>IF(DAY(NovSun1)=1,IF(AND(YEAR(NovSun1+22)=AñoCalendario,MONTH(NovSun1+22)=11),NovSun1+22,""),IF(AND(YEAR(NovSun1+29)=AñoCalendario,MONTH(NovSun1+29)=11),NovSun1+29,""))</f>
        <v>44158</v>
      </c>
      <c r="S42" s="20">
        <f>IF(DAY(NovSun1)=1,IF(AND(YEAR(NovSun1+23)=AñoCalendario,MONTH(NovSun1+23)=11),NovSun1+23,""),IF(AND(YEAR(NovSun1+30)=AñoCalendario,MONTH(NovSun1+30)=11),NovSun1+30,""))</f>
        <v>44159</v>
      </c>
      <c r="T42" s="20">
        <f>IF(DAY(NovSun1)=1,IF(AND(YEAR(NovSun1+24)=AñoCalendario,MONTH(NovSun1+24)=11),NovSun1+24,""),IF(AND(YEAR(NovSun1+31)=AñoCalendario,MONTH(NovSun1+31)=11),NovSun1+31,""))</f>
        <v>44160</v>
      </c>
      <c r="U42" s="20">
        <f>IF(DAY(NovSun1)=1,IF(AND(YEAR(NovSun1+25)=AñoCalendario,MONTH(NovSun1+25)=11),NovSun1+25,""),IF(AND(YEAR(NovSun1+32)=AñoCalendario,MONTH(NovSun1+32)=11),NovSun1+32,""))</f>
        <v>44161</v>
      </c>
      <c r="V42" s="20">
        <f>IF(DAY(NovSun1)=1,IF(AND(YEAR(NovSun1+26)=AñoCalendario,MONTH(NovSun1+26)=11),NovSun1+26,""),IF(AND(YEAR(NovSun1+33)=AñoCalendario,MONTH(NovSun1+33)=11),NovSun1+33,""))</f>
        <v>44162</v>
      </c>
      <c r="W42" s="20">
        <f>IF(DAY(NovSun1)=1,IF(AND(YEAR(NovSun1+27)=AñoCalendario,MONTH(NovSun1+27)=11),NovSun1+27,""),IF(AND(YEAR(NovSun1+34)=AñoCalendario,MONTH(NovSun1+34)=11),NovSun1+34,""))</f>
        <v>44163</v>
      </c>
      <c r="X42" s="20">
        <f>IF(DAY(NovSun1)=1,IF(AND(YEAR(NovSun1+28)=AñoCalendario,MONTH(NovSun1+28)=11),NovSun1+28,""),IF(AND(YEAR(NovSun1+35)=AñoCalendario,MONTH(NovSun1+35)=11),NovSun1+35,""))</f>
        <v>44164</v>
      </c>
      <c r="Z42" s="20">
        <f>IF(DAY(DecSun1)=1,IF(AND(YEAR(DecSun1+22)=AñoCalendario,MONTH(DecSun1+22)=12),DecSun1+22,""),IF(AND(YEAR(DecSun1+29)=AñoCalendario,MONTH(DecSun1+29)=12),DecSun1+29,""))</f>
        <v>44193</v>
      </c>
      <c r="AA42" s="20">
        <f>IF(DAY(DecSun1)=1,IF(AND(YEAR(DecSun1+23)=AñoCalendario,MONTH(DecSun1+23)=12),DecSun1+23,""),IF(AND(YEAR(DecSun1+30)=AñoCalendario,MONTH(DecSun1+30)=12),DecSun1+30,""))</f>
        <v>44194</v>
      </c>
      <c r="AB42" s="20">
        <f>IF(DAY(DecSun1)=1,IF(AND(YEAR(DecSun1+24)=AñoCalendario,MONTH(DecSun1+24)=12),DecSun1+24,""),IF(AND(YEAR(DecSun1+31)=AñoCalendario,MONTH(DecSun1+31)=12),DecSun1+31,""))</f>
        <v>44195</v>
      </c>
      <c r="AC42" s="20">
        <f>IF(DAY(DecSun1)=1,IF(AND(YEAR(DecSun1+25)=AñoCalendario,MONTH(DecSun1+25)=12),DecSun1+25,""),IF(AND(YEAR(DecSun1+32)=AñoCalendario,MONTH(DecSun1+32)=12),DecSun1+32,""))</f>
        <v>44196</v>
      </c>
      <c r="AD42" s="20" t="str">
        <f>IF(DAY(DecSun1)=1,IF(AND(YEAR(DecSun1+26)=AñoCalendario,MONTH(DecSun1+26)=12),DecSun1+26,""),IF(AND(YEAR(DecSun1+33)=AñoCalendario,MONTH(DecSun1+33)=12),DecSun1+33,""))</f>
        <v/>
      </c>
      <c r="AE42" s="20" t="str">
        <f>IF(DAY(DecSun1)=1,IF(AND(YEAR(DecSun1+27)=AñoCalendario,MONTH(DecSun1+27)=12),DecSun1+27,""),IF(AND(YEAR(DecSun1+34)=AñoCalendario,MONTH(DecSun1+34)=12),DecSun1+34,""))</f>
        <v/>
      </c>
      <c r="AF42" s="20" t="str">
        <f>IF(DAY(DecSun1)=1,IF(AND(YEAR(DecSun1+28)=AñoCalendario,MONTH(DecSun1+28)=12),DecSun1+28,""),IF(AND(YEAR(DecSun1+35)=AñoCalendario,MONTH(DecSun1+35)=12),DecSun1+35,""))</f>
        <v/>
      </c>
    </row>
    <row r="43" spans="1:34" ht="15.95" customHeight="1" x14ac:dyDescent="0.2">
      <c r="B43" s="20" t="str">
        <f>IF(DAY(SepDom1)=1,IF(AND(YEAR(SepDom1+29)=AñoCalendario,MONTH(SepDom1+29)=9),SepDom1+29,""),IF(AND(YEAR(SepDom1+36)=AñoCalendario,MONTH(SepDom1+36)=9),SepDom1+36,""))</f>
        <v/>
      </c>
      <c r="C43" s="20" t="str">
        <f>IF(DAY(SepDom1)=1,IF(AND(YEAR(SepDom1+30)=AñoCalendario,MONTH(SepDom1+30)=9),SepDom1+30,""),IF(AND(YEAR(SepDom1+37)=AñoCalendario,MONTH(SepDom1+37)=9),SepDom1+37,""))</f>
        <v/>
      </c>
      <c r="D43" s="20" t="str">
        <f>IF(DAY(SepDom1)=1,IF(AND(YEAR(SepDom1+31)=AñoCalendario,MONTH(SepDom1+31)=9),SepDom1+31,""),IF(AND(YEAR(SepDom1+38)=AñoCalendario,MONTH(SepDom1+38)=9),SepDom1+38,""))</f>
        <v/>
      </c>
      <c r="E43" s="20" t="str">
        <f>IF(DAY(SepDom1)=1,IF(AND(YEAR(SepDom1+32)=AñoCalendario,MONTH(SepDom1+32)=9),SepDom1+32,""),IF(AND(YEAR(SepDom1+39)=AñoCalendario,MONTH(SepDom1+39)=9),SepDom1+39,""))</f>
        <v/>
      </c>
      <c r="F43" s="20" t="str">
        <f>IF(DAY(SepDom1)=1,IF(AND(YEAR(SepDom1+33)=AñoCalendario,MONTH(SepDom1+33)=9),SepDom1+33,""),IF(AND(YEAR(SepDom1+40)=AñoCalendario,MONTH(SepDom1+40)=9),SepDom1+40,""))</f>
        <v/>
      </c>
      <c r="G43" s="20" t="str">
        <f>IF(DAY(SepDom1)=1,IF(AND(YEAR(SepDom1+34)=AñoCalendario,MONTH(SepDom1+34)=9),SepDom1+34,""),IF(AND(YEAR(SepDom1+41)=AñoCalendario,MONTH(SepDom1+41)=9),SepDom1+41,""))</f>
        <v/>
      </c>
      <c r="H43" s="20" t="str">
        <f>IF(DAY(SepDom1)=1,IF(AND(YEAR(SepDom1+35)=AñoCalendario,MONTH(SepDom1+35)=9),SepDom1+35,""),IF(AND(YEAR(SepDom1+42)=AñoCalendario,MONTH(SepDom1+42)=9),SepDom1+42,""))</f>
        <v/>
      </c>
      <c r="J43" s="20" t="str">
        <f>IF(DAY(OctSun1)=1,IF(AND(YEAR(OctSun1+29)=AñoCalendario,MONTH(OctSun1+29)=10),OctSun1+29,""),IF(AND(YEAR(OctSun1+36)=AñoCalendario,MONTH(OctSun1+36)=10),OctSun1+36,""))</f>
        <v/>
      </c>
      <c r="K43" s="20" t="str">
        <f>IF(DAY(OctSun1)=1,IF(AND(YEAR(OctSun1+30)=AñoCalendario,MONTH(OctSun1+30)=10),OctSun1+30,""),IF(AND(YEAR(OctSun1+37)=AñoCalendario,MONTH(OctSun1+37)=10),OctSun1+37,""))</f>
        <v/>
      </c>
      <c r="L43" s="20" t="str">
        <f>IF(DAY(OctSun1)=1,IF(AND(YEAR(OctSun1+31)=AñoCalendario,MONTH(OctSun1+31)=10),OctSun1+31,""),IF(AND(YEAR(OctSun1+38)=AñoCalendario,MONTH(OctSun1+38)=10),OctSun1+38,""))</f>
        <v/>
      </c>
      <c r="M43" s="20" t="str">
        <f>IF(DAY(OctSun1)=1,IF(AND(YEAR(OctSun1+32)=AñoCalendario,MONTH(OctSun1+32)=10),OctSun1+32,""),IF(AND(YEAR(OctSun1+39)=AñoCalendario,MONTH(OctSun1+39)=10),OctSun1+39,""))</f>
        <v/>
      </c>
      <c r="N43" s="20" t="str">
        <f>IF(DAY(OctSun1)=1,IF(AND(YEAR(OctSun1+33)=AñoCalendario,MONTH(OctSun1+33)=10),OctSun1+33,""),IF(AND(YEAR(OctSun1+40)=AñoCalendario,MONTH(OctSun1+40)=10),OctSun1+40,""))</f>
        <v/>
      </c>
      <c r="O43" s="20" t="str">
        <f>IF(DAY(OctSun1)=1,IF(AND(YEAR(OctSun1+34)=AñoCalendario,MONTH(OctSun1+34)=10),OctSun1+34,""),IF(AND(YEAR(OctSun1+41)=AñoCalendario,MONTH(OctSun1+41)=10),OctSun1+41,""))</f>
        <v/>
      </c>
      <c r="P43" s="20" t="str">
        <f>IF(DAY(OctSun1)=1,IF(AND(YEAR(OctSun1+35)=AñoCalendario,MONTH(OctSun1+35)=10),OctSun1+35,""),IF(AND(YEAR(OctSun1+42)=AñoCalendario,MONTH(OctSun1+42)=10),OctSun1+42,""))</f>
        <v/>
      </c>
      <c r="Q43" s="16"/>
      <c r="R43" s="20">
        <f>IF(DAY(NovSun1)=1,IF(AND(YEAR(NovSun1+29)=AñoCalendario,MONTH(NovSun1+29)=11),NovSun1+29,""),IF(AND(YEAR(NovSun1+36)=AñoCalendario,MONTH(NovSun1+36)=11),NovSun1+36,""))</f>
        <v>44165</v>
      </c>
      <c r="S43" s="20" t="str">
        <f>IF(DAY(NovSun1)=1,IF(AND(YEAR(NovSun1+30)=AñoCalendario,MONTH(NovSun1+30)=11),NovSun1+30,""),IF(AND(YEAR(NovSun1+37)=AñoCalendario,MONTH(NovSun1+37)=11),NovSun1+37,""))</f>
        <v/>
      </c>
      <c r="T43" s="20" t="str">
        <f>IF(DAY(NovSun1)=1,IF(AND(YEAR(NovSun1+31)=AñoCalendario,MONTH(NovSun1+31)=11),NovSun1+31,""),IF(AND(YEAR(NovSun1+38)=AñoCalendario,MONTH(NovSun1+38)=11),NovSun1+38,""))</f>
        <v/>
      </c>
      <c r="U43" s="20" t="str">
        <f>IF(DAY(NovSun1)=1,IF(AND(YEAR(NovSun1+32)=AñoCalendario,MONTH(NovSun1+32)=11),NovSun1+32,""),IF(AND(YEAR(NovSun1+39)=AñoCalendario,MONTH(NovSun1+39)=11),NovSun1+39,""))</f>
        <v/>
      </c>
      <c r="V43" s="20" t="str">
        <f>IF(DAY(NovSun1)=1,IF(AND(YEAR(NovSun1+33)=AñoCalendario,MONTH(NovSun1+33)=11),NovSun1+33,""),IF(AND(YEAR(NovSun1+40)=AñoCalendario,MONTH(NovSun1+40)=11),NovSun1+40,""))</f>
        <v/>
      </c>
      <c r="W43" s="20" t="str">
        <f>IF(DAY(NovSun1)=1,IF(AND(YEAR(NovSun1+34)=AñoCalendario,MONTH(NovSun1+34)=11),NovSun1+34,""),IF(AND(YEAR(NovSun1+41)=AñoCalendario,MONTH(NovSun1+41)=11),NovSun1+41,""))</f>
        <v/>
      </c>
      <c r="X43" s="20" t="str">
        <f>IF(DAY(NovSun1)=1,IF(AND(YEAR(NovSun1+35)=AñoCalendario,MONTH(NovSun1+35)=11),NovSun1+35,""),IF(AND(YEAR(NovSun1+42)=AñoCalendario,MONTH(NovSun1+42)=11),NovSun1+42,""))</f>
        <v/>
      </c>
      <c r="Z43" s="20" t="str">
        <f>IF(DAY(DecSun1)=1,IF(AND(YEAR(DecSun1+29)=AñoCalendario,MONTH(DecSun1+29)=12),DecSun1+29,""),IF(AND(YEAR(DecSun1+36)=AñoCalendario,MONTH(DecSun1+36)=12),DecSun1+36,""))</f>
        <v/>
      </c>
      <c r="AA43" s="20" t="str">
        <f>IF(DAY(DecSun1)=1,IF(AND(YEAR(DecSun1+30)=AñoCalendario,MONTH(DecSun1+30)=12),DecSun1+30,""),IF(AND(YEAR(DecSun1+37)=AñoCalendario,MONTH(DecSun1+37)=12),DecSun1+37,""))</f>
        <v/>
      </c>
      <c r="AB43" s="20" t="str">
        <f>IF(DAY(DecSun1)=1,IF(AND(YEAR(DecSun1+31)=AñoCalendario,MONTH(DecSun1+31)=12),DecSun1+31,""),IF(AND(YEAR(DecSun1+38)=AñoCalendario,MONTH(DecSun1+38)=12),DecSun1+38,""))</f>
        <v/>
      </c>
      <c r="AC43" s="20" t="str">
        <f>IF(DAY(DecSun1)=1,IF(AND(YEAR(DecSun1+32)=AñoCalendario,MONTH(DecSun1+32)=12),DecSun1+32,""),IF(AND(YEAR(DecSun1+39)=AñoCalendario,MONTH(DecSun1+39)=12),DecSun1+39,""))</f>
        <v/>
      </c>
      <c r="AD43" s="20" t="str">
        <f>IF(DAY(DecSun1)=1,IF(AND(YEAR(DecSun1+33)=AñoCalendario,MONTH(DecSun1+33)=12),DecSun1+33,""),IF(AND(YEAR(DecSun1+40)=AñoCalendario,MONTH(DecSun1+40)=12),DecSun1+40,""))</f>
        <v/>
      </c>
      <c r="AE43" s="20" t="str">
        <f>IF(DAY(DecSun1)=1,IF(AND(YEAR(DecSun1+34)=AñoCalendario,MONTH(DecSun1+34)=12),DecSun1+34,""),IF(AND(YEAR(DecSun1+41)=AñoCalendario,MONTH(DecSun1+41)=12),DecSun1+41,""))</f>
        <v/>
      </c>
      <c r="AF43" s="20" t="str">
        <f>IF(DAY(DecSun1)=1,IF(AND(YEAR(DecSun1+35)=AñoCalendario,MONTH(DecSun1+35)=12),DecSun1+35,""),IF(AND(YEAR(DecSun1+42)=AñoCalendario,MONTH(DecSun1+42)=12),DecSun1+42,""))</f>
        <v/>
      </c>
    </row>
  </sheetData>
  <mergeCells count="54">
    <mergeCell ref="C14:F14"/>
    <mergeCell ref="Z2:AF2"/>
    <mergeCell ref="C10:F10"/>
    <mergeCell ref="B36:H36"/>
    <mergeCell ref="J36:P36"/>
    <mergeCell ref="R36:X36"/>
    <mergeCell ref="Z36:AF36"/>
    <mergeCell ref="B18:H18"/>
    <mergeCell ref="J18:P18"/>
    <mergeCell ref="R18:X18"/>
    <mergeCell ref="Z18:AF18"/>
    <mergeCell ref="B27:H27"/>
    <mergeCell ref="J27:P27"/>
    <mergeCell ref="R27:X27"/>
    <mergeCell ref="Z27:AF27"/>
    <mergeCell ref="C8:F8"/>
    <mergeCell ref="C9:F9"/>
    <mergeCell ref="C12:F12"/>
    <mergeCell ref="C13:F13"/>
    <mergeCell ref="C11:F11"/>
    <mergeCell ref="R5:U5"/>
    <mergeCell ref="R6:U6"/>
    <mergeCell ref="R7:U7"/>
    <mergeCell ref="G5:P5"/>
    <mergeCell ref="G6:P6"/>
    <mergeCell ref="G7:P7"/>
    <mergeCell ref="G8:P8"/>
    <mergeCell ref="G9:P9"/>
    <mergeCell ref="G10:P10"/>
    <mergeCell ref="G11:P11"/>
    <mergeCell ref="G12:P12"/>
    <mergeCell ref="G13:P13"/>
    <mergeCell ref="AH2:AI2"/>
    <mergeCell ref="C5:F5"/>
    <mergeCell ref="C6:F6"/>
    <mergeCell ref="C7:F7"/>
    <mergeCell ref="R14:U14"/>
    <mergeCell ref="R11:U11"/>
    <mergeCell ref="R12:U12"/>
    <mergeCell ref="R13:U13"/>
    <mergeCell ref="R8:U8"/>
    <mergeCell ref="R9:U9"/>
    <mergeCell ref="R10:U10"/>
    <mergeCell ref="V5:AE5"/>
    <mergeCell ref="V6:AE6"/>
    <mergeCell ref="V7:AE7"/>
    <mergeCell ref="V8:AE8"/>
    <mergeCell ref="V9:AE9"/>
    <mergeCell ref="G14:P14"/>
    <mergeCell ref="V10:AE10"/>
    <mergeCell ref="V11:AE11"/>
    <mergeCell ref="V12:AE12"/>
    <mergeCell ref="V13:AE13"/>
    <mergeCell ref="V14:AE14"/>
  </mergeCells>
  <conditionalFormatting sqref="B20:H25 J20:P25 R20:X25 Z20:AF25">
    <cfRule type="expression" dxfId="110" priority="3" stopIfTrue="1">
      <formula>VLOOKUP(B20,Fechas_Nacimiento,1,FALSE)=B20</formula>
    </cfRule>
  </conditionalFormatting>
  <conditionalFormatting sqref="B29:H34 J29:P34 R29:X34 Z29:AF34">
    <cfRule type="expression" dxfId="109" priority="2">
      <formula>VLOOKUP(B29,Fechas_Nacimiento,1,FALSE)=B29</formula>
    </cfRule>
  </conditionalFormatting>
  <conditionalFormatting sqref="Z38:AF43 R38:X43 J38:P43 B38:H43">
    <cfRule type="expression" dxfId="108" priority="1">
      <formula>VLOOKUP(B38,Fechas_Nacimiento,1,FALSE)=B38</formula>
    </cfRule>
  </conditionalFormatting>
  <dataValidations count="4">
    <dataValidation allowBlank="1" showInputMessage="1" showErrorMessage="1" promptTitle="Calendario de cumpleaños" prompt="_x000a_Seleccione un año utilizando el control numérico._x000a__x000a_Escriba las fechas de cumpleaños en la tabla siguiente. Las fechas se resaltan automáticamente en los calendarios." sqref="A1" xr:uid="{00000000-0002-0000-0000-000000000000}"/>
    <dataValidation allowBlank="1" showInputMessage="1" showErrorMessage="1" prompt="Escriba las fechas de cumpleaños en esta columna" sqref="C5:F5 R5" xr:uid="{00000000-0002-0000-0000-000001000000}"/>
    <dataValidation allowBlank="1" showInputMessage="1" showErrorMessage="1" prompt="Escriba las personas que celebran el cumpleaños en esta columna" sqref="V5 G5" xr:uid="{00000000-0002-0000-0000-000002000000}"/>
    <dataValidation allowBlank="1" showInputMessage="1" showErrorMessage="1" prompt="Use el control numérico para cambiar fácilmente el año natural" sqref="Z2" xr:uid="{00000000-0002-0000-0000-000003000000}"/>
  </dataValidations>
  <printOptions horizontalCentered="1"/>
  <pageMargins left="0.25" right="0.25" top="0.5" bottom="0.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ontrol numérico">
              <controlPr defaultSize="0" print="0" autoPict="0" altText="Use el botón giratorio para cambiar el año del calendario o cambiar el año en la celda AE1_x000a_">
                <anchor moveWithCells="1">
                  <from>
                    <xdr:col>32</xdr:col>
                    <xdr:colOff>0</xdr:colOff>
                    <xdr:row>1</xdr:row>
                    <xdr:rowOff>238125</xdr:rowOff>
                  </from>
                  <to>
                    <xdr:col>33</xdr:col>
                    <xdr:colOff>28575</xdr:colOff>
                    <xdr:row>1</xdr:row>
                    <xdr:rowOff>542925</xdr:rowOff>
                  </to>
                </anchor>
              </controlPr>
            </control>
          </mc:Choice>
        </mc:AlternateContent>
      </controls>
    </mc:Choice>
  </mc:AlternateContent>
  <tableParts count="1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1c2eb7a32e66fb6e4260f3771546a5e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04e1f6479c48b08974ba73b5ca973489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3A0A3DD7-9829-4E94-A753-5B103F4ED2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DCAB5A-50EB-4D5F-8EF8-B9522B89F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0BC613-127D-4442-8E19-5320B978A842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Calendario de cumpleaños</vt:lpstr>
      <vt:lpstr>AñoCalendario</vt:lpstr>
      <vt:lpstr>'Calendario de cumpleaños'!Área_de_impresión</vt:lpstr>
      <vt:lpstr>Fechas_Nacimiento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2019-02-18T22:56:26Z</dcterms:created>
  <dcterms:modified xsi:type="dcterms:W3CDTF">2020-04-23T20:12:45Z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