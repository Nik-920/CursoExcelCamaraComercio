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filterPrivacy="1" codeName="ThisWorkbook" autoCompressPictures="0"/>
  <xr:revisionPtr revIDLastSave="0" documentId="8_{43ECDE77-A27C-4D63-AB10-3C1679B60BCA}" xr6:coauthVersionLast="45" xr6:coauthVersionMax="45" xr10:uidLastSave="{00000000-0000-0000-0000-000000000000}"/>
  <bookViews>
    <workbookView xWindow="-120" yWindow="-120" windowWidth="20730" windowHeight="11160" tabRatio="788" xr2:uid="{00000000-000D-0000-FFFF-FFFF00000000}"/>
  </bookViews>
  <sheets>
    <sheet name="Enero" sheetId="14" r:id="rId1"/>
    <sheet name="Febrero" sheetId="15" r:id="rId2"/>
    <sheet name="Marzo" sheetId="16" r:id="rId3"/>
    <sheet name="Abril" sheetId="17" r:id="rId4"/>
    <sheet name="Mayo" sheetId="18" r:id="rId5"/>
    <sheet name="Junio" sheetId="19" r:id="rId6"/>
    <sheet name="Julio" sheetId="20" r:id="rId7"/>
    <sheet name="Agosto" sheetId="21" r:id="rId8"/>
    <sheet name="Septiembre" sheetId="22" r:id="rId9"/>
    <sheet name="Octubre" sheetId="23" r:id="rId10"/>
    <sheet name="Noviembre" sheetId="24" r:id="rId11"/>
    <sheet name="Diciembre" sheetId="25" r:id="rId12"/>
  </sheets>
  <definedNames>
    <definedName name="_xlnm.Print_Area" localSheetId="3">Abril!$A:$I</definedName>
    <definedName name="_xlnm.Print_Area" localSheetId="7">Agosto!$A:$I</definedName>
    <definedName name="_xlnm.Print_Area" localSheetId="11">Diciembre!$A:$I</definedName>
    <definedName name="_xlnm.Print_Area" localSheetId="0">Enero!$A:$I</definedName>
    <definedName name="_xlnm.Print_Area" localSheetId="1">Febrero!$A:$I</definedName>
    <definedName name="_xlnm.Print_Area" localSheetId="6">Julio!$A:$I</definedName>
    <definedName name="_xlnm.Print_Area" localSheetId="5">Junio!$A:$I</definedName>
    <definedName name="_xlnm.Print_Area" localSheetId="2">Marzo!$A:$I</definedName>
    <definedName name="_xlnm.Print_Area" localSheetId="4">Mayo!$A:$I</definedName>
    <definedName name="_xlnm.Print_Area" localSheetId="10">Noviembre!$A:$I</definedName>
    <definedName name="_xlnm.Print_Area" localSheetId="9">Octubre!$A:$I</definedName>
    <definedName name="_xlnm.Print_Area" localSheetId="8">Septiembre!$A:$I</definedName>
    <definedName name="CalendarYear">Enero!$K$5</definedName>
    <definedName name="ColumnTitleRegion1..H12.1">Enero!$B$3</definedName>
    <definedName name="ColumnTitleRegion1..H12.10">Octubre!$B$3</definedName>
    <definedName name="ColumnTitleRegion1..H12.11">Noviembre!$B$3</definedName>
    <definedName name="ColumnTitleRegion1..H12.12">Diciembre!$B$3</definedName>
    <definedName name="ColumnTitleRegion1..H12.2">Febrero!$B$3</definedName>
    <definedName name="ColumnTitleRegion1..H12.3">Marzo!$B$3</definedName>
    <definedName name="ColumnTitleRegion1..H12.4">Abril!$B$3</definedName>
    <definedName name="ColumnTitleRegion1..H12.5">Mayo!$B$3</definedName>
    <definedName name="ColumnTitleRegion1..H12.6">Junio!$B$3</definedName>
    <definedName name="ColumnTitleRegion1..H12.7">Julio!$B$3</definedName>
    <definedName name="ColumnTitleRegion1..H12.8">Agosto!$B$3</definedName>
    <definedName name="ColumnTitleRegion1..H12.9">Septiembre!$B$3</definedName>
    <definedName name="ColumnTitleRegion2..C14.1">Enero!$B$3</definedName>
    <definedName name="ColumnTitleRegion2..C14.10">Octubre!$B$3</definedName>
    <definedName name="ColumnTitleRegion2..C14.11">Noviembre!$B$3</definedName>
    <definedName name="ColumnTitleRegion2..C14.12">Diciembre!$B$3</definedName>
    <definedName name="ColumnTitleRegion2..C14.2">Febrero!$B$3</definedName>
    <definedName name="ColumnTitleRegion2..C14.3">Marzo!$B$3</definedName>
    <definedName name="ColumnTitleRegion2..C14.4">Abril!$B$3</definedName>
    <definedName name="ColumnTitleRegion2..C14.5">Mayo!$B$3</definedName>
    <definedName name="ColumnTitleRegion2..C14.6">Junio!$B$3</definedName>
    <definedName name="ColumnTitleRegion2..C14.7">Julio!$B$3</definedName>
    <definedName name="ColumnTitleRegion2..C14.8">Agosto!$B$3</definedName>
    <definedName name="ColumnTitleRegion2..C14.9">Septiembre!$B$3</definedName>
    <definedName name="DaysAndWeeks">{0,1,2,3,4,5,6} + {0;1;2;3;4;5}*7</definedName>
    <definedName name="RowTitleRegion1..K3">Enero!$K$4</definedName>
    <definedName name="WeekStart">Enero!$L$5</definedName>
  </definedNames>
  <calcPr calcId="18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B14" i="15" l="1" a="1"/>
  <c r="C14" i="15" s="1"/>
  <c r="F12" i="15"/>
  <c r="B12" i="15"/>
  <c r="B12" i="15" a="1"/>
  <c r="G12" i="15" s="1"/>
  <c r="B10" i="15" a="1"/>
  <c r="G10" i="15" s="1"/>
  <c r="F8" i="15"/>
  <c r="D8" i="15"/>
  <c r="B8" i="15"/>
  <c r="B8" i="15" a="1"/>
  <c r="G8" i="15" s="1"/>
  <c r="D6" i="15"/>
  <c r="B6" i="15" a="1"/>
  <c r="G6" i="15" s="1"/>
  <c r="F4" i="15"/>
  <c r="B4" i="15" a="1"/>
  <c r="G4" i="15" s="1"/>
  <c r="C14" i="16"/>
  <c r="B14" i="16" a="1"/>
  <c r="B14" i="16" s="1"/>
  <c r="B12" i="16" a="1"/>
  <c r="G12" i="16" s="1"/>
  <c r="B10" i="16" a="1"/>
  <c r="G10" i="16" s="1"/>
  <c r="G8" i="16"/>
  <c r="B8" i="16" a="1"/>
  <c r="C8" i="16" s="1"/>
  <c r="B6" i="16" a="1"/>
  <c r="G6" i="16" s="1"/>
  <c r="B4" i="16" a="1"/>
  <c r="G4" i="16" s="1"/>
  <c r="B14" i="17" a="1"/>
  <c r="C14" i="17" s="1"/>
  <c r="F12" i="17"/>
  <c r="B12" i="17" a="1"/>
  <c r="G12" i="17" s="1"/>
  <c r="B10" i="17" a="1"/>
  <c r="G10" i="17" s="1"/>
  <c r="F8" i="17"/>
  <c r="D8" i="17"/>
  <c r="B8" i="17"/>
  <c r="B8" i="17" a="1"/>
  <c r="G8" i="17" s="1"/>
  <c r="F6" i="17"/>
  <c r="D6" i="17"/>
  <c r="B6" i="17" a="1"/>
  <c r="G6" i="17" s="1"/>
  <c r="F4" i="17"/>
  <c r="B4" i="17" a="1"/>
  <c r="G4" i="17" s="1"/>
  <c r="B14" i="18" a="1"/>
  <c r="B14" i="18" s="1"/>
  <c r="B12" i="18" a="1"/>
  <c r="B10" i="18" a="1"/>
  <c r="B8" i="18" a="1"/>
  <c r="B6" i="18" a="1"/>
  <c r="B4" i="18" a="1"/>
  <c r="B14" i="19" a="1"/>
  <c r="C14" i="19" s="1"/>
  <c r="B12" i="19" a="1"/>
  <c r="G12" i="19" s="1"/>
  <c r="F10" i="19"/>
  <c r="D10" i="19"/>
  <c r="B10" i="19"/>
  <c r="B10" i="19" a="1"/>
  <c r="G10" i="19" s="1"/>
  <c r="F8" i="19"/>
  <c r="D8" i="19"/>
  <c r="B8" i="19" a="1"/>
  <c r="G8" i="19" s="1"/>
  <c r="B6" i="19" a="1"/>
  <c r="G6" i="19" s="1"/>
  <c r="B4" i="19" a="1"/>
  <c r="H4" i="19" s="1"/>
  <c r="B14" i="20" a="1"/>
  <c r="C14" i="20" s="1"/>
  <c r="F12" i="20"/>
  <c r="B12" i="20" a="1"/>
  <c r="G12" i="20" s="1"/>
  <c r="B10" i="20" a="1"/>
  <c r="G10" i="20" s="1"/>
  <c r="F8" i="20"/>
  <c r="D8" i="20"/>
  <c r="B8" i="20"/>
  <c r="B8" i="20" a="1"/>
  <c r="G8" i="20" s="1"/>
  <c r="F6" i="20"/>
  <c r="D6" i="20"/>
  <c r="B6" i="20" a="1"/>
  <c r="G6" i="20" s="1"/>
  <c r="F4" i="20"/>
  <c r="B4" i="20" a="1"/>
  <c r="G4" i="20" s="1"/>
  <c r="B14" i="21" a="1"/>
  <c r="B14" i="21" s="1"/>
  <c r="B12" i="21" a="1"/>
  <c r="H12" i="21" s="1"/>
  <c r="B10" i="21" a="1"/>
  <c r="H10" i="21" s="1"/>
  <c r="B8" i="21" a="1"/>
  <c r="H8" i="21" s="1"/>
  <c r="B6" i="21" a="1"/>
  <c r="H6" i="21" s="1"/>
  <c r="B4" i="21" a="1"/>
  <c r="H4" i="21" s="1"/>
  <c r="B14" i="22" a="1"/>
  <c r="C14" i="22" s="1"/>
  <c r="B12" i="22" a="1"/>
  <c r="G12" i="22" s="1"/>
  <c r="D10" i="22"/>
  <c r="B10" i="22"/>
  <c r="B10" i="22" a="1"/>
  <c r="G10" i="22" s="1"/>
  <c r="F8" i="22"/>
  <c r="D8" i="22"/>
  <c r="B8" i="22" a="1"/>
  <c r="G8" i="22" s="1"/>
  <c r="F6" i="22"/>
  <c r="B6" i="22" a="1"/>
  <c r="G6" i="22" s="1"/>
  <c r="B4" i="22" a="1"/>
  <c r="G4" i="22" s="1"/>
  <c r="B14" i="23" a="1"/>
  <c r="B14" i="23" s="1"/>
  <c r="B12" i="23" a="1"/>
  <c r="H12" i="23" s="1"/>
  <c r="B10" i="23" a="1"/>
  <c r="H10" i="23" s="1"/>
  <c r="B8" i="23" a="1"/>
  <c r="H8" i="23" s="1"/>
  <c r="B6" i="23" a="1"/>
  <c r="H6" i="23" s="1"/>
  <c r="B4" i="23" a="1"/>
  <c r="H4" i="23" s="1"/>
  <c r="B14" i="24" a="1"/>
  <c r="C14" i="24" s="1"/>
  <c r="D12" i="24"/>
  <c r="B12" i="24"/>
  <c r="B12" i="24" a="1"/>
  <c r="G12" i="24" s="1"/>
  <c r="F10" i="24"/>
  <c r="D10" i="24"/>
  <c r="B10" i="24" a="1"/>
  <c r="G10" i="24" s="1"/>
  <c r="F8" i="24"/>
  <c r="B8" i="24" a="1"/>
  <c r="G8" i="24" s="1"/>
  <c r="B6" i="24" a="1"/>
  <c r="G6" i="24" s="1"/>
  <c r="D4" i="24"/>
  <c r="B4" i="24"/>
  <c r="B4" i="24" a="1"/>
  <c r="G4" i="24" s="1"/>
  <c r="B14" i="25" a="1"/>
  <c r="B14" i="25" s="1"/>
  <c r="B12" i="25" a="1"/>
  <c r="H12" i="25" s="1"/>
  <c r="B10" i="25" a="1"/>
  <c r="H10" i="25" s="1"/>
  <c r="B8" i="25" a="1"/>
  <c r="H8" i="25" s="1"/>
  <c r="B6" i="25" a="1"/>
  <c r="H6" i="25" s="1"/>
  <c r="B4" i="25" a="1"/>
  <c r="H4" i="25" s="1"/>
  <c r="B14" i="14"/>
  <c r="B14" i="14" a="1"/>
  <c r="C14" i="14" s="1"/>
  <c r="F12" i="14"/>
  <c r="D12" i="14"/>
  <c r="B12" i="14" a="1"/>
  <c r="G12" i="14" s="1"/>
  <c r="F10" i="14"/>
  <c r="B10" i="14" a="1"/>
  <c r="G10" i="14" s="1"/>
  <c r="B8" i="14" a="1"/>
  <c r="G8" i="14" s="1"/>
  <c r="D6" i="14"/>
  <c r="B6" i="14"/>
  <c r="B6" i="14" a="1"/>
  <c r="G6" i="14" s="1"/>
  <c r="F4" i="14"/>
  <c r="D4" i="14"/>
  <c r="B4" i="14" a="1"/>
  <c r="G4" i="14" s="1"/>
  <c r="B2" i="25"/>
  <c r="B2" i="24"/>
  <c r="B2" i="23"/>
  <c r="B2" i="22"/>
  <c r="B2" i="21"/>
  <c r="B2" i="20"/>
  <c r="B2" i="19"/>
  <c r="B2" i="18"/>
  <c r="B2" i="17"/>
  <c r="B2" i="16"/>
  <c r="B2" i="15"/>
  <c r="B2" i="14"/>
  <c r="H8" i="14" l="1"/>
  <c r="H12" i="22"/>
  <c r="H10" i="15"/>
  <c r="B6" i="24"/>
  <c r="H8" i="24"/>
  <c r="B14" i="24"/>
  <c r="B4" i="22"/>
  <c r="H6" i="22"/>
  <c r="B12" i="22"/>
  <c r="H4" i="20"/>
  <c r="B10" i="20"/>
  <c r="H12" i="20"/>
  <c r="B12" i="19"/>
  <c r="H4" i="17"/>
  <c r="B10" i="17"/>
  <c r="H12" i="17"/>
  <c r="C12" i="16"/>
  <c r="H4" i="15"/>
  <c r="F6" i="15"/>
  <c r="B10" i="15"/>
  <c r="H12" i="15"/>
  <c r="H4" i="22"/>
  <c r="H12" i="19"/>
  <c r="H10" i="17"/>
  <c r="B8" i="14"/>
  <c r="H10" i="14"/>
  <c r="H4" i="14"/>
  <c r="F6" i="14"/>
  <c r="D8" i="14"/>
  <c r="B10" i="14"/>
  <c r="H12" i="14"/>
  <c r="F4" i="24"/>
  <c r="D6" i="24"/>
  <c r="B8" i="24"/>
  <c r="H10" i="24"/>
  <c r="F12" i="24"/>
  <c r="D4" i="22"/>
  <c r="B6" i="22"/>
  <c r="H8" i="22"/>
  <c r="F10" i="22"/>
  <c r="D12" i="22"/>
  <c r="B14" i="22"/>
  <c r="B4" i="20"/>
  <c r="H6" i="20"/>
  <c r="D10" i="20"/>
  <c r="B12" i="20"/>
  <c r="H8" i="19"/>
  <c r="D12" i="19"/>
  <c r="B14" i="19"/>
  <c r="B4" i="17"/>
  <c r="H6" i="17"/>
  <c r="D10" i="17"/>
  <c r="B12" i="17"/>
  <c r="C10" i="16"/>
  <c r="B4" i="15"/>
  <c r="H6" i="15"/>
  <c r="D10" i="15"/>
  <c r="H6" i="24"/>
  <c r="H10" i="20"/>
  <c r="B4" i="14"/>
  <c r="H6" i="14"/>
  <c r="F8" i="14"/>
  <c r="D10" i="14"/>
  <c r="B12" i="14"/>
  <c r="H4" i="24"/>
  <c r="F6" i="24"/>
  <c r="D8" i="24"/>
  <c r="B10" i="24"/>
  <c r="H12" i="24"/>
  <c r="F4" i="22"/>
  <c r="D6" i="22"/>
  <c r="B8" i="22"/>
  <c r="H10" i="22"/>
  <c r="F12" i="22"/>
  <c r="D4" i="20"/>
  <c r="B6" i="20"/>
  <c r="H8" i="20"/>
  <c r="F10" i="20"/>
  <c r="D12" i="20"/>
  <c r="B14" i="20"/>
  <c r="B8" i="19"/>
  <c r="H10" i="19"/>
  <c r="F12" i="19"/>
  <c r="D4" i="17"/>
  <c r="B6" i="17"/>
  <c r="H8" i="17"/>
  <c r="F10" i="17"/>
  <c r="D12" i="17"/>
  <c r="B14" i="17"/>
  <c r="D4" i="15"/>
  <c r="B6" i="15"/>
  <c r="H8" i="15"/>
  <c r="F10" i="15"/>
  <c r="D12" i="15"/>
  <c r="B14" i="15"/>
  <c r="C4" i="25"/>
  <c r="E4" i="25"/>
  <c r="G4" i="25"/>
  <c r="C8" i="25"/>
  <c r="E8" i="25"/>
  <c r="G8" i="25"/>
  <c r="C12" i="25"/>
  <c r="E12" i="25"/>
  <c r="G12" i="25"/>
  <c r="C14" i="25"/>
  <c r="C4" i="23"/>
  <c r="E4" i="23"/>
  <c r="G4" i="23"/>
  <c r="C6" i="23"/>
  <c r="E6" i="23"/>
  <c r="G6" i="23"/>
  <c r="C8" i="23"/>
  <c r="E8" i="23"/>
  <c r="G8" i="23"/>
  <c r="C10" i="23"/>
  <c r="E10" i="23"/>
  <c r="G10" i="23"/>
  <c r="C12" i="23"/>
  <c r="E12" i="23"/>
  <c r="G12" i="23"/>
  <c r="C14" i="23"/>
  <c r="C4" i="21"/>
  <c r="E4" i="21"/>
  <c r="G4" i="21"/>
  <c r="C6" i="21"/>
  <c r="E6" i="21"/>
  <c r="G6" i="21"/>
  <c r="C8" i="21"/>
  <c r="E8" i="21"/>
  <c r="G8" i="21"/>
  <c r="C10" i="21"/>
  <c r="E10" i="21"/>
  <c r="G10" i="21"/>
  <c r="C12" i="21"/>
  <c r="E12" i="21"/>
  <c r="G12" i="21"/>
  <c r="C14" i="21"/>
  <c r="C4" i="19"/>
  <c r="E4" i="19"/>
  <c r="G4" i="19"/>
  <c r="C6" i="19"/>
  <c r="E6" i="19"/>
  <c r="H6" i="19"/>
  <c r="H4" i="18"/>
  <c r="F4" i="18"/>
  <c r="D4" i="18"/>
  <c r="B4" i="18"/>
  <c r="E4" i="18"/>
  <c r="H6" i="18"/>
  <c r="F6" i="18"/>
  <c r="D6" i="18"/>
  <c r="B6" i="18"/>
  <c r="E6" i="18"/>
  <c r="H8" i="18"/>
  <c r="F8" i="18"/>
  <c r="D8" i="18"/>
  <c r="B8" i="18"/>
  <c r="E8" i="18"/>
  <c r="H10" i="18"/>
  <c r="F10" i="18"/>
  <c r="D10" i="18"/>
  <c r="B10" i="18"/>
  <c r="E10" i="18"/>
  <c r="H12" i="18"/>
  <c r="F12" i="18"/>
  <c r="D12" i="18"/>
  <c r="B12" i="18"/>
  <c r="E12" i="18"/>
  <c r="C4" i="16"/>
  <c r="C6" i="16"/>
  <c r="C6" i="25"/>
  <c r="E6" i="25"/>
  <c r="G6" i="25"/>
  <c r="C10" i="25"/>
  <c r="E10" i="25"/>
  <c r="G10" i="25"/>
  <c r="C4" i="14"/>
  <c r="E4" i="14"/>
  <c r="C6" i="14"/>
  <c r="E6" i="14"/>
  <c r="C8" i="14"/>
  <c r="E8" i="14"/>
  <c r="C10" i="14"/>
  <c r="E10" i="14"/>
  <c r="C12" i="14"/>
  <c r="E12" i="14"/>
  <c r="B4" i="25"/>
  <c r="D4" i="25"/>
  <c r="F4" i="25"/>
  <c r="B6" i="25"/>
  <c r="D6" i="25"/>
  <c r="F6" i="25"/>
  <c r="B8" i="25"/>
  <c r="D8" i="25"/>
  <c r="F8" i="25"/>
  <c r="B10" i="25"/>
  <c r="D10" i="25"/>
  <c r="F10" i="25"/>
  <c r="B12" i="25"/>
  <c r="D12" i="25"/>
  <c r="F12" i="25"/>
  <c r="C4" i="24"/>
  <c r="E4" i="24"/>
  <c r="C6" i="24"/>
  <c r="E6" i="24"/>
  <c r="C8" i="24"/>
  <c r="E8" i="24"/>
  <c r="C10" i="24"/>
  <c r="E10" i="24"/>
  <c r="C12" i="24"/>
  <c r="E12" i="24"/>
  <c r="B4" i="23"/>
  <c r="D4" i="23"/>
  <c r="F4" i="23"/>
  <c r="B6" i="23"/>
  <c r="D6" i="23"/>
  <c r="F6" i="23"/>
  <c r="B8" i="23"/>
  <c r="D8" i="23"/>
  <c r="F8" i="23"/>
  <c r="B10" i="23"/>
  <c r="D10" i="23"/>
  <c r="F10" i="23"/>
  <c r="B12" i="23"/>
  <c r="D12" i="23"/>
  <c r="F12" i="23"/>
  <c r="C4" i="22"/>
  <c r="E4" i="22"/>
  <c r="C6" i="22"/>
  <c r="E6" i="22"/>
  <c r="C8" i="22"/>
  <c r="E8" i="22"/>
  <c r="C10" i="22"/>
  <c r="E10" i="22"/>
  <c r="C12" i="22"/>
  <c r="E12" i="22"/>
  <c r="B4" i="21"/>
  <c r="D4" i="21"/>
  <c r="F4" i="21"/>
  <c r="B6" i="21"/>
  <c r="D6" i="21"/>
  <c r="F6" i="21"/>
  <c r="B8" i="21"/>
  <c r="D8" i="21"/>
  <c r="F8" i="21"/>
  <c r="B10" i="21"/>
  <c r="D10" i="21"/>
  <c r="F10" i="21"/>
  <c r="B12" i="21"/>
  <c r="D12" i="21"/>
  <c r="F12" i="21"/>
  <c r="C4" i="20"/>
  <c r="E4" i="20"/>
  <c r="C6" i="20"/>
  <c r="E6" i="20"/>
  <c r="C8" i="20"/>
  <c r="E8" i="20"/>
  <c r="C10" i="20"/>
  <c r="E10" i="20"/>
  <c r="C12" i="20"/>
  <c r="E12" i="20"/>
  <c r="B4" i="19"/>
  <c r="D4" i="19"/>
  <c r="F4" i="19"/>
  <c r="B6" i="19"/>
  <c r="D6" i="19"/>
  <c r="F6" i="19"/>
  <c r="C4" i="18"/>
  <c r="G4" i="18"/>
  <c r="C6" i="18"/>
  <c r="G6" i="18"/>
  <c r="C8" i="18"/>
  <c r="G8" i="18"/>
  <c r="C10" i="18"/>
  <c r="G10" i="18"/>
  <c r="C12" i="18"/>
  <c r="G12" i="18"/>
  <c r="C14" i="18"/>
  <c r="H4" i="16"/>
  <c r="F4" i="16"/>
  <c r="D4" i="16"/>
  <c r="B4" i="16"/>
  <c r="E4" i="16"/>
  <c r="H6" i="16"/>
  <c r="F6" i="16"/>
  <c r="D6" i="16"/>
  <c r="B6" i="16"/>
  <c r="E6" i="16"/>
  <c r="H8" i="16"/>
  <c r="F8" i="16"/>
  <c r="D8" i="16"/>
  <c r="B8" i="16"/>
  <c r="E8" i="16"/>
  <c r="H10" i="16"/>
  <c r="F10" i="16"/>
  <c r="D10" i="16"/>
  <c r="B10" i="16"/>
  <c r="E10" i="16"/>
  <c r="H12" i="16"/>
  <c r="F12" i="16"/>
  <c r="D12" i="16"/>
  <c r="B12" i="16"/>
  <c r="E12" i="16"/>
  <c r="C8" i="19"/>
  <c r="E8" i="19"/>
  <c r="C10" i="19"/>
  <c r="E10" i="19"/>
  <c r="C12" i="19"/>
  <c r="E12" i="19"/>
  <c r="C4" i="17"/>
  <c r="E4" i="17"/>
  <c r="C6" i="17"/>
  <c r="E6" i="17"/>
  <c r="C8" i="17"/>
  <c r="E8" i="17"/>
  <c r="C10" i="17"/>
  <c r="E10" i="17"/>
  <c r="C12" i="17"/>
  <c r="E12" i="17"/>
  <c r="C4" i="15"/>
  <c r="E4" i="15"/>
  <c r="C6" i="15"/>
  <c r="E6" i="15"/>
  <c r="C8" i="15"/>
  <c r="E8" i="15"/>
  <c r="C10" i="15"/>
  <c r="E10" i="15"/>
  <c r="C12" i="15"/>
  <c r="E12" i="15"/>
  <c r="B3" i="24"/>
  <c r="B3" i="23"/>
  <c r="B3" i="22"/>
  <c r="B3" i="21"/>
  <c r="B3" i="20"/>
  <c r="B3" i="19" l="1"/>
  <c r="B3" i="18"/>
  <c r="B3" i="17"/>
  <c r="B3" i="16" l="1"/>
  <c r="B3" i="25" l="1"/>
  <c r="B3" i="15" l="1"/>
  <c r="G3" i="25" l="1"/>
  <c r="G3" i="24"/>
  <c r="G3" i="23"/>
  <c r="H3" i="22"/>
  <c r="G3" i="21"/>
  <c r="E3" i="20"/>
  <c r="H3" i="19"/>
  <c r="G3" i="18"/>
  <c r="H3" i="17"/>
  <c r="H3" i="16"/>
  <c r="H3" i="15"/>
  <c r="F3" i="18" l="1"/>
  <c r="D3" i="18"/>
  <c r="H3" i="18"/>
  <c r="D3" i="25"/>
  <c r="F3" i="25"/>
  <c r="H3" i="25"/>
  <c r="C3" i="25"/>
  <c r="E3" i="25"/>
  <c r="D3" i="24"/>
  <c r="F3" i="24"/>
  <c r="H3" i="24"/>
  <c r="C3" i="24"/>
  <c r="E3" i="24"/>
  <c r="D3" i="23"/>
  <c r="F3" i="23"/>
  <c r="H3" i="23"/>
  <c r="C3" i="23"/>
  <c r="E3" i="23"/>
  <c r="C3" i="22"/>
  <c r="E3" i="22"/>
  <c r="G3" i="22"/>
  <c r="D3" i="22"/>
  <c r="F3" i="22"/>
  <c r="D3" i="21"/>
  <c r="F3" i="21"/>
  <c r="H3" i="21"/>
  <c r="C3" i="21"/>
  <c r="E3" i="21"/>
  <c r="C3" i="20"/>
  <c r="G3" i="20"/>
  <c r="D3" i="20"/>
  <c r="F3" i="20"/>
  <c r="H3" i="20"/>
  <c r="C3" i="19"/>
  <c r="E3" i="19"/>
  <c r="G3" i="19"/>
  <c r="D3" i="19"/>
  <c r="F3" i="19"/>
  <c r="C3" i="18"/>
  <c r="E3" i="18"/>
  <c r="C3" i="17"/>
  <c r="E3" i="17"/>
  <c r="G3" i="17"/>
  <c r="D3" i="17"/>
  <c r="F3" i="17"/>
  <c r="C3" i="16"/>
  <c r="E3" i="16"/>
  <c r="G3" i="16"/>
  <c r="D3" i="16"/>
  <c r="F3" i="16"/>
  <c r="C3" i="15"/>
  <c r="E3" i="15"/>
  <c r="G3" i="15"/>
  <c r="D3" i="15"/>
  <c r="F3" i="15"/>
  <c r="B3" i="14"/>
  <c r="G3" i="14" l="1"/>
  <c r="E3" i="14"/>
  <c r="C3" i="14"/>
  <c r="H3" i="14"/>
  <c r="F3" i="14"/>
  <c r="D3" i="14"/>
</calcChain>
</file>

<file path=xl/sharedStrings.xml><?xml version="1.0" encoding="utf-8"?>
<sst xmlns="http://schemas.openxmlformats.org/spreadsheetml/2006/main" count="28" uniqueCount="6">
  <si>
    <t>Notas</t>
  </si>
  <si>
    <t xml:space="preserve"> </t>
  </si>
  <si>
    <t>Configuración del calendario</t>
  </si>
  <si>
    <t>Año</t>
  </si>
  <si>
    <t>Inicio de la semana</t>
  </si>
  <si>
    <t>domingo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</si>
</sst>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
  </numFmts>
  <fonts count="39" x14ac:knownFonts="1">
    <font>
      <sz val="11"/>
      <color theme="1" tint="0.24994659260841701"/>
      <name val="Lucida Bright"/>
      <family val="2"/>
      <scheme val="minor"/>
    </font>
    <font>
      <sz val="11"/>
      <color theme="1"/>
      <name val="Lucida Bright"/>
      <family val="2"/>
      <scheme val="minor"/>
    </font>
    <font>
      <sz val="8"/>
      <name val="Arial"/>
      <family val="2"/>
    </font>
    <font>
      <b/>
      <sz val="11"/>
      <color theme="0"/>
      <name val="Lucida Bright"/>
      <family val="2"/>
      <scheme val="minor"/>
    </font>
    <font>
      <b/>
      <sz val="14"/>
      <color theme="0"/>
      <name val="Lucida Bright"/>
      <family val="2"/>
      <scheme val="minor"/>
    </font>
    <font>
      <sz val="35"/>
      <color theme="4"/>
      <name val="Lucida Bright"/>
      <family val="2"/>
      <scheme val="minor"/>
    </font>
    <font>
      <sz val="12"/>
      <color theme="4" tint="-0.24994659260841701"/>
      <name val="Cambria"/>
      <family val="1"/>
      <scheme val="major"/>
    </font>
    <font>
      <sz val="11"/>
      <color theme="1" tint="0.34998626667073579"/>
      <name val="Lucida Bright"/>
      <family val="2"/>
      <scheme val="minor"/>
    </font>
    <font>
      <sz val="11"/>
      <color theme="4" tint="-0.24994659260841701"/>
      <name val="Lucida Bright"/>
      <family val="2"/>
      <scheme val="minor"/>
    </font>
    <font>
      <sz val="11"/>
      <color indexed="63"/>
      <name val="Lucida Bright"/>
      <family val="2"/>
      <scheme val="minor"/>
    </font>
    <font>
      <sz val="11"/>
      <name val="Lucida Bright"/>
      <family val="2"/>
      <scheme val="minor"/>
    </font>
    <font>
      <b/>
      <sz val="11"/>
      <color theme="1" tint="0.34998626667073579"/>
      <name val="Lucida Bright"/>
      <family val="2"/>
      <scheme val="minor"/>
    </font>
    <font>
      <sz val="11"/>
      <color theme="1" tint="0.24994659260841701"/>
      <name val="Lucida Bright"/>
      <family val="2"/>
      <scheme val="minor"/>
    </font>
    <font>
      <sz val="12"/>
      <color theme="8" tint="-0.249977111117893"/>
      <name val="Lucida Bright"/>
      <family val="1"/>
      <scheme val="minor"/>
    </font>
    <font>
      <sz val="11"/>
      <color theme="1" tint="0.14999847407452621"/>
      <name val="Lucida Bright"/>
      <family val="1"/>
      <scheme val="minor"/>
    </font>
    <font>
      <sz val="35"/>
      <color theme="1" tint="0.14999847407452621"/>
      <name val="Lucida Bright"/>
      <family val="1"/>
      <scheme val="minor"/>
    </font>
    <font>
      <sz val="12"/>
      <color theme="1" tint="0.14999847407452621"/>
      <name val="Lucida Bright"/>
      <family val="1"/>
      <scheme val="minor"/>
    </font>
    <font>
      <sz val="10"/>
      <color theme="1" tint="0.14999847407452621"/>
      <name val="Lucida Bright"/>
      <family val="1"/>
      <scheme val="minor"/>
    </font>
    <font>
      <sz val="9"/>
      <color theme="1" tint="0.14999847407452621"/>
      <name val="Lucida Bright"/>
      <family val="1"/>
      <scheme val="minor"/>
    </font>
    <font>
      <sz val="11"/>
      <color theme="1" tint="0.14999847407452621"/>
      <name val="Lucida Bright"/>
      <family val="2"/>
      <scheme val="minor"/>
    </font>
    <font>
      <sz val="35"/>
      <color theme="9" tint="-0.499984740745262"/>
      <name val="Cambria"/>
      <family val="1"/>
      <scheme val="major"/>
    </font>
    <font>
      <sz val="35"/>
      <color theme="8" tint="-0.499984740745262"/>
      <name val="Cambria"/>
      <family val="1"/>
      <scheme val="major"/>
    </font>
    <font>
      <sz val="35"/>
      <color theme="5" tint="-0.499984740745262"/>
      <name val="Cambria"/>
      <family val="1"/>
      <scheme val="major"/>
    </font>
    <font>
      <sz val="35"/>
      <color theme="7" tint="-0.499984740745262"/>
      <name val="Cambria"/>
      <family val="1"/>
      <scheme val="major"/>
    </font>
    <font>
      <sz val="12"/>
      <color theme="8" tint="-0.499984740745262"/>
      <name val="Lucida Bright"/>
      <family val="1"/>
      <scheme val="minor"/>
    </font>
    <font>
      <sz val="12"/>
      <color theme="9" tint="-0.499984740745262"/>
      <name val="Lucida Bright"/>
      <family val="1"/>
      <scheme val="minor"/>
    </font>
    <font>
      <sz val="12"/>
      <color theme="7" tint="-0.499984740745262"/>
      <name val="Lucida Bright"/>
      <family val="1"/>
      <scheme val="minor"/>
    </font>
    <font>
      <sz val="12"/>
      <color theme="5" tint="-0.499984740745262"/>
      <name val="Lucida Bright"/>
      <family val="1"/>
      <scheme val="minor"/>
    </font>
    <font>
      <sz val="11"/>
      <color rgb="FF006100"/>
      <name val="Lucida Bright"/>
      <family val="2"/>
      <scheme val="minor"/>
    </font>
    <font>
      <sz val="11"/>
      <color rgb="FF9C0006"/>
      <name val="Lucida Bright"/>
      <family val="2"/>
      <scheme val="minor"/>
    </font>
    <font>
      <sz val="11"/>
      <color rgb="FF9C5700"/>
      <name val="Lucida Bright"/>
      <family val="2"/>
      <scheme val="minor"/>
    </font>
    <font>
      <sz val="11"/>
      <color rgb="FF3F3F76"/>
      <name val="Lucida Bright"/>
      <family val="2"/>
      <scheme val="minor"/>
    </font>
    <font>
      <b/>
      <sz val="11"/>
      <color rgb="FF3F3F3F"/>
      <name val="Lucida Bright"/>
      <family val="2"/>
      <scheme val="minor"/>
    </font>
    <font>
      <b/>
      <sz val="11"/>
      <color rgb="FFFA7D00"/>
      <name val="Lucida Bright"/>
      <family val="2"/>
      <scheme val="minor"/>
    </font>
    <font>
      <sz val="11"/>
      <color rgb="FFFA7D00"/>
      <name val="Lucida Bright"/>
      <family val="2"/>
      <scheme val="minor"/>
    </font>
    <font>
      <sz val="11"/>
      <color rgb="FFFF0000"/>
      <name val="Lucida Bright"/>
      <family val="2"/>
      <scheme val="minor"/>
    </font>
    <font>
      <i/>
      <sz val="11"/>
      <color rgb="FF7F7F7F"/>
      <name val="Lucida Bright"/>
      <family val="2"/>
      <scheme val="minor"/>
    </font>
    <font>
      <b/>
      <sz val="11"/>
      <color theme="1"/>
      <name val="Lucida Bright"/>
      <family val="2"/>
      <scheme val="minor"/>
    </font>
    <font>
      <sz val="11"/>
      <color theme="0"/>
      <name val="Lucida Bright"/>
      <family val="2"/>
      <scheme val="minor"/>
    </font>
  </fonts>
  <fills count="38">
    <fill>
      <patternFill patternType="none"/>
    </fill>
    <fill>
      <patternFill patternType="gray125"/>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
        <color theme="4" tint="-0.24994659260841701"/>
      </bottom>
      <diagonal/>
    </border>
    <border>
      <left/>
      <right/>
      <top/>
      <bottom style="medium">
        <color theme="8" tint="-0.24994659260841701"/>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bottom style="medium">
        <color theme="9" tint="-0.24994659260841701"/>
      </bottom>
      <diagonal/>
    </border>
    <border>
      <left/>
      <right/>
      <top/>
      <bottom style="medium">
        <color theme="7" tint="-0.24994659260841701"/>
      </bottom>
      <diagonal/>
    </border>
    <border>
      <left/>
      <right/>
      <top/>
      <bottom style="medium">
        <color theme="5" tint="-0.249946592608417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alignment vertical="top"/>
    </xf>
    <xf numFmtId="0" fontId="9" fillId="2" borderId="0" applyNumberFormat="0" applyBorder="0" applyAlignment="0" applyProtection="0"/>
    <xf numFmtId="0" fontId="8" fillId="0" borderId="3" applyNumberFormat="0" applyFill="0" applyProtection="0">
      <alignment horizontal="left" vertical="center" indent="1"/>
    </xf>
    <xf numFmtId="0" fontId="3" fillId="3" borderId="1" applyNumberFormat="0" applyAlignment="0" applyProtection="0"/>
    <xf numFmtId="0" fontId="4" fillId="4" borderId="2" applyNumberFormat="0" applyProtection="0">
      <alignment vertical="center"/>
    </xf>
    <xf numFmtId="0" fontId="5" fillId="0" borderId="0" applyFill="0" applyBorder="0" applyProtection="0">
      <alignment vertical="center"/>
    </xf>
    <xf numFmtId="167" fontId="7" fillId="0" borderId="0" applyFon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11" fillId="5" borderId="0" applyBorder="0" applyProtection="0">
      <alignment horizontal="left" vertical="top" wrapText="1" indent="1"/>
    </xf>
    <xf numFmtId="168" fontId="7" fillId="0" borderId="0">
      <alignment horizontal="left" indent="1"/>
    </xf>
    <xf numFmtId="0" fontId="10" fillId="5" borderId="0" applyNumberFormat="0" applyFont="0" applyBorder="0" applyAlignment="0">
      <alignment horizontal="left" vertical="center" indent="1"/>
    </xf>
    <xf numFmtId="0" fontId="6" fillId="0" borderId="0">
      <alignment horizontal="left" indent="1"/>
    </xf>
    <xf numFmtId="0" fontId="8" fillId="0" borderId="0" applyFill="0" applyProtection="0"/>
    <xf numFmtId="0" fontId="12" fillId="0" borderId="0" applyFill="0" applyProtection="0"/>
    <xf numFmtId="0" fontId="28" fillId="10" borderId="0" applyNumberFormat="0" applyBorder="0" applyAlignment="0" applyProtection="0"/>
    <xf numFmtId="0" fontId="29" fillId="11" borderId="0" applyNumberFormat="0" applyBorder="0" applyAlignment="0" applyProtection="0"/>
    <xf numFmtId="0" fontId="30" fillId="12" borderId="0" applyNumberFormat="0" applyBorder="0" applyAlignment="0" applyProtection="0"/>
    <xf numFmtId="0" fontId="31" fillId="13" borderId="12" applyNumberFormat="0" applyAlignment="0" applyProtection="0"/>
    <xf numFmtId="0" fontId="32" fillId="14" borderId="13" applyNumberFormat="0" applyAlignment="0" applyProtection="0"/>
    <xf numFmtId="0" fontId="33" fillId="14" borderId="12" applyNumberFormat="0" applyAlignment="0" applyProtection="0"/>
    <xf numFmtId="0" fontId="34" fillId="0" borderId="14" applyNumberFormat="0" applyFill="0" applyAlignment="0" applyProtection="0"/>
    <xf numFmtId="0" fontId="3" fillId="15" borderId="15" applyNumberFormat="0" applyAlignment="0" applyProtection="0"/>
    <xf numFmtId="0" fontId="35" fillId="0" borderId="0" applyNumberFormat="0" applyFill="0" applyBorder="0" applyAlignment="0" applyProtection="0"/>
    <xf numFmtId="0" fontId="12" fillId="16" borderId="16" applyNumberFormat="0" applyFont="0" applyAlignment="0" applyProtection="0"/>
    <xf numFmtId="0" fontId="36" fillId="0" borderId="0" applyNumberFormat="0" applyFill="0" applyBorder="0" applyAlignment="0" applyProtection="0"/>
    <xf numFmtId="0" fontId="37" fillId="0" borderId="17" applyNumberFormat="0" applyFill="0" applyAlignment="0" applyProtection="0"/>
    <xf numFmtId="0" fontId="1" fillId="17" borderId="0" applyNumberFormat="0" applyBorder="0" applyAlignment="0" applyProtection="0"/>
    <xf numFmtId="0" fontId="1" fillId="18" borderId="0" applyNumberFormat="0" applyBorder="0" applyAlignment="0" applyProtection="0"/>
    <xf numFmtId="0" fontId="38"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8"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8"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8"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38">
    <xf numFmtId="0" fontId="0" fillId="0" borderId="0" xfId="0">
      <alignment vertical="top"/>
    </xf>
    <xf numFmtId="0" fontId="14" fillId="0" borderId="0" xfId="0" applyFont="1">
      <alignment vertical="top"/>
    </xf>
    <xf numFmtId="0" fontId="14" fillId="0" borderId="0" xfId="2" applyFont="1" applyFill="1" applyBorder="1" applyAlignment="1">
      <alignment vertical="center"/>
    </xf>
    <xf numFmtId="0" fontId="15" fillId="0" borderId="0" xfId="5" applyFont="1" applyFill="1" applyAlignment="1">
      <alignment horizontal="left" vertical="center"/>
    </xf>
    <xf numFmtId="0" fontId="17" fillId="0" borderId="0" xfId="0" applyFont="1">
      <alignment vertical="top"/>
    </xf>
    <xf numFmtId="0" fontId="18" fillId="0" borderId="0" xfId="0" applyFont="1" applyAlignment="1">
      <alignment horizontal="left" vertical="top" wrapText="1" indent="1"/>
    </xf>
    <xf numFmtId="0" fontId="16" fillId="0" borderId="0" xfId="0" applyFont="1" applyAlignment="1">
      <alignment horizontal="left" vertical="center" indent="1"/>
    </xf>
    <xf numFmtId="0" fontId="18" fillId="6" borderId="0" xfId="13" applyFont="1" applyFill="1" applyBorder="1" applyAlignment="1">
      <alignment horizontal="left" vertical="top" wrapText="1" indent="1"/>
    </xf>
    <xf numFmtId="0" fontId="17" fillId="6" borderId="7" xfId="14" applyFont="1" applyFill="1" applyBorder="1" applyAlignment="1">
      <alignment horizontal="center" vertical="center"/>
    </xf>
    <xf numFmtId="0" fontId="17" fillId="6" borderId="8" xfId="14" applyFont="1" applyFill="1" applyBorder="1" applyAlignment="1">
      <alignment horizontal="center" vertical="center"/>
    </xf>
    <xf numFmtId="0" fontId="17" fillId="0" borderId="5" xfId="16" applyFont="1" applyFill="1" applyBorder="1" applyAlignment="1">
      <alignment horizontal="center" vertical="center"/>
    </xf>
    <xf numFmtId="0" fontId="17" fillId="0" borderId="6" xfId="16" applyFont="1" applyFill="1" applyBorder="1" applyAlignment="1">
      <alignment horizontal="center" vertical="center"/>
    </xf>
    <xf numFmtId="0" fontId="19" fillId="0" borderId="0" xfId="0" applyFont="1">
      <alignment vertical="top"/>
    </xf>
    <xf numFmtId="0" fontId="18" fillId="7" borderId="0" xfId="13" applyFont="1" applyFill="1" applyBorder="1" applyAlignment="1">
      <alignment horizontal="left" vertical="top" wrapText="1" indent="1"/>
    </xf>
    <xf numFmtId="0" fontId="18" fillId="8" borderId="0" xfId="13" applyFont="1" applyFill="1" applyBorder="1" applyAlignment="1">
      <alignment horizontal="left" vertical="top" wrapText="1" indent="1"/>
    </xf>
    <xf numFmtId="0" fontId="18" fillId="9" borderId="0" xfId="13" applyFont="1" applyFill="1" applyBorder="1" applyAlignment="1">
      <alignment horizontal="left" vertical="top" wrapText="1" indent="1"/>
    </xf>
    <xf numFmtId="0" fontId="24" fillId="0" borderId="4" xfId="2" applyFont="1" applyFill="1" applyBorder="1" applyAlignment="1">
      <alignment horizontal="left" vertical="top" indent="1"/>
    </xf>
    <xf numFmtId="0" fontId="25" fillId="0" borderId="9" xfId="2" applyFont="1" applyFill="1" applyBorder="1" applyAlignment="1">
      <alignment horizontal="left" vertical="top" indent="1"/>
    </xf>
    <xf numFmtId="0" fontId="26" fillId="0" borderId="10" xfId="2" applyFont="1" applyFill="1" applyBorder="1" applyAlignment="1">
      <alignment horizontal="left" vertical="top" indent="1"/>
    </xf>
    <xf numFmtId="0" fontId="27" fillId="0" borderId="11" xfId="2" applyFont="1" applyFill="1" applyBorder="1" applyAlignment="1">
      <alignment horizontal="left" vertical="top" indent="1"/>
    </xf>
    <xf numFmtId="168" fontId="16" fillId="0" borderId="0" xfId="12" applyNumberFormat="1" applyFont="1" applyAlignment="1">
      <alignment horizontal="left" vertical="center" wrapText="1" indent="1"/>
    </xf>
    <xf numFmtId="168" fontId="16" fillId="6" borderId="0" xfId="13" applyNumberFormat="1" applyFont="1" applyFill="1" applyBorder="1" applyAlignment="1">
      <alignment horizontal="left" vertical="center" wrapText="1" indent="1"/>
    </xf>
    <xf numFmtId="168" fontId="16" fillId="8" borderId="0" xfId="13" applyNumberFormat="1" applyFont="1" applyFill="1" applyBorder="1" applyAlignment="1">
      <alignment horizontal="left" vertical="center" wrapText="1" indent="1"/>
    </xf>
    <xf numFmtId="168" fontId="16" fillId="9" borderId="0" xfId="13" applyNumberFormat="1" applyFont="1" applyFill="1" applyBorder="1" applyAlignment="1">
      <alignment horizontal="left" vertical="center" wrapText="1" indent="1"/>
    </xf>
    <xf numFmtId="168" fontId="16" fillId="7" borderId="0" xfId="13" applyNumberFormat="1" applyFont="1" applyFill="1" applyBorder="1" applyAlignment="1">
      <alignment horizontal="left" vertical="center" wrapText="1" indent="1"/>
    </xf>
    <xf numFmtId="0" fontId="21" fillId="0" borderId="0" xfId="5" applyFont="1" applyFill="1" applyBorder="1">
      <alignment vertical="center"/>
    </xf>
    <xf numFmtId="0" fontId="14" fillId="6" borderId="0" xfId="11" applyFont="1" applyFill="1" applyBorder="1" applyAlignment="1">
      <alignment horizontal="left" vertical="center" wrapText="1" indent="1"/>
    </xf>
    <xf numFmtId="0" fontId="18" fillId="6" borderId="0" xfId="11" applyFont="1" applyFill="1" applyBorder="1">
      <alignment horizontal="left" vertical="top" wrapText="1" indent="1"/>
    </xf>
    <xf numFmtId="0" fontId="13" fillId="0" borderId="4" xfId="15" applyFont="1" applyFill="1" applyBorder="1" applyAlignment="1">
      <alignment horizontal="center" vertical="top"/>
    </xf>
    <xf numFmtId="0" fontId="20" fillId="0" borderId="0" xfId="5" applyFont="1" applyFill="1" applyBorder="1">
      <alignment vertical="center"/>
    </xf>
    <xf numFmtId="0" fontId="14" fillId="7" borderId="0" xfId="11" applyFont="1" applyFill="1" applyBorder="1" applyAlignment="1">
      <alignment horizontal="left" vertical="center" wrapText="1" indent="1"/>
    </xf>
    <xf numFmtId="0" fontId="18" fillId="7" borderId="0" xfId="11" applyFont="1" applyFill="1" applyBorder="1">
      <alignment horizontal="left" vertical="top" wrapText="1" indent="1"/>
    </xf>
    <xf numFmtId="0" fontId="23" fillId="0" borderId="0" xfId="5" applyFont="1" applyFill="1" applyBorder="1">
      <alignment vertical="center"/>
    </xf>
    <xf numFmtId="0" fontId="14" fillId="9" borderId="0" xfId="11" applyFont="1" applyFill="1" applyBorder="1" applyAlignment="1">
      <alignment horizontal="left" vertical="center" wrapText="1" indent="1"/>
    </xf>
    <xf numFmtId="0" fontId="18" fillId="9" borderId="0" xfId="11" applyFont="1" applyFill="1" applyBorder="1">
      <alignment horizontal="left" vertical="top" wrapText="1" indent="1"/>
    </xf>
    <xf numFmtId="0" fontId="22" fillId="0" borderId="0" xfId="5" applyFont="1" applyFill="1" applyBorder="1">
      <alignment vertical="center"/>
    </xf>
    <xf numFmtId="0" fontId="14" fillId="8" borderId="0" xfId="11" applyFont="1" applyFill="1" applyBorder="1" applyAlignment="1">
      <alignment horizontal="left" vertical="center" wrapText="1" indent="1"/>
    </xf>
    <xf numFmtId="0" fontId="18" fillId="8" borderId="0" xfId="11" applyFont="1" applyFill="1" applyBorder="1">
      <alignment horizontal="left" vertical="top" wrapText="1" indent="1"/>
    </xf>
  </cellXfs>
  <cellStyles count="50">
    <cellStyle name="20% - Énfasis1" xfId="29" builtinId="30" customBuiltin="1"/>
    <cellStyle name="20% - Énfasis2" xfId="32" builtinId="34" customBuiltin="1"/>
    <cellStyle name="20% - Énfasis3" xfId="36" builtinId="38" customBuiltin="1"/>
    <cellStyle name="20% - Énfasis4" xfId="40" builtinId="42" customBuiltin="1"/>
    <cellStyle name="20% - Énfasis5" xfId="43" builtinId="46" customBuiltin="1"/>
    <cellStyle name="20% - Énfasis6" xfId="47" builtinId="50" customBuiltin="1"/>
    <cellStyle name="40% - Énfasis1" xfId="1" builtinId="31" customBuiltin="1"/>
    <cellStyle name="40% - Énfasis2" xfId="33" builtinId="35" customBuiltin="1"/>
    <cellStyle name="40% - Énfasis3" xfId="37" builtinId="39" customBuiltin="1"/>
    <cellStyle name="40% - Énfasis4" xfId="41"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8" builtinId="40" customBuiltin="1"/>
    <cellStyle name="60% - Énfasis4" xfId="42" builtinId="44" customBuiltin="1"/>
    <cellStyle name="60% - Énfasis5" xfId="45" builtinId="48" customBuiltin="1"/>
    <cellStyle name="60% - Énfasis6" xfId="49" builtinId="52" customBuiltin="1"/>
    <cellStyle name="Bueno" xfId="17" builtinId="26" customBuiltin="1"/>
    <cellStyle name="Cálculo" xfId="22" builtinId="22" customBuiltin="1"/>
    <cellStyle name="Celda de comprobación" xfId="24" builtinId="23" customBuiltin="1"/>
    <cellStyle name="Celda vinculada" xfId="23" builtinId="24" customBuiltin="1"/>
    <cellStyle name="Con bandas" xfId="13" xr:uid="{00000000-0005-0000-0000-000003000000}"/>
    <cellStyle name="Día" xfId="12" xr:uid="{00000000-0005-0000-0000-000008000000}"/>
    <cellStyle name="Encabezado 1" xfId="2" builtinId="16" customBuiltin="1"/>
    <cellStyle name="Encabezado 4" xfId="11" builtinId="19" customBuiltin="1"/>
    <cellStyle name="Énfasis1" xfId="3" builtinId="29" customBuiltin="1"/>
    <cellStyle name="Énfasis2" xfId="31" builtinId="33" customBuiltin="1"/>
    <cellStyle name="Énfasis3" xfId="35" builtinId="37" customBuiltin="1"/>
    <cellStyle name="Énfasis4" xfId="39" builtinId="41" customBuiltin="1"/>
    <cellStyle name="Énfasis5" xfId="4" builtinId="45" customBuiltin="1"/>
    <cellStyle name="Énfasis6" xfId="46" builtinId="49" customBuiltin="1"/>
    <cellStyle name="Entrada" xfId="20" builtinId="20" customBuiltin="1"/>
    <cellStyle name="Entrada de configuración" xfId="14" xr:uid="{00000000-0005-0000-0000-00000F000000}"/>
    <cellStyle name="Incorrecto" xfId="18" builtinId="27" customBuiltin="1"/>
    <cellStyle name="Millares" xfId="6" builtinId="3" customBuiltin="1"/>
    <cellStyle name="Millares [0]" xfId="7" builtinId="6" customBuiltin="1"/>
    <cellStyle name="Moneda" xfId="8" builtinId="4" customBuiltin="1"/>
    <cellStyle name="Moneda [0]" xfId="9" builtinId="7" customBuiltin="1"/>
    <cellStyle name="Neutral" xfId="19" builtinId="28" customBuiltin="1"/>
    <cellStyle name="Normal" xfId="0" builtinId="0" customBuiltin="1"/>
    <cellStyle name="Notas" xfId="26" builtinId="10" customBuiltin="1"/>
    <cellStyle name="Porcentaje" xfId="10" builtinId="5" customBuiltin="1"/>
    <cellStyle name="Salida" xfId="21" builtinId="21" customBuiltin="1"/>
    <cellStyle name="Texto de advertencia" xfId="25" builtinId="11" customBuiltin="1"/>
    <cellStyle name="Texto explicativo" xfId="27" builtinId="53" customBuiltin="1"/>
    <cellStyle name="Título" xfId="5" builtinId="15" customBuiltin="1"/>
    <cellStyle name="Título 2" xfId="15" builtinId="17" customBuiltin="1"/>
    <cellStyle name="Título 3" xfId="16" builtinId="18" customBuiltin="1"/>
    <cellStyle name="Total" xfId="28" builtinId="25" customBuiltin="1"/>
  </cellStyles>
  <dxfs count="24">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9</xdr:col>
      <xdr:colOff>28575</xdr:colOff>
      <xdr:row>1</xdr:row>
      <xdr:rowOff>1143000</xdr:rowOff>
    </xdr:to>
    <xdr:pic>
      <xdr:nvPicPr>
        <xdr:cNvPr id="3" name="Imagen 2" descr="Edificios y un árbol en invierno" title="Encabezado de invierno">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86400" y="114300"/>
          <a:ext cx="4152900" cy="1143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9</xdr:col>
      <xdr:colOff>28575</xdr:colOff>
      <xdr:row>1</xdr:row>
      <xdr:rowOff>1143000</xdr:rowOff>
    </xdr:to>
    <xdr:pic>
      <xdr:nvPicPr>
        <xdr:cNvPr id="2" name="Imagen 1" descr="Edificios y un árbol en invierno" title="Encabezado de invierno">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86400" y="114300"/>
          <a:ext cx="4152900" cy="1143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9</xdr:col>
      <xdr:colOff>28575</xdr:colOff>
      <xdr:row>1</xdr:row>
      <xdr:rowOff>1143000</xdr:rowOff>
    </xdr:to>
    <xdr:pic>
      <xdr:nvPicPr>
        <xdr:cNvPr id="3" name="Imagen 2" descr="Edificios y un árbol en primavera" title="Encabezado de primavera">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86400" y="114300"/>
          <a:ext cx="4152900" cy="1143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9</xdr:col>
      <xdr:colOff>28575</xdr:colOff>
      <xdr:row>1</xdr:row>
      <xdr:rowOff>1143000</xdr:rowOff>
    </xdr:to>
    <xdr:pic>
      <xdr:nvPicPr>
        <xdr:cNvPr id="2" name="Imagen 1" descr="Edificios y un árbol en primavera" title="Encabezado de primavera">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86400" y="114300"/>
          <a:ext cx="4152900" cy="1143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9</xdr:col>
      <xdr:colOff>28575</xdr:colOff>
      <xdr:row>1</xdr:row>
      <xdr:rowOff>1143000</xdr:rowOff>
    </xdr:to>
    <xdr:pic>
      <xdr:nvPicPr>
        <xdr:cNvPr id="2" name="Imagen 1" descr="Edificios y un árbol en primavera" title="Encabezado de primavera">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86400" y="114300"/>
          <a:ext cx="4152900" cy="1143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9</xdr:col>
      <xdr:colOff>28575</xdr:colOff>
      <xdr:row>1</xdr:row>
      <xdr:rowOff>1143000</xdr:rowOff>
    </xdr:to>
    <xdr:pic>
      <xdr:nvPicPr>
        <xdr:cNvPr id="3" name="Imagen 2" descr="Edificios y un árbol en verano" title="Encabezado de verano">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86400" y="114300"/>
          <a:ext cx="4152900" cy="1143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9</xdr:col>
      <xdr:colOff>28575</xdr:colOff>
      <xdr:row>1</xdr:row>
      <xdr:rowOff>1143000</xdr:rowOff>
    </xdr:to>
    <xdr:pic>
      <xdr:nvPicPr>
        <xdr:cNvPr id="2" name="Imagen 1" descr="Edificios y un árbol en verano" title="Encabezado de verano">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48300" y="114300"/>
          <a:ext cx="4152900" cy="1143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9</xdr:col>
      <xdr:colOff>28575</xdr:colOff>
      <xdr:row>1</xdr:row>
      <xdr:rowOff>1143000</xdr:rowOff>
    </xdr:to>
    <xdr:pic>
      <xdr:nvPicPr>
        <xdr:cNvPr id="2" name="Imagen 1" descr="Edificios y un árbol en verano" title="Encabezado de verano">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86400" y="114300"/>
          <a:ext cx="4152900" cy="1143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1289816</xdr:colOff>
      <xdr:row>1</xdr:row>
      <xdr:rowOff>0</xdr:rowOff>
    </xdr:from>
    <xdr:to>
      <xdr:col>9</xdr:col>
      <xdr:colOff>28575</xdr:colOff>
      <xdr:row>1</xdr:row>
      <xdr:rowOff>1143000</xdr:rowOff>
    </xdr:to>
    <xdr:pic>
      <xdr:nvPicPr>
        <xdr:cNvPr id="3" name="Imagen 2" descr="Edificios y un árbol en otoño" title="Encabezado de otoño">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14141" y="114300"/>
          <a:ext cx="4187059" cy="1143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1289816</xdr:colOff>
      <xdr:row>1</xdr:row>
      <xdr:rowOff>0</xdr:rowOff>
    </xdr:from>
    <xdr:to>
      <xdr:col>9</xdr:col>
      <xdr:colOff>28575</xdr:colOff>
      <xdr:row>1</xdr:row>
      <xdr:rowOff>1143000</xdr:rowOff>
    </xdr:to>
    <xdr:pic>
      <xdr:nvPicPr>
        <xdr:cNvPr id="2" name="Imagen 1" descr="Edificios y un árbol en otoño" title="Encabezado de otoño">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14141" y="114300"/>
          <a:ext cx="4187059" cy="1143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1289816</xdr:colOff>
      <xdr:row>1</xdr:row>
      <xdr:rowOff>0</xdr:rowOff>
    </xdr:from>
    <xdr:to>
      <xdr:col>9</xdr:col>
      <xdr:colOff>28575</xdr:colOff>
      <xdr:row>1</xdr:row>
      <xdr:rowOff>1143000</xdr:rowOff>
    </xdr:to>
    <xdr:pic>
      <xdr:nvPicPr>
        <xdr:cNvPr id="2" name="Imagen 1" descr="Edificios y un árbol en otoño" title="Encabezado de otoño">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14141" y="114300"/>
          <a:ext cx="4187059" cy="1143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9</xdr:col>
      <xdr:colOff>28575</xdr:colOff>
      <xdr:row>1</xdr:row>
      <xdr:rowOff>1143000</xdr:rowOff>
    </xdr:to>
    <xdr:pic>
      <xdr:nvPicPr>
        <xdr:cNvPr id="2" name="Imagen 1" descr="Edificios y un árbol en invierno" title="Encabezado de invierno">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5486400" y="114300"/>
          <a:ext cx="4152900" cy="1143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5">
      <a:majorFont>
        <a:latin typeface="Cambria"/>
        <a:ea typeface=""/>
        <a:cs typeface=""/>
      </a:majorFont>
      <a:minorFont>
        <a:latin typeface="Lucida Brigh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59999389629810485"/>
    <pageSetUpPr autoPageBreaks="0" fitToPage="1"/>
  </sheetPr>
  <dimension ref="A1:L15"/>
  <sheetViews>
    <sheetView showGridLines="0" showRowColHeaders="0" tabSelected="1" zoomScaleNormal="10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8.77734375" style="1" customWidth="1"/>
    <col min="11" max="12" width="14.77734375" style="1" customWidth="1"/>
    <col min="13" max="13" width="1.77734375" style="1" customWidth="1"/>
    <col min="14" max="16384" width="8.88671875" style="1"/>
  </cols>
  <sheetData>
    <row r="1" spans="1:12" ht="9" customHeight="1" x14ac:dyDescent="0.2">
      <c r="I1" s="1" t="s">
        <v>1</v>
      </c>
    </row>
    <row r="2" spans="1:12" ht="100.5" customHeight="1" x14ac:dyDescent="0.2">
      <c r="B2" s="25" t="str">
        <f>"Enero "&amp;"de "&amp;CalendarYear</f>
        <v>Enero de 2020</v>
      </c>
      <c r="C2" s="25"/>
      <c r="D2" s="25"/>
      <c r="E2" s="2"/>
      <c r="F2" s="2"/>
      <c r="G2" s="2"/>
      <c r="H2" s="3"/>
    </row>
    <row r="3" spans="1:12" s="4" customFormat="1" ht="19.5" customHeight="1" thickBot="1" x14ac:dyDescent="0.25">
      <c r="A3" s="1"/>
      <c r="B3" s="16" t="str">
        <f>WeekStart</f>
        <v>domingo</v>
      </c>
      <c r="C3" s="16" t="str">
        <f t="shared" ref="C3:H3" si="0">TEXT(C4,"dddd")</f>
        <v>lunes</v>
      </c>
      <c r="D3" s="16" t="str">
        <f t="shared" si="0"/>
        <v>martes</v>
      </c>
      <c r="E3" s="16" t="str">
        <f t="shared" si="0"/>
        <v>miércoles</v>
      </c>
      <c r="F3" s="16" t="str">
        <f t="shared" si="0"/>
        <v>jueves</v>
      </c>
      <c r="G3" s="16" t="str">
        <f t="shared" si="0"/>
        <v>viernes</v>
      </c>
      <c r="H3" s="16" t="str">
        <f t="shared" si="0"/>
        <v>sábado</v>
      </c>
      <c r="K3" s="28" t="s">
        <v>2</v>
      </c>
      <c r="L3" s="28"/>
    </row>
    <row r="4" spans="1:12" s="6" customFormat="1" ht="19.5" customHeight="1" x14ac:dyDescent="0.2">
      <c r="B4" s="20">
        <f t="array" ref="B4:H4">DaysAndWeeks+DATE(CalendarYear,1,1)-WEEKDAY(DATE(CalendarYear,1,1),(WeekStart="lunes")+1)+1</f>
        <v>43828</v>
      </c>
      <c r="C4" s="20">
        <v>43829</v>
      </c>
      <c r="D4" s="20">
        <v>43830</v>
      </c>
      <c r="E4" s="20">
        <v>43831</v>
      </c>
      <c r="F4" s="20">
        <v>43832</v>
      </c>
      <c r="G4" s="20">
        <v>43833</v>
      </c>
      <c r="H4" s="20">
        <v>43834</v>
      </c>
      <c r="K4" s="10" t="s">
        <v>3</v>
      </c>
      <c r="L4" s="11" t="s">
        <v>4</v>
      </c>
    </row>
    <row r="5" spans="1:12" s="5" customFormat="1" ht="48" customHeight="1" x14ac:dyDescent="0.2">
      <c r="K5" s="8">
        <v>2020</v>
      </c>
      <c r="L5" s="9" t="s">
        <v>5</v>
      </c>
    </row>
    <row r="6" spans="1:12" s="6" customFormat="1" ht="19.5" customHeight="1" x14ac:dyDescent="0.2">
      <c r="B6" s="21">
        <f t="array" ref="B6:H6">DaysAndWeeks+DATE(CalendarYear,1,1)-WEEKDAY(DATE(CalendarYear,1,1),(WeekStart="lunes")+1)+8</f>
        <v>43835</v>
      </c>
      <c r="C6" s="21">
        <v>43836</v>
      </c>
      <c r="D6" s="21">
        <v>43837</v>
      </c>
      <c r="E6" s="21">
        <v>43838</v>
      </c>
      <c r="F6" s="21">
        <v>43839</v>
      </c>
      <c r="G6" s="21">
        <v>43840</v>
      </c>
      <c r="H6" s="21">
        <v>43841</v>
      </c>
    </row>
    <row r="7" spans="1:12" s="5" customFormat="1" ht="48" customHeight="1" x14ac:dyDescent="0.2">
      <c r="B7" s="7"/>
      <c r="C7" s="7"/>
      <c r="D7" s="7"/>
      <c r="E7" s="7"/>
      <c r="F7" s="7"/>
      <c r="G7" s="7"/>
      <c r="H7" s="7"/>
    </row>
    <row r="8" spans="1:12" s="6" customFormat="1" ht="19.5" customHeight="1" x14ac:dyDescent="0.2">
      <c r="B8" s="20">
        <f t="array" ref="B8:H8">DaysAndWeeks+DATE(CalendarYear,1,1)-WEEKDAY(DATE(CalendarYear,1,1),(WeekStart="lunes")+1)+15</f>
        <v>43842</v>
      </c>
      <c r="C8" s="20">
        <v>43843</v>
      </c>
      <c r="D8" s="20">
        <v>43844</v>
      </c>
      <c r="E8" s="20">
        <v>43845</v>
      </c>
      <c r="F8" s="20">
        <v>43846</v>
      </c>
      <c r="G8" s="20">
        <v>43847</v>
      </c>
      <c r="H8" s="20">
        <v>43848</v>
      </c>
    </row>
    <row r="9" spans="1:12" s="5" customFormat="1" ht="48" customHeight="1" x14ac:dyDescent="0.2"/>
    <row r="10" spans="1:12" s="6" customFormat="1" ht="19.5" customHeight="1" x14ac:dyDescent="0.2">
      <c r="B10" s="21">
        <f t="array" ref="B10:H10">DaysAndWeeks+DATE(CalendarYear,1,1)-WEEKDAY(DATE(CalendarYear,1,1),(WeekStart="lunes")+1)+22</f>
        <v>43849</v>
      </c>
      <c r="C10" s="21">
        <v>43850</v>
      </c>
      <c r="D10" s="21">
        <v>43851</v>
      </c>
      <c r="E10" s="21">
        <v>43852</v>
      </c>
      <c r="F10" s="21">
        <v>43853</v>
      </c>
      <c r="G10" s="21">
        <v>43854</v>
      </c>
      <c r="H10" s="21">
        <v>43855</v>
      </c>
    </row>
    <row r="11" spans="1:12" s="5" customFormat="1" ht="48" customHeight="1" x14ac:dyDescent="0.2">
      <c r="B11" s="7"/>
      <c r="C11" s="7"/>
      <c r="D11" s="7"/>
      <c r="E11" s="7"/>
      <c r="F11" s="7"/>
      <c r="G11" s="7"/>
      <c r="H11" s="7"/>
    </row>
    <row r="12" spans="1:12" s="6" customFormat="1" ht="19.5" customHeight="1" x14ac:dyDescent="0.2">
      <c r="B12" s="20">
        <f t="array" ref="B12:H12">DaysAndWeeks+DATE(CalendarYear,1,1)-WEEKDAY(DATE(CalendarYear,1,1),(WeekStart="lunes")+1)+29</f>
        <v>43856</v>
      </c>
      <c r="C12" s="20">
        <v>43857</v>
      </c>
      <c r="D12" s="20">
        <v>43858</v>
      </c>
      <c r="E12" s="20">
        <v>43859</v>
      </c>
      <c r="F12" s="20">
        <v>43860</v>
      </c>
      <c r="G12" s="20">
        <v>43861</v>
      </c>
      <c r="H12" s="20">
        <v>43862</v>
      </c>
    </row>
    <row r="13" spans="1:12" s="5" customFormat="1" ht="48" customHeight="1" x14ac:dyDescent="0.2"/>
    <row r="14" spans="1:12" s="6" customFormat="1" ht="19.5" customHeight="1" x14ac:dyDescent="0.2">
      <c r="B14" s="21">
        <f t="array" ref="B14:C14">DaysAndWeeks+DATE(CalendarYear,1,1)-WEEKDAY(DATE(CalendarYear,1,1),(WeekStart="lunes")+1)+36</f>
        <v>43863</v>
      </c>
      <c r="C14" s="21">
        <v>43864</v>
      </c>
      <c r="D14" s="26" t="s">
        <v>0</v>
      </c>
      <c r="E14" s="26"/>
      <c r="F14" s="26"/>
      <c r="G14" s="26"/>
      <c r="H14" s="26"/>
    </row>
    <row r="15" spans="1:12" s="5" customFormat="1" ht="48" customHeight="1" x14ac:dyDescent="0.2">
      <c r="B15" s="7"/>
      <c r="C15" s="7"/>
      <c r="D15" s="27"/>
      <c r="E15" s="27"/>
      <c r="F15" s="27"/>
      <c r="G15" s="27"/>
      <c r="H15" s="27"/>
    </row>
  </sheetData>
  <mergeCells count="4">
    <mergeCell ref="B2:D2"/>
    <mergeCell ref="D14:H14"/>
    <mergeCell ref="D15:H15"/>
    <mergeCell ref="K3:L3"/>
  </mergeCells>
  <phoneticPr fontId="2" type="noConversion"/>
  <conditionalFormatting sqref="B12:H12 B14:C14">
    <cfRule type="expression" dxfId="23" priority="24">
      <formula>AND(DAY(B12)&gt;=1,DAY(B12)&lt;=15)</formula>
    </cfRule>
  </conditionalFormatting>
  <conditionalFormatting sqref="B4:G4">
    <cfRule type="expression" dxfId="22" priority="23">
      <formula>DAY(B4)&gt;8</formula>
    </cfRule>
  </conditionalFormatting>
  <dataValidations count="13">
    <dataValidation type="list" errorStyle="warning" allowBlank="1" showInputMessage="1" showErrorMessage="1" error="Seleccione un día de la lista. Seleccione Cancelar y, después, presione ALT + Flecha abajo para seleccionar el día de la lista desplegable" prompt="Seleccione el día de inicio de la semana en esta celda. Presione ALT + Flecha abajo para abrir la lista desplegable, presione Flecha abajo y después ENTRAR para realizar la selección" sqref="L5" xr:uid="{00000000-0002-0000-0000-000000000000}">
      <formula1>"domingo, lunes"</formula1>
    </dataValidation>
    <dataValidation allowBlank="1" showInputMessage="1" showErrorMessage="1" prompt="Cree un calendario de un mes personalizado en este libro. Personalice el año y el día de inicio de la semana para todos los meses de esta hoja de cálculo de enero. Cada mes se encuentra en una hoja de cálculo independiente." sqref="A1" xr:uid="{00000000-0002-0000-0000-000001000000}"/>
    <dataValidation allowBlank="1" showInputMessage="1" showErrorMessage="1" prompt="Escriba el año en la celda inferior." sqref="K4" xr:uid="{00000000-0002-0000-0000-000002000000}"/>
    <dataValidation allowBlank="1" showInputMessage="1" showErrorMessage="1" prompt="Seleccione el día de inicio de la semana en la celda inferior." sqref="L4" xr:uid="{00000000-0002-0000-0000-000003000000}"/>
    <dataValidation allowBlank="1" showInputMessage="1" showErrorMessage="1" prompt="Escriba el año en esta celda" sqref="K5" xr:uid="{00000000-0002-0000-0000-000004000000}"/>
    <dataValidation allowBlank="1" showInputMessage="1" showErrorMessage="1" prompt="Esta fila contiene los nombres de los días laborables de este calendario. Esta celda contiene el día de inicio de la semana. Para cambiar el día de inicio de la semana, escriba un nuevo día laborable en la celda L5, en esta hoja de cálculo." sqref="B3" xr:uid="{00000000-0002-0000-0000-000005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000-000006000000}"/>
    <dataValidation allowBlank="1" showInputMessage="1" showErrorMessage="1" prompt="El año de esta celda se actualiza automáticamente según el año especificado en la celda K5. El calendario siguiente incluye fechas de los meses anterior y posterior con un sombreado de fuente más claro." sqref="B2:D2" xr:uid="{00000000-0002-0000-0000-000007000000}"/>
    <dataValidation allowBlank="1" showInputMessage="1" showErrorMessage="1" prompt="El día de la semana se determinará automáticamente" sqref="C3:H3" xr:uid="{00000000-0002-0000-0000-000008000000}"/>
    <dataValidation allowBlank="1" showInputMessage="1" showErrorMessage="1" prompt="Las celdas de esta fila y las filas 7, 9, 11, 13 y 15 son para escribir notas diarias relacionadas con el día natural de la celda anterior." sqref="B5" xr:uid="{00000000-0002-0000-0000-000009000000}"/>
    <dataValidation allowBlank="1" showInputMessage="1" prompt="Escriba las notas del mes en esta celda." sqref="D15:H15" xr:uid="{00000000-0002-0000-0000-00000A000000}"/>
    <dataValidation allowBlank="1" showInputMessage="1" prompt="Escriba las notas del mes en la celda inferior." sqref="D14:H14" xr:uid="{00000000-0002-0000-0000-00000B000000}"/>
    <dataValidation allowBlank="1" showInputMessage="1" showErrorMessage="1" prompt="Escriba el año y seleccione el día de inicio del calendario en las celdas siguientes. Estas celdas de configuración del calendario no se imprimirán." sqref="K3" xr:uid="{00000000-0002-0000-0000-00000C000000}"/>
  </dataValidations>
  <printOptions horizontalCentered="1"/>
  <pageMargins left="0.25" right="0.25" top="0.5" bottom="0.5" header="0.3" footer="0.3"/>
  <pageSetup paperSize="9" orientation="landscape" r:id="rId1"/>
  <headerFooter differentFirst="1"/>
  <customProperties>
    <customPr name="SheetChanged" r:id="rId2"/>
  </customProperties>
  <drawing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59999389629810485"/>
    <pageSetUpPr fitToPage="1"/>
  </sheetPr>
  <dimension ref="A1:I15"/>
  <sheetViews>
    <sheetView showGridLines="0" showRowColHeaders="0" zoomScaleNormal="10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6384" width="8.88671875" style="1"/>
  </cols>
  <sheetData>
    <row r="1" spans="1:9" ht="9" customHeight="1" x14ac:dyDescent="0.2">
      <c r="I1" s="1" t="s">
        <v>1</v>
      </c>
    </row>
    <row r="2" spans="1:9" ht="100.5" customHeight="1" x14ac:dyDescent="0.2">
      <c r="B2" s="25" t="str">
        <f>"Febrero "&amp;"de "&amp;CalendarYear</f>
        <v>Febrero de 2020</v>
      </c>
      <c r="C2" s="25"/>
      <c r="D2" s="25"/>
      <c r="E2" s="2"/>
      <c r="F2" s="2"/>
      <c r="G2" s="2"/>
      <c r="H2" s="3"/>
    </row>
    <row r="3" spans="1:9" s="4" customFormat="1" ht="19.5" customHeight="1" thickBot="1" x14ac:dyDescent="0.25">
      <c r="A3" s="1"/>
      <c r="B3" s="16" t="str">
        <f>WeekStart</f>
        <v>domingo</v>
      </c>
      <c r="C3" s="16" t="str">
        <f t="shared" ref="C3:H3" si="0">TEXT(C4,"dddd")</f>
        <v>lunes</v>
      </c>
      <c r="D3" s="16" t="str">
        <f t="shared" si="0"/>
        <v>martes</v>
      </c>
      <c r="E3" s="16" t="str">
        <f t="shared" si="0"/>
        <v>miércoles</v>
      </c>
      <c r="F3" s="16" t="str">
        <f t="shared" si="0"/>
        <v>jueves</v>
      </c>
      <c r="G3" s="16" t="str">
        <f t="shared" si="0"/>
        <v>viernes</v>
      </c>
      <c r="H3" s="16" t="str">
        <f t="shared" si="0"/>
        <v>sábado</v>
      </c>
    </row>
    <row r="4" spans="1:9" s="6" customFormat="1" ht="19.5" customHeight="1" x14ac:dyDescent="0.2">
      <c r="B4" s="20">
        <f t="array" ref="B4:H4">DaysAndWeeks+DATE(CalendarYear,2,1)-WEEKDAY(DATE(CalendarYear,2,1),(WeekStart="lunes")+1)+1</f>
        <v>43856</v>
      </c>
      <c r="C4" s="20">
        <v>43857</v>
      </c>
      <c r="D4" s="20">
        <v>43858</v>
      </c>
      <c r="E4" s="20">
        <v>43859</v>
      </c>
      <c r="F4" s="20">
        <v>43860</v>
      </c>
      <c r="G4" s="20">
        <v>43861</v>
      </c>
      <c r="H4" s="20">
        <v>43862</v>
      </c>
    </row>
    <row r="5" spans="1:9" s="5" customFormat="1" ht="48" customHeight="1" x14ac:dyDescent="0.2"/>
    <row r="6" spans="1:9" s="6" customFormat="1" ht="19.5" customHeight="1" x14ac:dyDescent="0.2">
      <c r="B6" s="21">
        <f t="array" ref="B6:H6">DaysAndWeeks+DATE(CalendarYear,2,1)-WEEKDAY(DATE(CalendarYear,2,1),(WeekStart="lunes")+1)+8</f>
        <v>43863</v>
      </c>
      <c r="C6" s="21">
        <v>43864</v>
      </c>
      <c r="D6" s="21">
        <v>43865</v>
      </c>
      <c r="E6" s="21">
        <v>43866</v>
      </c>
      <c r="F6" s="21">
        <v>43867</v>
      </c>
      <c r="G6" s="21">
        <v>43868</v>
      </c>
      <c r="H6" s="21">
        <v>43869</v>
      </c>
    </row>
    <row r="7" spans="1:9" s="5" customFormat="1" ht="48" customHeight="1" x14ac:dyDescent="0.2">
      <c r="B7" s="7"/>
      <c r="C7" s="7"/>
      <c r="D7" s="7"/>
      <c r="E7" s="7"/>
      <c r="F7" s="7"/>
      <c r="G7" s="7"/>
      <c r="H7" s="7"/>
    </row>
    <row r="8" spans="1:9" s="6" customFormat="1" ht="19.5" customHeight="1" x14ac:dyDescent="0.2">
      <c r="B8" s="20">
        <f t="array" ref="B8:H8">DaysAndWeeks+DATE(CalendarYear,2,1)-WEEKDAY(DATE(CalendarYear,2,1),(WeekStart="lunes")+1)+15</f>
        <v>43870</v>
      </c>
      <c r="C8" s="20">
        <v>43871</v>
      </c>
      <c r="D8" s="20">
        <v>43872</v>
      </c>
      <c r="E8" s="20">
        <v>43873</v>
      </c>
      <c r="F8" s="20">
        <v>43874</v>
      </c>
      <c r="G8" s="20">
        <v>43875</v>
      </c>
      <c r="H8" s="20">
        <v>43876</v>
      </c>
    </row>
    <row r="9" spans="1:9" s="5" customFormat="1" ht="48" customHeight="1" x14ac:dyDescent="0.2"/>
    <row r="10" spans="1:9" s="6" customFormat="1" ht="19.5" customHeight="1" x14ac:dyDescent="0.2">
      <c r="B10" s="21">
        <f t="array" ref="B10:H10">DaysAndWeeks+DATE(CalendarYear,2,1)-WEEKDAY(DATE(CalendarYear,2,1),(WeekStart="lunes")+1)+22</f>
        <v>43877</v>
      </c>
      <c r="C10" s="21">
        <v>43878</v>
      </c>
      <c r="D10" s="21">
        <v>43879</v>
      </c>
      <c r="E10" s="21">
        <v>43880</v>
      </c>
      <c r="F10" s="21">
        <v>43881</v>
      </c>
      <c r="G10" s="21">
        <v>43882</v>
      </c>
      <c r="H10" s="21">
        <v>43883</v>
      </c>
    </row>
    <row r="11" spans="1:9" s="5" customFormat="1" ht="48" customHeight="1" x14ac:dyDescent="0.2">
      <c r="B11" s="7"/>
      <c r="C11" s="7"/>
      <c r="D11" s="7"/>
      <c r="E11" s="7"/>
      <c r="F11" s="7"/>
      <c r="G11" s="7"/>
      <c r="H11" s="7"/>
    </row>
    <row r="12" spans="1:9" s="6" customFormat="1" ht="19.5" customHeight="1" x14ac:dyDescent="0.2">
      <c r="B12" s="20">
        <f t="array" ref="B12:H12">DaysAndWeeks+DATE(CalendarYear,2,1)-WEEKDAY(DATE(CalendarYear,2,1),(WeekStart="lunes")+1)+29</f>
        <v>43884</v>
      </c>
      <c r="C12" s="20">
        <v>43885</v>
      </c>
      <c r="D12" s="20">
        <v>43886</v>
      </c>
      <c r="E12" s="20">
        <v>43887</v>
      </c>
      <c r="F12" s="20">
        <v>43888</v>
      </c>
      <c r="G12" s="20">
        <v>43889</v>
      </c>
      <c r="H12" s="20">
        <v>43890</v>
      </c>
    </row>
    <row r="13" spans="1:9" s="5" customFormat="1" ht="48" customHeight="1" x14ac:dyDescent="0.2"/>
    <row r="14" spans="1:9" s="6" customFormat="1" ht="19.5" customHeight="1" x14ac:dyDescent="0.2">
      <c r="B14" s="21">
        <f t="array" ref="B14:C14">DaysAndWeeks+DATE(CalendarYear,2,1)-WEEKDAY(DATE(CalendarYear,2,1),(WeekStart="lunes")+1)+36</f>
        <v>43891</v>
      </c>
      <c r="C14" s="21">
        <v>43892</v>
      </c>
      <c r="D14" s="26" t="s">
        <v>0</v>
      </c>
      <c r="E14" s="26"/>
      <c r="F14" s="26"/>
      <c r="G14" s="26"/>
      <c r="H14" s="26"/>
    </row>
    <row r="15" spans="1:9" s="5" customFormat="1" ht="48" customHeight="1" x14ac:dyDescent="0.2">
      <c r="B15" s="7"/>
      <c r="C15" s="7"/>
      <c r="D15" s="27"/>
      <c r="E15" s="27"/>
      <c r="F15" s="27"/>
      <c r="G15" s="27"/>
      <c r="H15" s="27"/>
    </row>
  </sheetData>
  <mergeCells count="3">
    <mergeCell ref="B2:D2"/>
    <mergeCell ref="D14:H14"/>
    <mergeCell ref="D15:H15"/>
  </mergeCells>
  <conditionalFormatting sqref="B12:H12 B14:C14">
    <cfRule type="expression" dxfId="21" priority="2">
      <formula>AND(DAY(B12)&gt;=1,DAY(B12)&lt;=15)</formula>
    </cfRule>
  </conditionalFormatting>
  <conditionalFormatting sqref="B4:G4">
    <cfRule type="expression" dxfId="20" priority="1">
      <formula>DAY(B4)&gt;8</formula>
    </cfRule>
  </conditionalFormatting>
  <dataValidations count="8">
    <dataValidation allowBlank="1" showInputMessage="1" showErrorMessage="1" prompt="El día de la semana se determinará automáticamente" sqref="C3:H3" xr:uid="{00000000-0002-0000-01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100-000001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100-000002000000}"/>
    <dataValidation allowBlank="1" showInputMessage="1" showErrorMessage="1" prompt="Calendario del mes de febrero" sqref="A1" xr:uid="{00000000-0002-0000-0100-000003000000}"/>
    <dataValidation allowBlank="1" showInputMessage="1" prompt="Escriba las notas del mes en la celda inferior." sqref="D14:H14" xr:uid="{00000000-0002-0000-0100-000004000000}"/>
    <dataValidation allowBlank="1" showInputMessage="1" prompt="Escriba las notas del mes en esta celda." sqref="D15:H15" xr:uid="{00000000-0002-0000-0100-000005000000}"/>
    <dataValidation allowBlank="1" showInputMessage="1" showErrorMessage="1" prompt="Las celdas de esta fila y las filas 7, 9, 11, 13 y 15 son para escribir notas diarias relacionadas con el día natural de la celda anterior." sqref="B5" xr:uid="{00000000-0002-0000-01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100-000007000000}"/>
  </dataValidations>
  <printOptions horizontalCentered="1"/>
  <pageMargins left="0.25" right="0.25" top="0.5" bottom="0.5" header="0.3" footer="0.3"/>
  <pageSetup paperSize="9" scale="95" orientation="landscape" r:id="rId1"/>
  <headerFooter differentFirst="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59999389629810485"/>
    <pageSetUpPr fitToPage="1"/>
  </sheetPr>
  <dimension ref="A1:I15"/>
  <sheetViews>
    <sheetView showGridLines="0" showRowColHeaders="0" zoomScaleNormal="10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10.6640625" style="12" customWidth="1"/>
    <col min="11" max="16384" width="8.88671875" style="12"/>
  </cols>
  <sheetData>
    <row r="1" spans="1:9" s="1" customFormat="1" ht="9" customHeight="1" x14ac:dyDescent="0.2">
      <c r="I1" s="1" t="s">
        <v>1</v>
      </c>
    </row>
    <row r="2" spans="1:9" s="1" customFormat="1" ht="100.5" customHeight="1" x14ac:dyDescent="0.2">
      <c r="B2" s="29" t="str">
        <f>"Marzo "&amp;"de "&amp;CalendarYear</f>
        <v>Marzo de 2020</v>
      </c>
      <c r="C2" s="29"/>
      <c r="D2" s="29"/>
      <c r="E2" s="2"/>
      <c r="F2" s="2"/>
      <c r="G2" s="2"/>
      <c r="H2" s="3"/>
    </row>
    <row r="3" spans="1:9" s="4" customFormat="1" ht="19.5" customHeight="1" thickBot="1" x14ac:dyDescent="0.25">
      <c r="A3" s="1"/>
      <c r="B3" s="17" t="str">
        <f>WeekStart</f>
        <v>domingo</v>
      </c>
      <c r="C3" s="17" t="str">
        <f t="shared" ref="C3:H3" si="0">TEXT(C4,"dddd")</f>
        <v>lunes</v>
      </c>
      <c r="D3" s="17" t="str">
        <f t="shared" si="0"/>
        <v>martes</v>
      </c>
      <c r="E3" s="17" t="str">
        <f t="shared" si="0"/>
        <v>miércoles</v>
      </c>
      <c r="F3" s="17" t="str">
        <f t="shared" si="0"/>
        <v>jueves</v>
      </c>
      <c r="G3" s="17" t="str">
        <f t="shared" si="0"/>
        <v>viernes</v>
      </c>
      <c r="H3" s="17" t="str">
        <f t="shared" si="0"/>
        <v>sábado</v>
      </c>
    </row>
    <row r="4" spans="1:9" s="6" customFormat="1" ht="19.5" customHeight="1" x14ac:dyDescent="0.2">
      <c r="B4" s="20">
        <f t="array" ref="B4:H4">DaysAndWeeks+DATE(CalendarYear,3,1)-WEEKDAY(DATE(CalendarYear,3,1),(WeekStart="lunes")+1)+1</f>
        <v>43891</v>
      </c>
      <c r="C4" s="20">
        <v>43892</v>
      </c>
      <c r="D4" s="20">
        <v>43893</v>
      </c>
      <c r="E4" s="20">
        <v>43894</v>
      </c>
      <c r="F4" s="20">
        <v>43895</v>
      </c>
      <c r="G4" s="20">
        <v>43896</v>
      </c>
      <c r="H4" s="20">
        <v>43897</v>
      </c>
    </row>
    <row r="5" spans="1:9" s="5" customFormat="1" ht="48" customHeight="1" x14ac:dyDescent="0.2"/>
    <row r="6" spans="1:9" s="6" customFormat="1" ht="19.5" customHeight="1" x14ac:dyDescent="0.2">
      <c r="B6" s="24">
        <f t="array" ref="B6:H6">DaysAndWeeks+DATE(CalendarYear,3,1)-WEEKDAY(DATE(CalendarYear,3,1),(WeekStart="lunes")+1)+8</f>
        <v>43898</v>
      </c>
      <c r="C6" s="24">
        <v>43899</v>
      </c>
      <c r="D6" s="24">
        <v>43900</v>
      </c>
      <c r="E6" s="24">
        <v>43901</v>
      </c>
      <c r="F6" s="24">
        <v>43902</v>
      </c>
      <c r="G6" s="24">
        <v>43903</v>
      </c>
      <c r="H6" s="24">
        <v>43904</v>
      </c>
    </row>
    <row r="7" spans="1:9" s="5" customFormat="1" ht="48" customHeight="1" x14ac:dyDescent="0.2">
      <c r="B7" s="13"/>
      <c r="C7" s="13"/>
      <c r="D7" s="13"/>
      <c r="E7" s="13"/>
      <c r="F7" s="13"/>
      <c r="G7" s="13"/>
      <c r="H7" s="13"/>
    </row>
    <row r="8" spans="1:9" s="6" customFormat="1" ht="19.5" customHeight="1" x14ac:dyDescent="0.2">
      <c r="B8" s="20">
        <f t="array" ref="B8:H8">DaysAndWeeks+DATE(CalendarYear,3,1)-WEEKDAY(DATE(CalendarYear,3,1),(WeekStart="lunes")+1)+15</f>
        <v>43905</v>
      </c>
      <c r="C8" s="20">
        <v>43906</v>
      </c>
      <c r="D8" s="20">
        <v>43907</v>
      </c>
      <c r="E8" s="20">
        <v>43908</v>
      </c>
      <c r="F8" s="20">
        <v>43909</v>
      </c>
      <c r="G8" s="20">
        <v>43910</v>
      </c>
      <c r="H8" s="20">
        <v>43911</v>
      </c>
    </row>
    <row r="9" spans="1:9" s="5" customFormat="1" ht="48" customHeight="1" x14ac:dyDescent="0.2"/>
    <row r="10" spans="1:9" s="6" customFormat="1" ht="19.5" customHeight="1" x14ac:dyDescent="0.2">
      <c r="B10" s="24">
        <f t="array" ref="B10:H10">DaysAndWeeks+DATE(CalendarYear,3,1)-WEEKDAY(DATE(CalendarYear,3,1),(WeekStart="lunes")+1)+22</f>
        <v>43912</v>
      </c>
      <c r="C10" s="24">
        <v>43913</v>
      </c>
      <c r="D10" s="24">
        <v>43914</v>
      </c>
      <c r="E10" s="24">
        <v>43915</v>
      </c>
      <c r="F10" s="24">
        <v>43916</v>
      </c>
      <c r="G10" s="24">
        <v>43917</v>
      </c>
      <c r="H10" s="24">
        <v>43918</v>
      </c>
    </row>
    <row r="11" spans="1:9" s="5" customFormat="1" ht="48" customHeight="1" x14ac:dyDescent="0.2">
      <c r="B11" s="13"/>
      <c r="C11" s="13"/>
      <c r="D11" s="13"/>
      <c r="E11" s="13"/>
      <c r="F11" s="13"/>
      <c r="G11" s="13"/>
      <c r="H11" s="13"/>
    </row>
    <row r="12" spans="1:9" s="6" customFormat="1" ht="19.5" customHeight="1" x14ac:dyDescent="0.2">
      <c r="B12" s="20">
        <f t="array" ref="B12:H12">DaysAndWeeks+DATE(CalendarYear,3,1)-WEEKDAY(DATE(CalendarYear,3,1),(WeekStart="lunes")+1)+29</f>
        <v>43919</v>
      </c>
      <c r="C12" s="20">
        <v>43920</v>
      </c>
      <c r="D12" s="20">
        <v>43921</v>
      </c>
      <c r="E12" s="20">
        <v>43922</v>
      </c>
      <c r="F12" s="20">
        <v>43923</v>
      </c>
      <c r="G12" s="20">
        <v>43924</v>
      </c>
      <c r="H12" s="20">
        <v>43925</v>
      </c>
    </row>
    <row r="13" spans="1:9" s="5" customFormat="1" ht="48" customHeight="1" x14ac:dyDescent="0.2"/>
    <row r="14" spans="1:9" s="6" customFormat="1" ht="19.5" customHeight="1" x14ac:dyDescent="0.2">
      <c r="B14" s="24">
        <f t="array" ref="B14:C14">DaysAndWeeks+DATE(CalendarYear,3,1)-WEEKDAY(DATE(CalendarYear,3,1),(WeekStart="lunes")+1)+36</f>
        <v>43926</v>
      </c>
      <c r="C14" s="24">
        <v>43927</v>
      </c>
      <c r="D14" s="30" t="s">
        <v>0</v>
      </c>
      <c r="E14" s="30"/>
      <c r="F14" s="30"/>
      <c r="G14" s="30"/>
      <c r="H14" s="30"/>
    </row>
    <row r="15" spans="1:9" s="5" customFormat="1" ht="48" customHeight="1" x14ac:dyDescent="0.2">
      <c r="B15" s="13"/>
      <c r="C15" s="13"/>
      <c r="D15" s="31"/>
      <c r="E15" s="31"/>
      <c r="F15" s="31"/>
      <c r="G15" s="31"/>
      <c r="H15" s="31"/>
    </row>
  </sheetData>
  <mergeCells count="3">
    <mergeCell ref="B2:D2"/>
    <mergeCell ref="D14:H14"/>
    <mergeCell ref="D15:H15"/>
  </mergeCells>
  <conditionalFormatting sqref="B12:H12 B14:C14">
    <cfRule type="expression" dxfId="19" priority="2">
      <formula>AND(DAY(B12)&gt;=1,DAY(B12)&lt;=15)</formula>
    </cfRule>
  </conditionalFormatting>
  <conditionalFormatting sqref="B4:G4">
    <cfRule type="expression" dxfId="18" priority="1">
      <formula>DAY(B4)&gt;8</formula>
    </cfRule>
  </conditionalFormatting>
  <dataValidations count="8">
    <dataValidation allowBlank="1" showInputMessage="1" showErrorMessage="1" prompt="Calendario del mes de marzo" sqref="A1" xr:uid="{00000000-0002-0000-02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200-000001000000}"/>
    <dataValidation allowBlank="1" showInputMessage="1" showErrorMessage="1" prompt="El día de la semana se determinará automáticamente" sqref="C3:H3" xr:uid="{00000000-0002-0000-02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200-000003000000}"/>
    <dataValidation allowBlank="1" showInputMessage="1" showErrorMessage="1" prompt="Las celdas de esta fila y las filas 7, 9, 11, 13 y 15 son para escribir notas diarias relacionadas con el día natural de la celda anterior." sqref="B5" xr:uid="{00000000-0002-0000-0200-000004000000}"/>
    <dataValidation allowBlank="1" showInputMessage="1" prompt="Escriba las notas del mes en esta celda." sqref="D15:H15" xr:uid="{00000000-0002-0000-0200-000005000000}"/>
    <dataValidation allowBlank="1" showInputMessage="1" prompt="Escriba las notas del mes en la celda inferior." sqref="D14:H14" xr:uid="{00000000-0002-0000-02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200-000007000000}"/>
  </dataValidations>
  <printOptions horizontalCentered="1"/>
  <pageMargins left="0.25" right="0.25" top="0.5" bottom="0.5" header="0.3" footer="0.3"/>
  <pageSetup paperSize="9" scale="95" orientation="landscape" r:id="rId1"/>
  <headerFooter differentFirst="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59999389629810485"/>
    <pageSetUpPr fitToPage="1"/>
  </sheetPr>
  <dimension ref="A1:I15"/>
  <sheetViews>
    <sheetView showGridLines="0" showRowColHeaders="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10.6640625" style="12" customWidth="1"/>
    <col min="11" max="16384" width="8.88671875" style="12"/>
  </cols>
  <sheetData>
    <row r="1" spans="1:9" s="1" customFormat="1" ht="9" customHeight="1" x14ac:dyDescent="0.2">
      <c r="I1" s="1" t="s">
        <v>1</v>
      </c>
    </row>
    <row r="2" spans="1:9" s="1" customFormat="1" ht="100.5" customHeight="1" x14ac:dyDescent="0.2">
      <c r="B2" s="29" t="str">
        <f>"Abril "&amp;"de "&amp;CalendarYear</f>
        <v>Abril de 2020</v>
      </c>
      <c r="C2" s="29"/>
      <c r="D2" s="29"/>
      <c r="E2" s="2"/>
      <c r="F2" s="2"/>
      <c r="G2" s="2"/>
      <c r="H2" s="3"/>
    </row>
    <row r="3" spans="1:9" s="4" customFormat="1" ht="19.5" customHeight="1" thickBot="1" x14ac:dyDescent="0.25">
      <c r="A3" s="1"/>
      <c r="B3" s="17" t="str">
        <f>WeekStart</f>
        <v>domingo</v>
      </c>
      <c r="C3" s="17" t="str">
        <f t="shared" ref="C3:H3" si="0">TEXT(C4,"dddd")</f>
        <v>lunes</v>
      </c>
      <c r="D3" s="17" t="str">
        <f t="shared" si="0"/>
        <v>martes</v>
      </c>
      <c r="E3" s="17" t="str">
        <f t="shared" si="0"/>
        <v>miércoles</v>
      </c>
      <c r="F3" s="17" t="str">
        <f t="shared" si="0"/>
        <v>jueves</v>
      </c>
      <c r="G3" s="17" t="str">
        <f t="shared" si="0"/>
        <v>viernes</v>
      </c>
      <c r="H3" s="17" t="str">
        <f t="shared" si="0"/>
        <v>sábado</v>
      </c>
    </row>
    <row r="4" spans="1:9" s="6" customFormat="1" ht="19.5" customHeight="1" x14ac:dyDescent="0.2">
      <c r="B4" s="20">
        <f t="array" ref="B4:H4">DaysAndWeeks+DATE(CalendarYear,4,1)-WEEKDAY(DATE(CalendarYear,4,1),(WeekStart="lunes")+1)+1</f>
        <v>43919</v>
      </c>
      <c r="C4" s="20">
        <v>43920</v>
      </c>
      <c r="D4" s="20">
        <v>43921</v>
      </c>
      <c r="E4" s="20">
        <v>43922</v>
      </c>
      <c r="F4" s="20">
        <v>43923</v>
      </c>
      <c r="G4" s="20">
        <v>43924</v>
      </c>
      <c r="H4" s="20">
        <v>43925</v>
      </c>
    </row>
    <row r="5" spans="1:9" s="5" customFormat="1" ht="48" customHeight="1" x14ac:dyDescent="0.2"/>
    <row r="6" spans="1:9" s="6" customFormat="1" ht="19.5" customHeight="1" x14ac:dyDescent="0.2">
      <c r="B6" s="24">
        <f t="array" ref="B6:H6">DaysAndWeeks+DATE(CalendarYear,4,1)-WEEKDAY(DATE(CalendarYear,4,1),(WeekStart="lunes")+1)+8</f>
        <v>43926</v>
      </c>
      <c r="C6" s="24">
        <v>43927</v>
      </c>
      <c r="D6" s="24">
        <v>43928</v>
      </c>
      <c r="E6" s="24">
        <v>43929</v>
      </c>
      <c r="F6" s="24">
        <v>43930</v>
      </c>
      <c r="G6" s="24">
        <v>43931</v>
      </c>
      <c r="H6" s="24">
        <v>43932</v>
      </c>
    </row>
    <row r="7" spans="1:9" s="5" customFormat="1" ht="48" customHeight="1" x14ac:dyDescent="0.2">
      <c r="B7" s="13"/>
      <c r="C7" s="13"/>
      <c r="D7" s="13"/>
      <c r="E7" s="13"/>
      <c r="F7" s="13"/>
      <c r="G7" s="13"/>
      <c r="H7" s="13"/>
    </row>
    <row r="8" spans="1:9" s="6" customFormat="1" ht="19.5" customHeight="1" x14ac:dyDescent="0.2">
      <c r="B8" s="20">
        <f t="array" ref="B8:H8">DaysAndWeeks+DATE(CalendarYear,4,1)-WEEKDAY(DATE(CalendarYear,4,1),(WeekStart="lunes")+1)+15</f>
        <v>43933</v>
      </c>
      <c r="C8" s="20">
        <v>43934</v>
      </c>
      <c r="D8" s="20">
        <v>43935</v>
      </c>
      <c r="E8" s="20">
        <v>43936</v>
      </c>
      <c r="F8" s="20">
        <v>43937</v>
      </c>
      <c r="G8" s="20">
        <v>43938</v>
      </c>
      <c r="H8" s="20">
        <v>43939</v>
      </c>
    </row>
    <row r="9" spans="1:9" s="5" customFormat="1" ht="48" customHeight="1" x14ac:dyDescent="0.2"/>
    <row r="10" spans="1:9" s="6" customFormat="1" ht="19.5" customHeight="1" x14ac:dyDescent="0.2">
      <c r="B10" s="24">
        <f t="array" ref="B10:H10">DaysAndWeeks+DATE(CalendarYear,4,1)-WEEKDAY(DATE(CalendarYear,4,1),(WeekStart="lunes")+1)+22</f>
        <v>43940</v>
      </c>
      <c r="C10" s="24">
        <v>43941</v>
      </c>
      <c r="D10" s="24">
        <v>43942</v>
      </c>
      <c r="E10" s="24">
        <v>43943</v>
      </c>
      <c r="F10" s="24">
        <v>43944</v>
      </c>
      <c r="G10" s="24">
        <v>43945</v>
      </c>
      <c r="H10" s="24">
        <v>43946</v>
      </c>
    </row>
    <row r="11" spans="1:9" s="5" customFormat="1" ht="48" customHeight="1" x14ac:dyDescent="0.2">
      <c r="B11" s="13"/>
      <c r="C11" s="13"/>
      <c r="D11" s="13"/>
      <c r="E11" s="13"/>
      <c r="F11" s="13"/>
      <c r="G11" s="13"/>
      <c r="H11" s="13"/>
    </row>
    <row r="12" spans="1:9" s="6" customFormat="1" ht="19.5" customHeight="1" x14ac:dyDescent="0.2">
      <c r="B12" s="20">
        <f t="array" ref="B12:H12">DaysAndWeeks+DATE(CalendarYear,4,1)-WEEKDAY(DATE(CalendarYear,4,1),(WeekStart="lunes")+1)+29</f>
        <v>43947</v>
      </c>
      <c r="C12" s="20">
        <v>43948</v>
      </c>
      <c r="D12" s="20">
        <v>43949</v>
      </c>
      <c r="E12" s="20">
        <v>43950</v>
      </c>
      <c r="F12" s="20">
        <v>43951</v>
      </c>
      <c r="G12" s="20">
        <v>43952</v>
      </c>
      <c r="H12" s="20">
        <v>43953</v>
      </c>
    </row>
    <row r="13" spans="1:9" s="5" customFormat="1" ht="48" customHeight="1" x14ac:dyDescent="0.2"/>
    <row r="14" spans="1:9" s="6" customFormat="1" ht="19.5" customHeight="1" x14ac:dyDescent="0.2">
      <c r="B14" s="24">
        <f t="array" ref="B14:C14">DaysAndWeeks+DATE(CalendarYear,4,1)-WEEKDAY(DATE(CalendarYear,4,1),(WeekStart="lunes")+1)+36</f>
        <v>43954</v>
      </c>
      <c r="C14" s="24">
        <v>43955</v>
      </c>
      <c r="D14" s="30" t="s">
        <v>0</v>
      </c>
      <c r="E14" s="30"/>
      <c r="F14" s="30"/>
      <c r="G14" s="30"/>
      <c r="H14" s="30"/>
    </row>
    <row r="15" spans="1:9" s="5" customFormat="1" ht="48" customHeight="1" x14ac:dyDescent="0.2">
      <c r="B15" s="13"/>
      <c r="C15" s="13"/>
      <c r="D15" s="31"/>
      <c r="E15" s="31"/>
      <c r="F15" s="31"/>
      <c r="G15" s="31"/>
      <c r="H15" s="31"/>
    </row>
  </sheetData>
  <mergeCells count="3">
    <mergeCell ref="B2:D2"/>
    <mergeCell ref="D14:H14"/>
    <mergeCell ref="D15:H15"/>
  </mergeCells>
  <conditionalFormatting sqref="B12:H12 B14:C14">
    <cfRule type="expression" dxfId="17" priority="2">
      <formula>AND(DAY(B12)&gt;=1,DAY(B12)&lt;=15)</formula>
    </cfRule>
  </conditionalFormatting>
  <conditionalFormatting sqref="B4:G4">
    <cfRule type="expression" dxfId="16" priority="1">
      <formula>DAY(B4)&gt;8</formula>
    </cfRule>
  </conditionalFormatting>
  <dataValidations count="8">
    <dataValidation allowBlank="1" showInputMessage="1" showErrorMessage="1" prompt="El día de la semana se determinará automáticamente" sqref="C3:H3" xr:uid="{00000000-0002-0000-03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300-000001000000}"/>
    <dataValidation allowBlank="1" showInputMessage="1" showErrorMessage="1" prompt="Calendario del mes de abril" sqref="A1" xr:uid="{00000000-0002-0000-03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300-000003000000}"/>
    <dataValidation allowBlank="1" showInputMessage="1" prompt="Escriba las notas del mes en la celda inferior." sqref="D14:H14" xr:uid="{00000000-0002-0000-0300-000004000000}"/>
    <dataValidation allowBlank="1" showInputMessage="1" prompt="Escriba las notas del mes en esta celda." sqref="D15:H15" xr:uid="{00000000-0002-0000-0300-000005000000}"/>
    <dataValidation allowBlank="1" showInputMessage="1" showErrorMessage="1" prompt="Las celdas de esta fila y las filas 7, 9, 11, 13 y 15 son para escribir notas diarias relacionadas con el día natural de la celda anterior." sqref="B5" xr:uid="{00000000-0002-0000-03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300-000007000000}"/>
  </dataValidations>
  <printOptions horizontalCentered="1"/>
  <pageMargins left="0.25" right="0.25" top="0.5" bottom="0.5" header="0.3" footer="0.3"/>
  <pageSetup paperSize="9" scale="95" orientation="landscape" r:id="rId1"/>
  <headerFooter differentFirst="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59999389629810485"/>
    <pageSetUpPr fitToPage="1"/>
  </sheetPr>
  <dimension ref="A1:I15"/>
  <sheetViews>
    <sheetView showGridLines="0" showRowColHeaders="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10.6640625" style="12" customWidth="1"/>
    <col min="11" max="16384" width="8.88671875" style="12"/>
  </cols>
  <sheetData>
    <row r="1" spans="1:9" s="1" customFormat="1" ht="9" customHeight="1" x14ac:dyDescent="0.2">
      <c r="I1" s="1" t="s">
        <v>1</v>
      </c>
    </row>
    <row r="2" spans="1:9" s="1" customFormat="1" ht="100.5" customHeight="1" x14ac:dyDescent="0.2">
      <c r="B2" s="29" t="str">
        <f>"Mayo "&amp;"de "&amp;CalendarYear</f>
        <v>Mayo de 2020</v>
      </c>
      <c r="C2" s="29"/>
      <c r="D2" s="29"/>
      <c r="E2" s="2"/>
      <c r="F2" s="2"/>
      <c r="G2" s="2"/>
      <c r="H2" s="3"/>
    </row>
    <row r="3" spans="1:9" s="4" customFormat="1" ht="19.5" customHeight="1" thickBot="1" x14ac:dyDescent="0.25">
      <c r="A3" s="1"/>
      <c r="B3" s="17" t="str">
        <f>WeekStart</f>
        <v>domingo</v>
      </c>
      <c r="C3" s="17" t="str">
        <f t="shared" ref="C3:H3" si="0">TEXT(C4,"dddd")</f>
        <v>lunes</v>
      </c>
      <c r="D3" s="17" t="str">
        <f t="shared" si="0"/>
        <v>martes</v>
      </c>
      <c r="E3" s="17" t="str">
        <f t="shared" si="0"/>
        <v>miércoles</v>
      </c>
      <c r="F3" s="17" t="str">
        <f t="shared" si="0"/>
        <v>jueves</v>
      </c>
      <c r="G3" s="17" t="str">
        <f t="shared" si="0"/>
        <v>viernes</v>
      </c>
      <c r="H3" s="17" t="str">
        <f t="shared" si="0"/>
        <v>sábado</v>
      </c>
    </row>
    <row r="4" spans="1:9" s="6" customFormat="1" ht="19.5" customHeight="1" x14ac:dyDescent="0.2">
      <c r="B4" s="20">
        <f t="array" ref="B4:H4">DaysAndWeeks+DATE(CalendarYear,5,1)-WEEKDAY(DATE(CalendarYear,5,1),(WeekStart="lunes")+1)+1</f>
        <v>43947</v>
      </c>
      <c r="C4" s="20">
        <v>43948</v>
      </c>
      <c r="D4" s="20">
        <v>43949</v>
      </c>
      <c r="E4" s="20">
        <v>43950</v>
      </c>
      <c r="F4" s="20">
        <v>43951</v>
      </c>
      <c r="G4" s="20">
        <v>43952</v>
      </c>
      <c r="H4" s="20">
        <v>43953</v>
      </c>
    </row>
    <row r="5" spans="1:9" s="5" customFormat="1" ht="48" customHeight="1" x14ac:dyDescent="0.2"/>
    <row r="6" spans="1:9" s="6" customFormat="1" ht="19.5" customHeight="1" x14ac:dyDescent="0.2">
      <c r="B6" s="24">
        <f t="array" ref="B6:H6">DaysAndWeeks+DATE(CalendarYear,5,1)-WEEKDAY(DATE(CalendarYear,5,1),(WeekStart="lunes")+1)+8</f>
        <v>43954</v>
      </c>
      <c r="C6" s="24">
        <v>43955</v>
      </c>
      <c r="D6" s="24">
        <v>43956</v>
      </c>
      <c r="E6" s="24">
        <v>43957</v>
      </c>
      <c r="F6" s="24">
        <v>43958</v>
      </c>
      <c r="G6" s="24">
        <v>43959</v>
      </c>
      <c r="H6" s="24">
        <v>43960</v>
      </c>
    </row>
    <row r="7" spans="1:9" s="5" customFormat="1" ht="48" customHeight="1" x14ac:dyDescent="0.2">
      <c r="B7" s="13"/>
      <c r="C7" s="13"/>
      <c r="D7" s="13"/>
      <c r="E7" s="13"/>
      <c r="F7" s="13"/>
      <c r="G7" s="13"/>
      <c r="H7" s="13"/>
    </row>
    <row r="8" spans="1:9" s="6" customFormat="1" ht="19.5" customHeight="1" x14ac:dyDescent="0.2">
      <c r="B8" s="20">
        <f t="array" ref="B8:H8">DaysAndWeeks+DATE(CalendarYear,5,1)-WEEKDAY(DATE(CalendarYear,5,1),(WeekStart="lunes")+1)+15</f>
        <v>43961</v>
      </c>
      <c r="C8" s="20">
        <v>43962</v>
      </c>
      <c r="D8" s="20">
        <v>43963</v>
      </c>
      <c r="E8" s="20">
        <v>43964</v>
      </c>
      <c r="F8" s="20">
        <v>43965</v>
      </c>
      <c r="G8" s="20">
        <v>43966</v>
      </c>
      <c r="H8" s="20">
        <v>43967</v>
      </c>
    </row>
    <row r="9" spans="1:9" s="5" customFormat="1" ht="48" customHeight="1" x14ac:dyDescent="0.2"/>
    <row r="10" spans="1:9" s="6" customFormat="1" ht="19.5" customHeight="1" x14ac:dyDescent="0.2">
      <c r="B10" s="24">
        <f t="array" ref="B10:H10">DaysAndWeeks+DATE(CalendarYear,5,1)-WEEKDAY(DATE(CalendarYear,5,1),(WeekStart="lunes")+1)+22</f>
        <v>43968</v>
      </c>
      <c r="C10" s="24">
        <v>43969</v>
      </c>
      <c r="D10" s="24">
        <v>43970</v>
      </c>
      <c r="E10" s="24">
        <v>43971</v>
      </c>
      <c r="F10" s="24">
        <v>43972</v>
      </c>
      <c r="G10" s="24">
        <v>43973</v>
      </c>
      <c r="H10" s="24">
        <v>43974</v>
      </c>
    </row>
    <row r="11" spans="1:9" s="5" customFormat="1" ht="48" customHeight="1" x14ac:dyDescent="0.2">
      <c r="B11" s="13"/>
      <c r="C11" s="13"/>
      <c r="D11" s="13"/>
      <c r="E11" s="13"/>
      <c r="F11" s="13"/>
      <c r="G11" s="13"/>
      <c r="H11" s="13"/>
    </row>
    <row r="12" spans="1:9" s="6" customFormat="1" ht="19.5" customHeight="1" x14ac:dyDescent="0.2">
      <c r="B12" s="20">
        <f t="array" ref="B12:H12">DaysAndWeeks+DATE(CalendarYear,5,1)-WEEKDAY(DATE(CalendarYear,5,1),(WeekStart="lunes")+1)+29</f>
        <v>43975</v>
      </c>
      <c r="C12" s="20">
        <v>43976</v>
      </c>
      <c r="D12" s="20">
        <v>43977</v>
      </c>
      <c r="E12" s="20">
        <v>43978</v>
      </c>
      <c r="F12" s="20">
        <v>43979</v>
      </c>
      <c r="G12" s="20">
        <v>43980</v>
      </c>
      <c r="H12" s="20">
        <v>43981</v>
      </c>
    </row>
    <row r="13" spans="1:9" s="5" customFormat="1" ht="48" customHeight="1" x14ac:dyDescent="0.2"/>
    <row r="14" spans="1:9" s="6" customFormat="1" ht="19.5" customHeight="1" x14ac:dyDescent="0.2">
      <c r="B14" s="24">
        <f t="array" ref="B14:C14">DaysAndWeeks+DATE(CalendarYear,5,1)-WEEKDAY(DATE(CalendarYear,5,1),(WeekStart="lunes")+1)+36</f>
        <v>43982</v>
      </c>
      <c r="C14" s="24">
        <v>43983</v>
      </c>
      <c r="D14" s="30" t="s">
        <v>0</v>
      </c>
      <c r="E14" s="30"/>
      <c r="F14" s="30"/>
      <c r="G14" s="30"/>
      <c r="H14" s="30"/>
    </row>
    <row r="15" spans="1:9" s="5" customFormat="1" ht="48" customHeight="1" x14ac:dyDescent="0.2">
      <c r="B15" s="13"/>
      <c r="C15" s="13"/>
      <c r="D15" s="31"/>
      <c r="E15" s="31"/>
      <c r="F15" s="31"/>
      <c r="G15" s="31"/>
      <c r="H15" s="31"/>
    </row>
  </sheetData>
  <mergeCells count="3">
    <mergeCell ref="B2:D2"/>
    <mergeCell ref="D14:H14"/>
    <mergeCell ref="D15:H15"/>
  </mergeCells>
  <conditionalFormatting sqref="B12:H12 B14:C14">
    <cfRule type="expression" dxfId="15" priority="2">
      <formula>AND(DAY(B12)&gt;=1,DAY(B12)&lt;=15)</formula>
    </cfRule>
  </conditionalFormatting>
  <conditionalFormatting sqref="B4:G4">
    <cfRule type="expression" dxfId="14" priority="1">
      <formula>DAY(B4)&gt;8</formula>
    </cfRule>
  </conditionalFormatting>
  <dataValidations count="8">
    <dataValidation allowBlank="1" showInputMessage="1" showErrorMessage="1" prompt="El día de la semana se determinará automáticamente" sqref="C3:H3" xr:uid="{00000000-0002-0000-04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400-000001000000}"/>
    <dataValidation allowBlank="1" showInputMessage="1" showErrorMessage="1" prompt="Calendario del mes de mayo" sqref="A1" xr:uid="{00000000-0002-0000-04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400-000003000000}"/>
    <dataValidation allowBlank="1" showInputMessage="1" showErrorMessage="1" prompt="Las celdas de esta fila y las filas 7, 9, 11, 13 y 15 son para escribir notas diarias relacionadas con el día natural de la celda anterior." sqref="B5" xr:uid="{00000000-0002-0000-0400-000004000000}"/>
    <dataValidation allowBlank="1" showInputMessage="1" prompt="Escriba las notas del mes en esta celda." sqref="D15:H15" xr:uid="{00000000-0002-0000-0400-000005000000}"/>
    <dataValidation allowBlank="1" showInputMessage="1" prompt="Escriba las notas del mes en la celda inferior." sqref="D14:H14" xr:uid="{00000000-0002-0000-04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400-000007000000}"/>
  </dataValidations>
  <printOptions horizontalCentered="1"/>
  <pageMargins left="0.25" right="0.25" top="0.5" bottom="0.5" header="0.3" footer="0.3"/>
  <pageSetup paperSize="9" scale="95" orientation="landscape" r:id="rId1"/>
  <headerFooter differentFirst="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7" tint="0.59999389629810485"/>
    <pageSetUpPr fitToPage="1"/>
  </sheetPr>
  <dimension ref="A1:I15"/>
  <sheetViews>
    <sheetView showGridLines="0" showRowColHeaders="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10.6640625" style="12" customWidth="1"/>
    <col min="11" max="16384" width="8.88671875" style="12"/>
  </cols>
  <sheetData>
    <row r="1" spans="1:9" s="1" customFormat="1" ht="9" customHeight="1" x14ac:dyDescent="0.2">
      <c r="I1" s="1" t="s">
        <v>1</v>
      </c>
    </row>
    <row r="2" spans="1:9" s="1" customFormat="1" ht="100.5" customHeight="1" x14ac:dyDescent="0.2">
      <c r="B2" s="32" t="str">
        <f>"Junio "&amp;"de "&amp;CalendarYear</f>
        <v>Junio de 2020</v>
      </c>
      <c r="C2" s="32"/>
      <c r="D2" s="32"/>
      <c r="E2" s="2"/>
      <c r="F2" s="2"/>
      <c r="G2" s="2"/>
      <c r="H2" s="3"/>
    </row>
    <row r="3" spans="1:9" s="4" customFormat="1" ht="19.5" customHeight="1" thickBot="1" x14ac:dyDescent="0.25">
      <c r="A3" s="1"/>
      <c r="B3" s="18" t="str">
        <f>WeekStart</f>
        <v>domingo</v>
      </c>
      <c r="C3" s="18" t="str">
        <f t="shared" ref="C3:H3" si="0">TEXT(C4,"dddd")</f>
        <v>lunes</v>
      </c>
      <c r="D3" s="18" t="str">
        <f t="shared" si="0"/>
        <v>martes</v>
      </c>
      <c r="E3" s="18" t="str">
        <f t="shared" si="0"/>
        <v>miércoles</v>
      </c>
      <c r="F3" s="18" t="str">
        <f t="shared" si="0"/>
        <v>jueves</v>
      </c>
      <c r="G3" s="18" t="str">
        <f t="shared" si="0"/>
        <v>viernes</v>
      </c>
      <c r="H3" s="18" t="str">
        <f t="shared" si="0"/>
        <v>sábado</v>
      </c>
    </row>
    <row r="4" spans="1:9" s="6" customFormat="1" ht="19.5" customHeight="1" x14ac:dyDescent="0.2">
      <c r="B4" s="20">
        <f t="array" ref="B4:H4">DaysAndWeeks+DATE(CalendarYear,6,1)-WEEKDAY(DATE(CalendarYear,6,1),(WeekStart="lunes")+1)+1</f>
        <v>43982</v>
      </c>
      <c r="C4" s="20">
        <v>43983</v>
      </c>
      <c r="D4" s="20">
        <v>43984</v>
      </c>
      <c r="E4" s="20">
        <v>43985</v>
      </c>
      <c r="F4" s="20">
        <v>43986</v>
      </c>
      <c r="G4" s="20">
        <v>43987</v>
      </c>
      <c r="H4" s="20">
        <v>43988</v>
      </c>
    </row>
    <row r="5" spans="1:9" s="5" customFormat="1" ht="48" customHeight="1" x14ac:dyDescent="0.2"/>
    <row r="6" spans="1:9" s="6" customFormat="1" ht="19.5" customHeight="1" x14ac:dyDescent="0.2">
      <c r="B6" s="23">
        <f t="array" ref="B6:H6">DaysAndWeeks+DATE(CalendarYear,6,1)-WEEKDAY(DATE(CalendarYear,6,1),(WeekStart="lunes")+1)+8</f>
        <v>43989</v>
      </c>
      <c r="C6" s="23">
        <v>43990</v>
      </c>
      <c r="D6" s="23">
        <v>43991</v>
      </c>
      <c r="E6" s="23">
        <v>43992</v>
      </c>
      <c r="F6" s="23">
        <v>43993</v>
      </c>
      <c r="G6" s="23">
        <v>43994</v>
      </c>
      <c r="H6" s="23">
        <v>43995</v>
      </c>
    </row>
    <row r="7" spans="1:9" s="5" customFormat="1" ht="48" customHeight="1" x14ac:dyDescent="0.2">
      <c r="B7" s="15"/>
      <c r="C7" s="15"/>
      <c r="D7" s="15"/>
      <c r="E7" s="15"/>
      <c r="F7" s="15"/>
      <c r="G7" s="15"/>
      <c r="H7" s="15"/>
    </row>
    <row r="8" spans="1:9" s="6" customFormat="1" ht="19.5" customHeight="1" x14ac:dyDescent="0.2">
      <c r="B8" s="20">
        <f t="array" ref="B8:H8">DaysAndWeeks+DATE(CalendarYear,6,1)-WEEKDAY(DATE(CalendarYear,6,1),(WeekStart="lunes")+1)+15</f>
        <v>43996</v>
      </c>
      <c r="C8" s="20">
        <v>43997</v>
      </c>
      <c r="D8" s="20">
        <v>43998</v>
      </c>
      <c r="E8" s="20">
        <v>43999</v>
      </c>
      <c r="F8" s="20">
        <v>44000</v>
      </c>
      <c r="G8" s="20">
        <v>44001</v>
      </c>
      <c r="H8" s="20">
        <v>44002</v>
      </c>
    </row>
    <row r="9" spans="1:9" s="5" customFormat="1" ht="48" customHeight="1" x14ac:dyDescent="0.2"/>
    <row r="10" spans="1:9" s="6" customFormat="1" ht="19.5" customHeight="1" x14ac:dyDescent="0.2">
      <c r="B10" s="23">
        <f t="array" ref="B10:H10">DaysAndWeeks+DATE(CalendarYear,6,1)-WEEKDAY(DATE(CalendarYear,6,1),(WeekStart="lunes")+1)+22</f>
        <v>44003</v>
      </c>
      <c r="C10" s="23">
        <v>44004</v>
      </c>
      <c r="D10" s="23">
        <v>44005</v>
      </c>
      <c r="E10" s="23">
        <v>44006</v>
      </c>
      <c r="F10" s="23">
        <v>44007</v>
      </c>
      <c r="G10" s="23">
        <v>44008</v>
      </c>
      <c r="H10" s="23">
        <v>44009</v>
      </c>
    </row>
    <row r="11" spans="1:9" s="5" customFormat="1" ht="48" customHeight="1" x14ac:dyDescent="0.2">
      <c r="B11" s="15"/>
      <c r="C11" s="15"/>
      <c r="D11" s="15"/>
      <c r="E11" s="15"/>
      <c r="F11" s="15"/>
      <c r="G11" s="15"/>
      <c r="H11" s="15"/>
    </row>
    <row r="12" spans="1:9" s="6" customFormat="1" ht="19.5" customHeight="1" x14ac:dyDescent="0.2">
      <c r="B12" s="20">
        <f t="array" ref="B12:H12">DaysAndWeeks+DATE(CalendarYear,6,1)-WEEKDAY(DATE(CalendarYear,6,1),(WeekStart="lunes")+1)+29</f>
        <v>44010</v>
      </c>
      <c r="C12" s="20">
        <v>44011</v>
      </c>
      <c r="D12" s="20">
        <v>44012</v>
      </c>
      <c r="E12" s="20">
        <v>44013</v>
      </c>
      <c r="F12" s="20">
        <v>44014</v>
      </c>
      <c r="G12" s="20">
        <v>44015</v>
      </c>
      <c r="H12" s="20">
        <v>44016</v>
      </c>
    </row>
    <row r="13" spans="1:9" s="5" customFormat="1" ht="48" customHeight="1" x14ac:dyDescent="0.2"/>
    <row r="14" spans="1:9" s="6" customFormat="1" ht="19.5" customHeight="1" x14ac:dyDescent="0.2">
      <c r="B14" s="23">
        <f t="array" ref="B14:C14">DaysAndWeeks+DATE(CalendarYear,6,1)-WEEKDAY(DATE(CalendarYear,6,1),(WeekStart="lunes")+1)+36</f>
        <v>44017</v>
      </c>
      <c r="C14" s="23">
        <v>44018</v>
      </c>
      <c r="D14" s="33" t="s">
        <v>0</v>
      </c>
      <c r="E14" s="33"/>
      <c r="F14" s="33"/>
      <c r="G14" s="33"/>
      <c r="H14" s="33"/>
    </row>
    <row r="15" spans="1:9" s="5" customFormat="1" ht="48" customHeight="1" x14ac:dyDescent="0.2">
      <c r="B15" s="15"/>
      <c r="C15" s="15"/>
      <c r="D15" s="34"/>
      <c r="E15" s="34"/>
      <c r="F15" s="34"/>
      <c r="G15" s="34"/>
      <c r="H15" s="34"/>
    </row>
  </sheetData>
  <mergeCells count="3">
    <mergeCell ref="B2:D2"/>
    <mergeCell ref="D14:H14"/>
    <mergeCell ref="D15:H15"/>
  </mergeCells>
  <conditionalFormatting sqref="B12:H12 B14:C14">
    <cfRule type="expression" dxfId="13" priority="2">
      <formula>AND(DAY(B12)&gt;=1,DAY(B12)&lt;=15)</formula>
    </cfRule>
  </conditionalFormatting>
  <conditionalFormatting sqref="B4:G4">
    <cfRule type="expression" dxfId="12" priority="1">
      <formula>DAY(B4)&gt;8</formula>
    </cfRule>
  </conditionalFormatting>
  <dataValidations count="8">
    <dataValidation allowBlank="1" showInputMessage="1" showErrorMessage="1" prompt="El día de la semana se determinará automáticamente" sqref="C3:H3" xr:uid="{00000000-0002-0000-0500-000000000000}"/>
    <dataValidation allowBlank="1" showInputMessage="1" showErrorMessage="1" prompt="Calendario del mes de junio" sqref="A1" xr:uid="{00000000-0002-0000-05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5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500-000003000000}"/>
    <dataValidation allowBlank="1" showInputMessage="1" prompt="Escriba las notas del mes en la celda inferior." sqref="D14:H14" xr:uid="{00000000-0002-0000-0500-000004000000}"/>
    <dataValidation allowBlank="1" showInputMessage="1" prompt="Escriba las notas del mes en esta celda." sqref="D15:H15" xr:uid="{00000000-0002-0000-0500-000005000000}"/>
    <dataValidation allowBlank="1" showInputMessage="1" showErrorMessage="1" prompt="Las celdas de esta fila y las filas 7, 9, 11, 13 y 15 son para escribir notas diarias relacionadas con el día natural de la celda anterior." sqref="B5" xr:uid="{00000000-0002-0000-05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500-000007000000}"/>
  </dataValidations>
  <printOptions horizontalCentered="1"/>
  <pageMargins left="0.25" right="0.25" top="0.5" bottom="0.5" header="0.3" footer="0.3"/>
  <pageSetup paperSize="9" scale="95" orientation="landscape" r:id="rId1"/>
  <headerFooter differentFirst="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7" tint="0.59999389629810485"/>
    <pageSetUpPr fitToPage="1"/>
  </sheetPr>
  <dimension ref="A1:I15"/>
  <sheetViews>
    <sheetView showGridLines="0" showRowColHeaders="0" zoomScaleNormal="10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10.6640625" style="12" customWidth="1"/>
    <col min="11" max="16384" width="8.88671875" style="12"/>
  </cols>
  <sheetData>
    <row r="1" spans="1:9" s="1" customFormat="1" ht="9" customHeight="1" x14ac:dyDescent="0.2">
      <c r="I1" s="1" t="s">
        <v>1</v>
      </c>
    </row>
    <row r="2" spans="1:9" s="1" customFormat="1" ht="100.5" customHeight="1" x14ac:dyDescent="0.2">
      <c r="B2" s="32" t="str">
        <f>"Julio "&amp;"de "&amp;CalendarYear</f>
        <v>Julio de 2020</v>
      </c>
      <c r="C2" s="32"/>
      <c r="D2" s="32"/>
      <c r="E2" s="2"/>
      <c r="F2" s="2"/>
      <c r="G2" s="2"/>
      <c r="H2" s="3"/>
    </row>
    <row r="3" spans="1:9" s="4" customFormat="1" ht="19.5" customHeight="1" thickBot="1" x14ac:dyDescent="0.25">
      <c r="A3" s="1"/>
      <c r="B3" s="18" t="str">
        <f>WeekStart</f>
        <v>domingo</v>
      </c>
      <c r="C3" s="18" t="str">
        <f t="shared" ref="C3:H3" si="0">TEXT(C4,"dddd")</f>
        <v>lunes</v>
      </c>
      <c r="D3" s="18" t="str">
        <f t="shared" si="0"/>
        <v>martes</v>
      </c>
      <c r="E3" s="18" t="str">
        <f t="shared" si="0"/>
        <v>miércoles</v>
      </c>
      <c r="F3" s="18" t="str">
        <f t="shared" si="0"/>
        <v>jueves</v>
      </c>
      <c r="G3" s="18" t="str">
        <f t="shared" si="0"/>
        <v>viernes</v>
      </c>
      <c r="H3" s="18" t="str">
        <f t="shared" si="0"/>
        <v>sábado</v>
      </c>
    </row>
    <row r="4" spans="1:9" s="6" customFormat="1" ht="19.5" customHeight="1" x14ac:dyDescent="0.2">
      <c r="B4" s="20">
        <f t="array" ref="B4:H4">DaysAndWeeks+DATE(CalendarYear,7,1)-WEEKDAY(DATE(CalendarYear,7,1),(WeekStart="lunes")+1)+1</f>
        <v>44010</v>
      </c>
      <c r="C4" s="20">
        <v>44011</v>
      </c>
      <c r="D4" s="20">
        <v>44012</v>
      </c>
      <c r="E4" s="20">
        <v>44013</v>
      </c>
      <c r="F4" s="20">
        <v>44014</v>
      </c>
      <c r="G4" s="20">
        <v>44015</v>
      </c>
      <c r="H4" s="20">
        <v>44016</v>
      </c>
    </row>
    <row r="5" spans="1:9" s="5" customFormat="1" ht="48" customHeight="1" x14ac:dyDescent="0.2"/>
    <row r="6" spans="1:9" s="6" customFormat="1" ht="19.5" customHeight="1" x14ac:dyDescent="0.2">
      <c r="B6" s="23">
        <f t="array" ref="B6:H6">DaysAndWeeks+DATE(CalendarYear,7,1)-WEEKDAY(DATE(CalendarYear,7,1),(WeekStart="lunes")+1)+8</f>
        <v>44017</v>
      </c>
      <c r="C6" s="23">
        <v>44018</v>
      </c>
      <c r="D6" s="23">
        <v>44019</v>
      </c>
      <c r="E6" s="23">
        <v>44020</v>
      </c>
      <c r="F6" s="23">
        <v>44021</v>
      </c>
      <c r="G6" s="23">
        <v>44022</v>
      </c>
      <c r="H6" s="23">
        <v>44023</v>
      </c>
    </row>
    <row r="7" spans="1:9" s="5" customFormat="1" ht="48" customHeight="1" x14ac:dyDescent="0.2">
      <c r="B7" s="15"/>
      <c r="C7" s="15"/>
      <c r="D7" s="15"/>
      <c r="E7" s="15"/>
      <c r="F7" s="15"/>
      <c r="G7" s="15"/>
      <c r="H7" s="15"/>
    </row>
    <row r="8" spans="1:9" s="6" customFormat="1" ht="19.5" customHeight="1" x14ac:dyDescent="0.2">
      <c r="B8" s="20">
        <f t="array" ref="B8:H8">DaysAndWeeks+DATE(CalendarYear,7,1)-WEEKDAY(DATE(CalendarYear,7,1),(WeekStart="lunes")+1)+15</f>
        <v>44024</v>
      </c>
      <c r="C8" s="20">
        <v>44025</v>
      </c>
      <c r="D8" s="20">
        <v>44026</v>
      </c>
      <c r="E8" s="20">
        <v>44027</v>
      </c>
      <c r="F8" s="20">
        <v>44028</v>
      </c>
      <c r="G8" s="20">
        <v>44029</v>
      </c>
      <c r="H8" s="20">
        <v>44030</v>
      </c>
    </row>
    <row r="9" spans="1:9" s="5" customFormat="1" ht="48" customHeight="1" x14ac:dyDescent="0.2"/>
    <row r="10" spans="1:9" s="6" customFormat="1" ht="19.5" customHeight="1" x14ac:dyDescent="0.2">
      <c r="B10" s="23">
        <f t="array" ref="B10:H10">DaysAndWeeks+DATE(CalendarYear,7,1)-WEEKDAY(DATE(CalendarYear,7,1),(WeekStart="lunes")+1)+22</f>
        <v>44031</v>
      </c>
      <c r="C10" s="23">
        <v>44032</v>
      </c>
      <c r="D10" s="23">
        <v>44033</v>
      </c>
      <c r="E10" s="23">
        <v>44034</v>
      </c>
      <c r="F10" s="23">
        <v>44035</v>
      </c>
      <c r="G10" s="23">
        <v>44036</v>
      </c>
      <c r="H10" s="23">
        <v>44037</v>
      </c>
    </row>
    <row r="11" spans="1:9" s="5" customFormat="1" ht="48" customHeight="1" x14ac:dyDescent="0.2">
      <c r="B11" s="15"/>
      <c r="C11" s="15"/>
      <c r="D11" s="15"/>
      <c r="E11" s="15"/>
      <c r="F11" s="15"/>
      <c r="G11" s="15"/>
      <c r="H11" s="15"/>
    </row>
    <row r="12" spans="1:9" s="6" customFormat="1" ht="19.5" customHeight="1" x14ac:dyDescent="0.2">
      <c r="B12" s="20">
        <f t="array" ref="B12:H12">DaysAndWeeks+DATE(CalendarYear,7,1)-WEEKDAY(DATE(CalendarYear,7,1),(WeekStart="lunes")+1)+29</f>
        <v>44038</v>
      </c>
      <c r="C12" s="20">
        <v>44039</v>
      </c>
      <c r="D12" s="20">
        <v>44040</v>
      </c>
      <c r="E12" s="20">
        <v>44041</v>
      </c>
      <c r="F12" s="20">
        <v>44042</v>
      </c>
      <c r="G12" s="20">
        <v>44043</v>
      </c>
      <c r="H12" s="20">
        <v>44044</v>
      </c>
    </row>
    <row r="13" spans="1:9" s="5" customFormat="1" ht="48" customHeight="1" x14ac:dyDescent="0.2"/>
    <row r="14" spans="1:9" s="6" customFormat="1" ht="19.5" customHeight="1" x14ac:dyDescent="0.2">
      <c r="B14" s="23">
        <f t="array" ref="B14:C14">DaysAndWeeks+DATE(CalendarYear,7,1)-WEEKDAY(DATE(CalendarYear,7,1),(WeekStart="lunes")+1)+36</f>
        <v>44045</v>
      </c>
      <c r="C14" s="23">
        <v>44046</v>
      </c>
      <c r="D14" s="33" t="s">
        <v>0</v>
      </c>
      <c r="E14" s="33"/>
      <c r="F14" s="33"/>
      <c r="G14" s="33"/>
      <c r="H14" s="33"/>
    </row>
    <row r="15" spans="1:9" s="5" customFormat="1" ht="48" customHeight="1" x14ac:dyDescent="0.2">
      <c r="B15" s="15"/>
      <c r="C15" s="15"/>
      <c r="D15" s="34"/>
      <c r="E15" s="34"/>
      <c r="F15" s="34"/>
      <c r="G15" s="34"/>
      <c r="H15" s="34"/>
    </row>
  </sheetData>
  <mergeCells count="3">
    <mergeCell ref="B2:D2"/>
    <mergeCell ref="D14:H14"/>
    <mergeCell ref="D15:H15"/>
  </mergeCells>
  <conditionalFormatting sqref="B12:H12 B14:C14">
    <cfRule type="expression" dxfId="11" priority="2">
      <formula>AND(DAY(B12)&gt;=1,DAY(B12)&lt;=15)</formula>
    </cfRule>
  </conditionalFormatting>
  <conditionalFormatting sqref="B4:G4">
    <cfRule type="expression" dxfId="10" priority="1">
      <formula>DAY(B4)&gt;8</formula>
    </cfRule>
  </conditionalFormatting>
  <dataValidations count="8">
    <dataValidation allowBlank="1" showInputMessage="1" showErrorMessage="1" prompt="El día de la semana se determinará automáticamente" sqref="C3:H3" xr:uid="{00000000-0002-0000-0600-000000000000}"/>
    <dataValidation allowBlank="1" showInputMessage="1" showErrorMessage="1" prompt="Calendario del mes de julio" sqref="A1" xr:uid="{00000000-0002-0000-06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6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600-000003000000}"/>
    <dataValidation allowBlank="1" showInputMessage="1" showErrorMessage="1" prompt="Las celdas de esta fila y las filas 7, 9, 11, 13 y 15 son para escribir notas diarias relacionadas con el día natural de la celda anterior." sqref="B5" xr:uid="{00000000-0002-0000-0600-000004000000}"/>
    <dataValidation allowBlank="1" showInputMessage="1" prompt="Escriba las notas del mes en esta celda." sqref="D15:H15" xr:uid="{00000000-0002-0000-0600-000005000000}"/>
    <dataValidation allowBlank="1" showInputMessage="1" prompt="Escriba las notas del mes en la celda inferior." sqref="D14:H14" xr:uid="{00000000-0002-0000-06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600-000007000000}"/>
  </dataValidations>
  <printOptions horizontalCentered="1"/>
  <pageMargins left="0.25" right="0.25" top="0.5" bottom="0.5" header="0.3" footer="0.3"/>
  <pageSetup paperSize="9" scale="95" orientation="landscape" r:id="rId1"/>
  <headerFooter differentFirst="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7" tint="0.59999389629810485"/>
    <pageSetUpPr fitToPage="1"/>
  </sheetPr>
  <dimension ref="A1:I15"/>
  <sheetViews>
    <sheetView showGridLines="0" showRowColHeaders="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10.6640625" style="12" customWidth="1"/>
    <col min="11" max="16384" width="8.88671875" style="12"/>
  </cols>
  <sheetData>
    <row r="1" spans="1:9" s="1" customFormat="1" ht="9" customHeight="1" x14ac:dyDescent="0.2">
      <c r="I1" s="1" t="s">
        <v>1</v>
      </c>
    </row>
    <row r="2" spans="1:9" s="1" customFormat="1" ht="100.5" customHeight="1" x14ac:dyDescent="0.2">
      <c r="B2" s="32" t="str">
        <f>"Agosto "&amp;"de "&amp;CalendarYear</f>
        <v>Agosto de 2020</v>
      </c>
      <c r="C2" s="32"/>
      <c r="D2" s="32"/>
      <c r="E2" s="2"/>
      <c r="F2" s="2"/>
      <c r="G2" s="2"/>
      <c r="H2" s="3"/>
    </row>
    <row r="3" spans="1:9" s="4" customFormat="1" ht="19.5" customHeight="1" thickBot="1" x14ac:dyDescent="0.25">
      <c r="A3" s="1"/>
      <c r="B3" s="18" t="str">
        <f>WeekStart</f>
        <v>domingo</v>
      </c>
      <c r="C3" s="18" t="str">
        <f t="shared" ref="C3:H3" si="0">TEXT(C4,"dddd")</f>
        <v>lunes</v>
      </c>
      <c r="D3" s="18" t="str">
        <f t="shared" si="0"/>
        <v>martes</v>
      </c>
      <c r="E3" s="18" t="str">
        <f t="shared" si="0"/>
        <v>miércoles</v>
      </c>
      <c r="F3" s="18" t="str">
        <f t="shared" si="0"/>
        <v>jueves</v>
      </c>
      <c r="G3" s="18" t="str">
        <f t="shared" si="0"/>
        <v>viernes</v>
      </c>
      <c r="H3" s="18" t="str">
        <f t="shared" si="0"/>
        <v>sábado</v>
      </c>
    </row>
    <row r="4" spans="1:9" s="6" customFormat="1" ht="19.5" customHeight="1" x14ac:dyDescent="0.2">
      <c r="B4" s="20">
        <f t="array" ref="B4:H4">DaysAndWeeks+DATE(CalendarYear,8,1)-WEEKDAY(DATE(CalendarYear,8,1),(WeekStart="lunes")+1)+1</f>
        <v>44038</v>
      </c>
      <c r="C4" s="20">
        <v>44039</v>
      </c>
      <c r="D4" s="20">
        <v>44040</v>
      </c>
      <c r="E4" s="20">
        <v>44041</v>
      </c>
      <c r="F4" s="20">
        <v>44042</v>
      </c>
      <c r="G4" s="20">
        <v>44043</v>
      </c>
      <c r="H4" s="20">
        <v>44044</v>
      </c>
    </row>
    <row r="5" spans="1:9" s="5" customFormat="1" ht="48" customHeight="1" x14ac:dyDescent="0.2"/>
    <row r="6" spans="1:9" s="6" customFormat="1" ht="19.5" customHeight="1" x14ac:dyDescent="0.2">
      <c r="B6" s="23">
        <f t="array" ref="B6:H6">DaysAndWeeks+DATE(CalendarYear,8,1)-WEEKDAY(DATE(CalendarYear,8,1),(WeekStart="lunes")+1)+8</f>
        <v>44045</v>
      </c>
      <c r="C6" s="23">
        <v>44046</v>
      </c>
      <c r="D6" s="23">
        <v>44047</v>
      </c>
      <c r="E6" s="23">
        <v>44048</v>
      </c>
      <c r="F6" s="23">
        <v>44049</v>
      </c>
      <c r="G6" s="23">
        <v>44050</v>
      </c>
      <c r="H6" s="23">
        <v>44051</v>
      </c>
    </row>
    <row r="7" spans="1:9" s="5" customFormat="1" ht="48" customHeight="1" x14ac:dyDescent="0.2">
      <c r="B7" s="15"/>
      <c r="C7" s="15"/>
      <c r="D7" s="15"/>
      <c r="E7" s="15"/>
      <c r="F7" s="15"/>
      <c r="G7" s="15"/>
      <c r="H7" s="15"/>
    </row>
    <row r="8" spans="1:9" s="6" customFormat="1" ht="19.5" customHeight="1" x14ac:dyDescent="0.2">
      <c r="B8" s="20">
        <f t="array" ref="B8:H8">DaysAndWeeks+DATE(CalendarYear,8,1)-WEEKDAY(DATE(CalendarYear,8,1),(WeekStart="lunes")+1)+15</f>
        <v>44052</v>
      </c>
      <c r="C8" s="20">
        <v>44053</v>
      </c>
      <c r="D8" s="20">
        <v>44054</v>
      </c>
      <c r="E8" s="20">
        <v>44055</v>
      </c>
      <c r="F8" s="20">
        <v>44056</v>
      </c>
      <c r="G8" s="20">
        <v>44057</v>
      </c>
      <c r="H8" s="20">
        <v>44058</v>
      </c>
    </row>
    <row r="9" spans="1:9" s="5" customFormat="1" ht="48" customHeight="1" x14ac:dyDescent="0.2"/>
    <row r="10" spans="1:9" s="6" customFormat="1" ht="19.5" customHeight="1" x14ac:dyDescent="0.2">
      <c r="B10" s="23">
        <f t="array" ref="B10:H10">DaysAndWeeks+DATE(CalendarYear,8,1)-WEEKDAY(DATE(CalendarYear,8,1),(WeekStart="lunes")+1)+22</f>
        <v>44059</v>
      </c>
      <c r="C10" s="23">
        <v>44060</v>
      </c>
      <c r="D10" s="23">
        <v>44061</v>
      </c>
      <c r="E10" s="23">
        <v>44062</v>
      </c>
      <c r="F10" s="23">
        <v>44063</v>
      </c>
      <c r="G10" s="23">
        <v>44064</v>
      </c>
      <c r="H10" s="23">
        <v>44065</v>
      </c>
    </row>
    <row r="11" spans="1:9" s="5" customFormat="1" ht="48" customHeight="1" x14ac:dyDescent="0.2">
      <c r="B11" s="15"/>
      <c r="C11" s="15"/>
      <c r="D11" s="15"/>
      <c r="E11" s="15"/>
      <c r="F11" s="15"/>
      <c r="G11" s="15"/>
      <c r="H11" s="15"/>
    </row>
    <row r="12" spans="1:9" s="6" customFormat="1" ht="19.5" customHeight="1" x14ac:dyDescent="0.2">
      <c r="B12" s="20">
        <f t="array" ref="B12:H12">DaysAndWeeks+DATE(CalendarYear,8,1)-WEEKDAY(DATE(CalendarYear,8,1),(WeekStart="lunes")+1)+29</f>
        <v>44066</v>
      </c>
      <c r="C12" s="20">
        <v>44067</v>
      </c>
      <c r="D12" s="20">
        <v>44068</v>
      </c>
      <c r="E12" s="20">
        <v>44069</v>
      </c>
      <c r="F12" s="20">
        <v>44070</v>
      </c>
      <c r="G12" s="20">
        <v>44071</v>
      </c>
      <c r="H12" s="20">
        <v>44072</v>
      </c>
    </row>
    <row r="13" spans="1:9" s="5" customFormat="1" ht="48" customHeight="1" x14ac:dyDescent="0.2"/>
    <row r="14" spans="1:9" s="6" customFormat="1" ht="19.5" customHeight="1" x14ac:dyDescent="0.2">
      <c r="B14" s="23">
        <f t="array" ref="B14:C14">DaysAndWeeks+DATE(CalendarYear,8,1)-WEEKDAY(DATE(CalendarYear,8,1),(WeekStart="lunes")+1)+36</f>
        <v>44073</v>
      </c>
      <c r="C14" s="23">
        <v>44074</v>
      </c>
      <c r="D14" s="33" t="s">
        <v>0</v>
      </c>
      <c r="E14" s="33"/>
      <c r="F14" s="33"/>
      <c r="G14" s="33"/>
      <c r="H14" s="33"/>
    </row>
    <row r="15" spans="1:9" s="5" customFormat="1" ht="48" customHeight="1" x14ac:dyDescent="0.2">
      <c r="B15" s="15"/>
      <c r="C15" s="15"/>
      <c r="D15" s="34"/>
      <c r="E15" s="34"/>
      <c r="F15" s="34"/>
      <c r="G15" s="34"/>
      <c r="H15" s="34"/>
    </row>
  </sheetData>
  <mergeCells count="3">
    <mergeCell ref="B2:D2"/>
    <mergeCell ref="D14:H14"/>
    <mergeCell ref="D15:H15"/>
  </mergeCells>
  <conditionalFormatting sqref="B12:H12 B14:C14">
    <cfRule type="expression" dxfId="9" priority="2">
      <formula>AND(DAY(B12)&gt;=1,DAY(B12)&lt;=15)</formula>
    </cfRule>
  </conditionalFormatting>
  <conditionalFormatting sqref="B4:G4">
    <cfRule type="expression" dxfId="8" priority="1">
      <formula>DAY(B4)&gt;8</formula>
    </cfRule>
  </conditionalFormatting>
  <dataValidations count="8">
    <dataValidation allowBlank="1" showInputMessage="1" showErrorMessage="1" prompt="El día de la semana se determinará automáticamente" sqref="C3:H3" xr:uid="{00000000-0002-0000-07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700-000001000000}"/>
    <dataValidation allowBlank="1" showInputMessage="1" showErrorMessage="1" prompt="Calendario del mes de agosto" sqref="A1" xr:uid="{00000000-0002-0000-07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700-000003000000}"/>
    <dataValidation allowBlank="1" showInputMessage="1" prompt="Escriba las notas del mes en la celda inferior." sqref="D14:H14" xr:uid="{00000000-0002-0000-0700-000004000000}"/>
    <dataValidation allowBlank="1" showInputMessage="1" prompt="Escriba las notas del mes en esta celda." sqref="D15:H15" xr:uid="{00000000-0002-0000-0700-000005000000}"/>
    <dataValidation allowBlank="1" showInputMessage="1" showErrorMessage="1" prompt="Las celdas de esta fila y las filas 7, 9, 11, 13 y 15 son para escribir notas diarias relacionadas con el día natural de la celda anterior." sqref="B5" xr:uid="{00000000-0002-0000-07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700-000007000000}"/>
  </dataValidations>
  <printOptions horizontalCentered="1"/>
  <pageMargins left="0.25" right="0.25" top="0.5" bottom="0.5" header="0.3" footer="0.3"/>
  <pageSetup paperSize="9" scale="95" orientation="landscape" r:id="rId1"/>
  <headerFooter differentFirst="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5" tint="0.59999389629810485"/>
    <pageSetUpPr fitToPage="1"/>
  </sheetPr>
  <dimension ref="A1:I15"/>
  <sheetViews>
    <sheetView showGridLines="0" showRowColHeaders="0" zoomScaleNormal="10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10.6640625" style="12" customWidth="1"/>
    <col min="11" max="16384" width="8.88671875" style="12"/>
  </cols>
  <sheetData>
    <row r="1" spans="1:9" s="1" customFormat="1" ht="9" customHeight="1" x14ac:dyDescent="0.2">
      <c r="I1" s="1" t="s">
        <v>1</v>
      </c>
    </row>
    <row r="2" spans="1:9" s="1" customFormat="1" ht="100.5" customHeight="1" x14ac:dyDescent="0.2">
      <c r="B2" s="35" t="str">
        <f>"Septiembre "&amp;"de "&amp;CalendarYear</f>
        <v>Septiembre de 2020</v>
      </c>
      <c r="C2" s="35"/>
      <c r="D2" s="35"/>
      <c r="E2" s="2"/>
      <c r="F2" s="2"/>
      <c r="G2" s="2"/>
      <c r="H2" s="3"/>
    </row>
    <row r="3" spans="1:9" s="4" customFormat="1" ht="19.5" customHeight="1" thickBot="1" x14ac:dyDescent="0.25">
      <c r="A3" s="1"/>
      <c r="B3" s="19" t="str">
        <f>WeekStart</f>
        <v>domingo</v>
      </c>
      <c r="C3" s="19" t="str">
        <f t="shared" ref="C3:H3" si="0">TEXT(C4,"dddd")</f>
        <v>lunes</v>
      </c>
      <c r="D3" s="19" t="str">
        <f t="shared" si="0"/>
        <v>martes</v>
      </c>
      <c r="E3" s="19" t="str">
        <f t="shared" si="0"/>
        <v>miércoles</v>
      </c>
      <c r="F3" s="19" t="str">
        <f t="shared" si="0"/>
        <v>jueves</v>
      </c>
      <c r="G3" s="19" t="str">
        <f t="shared" si="0"/>
        <v>viernes</v>
      </c>
      <c r="H3" s="19" t="str">
        <f t="shared" si="0"/>
        <v>sábado</v>
      </c>
    </row>
    <row r="4" spans="1:9" s="6" customFormat="1" ht="19.5" customHeight="1" x14ac:dyDescent="0.2">
      <c r="B4" s="20">
        <f t="array" ref="B4:H4">DaysAndWeeks+DATE(CalendarYear,9,1)-WEEKDAY(DATE(CalendarYear,9,1),(WeekStart="lunes")+1)+1</f>
        <v>44073</v>
      </c>
      <c r="C4" s="20">
        <v>44074</v>
      </c>
      <c r="D4" s="20">
        <v>44075</v>
      </c>
      <c r="E4" s="20">
        <v>44076</v>
      </c>
      <c r="F4" s="20">
        <v>44077</v>
      </c>
      <c r="G4" s="20">
        <v>44078</v>
      </c>
      <c r="H4" s="20">
        <v>44079</v>
      </c>
    </row>
    <row r="5" spans="1:9" s="5" customFormat="1" ht="48" customHeight="1" x14ac:dyDescent="0.2"/>
    <row r="6" spans="1:9" s="6" customFormat="1" ht="19.5" customHeight="1" x14ac:dyDescent="0.2">
      <c r="B6" s="22">
        <f t="array" ref="B6:H6">DaysAndWeeks+DATE(CalendarYear,9,1)-WEEKDAY(DATE(CalendarYear,9,1),(WeekStart="lunes")+1)+8</f>
        <v>44080</v>
      </c>
      <c r="C6" s="22">
        <v>44081</v>
      </c>
      <c r="D6" s="22">
        <v>44082</v>
      </c>
      <c r="E6" s="22">
        <v>44083</v>
      </c>
      <c r="F6" s="22">
        <v>44084</v>
      </c>
      <c r="G6" s="22">
        <v>44085</v>
      </c>
      <c r="H6" s="22">
        <v>44086</v>
      </c>
    </row>
    <row r="7" spans="1:9" s="5" customFormat="1" ht="48" customHeight="1" x14ac:dyDescent="0.2">
      <c r="B7" s="14"/>
      <c r="C7" s="14"/>
      <c r="D7" s="14"/>
      <c r="E7" s="14"/>
      <c r="F7" s="14"/>
      <c r="G7" s="14"/>
      <c r="H7" s="14"/>
    </row>
    <row r="8" spans="1:9" s="6" customFormat="1" ht="19.5" customHeight="1" x14ac:dyDescent="0.2">
      <c r="B8" s="20">
        <f t="array" ref="B8:H8">DaysAndWeeks+DATE(CalendarYear,9,1)-WEEKDAY(DATE(CalendarYear,9,1),(WeekStart="lunes")+1)+15</f>
        <v>44087</v>
      </c>
      <c r="C8" s="20">
        <v>44088</v>
      </c>
      <c r="D8" s="20">
        <v>44089</v>
      </c>
      <c r="E8" s="20">
        <v>44090</v>
      </c>
      <c r="F8" s="20">
        <v>44091</v>
      </c>
      <c r="G8" s="20">
        <v>44092</v>
      </c>
      <c r="H8" s="20">
        <v>44093</v>
      </c>
    </row>
    <row r="9" spans="1:9" s="5" customFormat="1" ht="48" customHeight="1" x14ac:dyDescent="0.2"/>
    <row r="10" spans="1:9" s="6" customFormat="1" ht="19.5" customHeight="1" x14ac:dyDescent="0.2">
      <c r="B10" s="22">
        <f t="array" ref="B10:H10">DaysAndWeeks+DATE(CalendarYear,9,1)-WEEKDAY(DATE(CalendarYear,9,1),(WeekStart="lunes")+1)+22</f>
        <v>44094</v>
      </c>
      <c r="C10" s="22">
        <v>44095</v>
      </c>
      <c r="D10" s="22">
        <v>44096</v>
      </c>
      <c r="E10" s="22">
        <v>44097</v>
      </c>
      <c r="F10" s="22">
        <v>44098</v>
      </c>
      <c r="G10" s="22">
        <v>44099</v>
      </c>
      <c r="H10" s="22">
        <v>44100</v>
      </c>
    </row>
    <row r="11" spans="1:9" s="5" customFormat="1" ht="48" customHeight="1" x14ac:dyDescent="0.2">
      <c r="B11" s="14"/>
      <c r="C11" s="14"/>
      <c r="D11" s="14"/>
      <c r="E11" s="14"/>
      <c r="F11" s="14"/>
      <c r="G11" s="14"/>
      <c r="H11" s="14"/>
    </row>
    <row r="12" spans="1:9" s="6" customFormat="1" ht="19.5" customHeight="1" x14ac:dyDescent="0.2">
      <c r="B12" s="20">
        <f t="array" ref="B12:H12">DaysAndWeeks+DATE(CalendarYear,9,1)-WEEKDAY(DATE(CalendarYear,9,1),(WeekStart="lunes")+1)+29</f>
        <v>44101</v>
      </c>
      <c r="C12" s="20">
        <v>44102</v>
      </c>
      <c r="D12" s="20">
        <v>44103</v>
      </c>
      <c r="E12" s="20">
        <v>44104</v>
      </c>
      <c r="F12" s="20">
        <v>44105</v>
      </c>
      <c r="G12" s="20">
        <v>44106</v>
      </c>
      <c r="H12" s="20">
        <v>44107</v>
      </c>
    </row>
    <row r="13" spans="1:9" s="5" customFormat="1" ht="48" customHeight="1" x14ac:dyDescent="0.2"/>
    <row r="14" spans="1:9" s="6" customFormat="1" ht="19.5" customHeight="1" x14ac:dyDescent="0.2">
      <c r="B14" s="22">
        <f t="array" ref="B14:C14">DaysAndWeeks+DATE(CalendarYear,9,1)-WEEKDAY(DATE(CalendarYear,9,1),(WeekStart="lunes")+1)+36</f>
        <v>44108</v>
      </c>
      <c r="C14" s="22">
        <v>44109</v>
      </c>
      <c r="D14" s="36" t="s">
        <v>0</v>
      </c>
      <c r="E14" s="36"/>
      <c r="F14" s="36"/>
      <c r="G14" s="36"/>
      <c r="H14" s="36"/>
    </row>
    <row r="15" spans="1:9" s="5" customFormat="1" ht="48" customHeight="1" x14ac:dyDescent="0.2">
      <c r="B15" s="14"/>
      <c r="C15" s="14"/>
      <c r="D15" s="37"/>
      <c r="E15" s="37"/>
      <c r="F15" s="37"/>
      <c r="G15" s="37"/>
      <c r="H15" s="37"/>
    </row>
  </sheetData>
  <mergeCells count="3">
    <mergeCell ref="B2:D2"/>
    <mergeCell ref="D14:H14"/>
    <mergeCell ref="D15:H15"/>
  </mergeCells>
  <conditionalFormatting sqref="B12:H12 B14:C14">
    <cfRule type="expression" dxfId="7" priority="2">
      <formula>AND(DAY(B12)&gt;=1,DAY(B12)&lt;=15)</formula>
    </cfRule>
  </conditionalFormatting>
  <conditionalFormatting sqref="B4:G4">
    <cfRule type="expression" dxfId="6" priority="1">
      <formula>DAY(B4)&gt;8</formula>
    </cfRule>
  </conditionalFormatting>
  <dataValidations count="8">
    <dataValidation allowBlank="1" showInputMessage="1" showErrorMessage="1" prompt="El día de la semana se determinará automáticamente" sqref="C3:H3" xr:uid="{00000000-0002-0000-0800-000000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800-000001000000}"/>
    <dataValidation allowBlank="1" showInputMessage="1" showErrorMessage="1" prompt="Calendario del mes de septiembre" sqref="A1" xr:uid="{00000000-0002-0000-08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800-000003000000}"/>
    <dataValidation allowBlank="1" showInputMessage="1" showErrorMessage="1" prompt="Las celdas de esta fila y las filas 7, 9, 11, 13 y 15 son para escribir notas diarias relacionadas con el día natural de la celda anterior." sqref="B5" xr:uid="{00000000-0002-0000-0800-000004000000}"/>
    <dataValidation allowBlank="1" showInputMessage="1" prompt="Escriba las notas del mes en esta celda." sqref="D15:H15" xr:uid="{00000000-0002-0000-0800-000005000000}"/>
    <dataValidation allowBlank="1" showInputMessage="1" prompt="Escriba las notas del mes en la celda inferior." sqref="D14:H14" xr:uid="{00000000-0002-0000-08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800-000007000000}"/>
  </dataValidations>
  <printOptions horizontalCentered="1"/>
  <pageMargins left="0.25" right="0.25" top="0.5" bottom="0.5" header="0.3" footer="0.3"/>
  <pageSetup paperSize="9" scale="95" orientation="landscape"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5" tint="0.59999389629810485"/>
    <pageSetUpPr fitToPage="1"/>
  </sheetPr>
  <dimension ref="A1:I15"/>
  <sheetViews>
    <sheetView showGridLines="0" showRowColHeaders="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10.6640625" style="12" customWidth="1"/>
    <col min="11" max="16384" width="8.88671875" style="12"/>
  </cols>
  <sheetData>
    <row r="1" spans="1:9" s="1" customFormat="1" ht="9" customHeight="1" x14ac:dyDescent="0.2">
      <c r="I1" s="1" t="s">
        <v>1</v>
      </c>
    </row>
    <row r="2" spans="1:9" s="1" customFormat="1" ht="100.5" customHeight="1" x14ac:dyDescent="0.2">
      <c r="B2" s="35" t="str">
        <f>"Octubre "&amp;"de "&amp;CalendarYear</f>
        <v>Octubre de 2020</v>
      </c>
      <c r="C2" s="35"/>
      <c r="D2" s="35"/>
      <c r="E2" s="2"/>
      <c r="F2" s="2"/>
      <c r="G2" s="2"/>
      <c r="H2" s="3"/>
    </row>
    <row r="3" spans="1:9" s="4" customFormat="1" ht="19.5" customHeight="1" thickBot="1" x14ac:dyDescent="0.25">
      <c r="A3" s="1"/>
      <c r="B3" s="19" t="str">
        <f>WeekStart</f>
        <v>domingo</v>
      </c>
      <c r="C3" s="19" t="str">
        <f t="shared" ref="C3:H3" si="0">TEXT(C4,"dddd")</f>
        <v>lunes</v>
      </c>
      <c r="D3" s="19" t="str">
        <f t="shared" si="0"/>
        <v>martes</v>
      </c>
      <c r="E3" s="19" t="str">
        <f t="shared" si="0"/>
        <v>miércoles</v>
      </c>
      <c r="F3" s="19" t="str">
        <f t="shared" si="0"/>
        <v>jueves</v>
      </c>
      <c r="G3" s="19" t="str">
        <f t="shared" si="0"/>
        <v>viernes</v>
      </c>
      <c r="H3" s="19" t="str">
        <f t="shared" si="0"/>
        <v>sábado</v>
      </c>
    </row>
    <row r="4" spans="1:9" s="6" customFormat="1" ht="19.5" customHeight="1" x14ac:dyDescent="0.2">
      <c r="B4" s="20">
        <f t="array" ref="B4:H4">DaysAndWeeks+DATE(CalendarYear,10,1)-WEEKDAY(DATE(CalendarYear,10,1),(WeekStart="lunes")+1)+1</f>
        <v>44101</v>
      </c>
      <c r="C4" s="20">
        <v>44102</v>
      </c>
      <c r="D4" s="20">
        <v>44103</v>
      </c>
      <c r="E4" s="20">
        <v>44104</v>
      </c>
      <c r="F4" s="20">
        <v>44105</v>
      </c>
      <c r="G4" s="20">
        <v>44106</v>
      </c>
      <c r="H4" s="20">
        <v>44107</v>
      </c>
    </row>
    <row r="5" spans="1:9" s="5" customFormat="1" ht="48" customHeight="1" x14ac:dyDescent="0.2"/>
    <row r="6" spans="1:9" s="6" customFormat="1" ht="19.5" customHeight="1" x14ac:dyDescent="0.2">
      <c r="B6" s="22">
        <f t="array" ref="B6:H6">DaysAndWeeks+DATE(CalendarYear,10,1)-WEEKDAY(DATE(CalendarYear,10,1),(WeekStart="lunes")+1)+8</f>
        <v>44108</v>
      </c>
      <c r="C6" s="22">
        <v>44109</v>
      </c>
      <c r="D6" s="22">
        <v>44110</v>
      </c>
      <c r="E6" s="22">
        <v>44111</v>
      </c>
      <c r="F6" s="22">
        <v>44112</v>
      </c>
      <c r="G6" s="22">
        <v>44113</v>
      </c>
      <c r="H6" s="22">
        <v>44114</v>
      </c>
    </row>
    <row r="7" spans="1:9" s="5" customFormat="1" ht="48" customHeight="1" x14ac:dyDescent="0.2">
      <c r="B7" s="14"/>
      <c r="C7" s="14"/>
      <c r="D7" s="14"/>
      <c r="E7" s="14"/>
      <c r="F7" s="14"/>
      <c r="G7" s="14"/>
      <c r="H7" s="14"/>
    </row>
    <row r="8" spans="1:9" s="6" customFormat="1" ht="19.5" customHeight="1" x14ac:dyDescent="0.2">
      <c r="B8" s="20">
        <f t="array" ref="B8:H8">DaysAndWeeks+DATE(CalendarYear,10,1)-WEEKDAY(DATE(CalendarYear,10,1),(WeekStart="lunes")+1)+15</f>
        <v>44115</v>
      </c>
      <c r="C8" s="20">
        <v>44116</v>
      </c>
      <c r="D8" s="20">
        <v>44117</v>
      </c>
      <c r="E8" s="20">
        <v>44118</v>
      </c>
      <c r="F8" s="20">
        <v>44119</v>
      </c>
      <c r="G8" s="20">
        <v>44120</v>
      </c>
      <c r="H8" s="20">
        <v>44121</v>
      </c>
    </row>
    <row r="9" spans="1:9" s="5" customFormat="1" ht="48" customHeight="1" x14ac:dyDescent="0.2"/>
    <row r="10" spans="1:9" s="6" customFormat="1" ht="19.5" customHeight="1" x14ac:dyDescent="0.2">
      <c r="B10" s="22">
        <f t="array" ref="B10:H10">DaysAndWeeks+DATE(CalendarYear,10,1)-WEEKDAY(DATE(CalendarYear,10,1),(WeekStart="lunes")+1)+22</f>
        <v>44122</v>
      </c>
      <c r="C10" s="22">
        <v>44123</v>
      </c>
      <c r="D10" s="22">
        <v>44124</v>
      </c>
      <c r="E10" s="22">
        <v>44125</v>
      </c>
      <c r="F10" s="22">
        <v>44126</v>
      </c>
      <c r="G10" s="22">
        <v>44127</v>
      </c>
      <c r="H10" s="22">
        <v>44128</v>
      </c>
    </row>
    <row r="11" spans="1:9" s="5" customFormat="1" ht="48" customHeight="1" x14ac:dyDescent="0.2">
      <c r="B11" s="14"/>
      <c r="C11" s="14"/>
      <c r="D11" s="14"/>
      <c r="E11" s="14"/>
      <c r="F11" s="14"/>
      <c r="G11" s="14"/>
      <c r="H11" s="14"/>
    </row>
    <row r="12" spans="1:9" s="6" customFormat="1" ht="19.5" customHeight="1" x14ac:dyDescent="0.2">
      <c r="B12" s="20">
        <f t="array" ref="B12:H12">DaysAndWeeks+DATE(CalendarYear,10,1)-WEEKDAY(DATE(CalendarYear,10,1),(WeekStart="lunes")+1)+29</f>
        <v>44129</v>
      </c>
      <c r="C12" s="20">
        <v>44130</v>
      </c>
      <c r="D12" s="20">
        <v>44131</v>
      </c>
      <c r="E12" s="20">
        <v>44132</v>
      </c>
      <c r="F12" s="20">
        <v>44133</v>
      </c>
      <c r="G12" s="20">
        <v>44134</v>
      </c>
      <c r="H12" s="20">
        <v>44135</v>
      </c>
    </row>
    <row r="13" spans="1:9" s="5" customFormat="1" ht="48" customHeight="1" x14ac:dyDescent="0.2"/>
    <row r="14" spans="1:9" s="6" customFormat="1" ht="19.5" customHeight="1" x14ac:dyDescent="0.2">
      <c r="B14" s="22">
        <f t="array" ref="B14:C14">DaysAndWeeks+DATE(CalendarYear,10,1)-WEEKDAY(DATE(CalendarYear,10,1),(WeekStart="lunes")+1)+36</f>
        <v>44136</v>
      </c>
      <c r="C14" s="22">
        <v>44137</v>
      </c>
      <c r="D14" s="36" t="s">
        <v>0</v>
      </c>
      <c r="E14" s="36"/>
      <c r="F14" s="36"/>
      <c r="G14" s="36"/>
      <c r="H14" s="36"/>
    </row>
    <row r="15" spans="1:9" s="5" customFormat="1" ht="48" customHeight="1" x14ac:dyDescent="0.2">
      <c r="B15" s="14"/>
      <c r="C15" s="14"/>
      <c r="D15" s="37"/>
      <c r="E15" s="37"/>
      <c r="F15" s="37"/>
      <c r="G15" s="37"/>
      <c r="H15" s="37"/>
    </row>
  </sheetData>
  <mergeCells count="3">
    <mergeCell ref="B2:D2"/>
    <mergeCell ref="D14:H14"/>
    <mergeCell ref="D15:H15"/>
  </mergeCells>
  <conditionalFormatting sqref="B12:H12 B14:C14">
    <cfRule type="expression" dxfId="5" priority="2">
      <formula>AND(DAY(B12)&gt;=1,DAY(B12)&lt;=15)</formula>
    </cfRule>
  </conditionalFormatting>
  <conditionalFormatting sqref="B4:G4">
    <cfRule type="expression" dxfId="4" priority="1">
      <formula>DAY(B4)&gt;8</formula>
    </cfRule>
  </conditionalFormatting>
  <dataValidations count="8">
    <dataValidation allowBlank="1" showInputMessage="1" showErrorMessage="1" prompt="El día de la semana se determinará automáticamente" sqref="C3:H3" xr:uid="{00000000-0002-0000-0900-000000000000}"/>
    <dataValidation allowBlank="1" showInputMessage="1" showErrorMessage="1" prompt="Calendario del mes de octubre" sqref="A1" xr:uid="{00000000-0002-0000-09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9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900-000003000000}"/>
    <dataValidation allowBlank="1" showInputMessage="1" prompt="Escriba las notas del mes en la celda inferior." sqref="D14:H14" xr:uid="{00000000-0002-0000-0900-000004000000}"/>
    <dataValidation allowBlank="1" showInputMessage="1" prompt="Escriba las notas del mes en esta celda." sqref="D15:H15" xr:uid="{00000000-0002-0000-0900-000005000000}"/>
    <dataValidation allowBlank="1" showInputMessage="1" showErrorMessage="1" prompt="Las celdas de esta fila y las filas 7, 9, 11, 13 y 15 son para escribir notas diarias relacionadas con el día natural de la celda anterior." sqref="B5" xr:uid="{00000000-0002-0000-09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900-000007000000}"/>
  </dataValidations>
  <printOptions horizontalCentered="1"/>
  <pageMargins left="0.25" right="0.25" top="0.5" bottom="0.5" header="0.3" footer="0.3"/>
  <pageSetup paperSize="9" scale="95" orientation="landscape" r:id="rId1"/>
  <headerFooter differentFirst="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5" tint="0.59999389629810485"/>
    <pageSetUpPr fitToPage="1"/>
  </sheetPr>
  <dimension ref="A1:I15"/>
  <sheetViews>
    <sheetView showGridLines="0" showRowColHeaders="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0" width="10.6640625" style="12" customWidth="1"/>
    <col min="11" max="16384" width="8.88671875" style="12"/>
  </cols>
  <sheetData>
    <row r="1" spans="1:9" s="1" customFormat="1" ht="9" customHeight="1" x14ac:dyDescent="0.2">
      <c r="I1" s="1" t="s">
        <v>1</v>
      </c>
    </row>
    <row r="2" spans="1:9" s="1" customFormat="1" ht="100.5" customHeight="1" x14ac:dyDescent="0.2">
      <c r="B2" s="35" t="str">
        <f>"Noviembre "&amp;"de "&amp;CalendarYear</f>
        <v>Noviembre de 2020</v>
      </c>
      <c r="C2" s="35"/>
      <c r="D2" s="35"/>
      <c r="E2" s="2"/>
      <c r="F2" s="2"/>
      <c r="G2" s="2"/>
      <c r="H2" s="3"/>
    </row>
    <row r="3" spans="1:9" s="4" customFormat="1" ht="19.5" customHeight="1" thickBot="1" x14ac:dyDescent="0.25">
      <c r="A3" s="1"/>
      <c r="B3" s="19" t="str">
        <f>WeekStart</f>
        <v>domingo</v>
      </c>
      <c r="C3" s="19" t="str">
        <f t="shared" ref="C3:H3" si="0">TEXT(C4,"dddd")</f>
        <v>lunes</v>
      </c>
      <c r="D3" s="19" t="str">
        <f t="shared" si="0"/>
        <v>martes</v>
      </c>
      <c r="E3" s="19" t="str">
        <f t="shared" si="0"/>
        <v>miércoles</v>
      </c>
      <c r="F3" s="19" t="str">
        <f t="shared" si="0"/>
        <v>jueves</v>
      </c>
      <c r="G3" s="19" t="str">
        <f t="shared" si="0"/>
        <v>viernes</v>
      </c>
      <c r="H3" s="19" t="str">
        <f t="shared" si="0"/>
        <v>sábado</v>
      </c>
    </row>
    <row r="4" spans="1:9" s="6" customFormat="1" ht="19.5" customHeight="1" x14ac:dyDescent="0.2">
      <c r="B4" s="20">
        <f t="array" ref="B4:H4">DaysAndWeeks+DATE(CalendarYear,11,1)-WEEKDAY(DATE(CalendarYear,11,1),(WeekStart="lunes")+1)+1</f>
        <v>44136</v>
      </c>
      <c r="C4" s="20">
        <v>44137</v>
      </c>
      <c r="D4" s="20">
        <v>44138</v>
      </c>
      <c r="E4" s="20">
        <v>44139</v>
      </c>
      <c r="F4" s="20">
        <v>44140</v>
      </c>
      <c r="G4" s="20">
        <v>44141</v>
      </c>
      <c r="H4" s="20">
        <v>44142</v>
      </c>
    </row>
    <row r="5" spans="1:9" s="5" customFormat="1" ht="48" customHeight="1" x14ac:dyDescent="0.2"/>
    <row r="6" spans="1:9" s="6" customFormat="1" ht="19.5" customHeight="1" x14ac:dyDescent="0.2">
      <c r="B6" s="22">
        <f t="array" ref="B6:H6">DaysAndWeeks+DATE(CalendarYear,11,1)-WEEKDAY(DATE(CalendarYear,11,1),(WeekStart="lunes")+1)+8</f>
        <v>44143</v>
      </c>
      <c r="C6" s="22">
        <v>44144</v>
      </c>
      <c r="D6" s="22">
        <v>44145</v>
      </c>
      <c r="E6" s="22">
        <v>44146</v>
      </c>
      <c r="F6" s="22">
        <v>44147</v>
      </c>
      <c r="G6" s="22">
        <v>44148</v>
      </c>
      <c r="H6" s="22">
        <v>44149</v>
      </c>
    </row>
    <row r="7" spans="1:9" s="5" customFormat="1" ht="48" customHeight="1" x14ac:dyDescent="0.2">
      <c r="B7" s="14"/>
      <c r="C7" s="14"/>
      <c r="D7" s="14"/>
      <c r="E7" s="14"/>
      <c r="F7" s="14"/>
      <c r="G7" s="14"/>
      <c r="H7" s="14"/>
    </row>
    <row r="8" spans="1:9" s="6" customFormat="1" ht="19.5" customHeight="1" x14ac:dyDescent="0.2">
      <c r="B8" s="20">
        <f t="array" ref="B8:H8">DaysAndWeeks+DATE(CalendarYear,11,1)-WEEKDAY(DATE(CalendarYear,11,1),(WeekStart="lunes")+1)+15</f>
        <v>44150</v>
      </c>
      <c r="C8" s="20">
        <v>44151</v>
      </c>
      <c r="D8" s="20">
        <v>44152</v>
      </c>
      <c r="E8" s="20">
        <v>44153</v>
      </c>
      <c r="F8" s="20">
        <v>44154</v>
      </c>
      <c r="G8" s="20">
        <v>44155</v>
      </c>
      <c r="H8" s="20">
        <v>44156</v>
      </c>
    </row>
    <row r="9" spans="1:9" s="5" customFormat="1" ht="48" customHeight="1" x14ac:dyDescent="0.2"/>
    <row r="10" spans="1:9" s="6" customFormat="1" ht="19.5" customHeight="1" x14ac:dyDescent="0.2">
      <c r="B10" s="22">
        <f t="array" ref="B10:H10">DaysAndWeeks+DATE(CalendarYear,11,1)-WEEKDAY(DATE(CalendarYear,11,1),(WeekStart="lunes")+1)+22</f>
        <v>44157</v>
      </c>
      <c r="C10" s="22">
        <v>44158</v>
      </c>
      <c r="D10" s="22">
        <v>44159</v>
      </c>
      <c r="E10" s="22">
        <v>44160</v>
      </c>
      <c r="F10" s="22">
        <v>44161</v>
      </c>
      <c r="G10" s="22">
        <v>44162</v>
      </c>
      <c r="H10" s="22">
        <v>44163</v>
      </c>
    </row>
    <row r="11" spans="1:9" s="5" customFormat="1" ht="48" customHeight="1" x14ac:dyDescent="0.2">
      <c r="B11" s="14"/>
      <c r="C11" s="14"/>
      <c r="D11" s="14"/>
      <c r="E11" s="14"/>
      <c r="F11" s="14"/>
      <c r="G11" s="14"/>
      <c r="H11" s="14"/>
    </row>
    <row r="12" spans="1:9" s="6" customFormat="1" ht="19.5" customHeight="1" x14ac:dyDescent="0.2">
      <c r="B12" s="20">
        <f t="array" ref="B12:H12">DaysAndWeeks+DATE(CalendarYear,11,1)-WEEKDAY(DATE(CalendarYear,11,1),(WeekStart="lunes")+1)+29</f>
        <v>44164</v>
      </c>
      <c r="C12" s="20">
        <v>44165</v>
      </c>
      <c r="D12" s="20">
        <v>44166</v>
      </c>
      <c r="E12" s="20">
        <v>44167</v>
      </c>
      <c r="F12" s="20">
        <v>44168</v>
      </c>
      <c r="G12" s="20">
        <v>44169</v>
      </c>
      <c r="H12" s="20">
        <v>44170</v>
      </c>
    </row>
    <row r="13" spans="1:9" s="5" customFormat="1" ht="48" customHeight="1" x14ac:dyDescent="0.2"/>
    <row r="14" spans="1:9" s="6" customFormat="1" ht="19.5" customHeight="1" x14ac:dyDescent="0.2">
      <c r="B14" s="22">
        <f t="array" ref="B14:C14">DaysAndWeeks+DATE(CalendarYear,11,1)-WEEKDAY(DATE(CalendarYear,11,1),(WeekStart="lunes")+1)+36</f>
        <v>44171</v>
      </c>
      <c r="C14" s="22">
        <v>44172</v>
      </c>
      <c r="D14" s="36" t="s">
        <v>0</v>
      </c>
      <c r="E14" s="36"/>
      <c r="F14" s="36"/>
      <c r="G14" s="36"/>
      <c r="H14" s="36"/>
    </row>
    <row r="15" spans="1:9" s="5" customFormat="1" ht="48" customHeight="1" x14ac:dyDescent="0.2">
      <c r="B15" s="14"/>
      <c r="C15" s="14"/>
      <c r="D15" s="37"/>
      <c r="E15" s="37"/>
      <c r="F15" s="37"/>
      <c r="G15" s="37"/>
      <c r="H15" s="37"/>
    </row>
  </sheetData>
  <mergeCells count="3">
    <mergeCell ref="B2:D2"/>
    <mergeCell ref="D14:H14"/>
    <mergeCell ref="D15:H15"/>
  </mergeCells>
  <conditionalFormatting sqref="B12:H12 B14:C14">
    <cfRule type="expression" dxfId="3" priority="2">
      <formula>AND(DAY(B12)&gt;=1,DAY(B12)&lt;=15)</formula>
    </cfRule>
  </conditionalFormatting>
  <conditionalFormatting sqref="B4:G4">
    <cfRule type="expression" dxfId="2" priority="1">
      <formula>DAY(B4)&gt;8</formula>
    </cfRule>
  </conditionalFormatting>
  <dataValidations count="8">
    <dataValidation allowBlank="1" showInputMessage="1" showErrorMessage="1" prompt="El día de la semana se determinará automáticamente" sqref="C3:H3" xr:uid="{00000000-0002-0000-0A00-000000000000}"/>
    <dataValidation allowBlank="1" showInputMessage="1" showErrorMessage="1" prompt="Calendario del mes de noviembre" sqref="A1" xr:uid="{00000000-0002-0000-0A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A00-000002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A00-000003000000}"/>
    <dataValidation allowBlank="1" showInputMessage="1" showErrorMessage="1" prompt="Las celdas de esta fila y las filas 7, 9, 11, 13 y 15 son para escribir notas diarias relacionadas con el día natural de la celda anterior." sqref="B5" xr:uid="{00000000-0002-0000-0A00-000004000000}"/>
    <dataValidation allowBlank="1" showInputMessage="1" prompt="Escriba las notas del mes en esta celda." sqref="D15:H15" xr:uid="{00000000-0002-0000-0A00-000005000000}"/>
    <dataValidation allowBlank="1" showInputMessage="1" prompt="Escriba las notas del mes en la celda inferior." sqref="D14:H14" xr:uid="{00000000-0002-0000-0A00-000006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A00-000007000000}"/>
  </dataValidations>
  <printOptions horizontalCentered="1"/>
  <pageMargins left="0.25" right="0.25" top="0.5" bottom="0.5" header="0.3" footer="0.3"/>
  <pageSetup paperSize="9" scale="95" orientation="landscape" r:id="rId1"/>
  <headerFooter differentFirst="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8" tint="0.59999389629810485"/>
    <pageSetUpPr fitToPage="1"/>
  </sheetPr>
  <dimension ref="A1:I15"/>
  <sheetViews>
    <sheetView showGridLines="0" showRowColHeaders="0" workbookViewId="0"/>
  </sheetViews>
  <sheetFormatPr baseColWidth="10" defaultColWidth="8.88671875" defaultRowHeight="14.25" x14ac:dyDescent="0.2"/>
  <cols>
    <col min="1" max="1" width="1.77734375" style="1" customWidth="1"/>
    <col min="2" max="8" width="15.44140625" style="1" customWidth="1"/>
    <col min="9" max="9" width="1.77734375" style="1" customWidth="1"/>
    <col min="10" max="16384" width="8.88671875" style="12"/>
  </cols>
  <sheetData>
    <row r="1" spans="1:9" s="1" customFormat="1" ht="9" customHeight="1" x14ac:dyDescent="0.2">
      <c r="I1" s="1" t="s">
        <v>1</v>
      </c>
    </row>
    <row r="2" spans="1:9" s="1" customFormat="1" ht="100.5" customHeight="1" x14ac:dyDescent="0.2">
      <c r="B2" s="25" t="str">
        <f>"Diciembre "&amp;"de "&amp;CalendarYear</f>
        <v>Diciembre de 2020</v>
      </c>
      <c r="C2" s="25"/>
      <c r="D2" s="25"/>
      <c r="E2" s="2"/>
      <c r="F2" s="2"/>
      <c r="G2" s="2"/>
      <c r="H2" s="3"/>
    </row>
    <row r="3" spans="1:9" s="4" customFormat="1" ht="19.5" customHeight="1" thickBot="1" x14ac:dyDescent="0.25">
      <c r="A3" s="1"/>
      <c r="B3" s="16" t="str">
        <f>WeekStart</f>
        <v>domingo</v>
      </c>
      <c r="C3" s="16" t="str">
        <f t="shared" ref="C3:H3" si="0">TEXT(C4,"dddd")</f>
        <v>lunes</v>
      </c>
      <c r="D3" s="16" t="str">
        <f t="shared" si="0"/>
        <v>martes</v>
      </c>
      <c r="E3" s="16" t="str">
        <f t="shared" si="0"/>
        <v>miércoles</v>
      </c>
      <c r="F3" s="16" t="str">
        <f t="shared" si="0"/>
        <v>jueves</v>
      </c>
      <c r="G3" s="16" t="str">
        <f t="shared" si="0"/>
        <v>viernes</v>
      </c>
      <c r="H3" s="16" t="str">
        <f t="shared" si="0"/>
        <v>sábado</v>
      </c>
    </row>
    <row r="4" spans="1:9" s="6" customFormat="1" ht="19.5" customHeight="1" x14ac:dyDescent="0.2">
      <c r="B4" s="20">
        <f t="array" ref="B4:H4">DaysAndWeeks+DATE(CalendarYear,12,1)-WEEKDAY(DATE(CalendarYear,12,1),(WeekStart="lunes")+1)+1</f>
        <v>44164</v>
      </c>
      <c r="C4" s="20">
        <v>44165</v>
      </c>
      <c r="D4" s="20">
        <v>44166</v>
      </c>
      <c r="E4" s="20">
        <v>44167</v>
      </c>
      <c r="F4" s="20">
        <v>44168</v>
      </c>
      <c r="G4" s="20">
        <v>44169</v>
      </c>
      <c r="H4" s="20">
        <v>44170</v>
      </c>
    </row>
    <row r="5" spans="1:9" s="5" customFormat="1" ht="48" customHeight="1" x14ac:dyDescent="0.2"/>
    <row r="6" spans="1:9" s="6" customFormat="1" ht="19.5" customHeight="1" x14ac:dyDescent="0.2">
      <c r="B6" s="21">
        <f t="array" ref="B6:H6">DaysAndWeeks+DATE(CalendarYear,12,1)-WEEKDAY(DATE(CalendarYear,12,1),(WeekStart="lunes")+1)+8</f>
        <v>44171</v>
      </c>
      <c r="C6" s="21">
        <v>44172</v>
      </c>
      <c r="D6" s="21">
        <v>44173</v>
      </c>
      <c r="E6" s="21">
        <v>44174</v>
      </c>
      <c r="F6" s="21">
        <v>44175</v>
      </c>
      <c r="G6" s="21">
        <v>44176</v>
      </c>
      <c r="H6" s="21">
        <v>44177</v>
      </c>
    </row>
    <row r="7" spans="1:9" s="5" customFormat="1" ht="48" customHeight="1" x14ac:dyDescent="0.2">
      <c r="B7" s="7"/>
      <c r="C7" s="7"/>
      <c r="D7" s="7"/>
      <c r="E7" s="7"/>
      <c r="F7" s="7"/>
      <c r="G7" s="7"/>
      <c r="H7" s="7"/>
    </row>
    <row r="8" spans="1:9" s="6" customFormat="1" ht="19.5" customHeight="1" x14ac:dyDescent="0.2">
      <c r="B8" s="20">
        <f t="array" ref="B8:H8">DaysAndWeeks+DATE(CalendarYear,12,1)-WEEKDAY(DATE(CalendarYear,12,1),(WeekStart="lunes")+1)+15</f>
        <v>44178</v>
      </c>
      <c r="C8" s="20">
        <v>44179</v>
      </c>
      <c r="D8" s="20">
        <v>44180</v>
      </c>
      <c r="E8" s="20">
        <v>44181</v>
      </c>
      <c r="F8" s="20">
        <v>44182</v>
      </c>
      <c r="G8" s="20">
        <v>44183</v>
      </c>
      <c r="H8" s="20">
        <v>44184</v>
      </c>
    </row>
    <row r="9" spans="1:9" s="5" customFormat="1" ht="48" customHeight="1" x14ac:dyDescent="0.2"/>
    <row r="10" spans="1:9" s="6" customFormat="1" ht="19.5" customHeight="1" x14ac:dyDescent="0.2">
      <c r="B10" s="21">
        <f t="array" ref="B10:H10">DaysAndWeeks+DATE(CalendarYear,12,1)-WEEKDAY(DATE(CalendarYear,12,1),(WeekStart="lunes")+1)+22</f>
        <v>44185</v>
      </c>
      <c r="C10" s="21">
        <v>44186</v>
      </c>
      <c r="D10" s="21">
        <v>44187</v>
      </c>
      <c r="E10" s="21">
        <v>44188</v>
      </c>
      <c r="F10" s="21">
        <v>44189</v>
      </c>
      <c r="G10" s="21">
        <v>44190</v>
      </c>
      <c r="H10" s="21">
        <v>44191</v>
      </c>
    </row>
    <row r="11" spans="1:9" s="5" customFormat="1" ht="48" customHeight="1" x14ac:dyDescent="0.2">
      <c r="B11" s="7"/>
      <c r="C11" s="7"/>
      <c r="D11" s="7"/>
      <c r="E11" s="7"/>
      <c r="F11" s="7"/>
      <c r="G11" s="7"/>
      <c r="H11" s="7"/>
    </row>
    <row r="12" spans="1:9" s="6" customFormat="1" ht="19.5" customHeight="1" x14ac:dyDescent="0.2">
      <c r="B12" s="20">
        <f t="array" ref="B12:H12">DaysAndWeeks+DATE(CalendarYear,12,1)-WEEKDAY(DATE(CalendarYear,12,1),(WeekStart="lunes")+1)+29</f>
        <v>44192</v>
      </c>
      <c r="C12" s="20">
        <v>44193</v>
      </c>
      <c r="D12" s="20">
        <v>44194</v>
      </c>
      <c r="E12" s="20">
        <v>44195</v>
      </c>
      <c r="F12" s="20">
        <v>44196</v>
      </c>
      <c r="G12" s="20">
        <v>44197</v>
      </c>
      <c r="H12" s="20">
        <v>44198</v>
      </c>
    </row>
    <row r="13" spans="1:9" s="5" customFormat="1" ht="48" customHeight="1" x14ac:dyDescent="0.2"/>
    <row r="14" spans="1:9" s="6" customFormat="1" ht="19.5" customHeight="1" x14ac:dyDescent="0.2">
      <c r="B14" s="21">
        <f t="array" ref="B14:C14">DaysAndWeeks+DATE(CalendarYear,12,1)-WEEKDAY(DATE(CalendarYear,12,1),(WeekStart="lunes")+1)+36</f>
        <v>44199</v>
      </c>
      <c r="C14" s="21">
        <v>44200</v>
      </c>
      <c r="D14" s="26" t="s">
        <v>0</v>
      </c>
      <c r="E14" s="26"/>
      <c r="F14" s="26"/>
      <c r="G14" s="26"/>
      <c r="H14" s="26"/>
    </row>
    <row r="15" spans="1:9" s="5" customFormat="1" ht="48" customHeight="1" x14ac:dyDescent="0.2">
      <c r="B15" s="7"/>
      <c r="C15" s="7"/>
      <c r="D15" s="27"/>
      <c r="E15" s="27"/>
      <c r="F15" s="27"/>
      <c r="G15" s="27"/>
      <c r="H15" s="27"/>
    </row>
  </sheetData>
  <mergeCells count="3">
    <mergeCell ref="B2:D2"/>
    <mergeCell ref="D14:H14"/>
    <mergeCell ref="D15:H15"/>
  </mergeCells>
  <conditionalFormatting sqref="B12:H12 B14:C14">
    <cfRule type="expression" dxfId="1" priority="2">
      <formula>AND(DAY(B12)&gt;=1,DAY(B12)&lt;=15)</formula>
    </cfRule>
  </conditionalFormatting>
  <conditionalFormatting sqref="B4:G4">
    <cfRule type="expression" dxfId="0" priority="1">
      <formula>DAY(B4)&gt;8</formula>
    </cfRule>
  </conditionalFormatting>
  <dataValidations count="8">
    <dataValidation allowBlank="1" showInputMessage="1" showErrorMessage="1" prompt="El día de la semana se determinará automáticamente" sqref="C3:H3" xr:uid="{00000000-0002-0000-0B00-000000000000}"/>
    <dataValidation allowBlank="1" showInputMessage="1" showErrorMessage="1" prompt="Calendario del mes de diciembre" sqref="A1" xr:uid="{00000000-0002-0000-0B00-000001000000}"/>
    <dataValidation allowBlank="1" showInputMessage="1" showErrorMessage="1" prompt="El año de esta celda se actualiza automáticamente según el año especificado en la hoja de cálculo de enero. El calendario siguiente incluye fechas de los meses anterior y posterior con un sombreado de fuente más claro." sqref="B2:D2" xr:uid="{00000000-0002-0000-0B00-000002000000}"/>
    <dataValidation allowBlank="1" showInputMessage="1" showErrorMessage="1" prompt="Esta fila contiene los nombres de los días laborables de este calendario. Esta celda contiene el día de inicio de la semana. Para cambiar el día de inicio, escriba un nuevo día laborable en la celda L5 de la hoja de cálculo Enero" sqref="B3" xr:uid="{00000000-0002-0000-0B00-000003000000}"/>
    <dataValidation allowBlank="1" showInputMessage="1" prompt="Escriba las notas del mes en la celda inferior." sqref="D14:H14" xr:uid="{00000000-0002-0000-0B00-000004000000}"/>
    <dataValidation allowBlank="1" showInputMessage="1" prompt="Escriba las notas del mes en esta celda." sqref="D15:H15" xr:uid="{00000000-0002-0000-0B00-000005000000}"/>
    <dataValidation allowBlank="1" showInputMessage="1" showErrorMessage="1" prompt="Las celdas de esta fila y las filas 7, 9, 11, 13 y 15 son para escribir notas diarias relacionadas con el día natural de la celda anterior." sqref="B5" xr:uid="{00000000-0002-0000-0B00-000006000000}"/>
    <dataValidation allowBlank="1" showInputMessage="1" showErrorMessage="1" prompt="Esta fila y las filas 6, 8, 10, 12 y 14 contienen días naturales de la semana. Si esta celda no contiene el número 1, se trata de un día del mes anterior. Escriba notas en la celda D15." sqref="B4" xr:uid="{00000000-0002-0000-0B00-000007000000}"/>
  </dataValidations>
  <printOptions horizontalCentered="1"/>
  <pageMargins left="0.25" right="0.25" top="0.5" bottom="0.5" header="0.3" footer="0.3"/>
  <pageSetup paperSize="9" scale="95" orientation="landscape" r:id="rId1"/>
  <headerFooter differentFirst="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0" ma:contentTypeDescription="Create a new document." ma:contentTypeScope="" ma:versionID="e39e7e9e36de66d473ce04bb4ab2dbb8">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9dc5994665da46609c24125788630d8"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Props1.xml><?xml version="1.0" encoding="utf-8"?>
<ds:datastoreItem xmlns:ds="http://schemas.openxmlformats.org/officeDocument/2006/customXml" ds:itemID="{76CC3E5D-B587-4053-A3C4-C2DF55688C1B}">
  <ds:schemaRefs>
    <ds:schemaRef ds:uri="http://schemas.microsoft.com/sharepoint/v3/contenttype/forms"/>
  </ds:schemaRefs>
</ds:datastoreItem>
</file>

<file path=customXml/itemProps2.xml><?xml version="1.0" encoding="utf-8"?>
<ds:datastoreItem xmlns:ds="http://schemas.openxmlformats.org/officeDocument/2006/customXml" ds:itemID="{97501469-543E-4ECF-99B3-50F59D3BB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D21365-C633-41AF-AFCA-4E29F60F1391}">
  <ds:schemaRefs>
    <ds:schemaRef ds:uri="http://schemas.microsoft.com/office/2006/metadata/properties"/>
    <ds:schemaRef ds:uri="http://schemas.microsoft.com/office/infopath/2007/PartnerControls"/>
    <ds:schemaRef ds:uri="71af3243-3dd4-4a8d-8c0d-dd76da1f02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39</vt:i4>
      </vt:variant>
    </vt:vector>
  </HeadingPairs>
  <TitlesOfParts>
    <vt:vector size="51" baseType="lpstr">
      <vt:lpstr>Enero</vt:lpstr>
      <vt:lpstr>Febrero</vt:lpstr>
      <vt:lpstr>Marzo</vt:lpstr>
      <vt:lpstr>Abril</vt:lpstr>
      <vt:lpstr>Mayo</vt:lpstr>
      <vt:lpstr>Junio</vt:lpstr>
      <vt:lpstr>Julio</vt:lpstr>
      <vt:lpstr>Agosto</vt:lpstr>
      <vt:lpstr>Septiembre</vt:lpstr>
      <vt:lpstr>Octubre</vt:lpstr>
      <vt:lpstr>Noviembre</vt:lpstr>
      <vt:lpstr>Diciembre</vt:lpstr>
      <vt:lpstr>Abril!Área_de_impresión</vt:lpstr>
      <vt:lpstr>Agosto!Área_de_impresión</vt:lpstr>
      <vt:lpstr>Diciembre!Área_de_impresión</vt:lpstr>
      <vt:lpstr>Enero!Área_de_impresión</vt:lpstr>
      <vt:lpstr>Febrero!Área_de_impresión</vt:lpstr>
      <vt:lpstr>Julio!Área_de_impresión</vt:lpstr>
      <vt:lpstr>Junio!Área_de_impresión</vt:lpstr>
      <vt:lpstr>Marzo!Área_de_impresión</vt:lpstr>
      <vt:lpstr>Mayo!Área_de_impresión</vt:lpstr>
      <vt:lpstr>Noviembre!Área_de_impresión</vt:lpstr>
      <vt:lpstr>Octubre!Área_de_impresión</vt:lpstr>
      <vt:lpstr>Septiembre!Área_de_impresión</vt:lpstr>
      <vt:lpstr>CalendarYear</vt:lpstr>
      <vt:lpstr>ColumnTitleRegion1..H12.1</vt:lpstr>
      <vt:lpstr>ColumnTitleRegion1..H12.10</vt:lpstr>
      <vt:lpstr>ColumnTitleRegion1..H12.11</vt:lpstr>
      <vt:lpstr>ColumnTitleRegion1..H12.12</vt:lpstr>
      <vt:lpstr>ColumnTitleRegion1..H12.2</vt:lpstr>
      <vt:lpstr>ColumnTitleRegion1..H12.3</vt:lpstr>
      <vt:lpstr>ColumnTitleRegion1..H12.4</vt:lpstr>
      <vt:lpstr>ColumnTitleRegion1..H12.5</vt:lpstr>
      <vt:lpstr>ColumnTitleRegion1..H12.6</vt:lpstr>
      <vt:lpstr>ColumnTitleRegion1..H12.7</vt:lpstr>
      <vt:lpstr>ColumnTitleRegion1..H12.8</vt:lpstr>
      <vt:lpstr>ColumnTitleRegion1..H12.9</vt:lpstr>
      <vt:lpstr>ColumnTitleRegion2..C14.1</vt:lpstr>
      <vt:lpstr>ColumnTitleRegion2..C14.10</vt:lpstr>
      <vt:lpstr>ColumnTitleRegion2..C14.11</vt:lpstr>
      <vt:lpstr>ColumnTitleRegion2..C14.12</vt:lpstr>
      <vt:lpstr>ColumnTitleRegion2..C14.2</vt:lpstr>
      <vt:lpstr>ColumnTitleRegion2..C14.3</vt:lpstr>
      <vt:lpstr>ColumnTitleRegion2..C14.4</vt:lpstr>
      <vt:lpstr>ColumnTitleRegion2..C14.5</vt:lpstr>
      <vt:lpstr>ColumnTitleRegion2..C14.6</vt:lpstr>
      <vt:lpstr>ColumnTitleRegion2..C14.7</vt:lpstr>
      <vt:lpstr>ColumnTitleRegion2..C14.8</vt:lpstr>
      <vt:lpstr>ColumnTitleRegion2..C14.9</vt:lpstr>
      <vt:lpstr>RowTitleRegion1..K3</vt:lpstr>
      <vt:lpstr>WeekStart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2018-10-01T01:18:08Z</dcterms:created>
  <dcterms:modified xsi:type="dcterms:W3CDTF">2020-04-23T21:39:10Z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