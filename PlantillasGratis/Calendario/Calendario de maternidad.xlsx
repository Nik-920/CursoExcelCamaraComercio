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EF00E7C8-F1D6-4ACE-A1CF-4B17F1E48A02}" xr6:coauthVersionLast="45" xr6:coauthVersionMax="45" xr10:uidLastSave="{00000000-0000-0000-0000-000000000000}"/>
  <bookViews>
    <workbookView xWindow="-120" yWindow="-120" windowWidth="20730" windowHeight="11160" xr2:uid="{00000000-000D-0000-FFFF-FFFF00000000}"/>
  </bookViews>
  <sheets>
    <sheet name="Calendario de embarazo" sheetId="1" r:id="rId1"/>
  </sheets>
  <definedNames>
    <definedName name="AñoMultiCál">IF(YEAR(CalcFecha)=YEAR(FechaParto),TRUE,FALSE)</definedName>
    <definedName name="CalcFecha">'Calendario de embarazo'!$G$4</definedName>
    <definedName name="DíaActual">DATEDIF(CalcFecha,TODAY(),"d")</definedName>
    <definedName name="DíasGestación">IF(Método=TRUE,280,266)</definedName>
    <definedName name="FechaParto">'Calendario de embarazo'!$H$4</definedName>
    <definedName name="Método">IF(MétodoCálc="Fecha del último período",TRUE,FALSE)</definedName>
    <definedName name="MétodoCálc">'Calendario de embarazo'!$G$3</definedName>
    <definedName name="NombreBebé">'Calendario de embarazo'!$I$4</definedName>
    <definedName name="NúmDeSemanas">INT(DATEDIF(CalcFecha,TODAY(),"yd")/7)</definedName>
    <definedName name="TextoDía">IF(DATEDIF(CalcFecha,TODAY(),"d")-(NúmDeSemanas*7)&gt;1," Días"," Día")</definedName>
    <definedName name="TextoNombreBebé">IF(NombreBebé=""," el bebé",CONCATENATE(" Bebé ",NombreBebé))</definedName>
  </definedNames>
  <calcPr calcId="18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I1" i="1" l="1"/>
  <c r="G4" i="1" l="1"/>
  <c r="B4" i="1" l="1"/>
  <c r="C9" i="1"/>
  <c r="C7" i="1" s="1"/>
  <c r="H4" i="1"/>
  <c r="D4" i="1" s="1"/>
  <c r="B6" i="1" l="1"/>
  <c r="I6" i="1"/>
  <c r="D9" i="1"/>
  <c r="D7" i="1" s="1"/>
  <c r="E9" i="1" l="1"/>
  <c r="E7" i="1" s="1"/>
  <c r="F9" i="1" l="1"/>
  <c r="F7" i="1" s="1"/>
  <c r="G9" i="1" l="1"/>
  <c r="G7" i="1" s="1"/>
  <c r="H9" i="1" l="1"/>
  <c r="H7" i="1" s="1"/>
  <c r="I9" i="1" l="1"/>
  <c r="B7" i="1" l="1"/>
  <c r="I7" i="1"/>
  <c r="C13" i="1"/>
  <c r="D13" i="1" l="1"/>
  <c r="C11" i="1"/>
  <c r="E13" i="1" l="1"/>
  <c r="D11" i="1"/>
  <c r="F13" i="1" l="1"/>
  <c r="E11" i="1"/>
  <c r="G13" i="1" l="1"/>
  <c r="F11" i="1"/>
  <c r="H13" i="1" l="1"/>
  <c r="G11" i="1"/>
  <c r="I13" i="1" l="1"/>
  <c r="H11" i="1"/>
  <c r="B11" i="1" l="1"/>
  <c r="I11" i="1"/>
  <c r="C17" i="1"/>
  <c r="C15" i="1" l="1"/>
  <c r="D17" i="1"/>
  <c r="D15" i="1" l="1"/>
  <c r="E17" i="1"/>
  <c r="E15" i="1" l="1"/>
  <c r="F17" i="1"/>
  <c r="F15" i="1" l="1"/>
  <c r="G17" i="1"/>
  <c r="G15" i="1" l="1"/>
  <c r="H17" i="1"/>
  <c r="H15" i="1" l="1"/>
  <c r="I17" i="1"/>
  <c r="B15" i="1" l="1"/>
  <c r="C21" i="1"/>
  <c r="I15" i="1"/>
  <c r="C19" i="1" l="1"/>
  <c r="D21" i="1"/>
  <c r="D19" i="1" l="1"/>
  <c r="E21" i="1"/>
  <c r="F21" i="1" s="1"/>
  <c r="E19" i="1" l="1"/>
  <c r="F19" i="1" l="1"/>
  <c r="G21" i="1"/>
  <c r="G19" i="1" l="1"/>
  <c r="H21" i="1"/>
  <c r="H19" i="1" l="1"/>
  <c r="I21" i="1"/>
  <c r="B19" i="1" l="1"/>
  <c r="C26" i="1"/>
  <c r="I19" i="1"/>
  <c r="C24" i="1" l="1"/>
  <c r="D26" i="1"/>
  <c r="E26" i="1" l="1"/>
  <c r="D24" i="1"/>
  <c r="E24" i="1" l="1"/>
  <c r="F26" i="1"/>
  <c r="F24" i="1" l="1"/>
  <c r="G26" i="1"/>
  <c r="G24" i="1" l="1"/>
  <c r="H26" i="1"/>
  <c r="I26" i="1" l="1"/>
  <c r="H24" i="1"/>
  <c r="B23" i="1" l="1"/>
  <c r="B24" i="1"/>
  <c r="C30" i="1"/>
  <c r="I24" i="1"/>
  <c r="C28" i="1" l="1"/>
  <c r="D30" i="1"/>
  <c r="D28" i="1" l="1"/>
  <c r="E30" i="1"/>
  <c r="E28" i="1" l="1"/>
  <c r="F30" i="1"/>
  <c r="F28" i="1" l="1"/>
  <c r="G30" i="1"/>
  <c r="G28" i="1" l="1"/>
  <c r="H30" i="1"/>
  <c r="H28" i="1" l="1"/>
  <c r="I30" i="1"/>
  <c r="B28" i="1" s="1"/>
  <c r="I28" i="1" l="1"/>
  <c r="C34" i="1"/>
  <c r="C32" i="1" l="1"/>
  <c r="D34" i="1"/>
  <c r="E34" i="1" l="1"/>
  <c r="D32" i="1"/>
  <c r="E32" i="1" l="1"/>
  <c r="F34" i="1"/>
  <c r="F32" i="1" l="1"/>
  <c r="G34" i="1"/>
  <c r="G32" i="1" l="1"/>
  <c r="H34" i="1"/>
  <c r="I34" i="1" l="1"/>
  <c r="B32" i="1" s="1"/>
  <c r="H32" i="1"/>
  <c r="I32" i="1" l="1"/>
  <c r="C38" i="1"/>
  <c r="C36" i="1" l="1"/>
  <c r="D38" i="1"/>
  <c r="E38" i="1" l="1"/>
  <c r="D36" i="1"/>
  <c r="E36" i="1" l="1"/>
  <c r="F38" i="1"/>
  <c r="F36" i="1" l="1"/>
  <c r="G38" i="1"/>
  <c r="G36" i="1" l="1"/>
  <c r="H38" i="1"/>
  <c r="I38" i="1" l="1"/>
  <c r="B36" i="1" s="1"/>
  <c r="H36" i="1"/>
  <c r="C43" i="1" l="1"/>
  <c r="I36" i="1"/>
  <c r="C41" i="1" l="1"/>
  <c r="D43" i="1"/>
  <c r="D41" i="1" l="1"/>
  <c r="E43" i="1"/>
  <c r="F43" i="1" l="1"/>
  <c r="E41" i="1"/>
  <c r="F41" i="1" l="1"/>
  <c r="G43" i="1"/>
  <c r="G41" i="1" l="1"/>
  <c r="H43" i="1"/>
  <c r="I43" i="1" l="1"/>
  <c r="B41" i="1" s="1"/>
  <c r="H41" i="1"/>
  <c r="B40" i="1" l="1"/>
  <c r="C47" i="1"/>
  <c r="I41" i="1"/>
  <c r="C45" i="1" l="1"/>
  <c r="D47" i="1"/>
  <c r="D45" i="1" l="1"/>
  <c r="E47" i="1"/>
  <c r="E45" i="1" l="1"/>
  <c r="F47" i="1"/>
  <c r="F45" i="1" l="1"/>
  <c r="G47" i="1"/>
  <c r="G45" i="1" l="1"/>
  <c r="H47" i="1"/>
  <c r="H45" i="1" l="1"/>
  <c r="I47" i="1"/>
  <c r="B45" i="1" s="1"/>
  <c r="I45" i="1" l="1"/>
  <c r="C51" i="1"/>
  <c r="C49" i="1" l="1"/>
  <c r="D51" i="1"/>
  <c r="D49" i="1" l="1"/>
  <c r="E51" i="1"/>
  <c r="F51" i="1" l="1"/>
  <c r="E49" i="1"/>
  <c r="F49" i="1" l="1"/>
  <c r="G51" i="1"/>
  <c r="G49" i="1" l="1"/>
  <c r="H51" i="1"/>
  <c r="I51" i="1" l="1"/>
  <c r="B49" i="1" s="1"/>
  <c r="H49" i="1"/>
  <c r="I49" i="1" l="1"/>
  <c r="C55" i="1"/>
  <c r="C53" i="1" l="1"/>
  <c r="D55" i="1"/>
  <c r="D53" i="1" l="1"/>
  <c r="E55" i="1"/>
  <c r="F55" i="1" l="1"/>
  <c r="E53" i="1"/>
  <c r="F53" i="1" l="1"/>
  <c r="G55" i="1"/>
  <c r="G53" i="1" l="1"/>
  <c r="H55" i="1"/>
  <c r="I55" i="1" l="1"/>
  <c r="H53" i="1"/>
  <c r="C59" i="1" l="1"/>
  <c r="B53" i="1"/>
  <c r="I53" i="1"/>
  <c r="C57" i="1" l="1"/>
  <c r="D59" i="1"/>
  <c r="D57" i="1" l="1"/>
  <c r="E59" i="1"/>
  <c r="E57" i="1" l="1"/>
  <c r="F59" i="1"/>
  <c r="G59" i="1" l="1"/>
  <c r="F57" i="1"/>
  <c r="G57" i="1" l="1"/>
  <c r="H59" i="1"/>
  <c r="I59" i="1" l="1"/>
  <c r="H57" i="1"/>
  <c r="I57" i="1" l="1"/>
  <c r="B57" i="1"/>
  <c r="C64" i="1"/>
  <c r="C62" i="1" l="1"/>
  <c r="D64" i="1"/>
  <c r="D62" i="1" l="1"/>
  <c r="E64" i="1"/>
  <c r="E62" i="1" l="1"/>
  <c r="F64" i="1"/>
  <c r="G64" i="1" l="1"/>
  <c r="F62" i="1"/>
  <c r="G62" i="1" l="1"/>
  <c r="H64" i="1"/>
  <c r="I64" i="1" l="1"/>
  <c r="H62" i="1"/>
  <c r="B61" i="1" l="1"/>
  <c r="C68" i="1"/>
  <c r="B62" i="1"/>
  <c r="I62" i="1"/>
  <c r="C66" i="1" l="1"/>
  <c r="D68" i="1"/>
  <c r="D66" i="1" l="1"/>
  <c r="E68" i="1"/>
  <c r="E66" i="1" l="1"/>
  <c r="F68" i="1"/>
  <c r="F66" i="1" l="1"/>
  <c r="G68" i="1"/>
  <c r="G66" i="1" l="1"/>
  <c r="H68" i="1"/>
  <c r="H66" i="1" l="1"/>
  <c r="I68" i="1"/>
  <c r="I66" i="1" l="1"/>
  <c r="B66" i="1"/>
  <c r="C72" i="1"/>
  <c r="C70" i="1" l="1"/>
  <c r="D72" i="1"/>
  <c r="D70" i="1" l="1"/>
  <c r="E72" i="1"/>
  <c r="E70" i="1" l="1"/>
  <c r="F72" i="1"/>
  <c r="G72" i="1" l="1"/>
  <c r="F70" i="1"/>
  <c r="G70" i="1" l="1"/>
  <c r="H72" i="1"/>
  <c r="I72" i="1" l="1"/>
  <c r="H70" i="1"/>
  <c r="C76" i="1" l="1"/>
  <c r="B70" i="1"/>
  <c r="I70" i="1"/>
  <c r="C74" i="1" l="1"/>
  <c r="D76" i="1"/>
  <c r="E76" i="1" l="1"/>
  <c r="D74" i="1"/>
  <c r="F76" i="1" l="1"/>
  <c r="E74" i="1"/>
  <c r="G76" i="1" l="1"/>
  <c r="F74" i="1"/>
  <c r="G74" i="1" l="1"/>
  <c r="H76" i="1"/>
  <c r="H74" i="1" l="1"/>
  <c r="I76" i="1"/>
  <c r="C81" i="1" l="1"/>
  <c r="I74" i="1"/>
  <c r="B74" i="1"/>
  <c r="D81" i="1" l="1"/>
  <c r="C79" i="1"/>
  <c r="E81" i="1" l="1"/>
  <c r="D79" i="1"/>
  <c r="F81" i="1" l="1"/>
  <c r="E79" i="1"/>
  <c r="G81" i="1" l="1"/>
  <c r="F79" i="1"/>
  <c r="G79" i="1" l="1"/>
  <c r="H81" i="1"/>
  <c r="H79" i="1" l="1"/>
  <c r="I81" i="1"/>
  <c r="B78" i="1" l="1"/>
  <c r="I79" i="1"/>
  <c r="C85" i="1"/>
  <c r="B79" i="1"/>
  <c r="D85" i="1" l="1"/>
  <c r="C83" i="1"/>
  <c r="E85" i="1" l="1"/>
  <c r="D83" i="1"/>
  <c r="F85" i="1" l="1"/>
  <c r="E83" i="1"/>
  <c r="G85" i="1" l="1"/>
  <c r="F83" i="1"/>
  <c r="H85" i="1" l="1"/>
  <c r="G83" i="1"/>
  <c r="I85" i="1" l="1"/>
  <c r="H83" i="1"/>
  <c r="C89" i="1" l="1"/>
  <c r="I83" i="1"/>
  <c r="B83" i="1"/>
  <c r="D89" i="1" l="1"/>
  <c r="C87" i="1"/>
  <c r="E89" i="1" l="1"/>
  <c r="D87" i="1"/>
  <c r="F89" i="1" l="1"/>
  <c r="E87" i="1"/>
  <c r="G89" i="1" l="1"/>
  <c r="F87" i="1"/>
  <c r="G87" i="1" l="1"/>
  <c r="H89" i="1"/>
  <c r="H87" i="1" l="1"/>
  <c r="I89" i="1"/>
  <c r="C93" i="1" l="1"/>
  <c r="I87" i="1"/>
  <c r="B87" i="1"/>
  <c r="D93" i="1" l="1"/>
  <c r="C91" i="1"/>
  <c r="E93" i="1" l="1"/>
  <c r="D91" i="1"/>
  <c r="F93" i="1" l="1"/>
  <c r="E91" i="1"/>
  <c r="G93" i="1" l="1"/>
  <c r="F91" i="1"/>
  <c r="H93" i="1" l="1"/>
  <c r="G91" i="1"/>
  <c r="I93" i="1" l="1"/>
  <c r="H91" i="1"/>
  <c r="C98" i="1" l="1"/>
  <c r="I91" i="1"/>
  <c r="B91" i="1"/>
  <c r="D98" i="1" l="1"/>
  <c r="C96" i="1"/>
  <c r="E98" i="1" l="1"/>
  <c r="D96" i="1"/>
  <c r="F98" i="1" l="1"/>
  <c r="E96" i="1"/>
  <c r="G98" i="1" l="1"/>
  <c r="F96" i="1"/>
  <c r="H98" i="1" l="1"/>
  <c r="G96" i="1"/>
  <c r="I98" i="1" l="1"/>
  <c r="H96" i="1"/>
  <c r="B95" i="1" l="1"/>
  <c r="I96" i="1"/>
  <c r="C102" i="1"/>
  <c r="B96" i="1"/>
  <c r="D102" i="1" l="1"/>
  <c r="C100" i="1"/>
  <c r="E102" i="1" l="1"/>
  <c r="D100" i="1"/>
  <c r="F102" i="1" l="1"/>
  <c r="E100" i="1"/>
  <c r="G102" i="1" l="1"/>
  <c r="F100" i="1"/>
  <c r="H102" i="1" l="1"/>
  <c r="G100" i="1"/>
  <c r="I102" i="1" l="1"/>
  <c r="H100" i="1"/>
  <c r="C106" i="1" l="1"/>
  <c r="I100" i="1"/>
  <c r="B100" i="1"/>
  <c r="D106" i="1" l="1"/>
  <c r="C104" i="1"/>
  <c r="E106" i="1" l="1"/>
  <c r="D104" i="1"/>
  <c r="F106" i="1" l="1"/>
  <c r="E104" i="1"/>
  <c r="G106" i="1" l="1"/>
  <c r="F104" i="1"/>
  <c r="H106" i="1" l="1"/>
  <c r="G104" i="1"/>
  <c r="I106" i="1" l="1"/>
  <c r="B104" i="1" s="1"/>
  <c r="H104" i="1"/>
  <c r="C110" i="1" l="1"/>
  <c r="I104" i="1"/>
  <c r="D110" i="1" l="1"/>
  <c r="C108" i="1"/>
  <c r="E110" i="1" l="1"/>
  <c r="D108" i="1"/>
  <c r="F110" i="1" l="1"/>
  <c r="E108" i="1"/>
  <c r="G110" i="1" l="1"/>
  <c r="F108" i="1"/>
  <c r="H110" i="1" l="1"/>
  <c r="G108" i="1"/>
  <c r="H108" i="1" l="1"/>
  <c r="I110" i="1"/>
  <c r="B108" i="1" s="1"/>
  <c r="I108" i="1" l="1"/>
  <c r="C114" i="1"/>
  <c r="D114" i="1" l="1"/>
  <c r="C112" i="1"/>
  <c r="E114" i="1" l="1"/>
  <c r="D112" i="1"/>
  <c r="F114" i="1" l="1"/>
  <c r="E112" i="1"/>
  <c r="G114" i="1" l="1"/>
  <c r="F112" i="1"/>
  <c r="H114" i="1" l="1"/>
  <c r="G112" i="1"/>
  <c r="H112" i="1" l="1"/>
  <c r="I114" i="1"/>
  <c r="B112" i="1" s="1"/>
  <c r="I112" i="1" l="1"/>
  <c r="C119" i="1"/>
  <c r="D119" i="1" l="1"/>
  <c r="C117" i="1"/>
  <c r="E119" i="1" l="1"/>
  <c r="D117" i="1"/>
  <c r="F119" i="1" l="1"/>
  <c r="E117" i="1"/>
  <c r="G119" i="1" l="1"/>
  <c r="F117" i="1"/>
  <c r="H119" i="1" l="1"/>
  <c r="G117" i="1"/>
  <c r="H117" i="1" l="1"/>
  <c r="I119" i="1"/>
  <c r="B117" i="1" l="1"/>
  <c r="B116" i="1"/>
  <c r="C123" i="1"/>
  <c r="I117" i="1"/>
  <c r="D123" i="1" l="1"/>
  <c r="C121" i="1"/>
  <c r="E123" i="1" l="1"/>
  <c r="D121" i="1"/>
  <c r="F123" i="1" l="1"/>
  <c r="E121" i="1"/>
  <c r="G123" i="1" l="1"/>
  <c r="F121" i="1"/>
  <c r="H123" i="1" l="1"/>
  <c r="G121" i="1"/>
  <c r="I123" i="1" l="1"/>
  <c r="B121" i="1" s="1"/>
  <c r="H121" i="1"/>
  <c r="C127" i="1" l="1"/>
  <c r="I121" i="1"/>
  <c r="D127" i="1" l="1"/>
  <c r="C125" i="1"/>
  <c r="E127" i="1" l="1"/>
  <c r="D125" i="1"/>
  <c r="F127" i="1" l="1"/>
  <c r="E125" i="1"/>
  <c r="G127" i="1" l="1"/>
  <c r="F125" i="1"/>
  <c r="H127" i="1" l="1"/>
  <c r="G125" i="1"/>
  <c r="H125" i="1" l="1"/>
  <c r="I127" i="1"/>
  <c r="B125" i="1" s="1"/>
  <c r="C131" i="1" l="1"/>
  <c r="I125" i="1"/>
  <c r="C129" i="1" l="1"/>
  <c r="D131" i="1"/>
  <c r="E131" i="1" l="1"/>
  <c r="D129" i="1"/>
  <c r="F131" i="1" l="1"/>
  <c r="E129" i="1"/>
  <c r="G131" i="1" l="1"/>
  <c r="F129" i="1"/>
  <c r="H131" i="1" l="1"/>
  <c r="G129" i="1"/>
  <c r="H129" i="1" l="1"/>
  <c r="I131" i="1"/>
  <c r="B129" i="1" s="1"/>
  <c r="C136" i="1" l="1"/>
  <c r="I129" i="1"/>
  <c r="C134" i="1" l="1"/>
  <c r="D136" i="1"/>
  <c r="E136" i="1" l="1"/>
  <c r="D134" i="1"/>
  <c r="F136" i="1" l="1"/>
  <c r="E134" i="1"/>
  <c r="G136" i="1" l="1"/>
  <c r="F134" i="1"/>
  <c r="H136" i="1" l="1"/>
  <c r="G134" i="1"/>
  <c r="H134" i="1" l="1"/>
  <c r="I136" i="1"/>
  <c r="B134" i="1" l="1"/>
  <c r="B133" i="1"/>
  <c r="C140" i="1"/>
  <c r="I134" i="1"/>
  <c r="C138" i="1" l="1"/>
  <c r="D140" i="1"/>
  <c r="E140" i="1" l="1"/>
  <c r="D138" i="1"/>
  <c r="F140" i="1" l="1"/>
  <c r="E138" i="1"/>
  <c r="G140" i="1" l="1"/>
  <c r="F138" i="1"/>
  <c r="H140" i="1" l="1"/>
  <c r="G138" i="1"/>
  <c r="I140" i="1" l="1"/>
  <c r="B138" i="1" s="1"/>
  <c r="H138" i="1"/>
  <c r="C144" i="1" l="1"/>
  <c r="I138" i="1"/>
  <c r="D144" i="1" l="1"/>
  <c r="C142" i="1"/>
  <c r="E144" i="1" l="1"/>
  <c r="D142" i="1"/>
  <c r="F144" i="1" l="1"/>
  <c r="E142" i="1"/>
  <c r="G144" i="1" l="1"/>
  <c r="F142" i="1"/>
  <c r="H144" i="1" l="1"/>
  <c r="G142" i="1"/>
  <c r="H142" i="1" l="1"/>
  <c r="I144" i="1"/>
  <c r="B142" i="1" s="1"/>
  <c r="C148" i="1" l="1"/>
  <c r="I142" i="1"/>
  <c r="D148" i="1" l="1"/>
  <c r="C146" i="1"/>
  <c r="D146" i="1" l="1"/>
  <c r="E148" i="1"/>
  <c r="F148" i="1" l="1"/>
  <c r="E146" i="1"/>
  <c r="G148" i="1" l="1"/>
  <c r="F146" i="1"/>
  <c r="H148" i="1" l="1"/>
  <c r="G146" i="1"/>
  <c r="H146" i="1" l="1"/>
  <c r="I148" i="1"/>
  <c r="B146" i="1" s="1"/>
  <c r="C152" i="1" l="1"/>
  <c r="I146" i="1"/>
  <c r="D152" i="1" l="1"/>
  <c r="C150" i="1"/>
  <c r="D150" i="1" l="1"/>
  <c r="E152" i="1"/>
  <c r="F152" i="1" l="1"/>
  <c r="E150" i="1"/>
  <c r="G152" i="1" l="1"/>
  <c r="F150" i="1"/>
  <c r="H152" i="1" l="1"/>
  <c r="G150" i="1"/>
  <c r="H150" i="1" l="1"/>
  <c r="I152" i="1"/>
  <c r="B150" i="1" s="1"/>
  <c r="C157" i="1" l="1"/>
  <c r="I150" i="1"/>
  <c r="D157" i="1" l="1"/>
  <c r="C155" i="1"/>
  <c r="D155" i="1" l="1"/>
  <c r="E157" i="1"/>
  <c r="F157" i="1" l="1"/>
  <c r="E155" i="1"/>
  <c r="G157" i="1" l="1"/>
  <c r="F155" i="1"/>
  <c r="H157" i="1" l="1"/>
  <c r="G155" i="1"/>
  <c r="H155" i="1" l="1"/>
  <c r="I157" i="1"/>
  <c r="B155" i="1" s="1"/>
  <c r="C161" i="1" l="1"/>
  <c r="I155" i="1"/>
  <c r="D161" i="1" l="1"/>
  <c r="C159" i="1"/>
  <c r="E161" i="1" l="1"/>
  <c r="D159" i="1"/>
  <c r="E159" i="1" l="1"/>
  <c r="F161" i="1"/>
  <c r="G161" i="1" l="1"/>
  <c r="F159" i="1"/>
  <c r="H161" i="1" l="1"/>
  <c r="G159" i="1"/>
  <c r="H159" i="1" l="1"/>
  <c r="I161" i="1"/>
  <c r="B159" i="1" l="1"/>
  <c r="B154" i="1"/>
  <c r="C165" i="1"/>
  <c r="I159" i="1"/>
  <c r="D165" i="1" l="1"/>
  <c r="C163" i="1"/>
  <c r="E165" i="1" l="1"/>
  <c r="D163" i="1"/>
  <c r="E163" i="1" l="1"/>
  <c r="F165" i="1"/>
  <c r="G165" i="1" l="1"/>
  <c r="F163" i="1"/>
  <c r="H165" i="1" l="1"/>
  <c r="G163" i="1"/>
  <c r="I165" i="1" l="1"/>
  <c r="B163" i="1" s="1"/>
  <c r="H163" i="1"/>
  <c r="C169" i="1" l="1"/>
  <c r="I163" i="1"/>
  <c r="D169" i="1" l="1"/>
  <c r="C167" i="1"/>
  <c r="E169" i="1" l="1"/>
  <c r="D167" i="1"/>
  <c r="F169" i="1" l="1"/>
  <c r="E167" i="1"/>
  <c r="G169" i="1" l="1"/>
  <c r="F167" i="1"/>
  <c r="H169" i="1" l="1"/>
  <c r="G167" i="1"/>
  <c r="H167" i="1" l="1"/>
  <c r="I169" i="1"/>
  <c r="B167" i="1" s="1"/>
  <c r="C173" i="1" l="1"/>
  <c r="I167" i="1"/>
  <c r="D173" i="1" l="1"/>
  <c r="C171" i="1"/>
  <c r="E173" i="1" l="1"/>
  <c r="D171" i="1"/>
  <c r="E171" i="1" l="1"/>
  <c r="F173" i="1"/>
  <c r="G173" i="1" l="1"/>
  <c r="F171" i="1"/>
  <c r="H173" i="1" l="1"/>
  <c r="G171" i="1"/>
  <c r="H171" i="1" l="1"/>
  <c r="I173" i="1"/>
  <c r="B171" i="1" s="1"/>
  <c r="I171" i="1" l="1"/>
</calcChain>
</file>

<file path=xl/sharedStrings.xml><?xml version="1.0" encoding="utf-8"?>
<sst xmlns="http://schemas.openxmlformats.org/spreadsheetml/2006/main" count="11" uniqueCount="10">
  <si>
    <t>Calendario de embarazo</t>
  </si>
  <si>
    <t>Náuseas matinales</t>
  </si>
  <si>
    <t>Robert</t>
  </si>
  <si>
    <t>Fecha aproximada para salir de cuentas</t>
  </si>
  <si>
    <t>Nombre del bebé</t>
  </si>
  <si>
    <t>Doctor a las 10h</t>
  </si>
  <si>
    <t xml:space="preserve"> </t>
  </si>
  <si>
    <t>Tiempo pasado aproximado</t>
  </si>
  <si>
    <t>Fecha de concepción</t>
  </si>
  <si>
    <t>Tiempo restante aproximado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</si>
</sst>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yy;@"/>
    <numFmt numFmtId="165" formatCode="[$-C0A]d\-mmm;@"/>
    <numFmt numFmtId="166" formatCode="[$-C0A]d\ &quot;de&quot;\ mmmm\ &quot;de&quot;\ yyyy;@"/>
  </numFmts>
  <fonts count="15" x14ac:knownFonts="1">
    <font>
      <sz val="9"/>
      <color theme="2" tint="-0.749961851863155"/>
      <name val="Calibri"/>
      <family val="2"/>
      <scheme val="minor"/>
    </font>
    <font>
      <sz val="30"/>
      <color theme="4"/>
      <name val="Century"/>
      <family val="2"/>
      <scheme val="major"/>
    </font>
    <font>
      <sz val="10"/>
      <color theme="4"/>
      <name val="Calibri"/>
      <family val="2"/>
      <scheme val="minor"/>
    </font>
    <font>
      <sz val="12"/>
      <color theme="4"/>
      <name val="Century"/>
      <family val="1"/>
      <scheme val="major"/>
    </font>
    <font>
      <b/>
      <sz val="9"/>
      <color theme="4"/>
      <name val="Calibri"/>
      <family val="2"/>
      <scheme val="minor"/>
    </font>
    <font>
      <sz val="10"/>
      <color theme="5"/>
      <name val="Calibri"/>
      <family val="2"/>
      <scheme val="minor"/>
    </font>
    <font>
      <i/>
      <sz val="9"/>
      <color theme="2" tint="-0.249977111117893"/>
      <name val="Calibri"/>
      <family val="2"/>
      <scheme val="minor"/>
    </font>
    <font>
      <sz val="11"/>
      <color theme="0"/>
      <name val="Century"/>
      <family val="1"/>
      <scheme val="major"/>
    </font>
    <font>
      <sz val="9"/>
      <color theme="2" tint="-0.499984740745262"/>
      <name val="Century"/>
      <family val="1"/>
      <scheme val="major"/>
    </font>
    <font>
      <sz val="9"/>
      <color theme="2" tint="-0.749961851863155"/>
      <name val="Century"/>
      <family val="1"/>
      <scheme val="major"/>
    </font>
    <font>
      <sz val="9"/>
      <color theme="2" tint="-0.249977111117893"/>
      <name val="Century"/>
      <family val="1"/>
      <scheme val="major"/>
    </font>
    <font>
      <i/>
      <sz val="8"/>
      <color theme="5"/>
      <name val="Century"/>
      <family val="1"/>
      <scheme val="major"/>
    </font>
    <font>
      <i/>
      <sz val="9"/>
      <color theme="5"/>
      <name val="Century"/>
      <family val="1"/>
      <scheme val="major"/>
    </font>
    <font>
      <b/>
      <sz val="9"/>
      <color theme="2" tint="-0.749961851863155"/>
      <name val="Calibri"/>
      <family val="2"/>
      <scheme val="minor"/>
    </font>
    <font>
      <sz val="10"/>
      <color theme="2" tint="-0.499984740745262"/>
      <name val="Century"/>
      <family val="1"/>
      <scheme val="major"/>
    </font>
  </fonts>
  <fills count="8">
    <fill>
      <patternFill patternType="none"/>
    </fill>
    <fill>
      <patternFill patternType="gray125"/>
    </fill>
    <fill>
      <patternFill patternType="solid">
        <fgColor theme="5"/>
        <bgColor indexed="64"/>
      </patternFill>
    </fill>
    <fill>
      <patternFill patternType="solid">
        <fgColor theme="2"/>
        <bgColor indexed="64"/>
      </patternFill>
    </fill>
    <fill>
      <patternFill patternType="solid">
        <fgColor theme="2" tint="-9.9978637043366805E-2"/>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s>
  <borders count="5">
    <border>
      <left/>
      <right/>
      <top/>
      <bottom/>
      <diagonal/>
    </border>
    <border>
      <left/>
      <right style="thick">
        <color theme="0"/>
      </right>
      <top/>
      <bottom/>
      <diagonal/>
    </border>
    <border>
      <left style="thick">
        <color theme="0"/>
      </left>
      <right style="thick">
        <color theme="0"/>
      </right>
      <top/>
      <bottom/>
      <diagonal/>
    </border>
    <border>
      <left style="medium">
        <color theme="2" tint="-0.24994659260841701"/>
      </left>
      <right/>
      <top/>
      <bottom/>
      <diagonal/>
    </border>
    <border>
      <left style="medium">
        <color theme="2" tint="-0.24994659260841701"/>
      </left>
      <right style="medium">
        <color theme="2" tint="-0.24994659260841701"/>
      </right>
      <top/>
      <bottom/>
      <diagonal/>
    </border>
  </borders>
  <cellStyleXfs count="6">
    <xf numFmtId="0" fontId="0" fillId="0" borderId="0">
      <alignment vertical="center"/>
    </xf>
    <xf numFmtId="0" fontId="1" fillId="0" borderId="0" applyNumberFormat="0" applyFill="0" applyBorder="0" applyAlignment="0" applyProtection="0"/>
    <xf numFmtId="0" fontId="5" fillId="0" borderId="0" applyNumberFormat="0" applyFill="0" applyBorder="0" applyAlignment="0" applyProtection="0"/>
    <xf numFmtId="0" fontId="14"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48">
    <xf numFmtId="0" fontId="0" fillId="0" borderId="0" xfId="0">
      <alignment vertical="center"/>
    </xf>
    <xf numFmtId="0" fontId="0" fillId="0" borderId="0" xfId="0" applyFont="1" applyBorder="1">
      <alignment vertical="center"/>
    </xf>
    <xf numFmtId="0" fontId="0" fillId="0" borderId="0" xfId="0" applyFont="1">
      <alignment vertical="center"/>
    </xf>
    <xf numFmtId="0" fontId="0" fillId="0" borderId="0" xfId="0" applyFont="1" applyAlignment="1">
      <alignment vertical="top"/>
    </xf>
    <xf numFmtId="0" fontId="0" fillId="0" borderId="0" xfId="0" applyFont="1" applyAlignment="1">
      <alignment horizontal="center"/>
    </xf>
    <xf numFmtId="0" fontId="0" fillId="0" borderId="0" xfId="0" applyFont="1" applyFill="1" applyAlignment="1">
      <alignment horizontal="center"/>
    </xf>
    <xf numFmtId="0" fontId="3" fillId="0" borderId="0" xfId="5" applyFill="1" applyBorder="1" applyAlignment="1">
      <alignment horizontal="left" vertical="center"/>
    </xf>
    <xf numFmtId="0" fontId="0" fillId="0" borderId="0" xfId="0" applyFont="1" applyBorder="1" applyAlignment="1">
      <alignment vertical="center"/>
    </xf>
    <xf numFmtId="0" fontId="3" fillId="0" borderId="0" xfId="5" applyBorder="1" applyAlignment="1">
      <alignment horizontal="right" vertical="center"/>
    </xf>
    <xf numFmtId="0" fontId="4" fillId="3" borderId="1"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0" borderId="3" xfId="2" applyBorder="1" applyAlignment="1">
      <alignment horizontal="left" vertical="center" indent="1"/>
    </xf>
    <xf numFmtId="0" fontId="14" fillId="0" borderId="3" xfId="3" applyBorder="1" applyAlignment="1">
      <alignment horizontal="left" vertical="top" indent="1"/>
    </xf>
    <xf numFmtId="164" fontId="14" fillId="0" borderId="0" xfId="3" applyNumberFormat="1" applyBorder="1" applyAlignment="1">
      <alignment horizontal="left" vertical="top" indent="1"/>
    </xf>
    <xf numFmtId="0" fontId="14" fillId="0" borderId="0" xfId="3" applyNumberFormat="1" applyBorder="1" applyAlignment="1">
      <alignment horizontal="left" vertical="top" indent="1"/>
    </xf>
    <xf numFmtId="0" fontId="5" fillId="0" borderId="4" xfId="2" applyBorder="1" applyAlignment="1">
      <alignment horizontal="left" indent="1"/>
    </xf>
    <xf numFmtId="0" fontId="5" fillId="0" borderId="3" xfId="2" applyBorder="1" applyAlignment="1">
      <alignment horizontal="left" indent="1"/>
    </xf>
    <xf numFmtId="0" fontId="14" fillId="0" borderId="3" xfId="3" applyNumberFormat="1" applyBorder="1" applyAlignment="1">
      <alignment horizontal="left" vertical="top" indent="1"/>
    </xf>
    <xf numFmtId="0" fontId="14" fillId="0" borderId="0" xfId="3" applyBorder="1" applyAlignment="1">
      <alignment horizontal="left" vertical="top" indent="1"/>
    </xf>
    <xf numFmtId="0" fontId="1" fillId="0" borderId="0" xfId="1" applyAlignment="1">
      <alignment horizontal="left"/>
    </xf>
    <xf numFmtId="0" fontId="0" fillId="0" borderId="0" xfId="0" applyAlignment="1">
      <alignment horizontal="left" vertical="center"/>
    </xf>
    <xf numFmtId="0" fontId="7" fillId="2" borderId="0"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9" fillId="2" borderId="0" xfId="0" applyFont="1" applyFill="1" applyBorder="1">
      <alignment vertical="center"/>
    </xf>
    <xf numFmtId="0" fontId="9" fillId="2" borderId="0" xfId="0" applyFont="1" applyFill="1" applyBorder="1" applyAlignment="1">
      <alignment horizontal="center"/>
    </xf>
    <xf numFmtId="0" fontId="9" fillId="0" borderId="0" xfId="0" applyFont="1" applyBorder="1">
      <alignment vertical="center"/>
    </xf>
    <xf numFmtId="0" fontId="9" fillId="0" borderId="0" xfId="0" applyFont="1">
      <alignment vertical="center"/>
    </xf>
    <xf numFmtId="0" fontId="9" fillId="0" borderId="0" xfId="0" applyFont="1" applyBorder="1" applyAlignment="1">
      <alignment vertical="center"/>
    </xf>
    <xf numFmtId="0" fontId="7" fillId="5" borderId="0" xfId="0" applyFont="1" applyFill="1" applyBorder="1" applyAlignment="1">
      <alignment horizontal="center" vertical="center"/>
    </xf>
    <xf numFmtId="0" fontId="9" fillId="5" borderId="0" xfId="0" applyFont="1" applyFill="1" applyBorder="1">
      <alignment vertical="center"/>
    </xf>
    <xf numFmtId="0" fontId="9" fillId="5" borderId="0" xfId="0" applyFont="1" applyFill="1" applyBorder="1" applyAlignment="1">
      <alignment horizontal="center"/>
    </xf>
    <xf numFmtId="0" fontId="11" fillId="0" borderId="0" xfId="0" applyFont="1" applyBorder="1" applyAlignment="1">
      <alignment vertical="center"/>
    </xf>
    <xf numFmtId="0" fontId="7" fillId="6" borderId="0" xfId="0" applyFont="1" applyFill="1" applyBorder="1" applyAlignment="1">
      <alignment horizontal="center" vertical="center"/>
    </xf>
    <xf numFmtId="0" fontId="9" fillId="6" borderId="0" xfId="0" applyFont="1" applyFill="1" applyBorder="1">
      <alignment vertical="center"/>
    </xf>
    <xf numFmtId="0" fontId="9" fillId="6" borderId="0" xfId="0" applyFont="1" applyFill="1" applyBorder="1" applyAlignment="1">
      <alignment horizontal="center"/>
    </xf>
    <xf numFmtId="0" fontId="7" fillId="7" borderId="0" xfId="0" applyFont="1" applyFill="1" applyBorder="1" applyAlignment="1">
      <alignment horizontal="center" vertical="center"/>
    </xf>
    <xf numFmtId="0" fontId="9" fillId="7" borderId="0" xfId="0" applyFont="1" applyFill="1" applyBorder="1">
      <alignment vertical="center"/>
    </xf>
    <xf numFmtId="0" fontId="9" fillId="7" borderId="0" xfId="0" applyFont="1" applyFill="1" applyBorder="1" applyAlignment="1">
      <alignment horizontal="center"/>
    </xf>
    <xf numFmtId="0" fontId="3" fillId="0" borderId="0" xfId="5" applyFont="1" applyFill="1" applyBorder="1" applyAlignment="1">
      <alignment horizontal="left" vertical="center"/>
    </xf>
    <xf numFmtId="0" fontId="3" fillId="0" borderId="0" xfId="5" applyFont="1" applyBorder="1" applyAlignment="1">
      <alignment horizontal="right" vertical="center"/>
    </xf>
    <xf numFmtId="0" fontId="12" fillId="0" borderId="0" xfId="0" applyFont="1" applyBorder="1" applyAlignment="1">
      <alignment horizontal="right" vertical="center"/>
    </xf>
    <xf numFmtId="0" fontId="13" fillId="3" borderId="0" xfId="0" applyFont="1" applyFill="1">
      <alignment vertical="center"/>
    </xf>
    <xf numFmtId="0" fontId="1" fillId="0" borderId="0" xfId="1" applyAlignment="1">
      <alignment vertical="center"/>
    </xf>
    <xf numFmtId="0" fontId="6" fillId="0" borderId="0" xfId="0" applyFont="1" applyAlignment="1">
      <alignment horizontal="right"/>
    </xf>
    <xf numFmtId="165" fontId="10" fillId="3" borderId="1" xfId="0" applyNumberFormat="1" applyFont="1" applyFill="1" applyBorder="1" applyAlignment="1">
      <alignment horizontal="center" vertical="center"/>
    </xf>
    <xf numFmtId="165" fontId="10" fillId="3" borderId="2" xfId="0" applyNumberFormat="1" applyFont="1" applyFill="1" applyBorder="1" applyAlignment="1">
      <alignment horizontal="center" vertical="center"/>
    </xf>
    <xf numFmtId="166" fontId="14" fillId="0" borderId="4" xfId="3" applyNumberFormat="1" applyBorder="1" applyAlignment="1">
      <alignment horizontal="left" vertical="top" indent="1"/>
    </xf>
  </cellXfs>
  <cellStyles count="6">
    <cellStyle name="Encabezado 1" xfId="2" builtinId="16" customBuiltin="1"/>
    <cellStyle name="Encabezado 4" xfId="5" builtinId="19" customBuiltin="1"/>
    <cellStyle name="Normal" xfId="0" builtinId="0" customBuiltin="1"/>
    <cellStyle name="Título" xfId="1" builtinId="15" customBuiltin="1"/>
    <cellStyle name="Título 2" xfId="3" builtinId="17" customBuiltin="1"/>
    <cellStyle name="Título 3" xfId="4" builtinId="18" customBuiltin="1"/>
  </cellStyles>
  <dxfs count="1">
    <dxf>
      <fill>
        <patternFill>
          <bgColor them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138545</xdr:colOff>
      <xdr:row>1</xdr:row>
      <xdr:rowOff>43293</xdr:rowOff>
    </xdr:from>
    <xdr:to>
      <xdr:col>5</xdr:col>
      <xdr:colOff>1218545</xdr:colOff>
      <xdr:row>4</xdr:row>
      <xdr:rowOff>191793</xdr:rowOff>
    </xdr:to>
    <xdr:sp macro="" textlink="">
      <xdr:nvSpPr>
        <xdr:cNvPr id="2" name="Sugerencia de plantilla" descr="Haga clic en la celda G3 para cambiar el método de cálculo de la fecha de parto." title="Sugerencia de plantilla">
          <a:extLst>
            <a:ext uri="{FF2B5EF4-FFF2-40B4-BE49-F238E27FC236}">
              <a16:creationId xmlns:a16="http://schemas.microsoft.com/office/drawing/2014/main" id="{00000000-0008-0000-0000-000002000000}"/>
            </a:ext>
          </a:extLst>
        </xdr:cNvPr>
        <xdr:cNvSpPr/>
      </xdr:nvSpPr>
      <xdr:spPr>
        <a:xfrm>
          <a:off x="4849090" y="666748"/>
          <a:ext cx="1080000" cy="720000"/>
        </a:xfrm>
        <a:prstGeom prst="wedgeRectCallout">
          <a:avLst>
            <a:gd name="adj1" fmla="val 63547"/>
            <a:gd name="adj2" fmla="val -17307"/>
          </a:avLst>
        </a:prstGeom>
        <a:solidFill>
          <a:schemeClr val="bg2">
            <a:lumMod val="90000"/>
          </a:schemeClr>
        </a:solidFill>
        <a:ln w="9525">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horz" lIns="91440" tIns="45720" rIns="91440" bIns="45720" rtlCol="0" anchor="ctr"/>
        <a:lstStyle/>
        <a:p>
          <a:pPr algn="l"/>
          <a:r>
            <a:rPr lang="es-ES" altLang="zh-CN" sz="800" b="1" spc="20" baseline="0">
              <a:solidFill>
                <a:schemeClr val="bg2">
                  <a:lumMod val="25000"/>
                </a:schemeClr>
              </a:solidFill>
              <a:latin typeface="+mn-lt"/>
              <a:ea typeface="+mn-ea"/>
              <a:cs typeface="+mn-cs"/>
            </a:rPr>
            <a:t>Sugerencia</a:t>
          </a:r>
          <a:r>
            <a:rPr lang="en-US" sz="800" b="1" spc="20" baseline="0">
              <a:solidFill>
                <a:schemeClr val="bg2">
                  <a:lumMod val="25000"/>
                </a:schemeClr>
              </a:solidFill>
              <a:latin typeface="+mn-lt"/>
              <a:ea typeface="+mn-ea"/>
              <a:cs typeface="+mn-cs"/>
            </a:rPr>
            <a:t>: </a:t>
          </a:r>
          <a:r>
            <a:rPr lang="es-ES" altLang="zh-CN" sz="800" spc="20" baseline="0">
              <a:solidFill>
                <a:schemeClr val="bg2">
                  <a:lumMod val="25000"/>
                </a:schemeClr>
              </a:solidFill>
              <a:latin typeface="+mn-lt"/>
              <a:ea typeface="+mn-ea"/>
              <a:cs typeface="+mn-cs"/>
            </a:rPr>
            <a:t>Haga clic en la celda G3 para cambiar el método de cálculo de la fecha de parto.</a:t>
          </a:r>
          <a:endParaRPr lang="en-US" sz="800" spc="20" baseline="0">
            <a:solidFill>
              <a:schemeClr val="bg2">
                <a:lumMod val="25000"/>
              </a:schemeClr>
            </a:solidFill>
            <a:latin typeface="+mn-lt"/>
            <a:ea typeface="+mn-ea"/>
            <a:cs typeface="+mn-cs"/>
          </a:endParaRPr>
        </a:p>
      </xdr:txBody>
    </xdr:sp>
    <xdr:clientData fPrintsWithSheet="0"/>
  </xdr:twoCellAnchor>
</xdr:wsDr>
</file>

<file path=xl/theme/theme1.xml><?xml version="1.0" encoding="utf-8"?>
<a:theme xmlns:a="http://schemas.openxmlformats.org/drawingml/2006/main" name="Office Theme">
  <a:themeElements>
    <a:clrScheme name="Infant Schedule">
      <a:dk1>
        <a:sysClr val="windowText" lastClr="000000"/>
      </a:dk1>
      <a:lt1>
        <a:sysClr val="window" lastClr="FFFFFF"/>
      </a:lt1>
      <a:dk2>
        <a:srgbClr val="5A5242"/>
      </a:dk2>
      <a:lt2>
        <a:srgbClr val="F8F7F5"/>
      </a:lt2>
      <a:accent1>
        <a:srgbClr val="FF6633"/>
      </a:accent1>
      <a:accent2>
        <a:srgbClr val="52BFC5"/>
      </a:accent2>
      <a:accent3>
        <a:srgbClr val="9C7EAC"/>
      </a:accent3>
      <a:accent4>
        <a:srgbClr val="ADBB41"/>
      </a:accent4>
      <a:accent5>
        <a:srgbClr val="FF9933"/>
      </a:accent5>
      <a:accent6>
        <a:srgbClr val="FA9AAD"/>
      </a:accent6>
      <a:hlink>
        <a:srgbClr val="5CBFC5"/>
      </a:hlink>
      <a:folHlink>
        <a:srgbClr val="9C7EAC"/>
      </a:folHlink>
    </a:clrScheme>
    <a:fontScheme name="Infant Feeding">
      <a:majorFont>
        <a:latin typeface="Century"/>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pageSetUpPr autoPageBreaks="0" fitToPage="1"/>
  </sheetPr>
  <dimension ref="A1:J173"/>
  <sheetViews>
    <sheetView showGridLines="0" tabSelected="1" zoomScale="110" zoomScaleNormal="110" workbookViewId="0">
      <pane ySplit="5" topLeftCell="A6" activePane="bottomLeft" state="frozen"/>
      <selection pane="bottomLeft"/>
    </sheetView>
  </sheetViews>
  <sheetFormatPr baseColWidth="10" defaultColWidth="9.33203125" defaultRowHeight="12" x14ac:dyDescent="0.2"/>
  <cols>
    <col min="1" max="1" width="2.33203125" style="2" customWidth="1"/>
    <col min="2" max="2" width="13.5" style="2" customWidth="1"/>
    <col min="3" max="3" width="24.5" style="2" customWidth="1"/>
    <col min="4" max="6" width="23.1640625" style="2" customWidth="1"/>
    <col min="7" max="7" width="31.33203125" style="2" customWidth="1"/>
    <col min="8" max="8" width="24.1640625" style="2" customWidth="1"/>
    <col min="9" max="9" width="23.1640625" style="2" customWidth="1"/>
    <col min="10" max="10" width="2.1640625" style="2" customWidth="1"/>
    <col min="11" max="16384" width="9.33203125" style="2"/>
  </cols>
  <sheetData>
    <row r="1" spans="1:10" ht="48.75" customHeight="1" x14ac:dyDescent="0.5">
      <c r="A1" s="19" t="s">
        <v>0</v>
      </c>
      <c r="B1" s="43"/>
      <c r="G1" s="1"/>
      <c r="I1" s="44" t="str">
        <f>IF(Método=TRUE,"Al calcular la fecha de parto aproximada según la fecha del último período, la concepción real tiene lugar alrededor de la tercera semana.","Al calcular la fecha de parto aproximada según la fecha de concepción, la gestación real es de aproximadamente 266 días.")</f>
        <v>Al calcular la fecha de parto aproximada según la fecha de concepción, la gestación real es de aproximadamente 266 días.</v>
      </c>
      <c r="J1" s="2" t="s">
        <v>6</v>
      </c>
    </row>
    <row r="2" spans="1:10" x14ac:dyDescent="0.2">
      <c r="J2" s="2" t="s">
        <v>6</v>
      </c>
    </row>
    <row r="3" spans="1:10" ht="16.5" customHeight="1" x14ac:dyDescent="0.2">
      <c r="B3" s="11" t="s">
        <v>7</v>
      </c>
      <c r="D3" s="11" t="s">
        <v>9</v>
      </c>
      <c r="G3" s="15" t="s">
        <v>8</v>
      </c>
      <c r="H3" s="15" t="s">
        <v>3</v>
      </c>
      <c r="I3" s="16" t="s">
        <v>4</v>
      </c>
    </row>
    <row r="4" spans="1:10" s="3" customFormat="1" ht="16.5" customHeight="1" x14ac:dyDescent="0.2">
      <c r="B4" s="12" t="str">
        <f ca="1">CONCATENATE(NúmDeSemanas," semanas, ",DATEDIF(CalcFecha,TODAY(),"d")-(NúmDeSemanas*7),TextoDía," embarazada.")</f>
        <v>8 semanas, 4 Días embarazada.</v>
      </c>
      <c r="D4" s="12" t="str">
        <f ca="1">CONCATENATE(" Solo ",DATEDIF(TODAY(),FechaParto,"yd")," días antes",TextoNombreBebé, " llega.")</f>
        <v xml:space="preserve"> Solo 206 días antes Bebé Robert llega.</v>
      </c>
      <c r="G4" s="47">
        <f ca="1">TODAY()-60</f>
        <v>43884</v>
      </c>
      <c r="H4" s="47">
        <f ca="1">CalcFecha+DíasGestación</f>
        <v>44150</v>
      </c>
      <c r="I4" s="17" t="s">
        <v>2</v>
      </c>
    </row>
    <row r="5" spans="1:10" s="3" customFormat="1" ht="16.5" customHeight="1" x14ac:dyDescent="0.2">
      <c r="D5" s="18"/>
      <c r="H5" s="13"/>
      <c r="I5" s="14"/>
    </row>
    <row r="6" spans="1:10" ht="24.75" customHeight="1" x14ac:dyDescent="0.2">
      <c r="B6" s="6" t="str">
        <f ca="1">CONCATENATE("Trimestre 1, mes ",DATEDIF(CalcFecha,C9,"m")+1)</f>
        <v>Trimestre 1, mes 1</v>
      </c>
      <c r="F6"/>
      <c r="G6" s="20"/>
      <c r="H6" s="7"/>
      <c r="I6" s="8">
        <f ca="1">IF(AñoMultiCál,YEAR(CalcFecha),CONCATENATE(YEAR(CalcFecha),"/",YEAR(FechaParto)))</f>
        <v>2020</v>
      </c>
    </row>
    <row r="7" spans="1:10" s="4" customFormat="1" ht="17.25" customHeight="1" x14ac:dyDescent="0.2">
      <c r="B7" s="21" t="str">
        <f ca="1">CONCATENATE("Semanas ",(DATEDIF(CalcFecha,I9,"d")/7))</f>
        <v>Semanas 1</v>
      </c>
      <c r="C7" s="22" t="str">
        <f t="shared" ref="C7:I7" ca="1" si="0">CONCATENATE("Día ",DATEDIF(CalcFecha,C9,"d"))</f>
        <v>Día 1</v>
      </c>
      <c r="D7" s="22" t="str">
        <f t="shared" ca="1" si="0"/>
        <v>Día 2</v>
      </c>
      <c r="E7" s="22" t="str">
        <f t="shared" ca="1" si="0"/>
        <v>Día 3</v>
      </c>
      <c r="F7" s="22" t="str">
        <f t="shared" ca="1" si="0"/>
        <v>Día 4</v>
      </c>
      <c r="G7" s="22" t="str">
        <f t="shared" ca="1" si="0"/>
        <v>Día 5</v>
      </c>
      <c r="H7" s="22" t="str">
        <f t="shared" ca="1" si="0"/>
        <v>Día 6</v>
      </c>
      <c r="I7" s="22" t="str">
        <f t="shared" ca="1" si="0"/>
        <v>Día 7</v>
      </c>
    </row>
    <row r="8" spans="1:10" ht="57" customHeight="1" x14ac:dyDescent="0.2">
      <c r="B8" s="24"/>
      <c r="C8" s="9"/>
      <c r="D8" s="10"/>
      <c r="E8" s="10"/>
      <c r="F8" s="10"/>
      <c r="G8" s="10"/>
      <c r="H8" s="10"/>
      <c r="I8" s="10"/>
    </row>
    <row r="9" spans="1:10" s="5" customFormat="1" ht="17.25" customHeight="1" x14ac:dyDescent="0.25">
      <c r="B9" s="25"/>
      <c r="C9" s="45">
        <f ca="1">CalcFecha+1</f>
        <v>43885</v>
      </c>
      <c r="D9" s="46">
        <f t="shared" ref="D9:I9" ca="1" si="1">C9+ 1</f>
        <v>43886</v>
      </c>
      <c r="E9" s="46">
        <f t="shared" ca="1" si="1"/>
        <v>43887</v>
      </c>
      <c r="F9" s="46">
        <f t="shared" ca="1" si="1"/>
        <v>43888</v>
      </c>
      <c r="G9" s="46">
        <f t="shared" ca="1" si="1"/>
        <v>43889</v>
      </c>
      <c r="H9" s="46">
        <f t="shared" ca="1" si="1"/>
        <v>43890</v>
      </c>
      <c r="I9" s="46">
        <f t="shared" ca="1" si="1"/>
        <v>43891</v>
      </c>
    </row>
    <row r="10" spans="1:10" ht="17.25" customHeight="1" x14ac:dyDescent="0.2">
      <c r="B10" s="26"/>
      <c r="C10" s="27"/>
      <c r="D10" s="28"/>
      <c r="E10" s="28"/>
      <c r="F10" s="28"/>
      <c r="G10" s="28"/>
      <c r="H10" s="28"/>
      <c r="I10" s="28"/>
    </row>
    <row r="11" spans="1:10" s="4" customFormat="1" ht="17.25" customHeight="1" x14ac:dyDescent="0.2">
      <c r="B11" s="29" t="str">
        <f ca="1">CONCATENATE("Semanas ",(DATEDIF(CalcFecha,I13,"d")/7))</f>
        <v>Semanas 2</v>
      </c>
      <c r="C11" s="22" t="str">
        <f t="shared" ref="C11:I11" ca="1" si="2">CONCATENATE("Día ",DATEDIF(CalcFecha,C13,"d"))</f>
        <v>Día 8</v>
      </c>
      <c r="D11" s="22" t="str">
        <f t="shared" ca="1" si="2"/>
        <v>Día 9</v>
      </c>
      <c r="E11" s="22" t="str">
        <f t="shared" ca="1" si="2"/>
        <v>Día 10</v>
      </c>
      <c r="F11" s="22" t="str">
        <f t="shared" ca="1" si="2"/>
        <v>Día 11</v>
      </c>
      <c r="G11" s="22" t="str">
        <f t="shared" ca="1" si="2"/>
        <v>Día 12</v>
      </c>
      <c r="H11" s="22" t="str">
        <f t="shared" ca="1" si="2"/>
        <v>Día 13</v>
      </c>
      <c r="I11" s="22" t="str">
        <f t="shared" ca="1" si="2"/>
        <v>Día 14</v>
      </c>
    </row>
    <row r="12" spans="1:10" ht="57" customHeight="1" x14ac:dyDescent="0.2">
      <c r="B12" s="30"/>
      <c r="C12" s="9"/>
      <c r="D12" s="10"/>
      <c r="E12" s="10"/>
      <c r="F12" s="42"/>
      <c r="G12" s="10"/>
      <c r="H12" s="10"/>
      <c r="I12" s="10"/>
    </row>
    <row r="13" spans="1:10" s="5" customFormat="1" ht="17.25" customHeight="1" x14ac:dyDescent="0.25">
      <c r="B13" s="31"/>
      <c r="C13" s="45">
        <f ca="1">I9+1</f>
        <v>43892</v>
      </c>
      <c r="D13" s="46">
        <f t="shared" ref="D13" ca="1" si="3">C13+ 1</f>
        <v>43893</v>
      </c>
      <c r="E13" s="46">
        <f t="shared" ref="E13" ca="1" si="4">D13+ 1</f>
        <v>43894</v>
      </c>
      <c r="F13" s="46">
        <f t="shared" ref="F13" ca="1" si="5">E13+ 1</f>
        <v>43895</v>
      </c>
      <c r="G13" s="46">
        <f t="shared" ref="G13" ca="1" si="6">F13+ 1</f>
        <v>43896</v>
      </c>
      <c r="H13" s="46">
        <f t="shared" ref="H13" ca="1" si="7">G13+ 1</f>
        <v>43897</v>
      </c>
      <c r="I13" s="46">
        <f t="shared" ref="I13" ca="1" si="8">H13+ 1</f>
        <v>43898</v>
      </c>
    </row>
    <row r="14" spans="1:10" ht="17.25" customHeight="1" x14ac:dyDescent="0.2">
      <c r="B14" s="32"/>
      <c r="C14" s="32"/>
      <c r="D14" s="32"/>
      <c r="E14" s="32"/>
      <c r="F14" s="32"/>
      <c r="G14" s="32"/>
      <c r="H14" s="32"/>
      <c r="I14" s="32"/>
    </row>
    <row r="15" spans="1:10" s="4" customFormat="1" ht="17.25" customHeight="1" x14ac:dyDescent="0.2">
      <c r="B15" s="33" t="str">
        <f ca="1">CONCATENATE("Semanas ",(DATEDIF(CalcFecha,I17,"d")/7))</f>
        <v>Semanas 3</v>
      </c>
      <c r="C15" s="22" t="str">
        <f t="shared" ref="C15:I15" ca="1" si="9">CONCATENATE("Día ",DATEDIF(CalcFecha,C17,"d"))</f>
        <v>Día 15</v>
      </c>
      <c r="D15" s="22" t="str">
        <f t="shared" ca="1" si="9"/>
        <v>Día 16</v>
      </c>
      <c r="E15" s="22" t="str">
        <f t="shared" ca="1" si="9"/>
        <v>Día 17</v>
      </c>
      <c r="F15" s="22" t="str">
        <f t="shared" ca="1" si="9"/>
        <v>Día 18</v>
      </c>
      <c r="G15" s="22" t="str">
        <f t="shared" ca="1" si="9"/>
        <v>Día 19</v>
      </c>
      <c r="H15" s="22" t="str">
        <f t="shared" ca="1" si="9"/>
        <v>Día 20</v>
      </c>
      <c r="I15" s="22" t="str">
        <f t="shared" ca="1" si="9"/>
        <v>Día 21</v>
      </c>
    </row>
    <row r="16" spans="1:10" ht="57" customHeight="1" x14ac:dyDescent="0.2">
      <c r="B16" s="34"/>
      <c r="C16" s="9"/>
      <c r="D16" s="10"/>
      <c r="E16" s="10" t="s">
        <v>5</v>
      </c>
      <c r="F16" s="10"/>
      <c r="G16" s="10"/>
      <c r="H16" s="10"/>
      <c r="I16" s="10"/>
    </row>
    <row r="17" spans="2:9" s="5" customFormat="1" ht="17.25" customHeight="1" x14ac:dyDescent="0.25">
      <c r="B17" s="35"/>
      <c r="C17" s="45">
        <f ca="1">I13+1</f>
        <v>43899</v>
      </c>
      <c r="D17" s="46">
        <f t="shared" ref="D17" ca="1" si="10">C17+ 1</f>
        <v>43900</v>
      </c>
      <c r="E17" s="46">
        <f t="shared" ref="E17" ca="1" si="11">D17+ 1</f>
        <v>43901</v>
      </c>
      <c r="F17" s="46">
        <f t="shared" ref="F17" ca="1" si="12">E17+ 1</f>
        <v>43902</v>
      </c>
      <c r="G17" s="46">
        <f t="shared" ref="G17" ca="1" si="13">F17+ 1</f>
        <v>43903</v>
      </c>
      <c r="H17" s="46">
        <f t="shared" ref="H17" ca="1" si="14">G17+ 1</f>
        <v>43904</v>
      </c>
      <c r="I17" s="46">
        <f t="shared" ref="I17" ca="1" si="15">H17+ 1</f>
        <v>43905</v>
      </c>
    </row>
    <row r="18" spans="2:9" ht="17.25" customHeight="1" x14ac:dyDescent="0.2">
      <c r="B18" s="27"/>
      <c r="C18" s="27"/>
      <c r="D18" s="27"/>
      <c r="E18" s="27"/>
      <c r="F18" s="27"/>
      <c r="G18" s="27"/>
      <c r="H18" s="27"/>
      <c r="I18" s="27"/>
    </row>
    <row r="19" spans="2:9" s="4" customFormat="1" ht="17.25" customHeight="1" x14ac:dyDescent="0.2">
      <c r="B19" s="36" t="str">
        <f ca="1">CONCATENATE("Semanas ",(DATEDIF(CalcFecha,I21,"d")/7))</f>
        <v>Semanas 4</v>
      </c>
      <c r="C19" s="22" t="str">
        <f t="shared" ref="C19:I19" ca="1" si="16">CONCATENATE("Día ",DATEDIF(CalcFecha,C21,"d"))</f>
        <v>Día 22</v>
      </c>
      <c r="D19" s="22" t="str">
        <f t="shared" ca="1" si="16"/>
        <v>Día 23</v>
      </c>
      <c r="E19" s="22" t="str">
        <f t="shared" ca="1" si="16"/>
        <v>Día 24</v>
      </c>
      <c r="F19" s="22" t="str">
        <f t="shared" ca="1" si="16"/>
        <v>Día 25</v>
      </c>
      <c r="G19" s="22" t="str">
        <f t="shared" ca="1" si="16"/>
        <v>Día 26</v>
      </c>
      <c r="H19" s="22" t="str">
        <f t="shared" ca="1" si="16"/>
        <v>Día 27</v>
      </c>
      <c r="I19" s="22" t="str">
        <f t="shared" ca="1" si="16"/>
        <v>Día 28</v>
      </c>
    </row>
    <row r="20" spans="2:9" ht="57" customHeight="1" x14ac:dyDescent="0.2">
      <c r="B20" s="37"/>
      <c r="C20" s="9"/>
      <c r="D20" s="10"/>
      <c r="E20" s="10"/>
      <c r="F20" s="10" t="s">
        <v>1</v>
      </c>
      <c r="G20" s="10"/>
      <c r="H20" s="10"/>
      <c r="I20" s="10"/>
    </row>
    <row r="21" spans="2:9" s="5" customFormat="1" ht="17.25" customHeight="1" x14ac:dyDescent="0.25">
      <c r="B21" s="38"/>
      <c r="C21" s="45">
        <f ca="1">I17+1</f>
        <v>43906</v>
      </c>
      <c r="D21" s="45">
        <f t="shared" ref="D21:I21" ca="1" si="17">C21+1</f>
        <v>43907</v>
      </c>
      <c r="E21" s="45">
        <f t="shared" ca="1" si="17"/>
        <v>43908</v>
      </c>
      <c r="F21" s="45">
        <f ca="1">E21+1</f>
        <v>43909</v>
      </c>
      <c r="G21" s="45">
        <f t="shared" ca="1" si="17"/>
        <v>43910</v>
      </c>
      <c r="H21" s="45">
        <f t="shared" ca="1" si="17"/>
        <v>43911</v>
      </c>
      <c r="I21" s="45">
        <f t="shared" ca="1" si="17"/>
        <v>43912</v>
      </c>
    </row>
    <row r="22" spans="2:9" ht="17.25" customHeight="1" x14ac:dyDescent="0.2">
      <c r="B22" s="27"/>
      <c r="C22" s="27"/>
      <c r="D22" s="27"/>
      <c r="E22" s="27"/>
      <c r="F22" s="27"/>
      <c r="G22" s="27"/>
      <c r="H22" s="27"/>
      <c r="I22" s="27"/>
    </row>
    <row r="23" spans="2:9" ht="24.75" customHeight="1" x14ac:dyDescent="0.2">
      <c r="B23" s="39" t="str">
        <f ca="1">CONCATENATE("Trimestre 1, mes ",DATEDIF(CalcFecha,I26,"m")+1)</f>
        <v>Trimestre 1, mes 2</v>
      </c>
      <c r="C23" s="27"/>
      <c r="D23" s="28"/>
      <c r="E23" s="28"/>
      <c r="F23" s="28"/>
      <c r="G23" s="28"/>
      <c r="H23" s="28"/>
      <c r="I23" s="40"/>
    </row>
    <row r="24" spans="2:9" s="4" customFormat="1" ht="17.25" customHeight="1" x14ac:dyDescent="0.2">
      <c r="B24" s="21" t="str">
        <f ca="1">CONCATENATE("Semana ",(DATEDIF(CalcFecha,I26,"d")/7))</f>
        <v>Semana 5</v>
      </c>
      <c r="C24" s="22" t="str">
        <f t="shared" ref="C24:I24" ca="1" si="18">CONCATENATE("Día ",DATEDIF(CalcFecha,C26,"d"))</f>
        <v>Día 29</v>
      </c>
      <c r="D24" s="23" t="str">
        <f t="shared" ca="1" si="18"/>
        <v>Día 30</v>
      </c>
      <c r="E24" s="23" t="str">
        <f t="shared" ca="1" si="18"/>
        <v>Día 31</v>
      </c>
      <c r="F24" s="23" t="str">
        <f t="shared" ca="1" si="18"/>
        <v>Día 32</v>
      </c>
      <c r="G24" s="23" t="str">
        <f t="shared" ca="1" si="18"/>
        <v>Día 33</v>
      </c>
      <c r="H24" s="23" t="str">
        <f t="shared" ca="1" si="18"/>
        <v>Día 34</v>
      </c>
      <c r="I24" s="23" t="str">
        <f t="shared" ca="1" si="18"/>
        <v>Día 35</v>
      </c>
    </row>
    <row r="25" spans="2:9" ht="57" customHeight="1" x14ac:dyDescent="0.2">
      <c r="B25" s="24"/>
      <c r="C25" s="9"/>
      <c r="D25" s="10"/>
      <c r="E25" s="10"/>
      <c r="F25" s="10"/>
      <c r="G25" s="10"/>
      <c r="H25" s="10"/>
      <c r="I25" s="10"/>
    </row>
    <row r="26" spans="2:9" s="5" customFormat="1" ht="17.25" customHeight="1" x14ac:dyDescent="0.25">
      <c r="B26" s="25"/>
      <c r="C26" s="45">
        <f ca="1">I21+1</f>
        <v>43913</v>
      </c>
      <c r="D26" s="46">
        <f ca="1">C26+ 1</f>
        <v>43914</v>
      </c>
      <c r="E26" s="46">
        <f t="shared" ref="E26" ca="1" si="19">D26+ 1</f>
        <v>43915</v>
      </c>
      <c r="F26" s="46">
        <f t="shared" ref="F26" ca="1" si="20">E26+ 1</f>
        <v>43916</v>
      </c>
      <c r="G26" s="46">
        <f t="shared" ref="G26" ca="1" si="21">F26+ 1</f>
        <v>43917</v>
      </c>
      <c r="H26" s="46">
        <f t="shared" ref="H26" ca="1" si="22">G26+ 1</f>
        <v>43918</v>
      </c>
      <c r="I26" s="46">
        <f t="shared" ref="I26" ca="1" si="23">H26+ 1</f>
        <v>43919</v>
      </c>
    </row>
    <row r="27" spans="2:9" ht="17.25" customHeight="1" x14ac:dyDescent="0.2">
      <c r="B27" s="26"/>
      <c r="C27" s="27"/>
      <c r="D27" s="28"/>
      <c r="E27" s="28"/>
      <c r="F27" s="28"/>
      <c r="G27" s="28"/>
      <c r="H27" s="28"/>
      <c r="I27" s="28"/>
    </row>
    <row r="28" spans="2:9" s="4" customFormat="1" ht="17.25" customHeight="1" x14ac:dyDescent="0.2">
      <c r="B28" s="29" t="str">
        <f ca="1">CONCATENATE("Semana ",(DATEDIF(CalcFecha,I30,"d")/7))</f>
        <v>Semana 6</v>
      </c>
      <c r="C28" s="22" t="str">
        <f t="shared" ref="C28:I28" ca="1" si="24">CONCATENATE("Día ",DATEDIF(CalcFecha,C30,"d"))</f>
        <v>Día 36</v>
      </c>
      <c r="D28" s="23" t="str">
        <f t="shared" ca="1" si="24"/>
        <v>Día 37</v>
      </c>
      <c r="E28" s="23" t="str">
        <f t="shared" ca="1" si="24"/>
        <v>Día 38</v>
      </c>
      <c r="F28" s="23" t="str">
        <f t="shared" ca="1" si="24"/>
        <v>Día 39</v>
      </c>
      <c r="G28" s="23" t="str">
        <f t="shared" ca="1" si="24"/>
        <v>Día 40</v>
      </c>
      <c r="H28" s="23" t="str">
        <f t="shared" ca="1" si="24"/>
        <v>Día 41</v>
      </c>
      <c r="I28" s="23" t="str">
        <f t="shared" ca="1" si="24"/>
        <v>Día 42</v>
      </c>
    </row>
    <row r="29" spans="2:9" ht="57" customHeight="1" x14ac:dyDescent="0.2">
      <c r="B29" s="30"/>
      <c r="C29" s="9"/>
      <c r="D29" s="10"/>
      <c r="E29" s="10"/>
      <c r="F29" s="10"/>
      <c r="G29" s="10"/>
      <c r="H29" s="10"/>
      <c r="I29" s="10"/>
    </row>
    <row r="30" spans="2:9" s="5" customFormat="1" ht="17.25" customHeight="1" x14ac:dyDescent="0.25">
      <c r="B30" s="31"/>
      <c r="C30" s="45">
        <f ca="1">I26+1</f>
        <v>43920</v>
      </c>
      <c r="D30" s="46">
        <f t="shared" ref="D30" ca="1" si="25">C30+ 1</f>
        <v>43921</v>
      </c>
      <c r="E30" s="46">
        <f t="shared" ref="E30" ca="1" si="26">D30+ 1</f>
        <v>43922</v>
      </c>
      <c r="F30" s="46">
        <f t="shared" ref="F30" ca="1" si="27">E30+ 1</f>
        <v>43923</v>
      </c>
      <c r="G30" s="46">
        <f t="shared" ref="G30" ca="1" si="28">F30+ 1</f>
        <v>43924</v>
      </c>
      <c r="H30" s="46">
        <f t="shared" ref="H30" ca="1" si="29">G30+ 1</f>
        <v>43925</v>
      </c>
      <c r="I30" s="46">
        <f t="shared" ref="I30" ca="1" si="30">H30+ 1</f>
        <v>43926</v>
      </c>
    </row>
    <row r="31" spans="2:9" ht="17.25" customHeight="1" x14ac:dyDescent="0.2">
      <c r="B31" s="26"/>
      <c r="C31" s="27"/>
      <c r="D31" s="28"/>
      <c r="E31" s="28"/>
      <c r="F31" s="28"/>
      <c r="G31" s="28"/>
      <c r="H31" s="28"/>
      <c r="I31" s="28"/>
    </row>
    <row r="32" spans="2:9" s="4" customFormat="1" ht="17.25" customHeight="1" x14ac:dyDescent="0.2">
      <c r="B32" s="33" t="str">
        <f ca="1">CONCATENATE("Semana ",(DATEDIF(CalcFecha,I34,"d")/7))</f>
        <v>Semana 7</v>
      </c>
      <c r="C32" s="22" t="str">
        <f t="shared" ref="C32:I32" ca="1" si="31">CONCATENATE("Día ",DATEDIF(CalcFecha,C34,"d"))</f>
        <v>Día 43</v>
      </c>
      <c r="D32" s="23" t="str">
        <f t="shared" ca="1" si="31"/>
        <v>Día 44</v>
      </c>
      <c r="E32" s="23" t="str">
        <f t="shared" ca="1" si="31"/>
        <v>Día 45</v>
      </c>
      <c r="F32" s="23" t="str">
        <f t="shared" ca="1" si="31"/>
        <v>Día 46</v>
      </c>
      <c r="G32" s="23" t="str">
        <f t="shared" ca="1" si="31"/>
        <v>Día 47</v>
      </c>
      <c r="H32" s="23" t="str">
        <f t="shared" ca="1" si="31"/>
        <v>Día 48</v>
      </c>
      <c r="I32" s="23" t="str">
        <f t="shared" ca="1" si="31"/>
        <v>Día 49</v>
      </c>
    </row>
    <row r="33" spans="2:9" ht="57" customHeight="1" x14ac:dyDescent="0.2">
      <c r="B33" s="34"/>
      <c r="C33" s="9"/>
      <c r="D33" s="10"/>
      <c r="E33" s="10"/>
      <c r="F33" s="10"/>
      <c r="G33" s="10"/>
      <c r="H33" s="10"/>
      <c r="I33" s="10"/>
    </row>
    <row r="34" spans="2:9" s="5" customFormat="1" ht="17.25" customHeight="1" x14ac:dyDescent="0.25">
      <c r="B34" s="35"/>
      <c r="C34" s="45">
        <f ca="1">I30+1</f>
        <v>43927</v>
      </c>
      <c r="D34" s="46">
        <f t="shared" ref="D34" ca="1" si="32">C34+ 1</f>
        <v>43928</v>
      </c>
      <c r="E34" s="46">
        <f t="shared" ref="E34" ca="1" si="33">D34+ 1</f>
        <v>43929</v>
      </c>
      <c r="F34" s="46">
        <f t="shared" ref="F34" ca="1" si="34">E34+ 1</f>
        <v>43930</v>
      </c>
      <c r="G34" s="46">
        <f t="shared" ref="G34" ca="1" si="35">F34+ 1</f>
        <v>43931</v>
      </c>
      <c r="H34" s="46">
        <f t="shared" ref="H34" ca="1" si="36">G34+ 1</f>
        <v>43932</v>
      </c>
      <c r="I34" s="46">
        <f t="shared" ref="I34" ca="1" si="37">H34+ 1</f>
        <v>43933</v>
      </c>
    </row>
    <row r="35" spans="2:9" ht="17.25" customHeight="1" x14ac:dyDescent="0.2">
      <c r="B35" s="27"/>
      <c r="C35" s="27"/>
      <c r="D35" s="27"/>
      <c r="E35" s="27"/>
      <c r="F35" s="27"/>
      <c r="G35" s="27"/>
      <c r="H35" s="27"/>
      <c r="I35" s="27"/>
    </row>
    <row r="36" spans="2:9" s="4" customFormat="1" ht="17.25" customHeight="1" x14ac:dyDescent="0.2">
      <c r="B36" s="36" t="str">
        <f ca="1">CONCATENATE("Semana ",(DATEDIF(CalcFecha,I38,"d")/7))</f>
        <v>Semana 8</v>
      </c>
      <c r="C36" s="22" t="str">
        <f t="shared" ref="C36:I36" ca="1" si="38">CONCATENATE("Día ",DATEDIF(CalcFecha,C38,"d"))</f>
        <v>Día 50</v>
      </c>
      <c r="D36" s="23" t="str">
        <f t="shared" ca="1" si="38"/>
        <v>Día 51</v>
      </c>
      <c r="E36" s="23" t="str">
        <f t="shared" ca="1" si="38"/>
        <v>Día 52</v>
      </c>
      <c r="F36" s="23" t="str">
        <f t="shared" ca="1" si="38"/>
        <v>Día 53</v>
      </c>
      <c r="G36" s="23" t="str">
        <f t="shared" ca="1" si="38"/>
        <v>Día 54</v>
      </c>
      <c r="H36" s="23" t="str">
        <f t="shared" ca="1" si="38"/>
        <v>Día 55</v>
      </c>
      <c r="I36" s="23" t="str">
        <f t="shared" ca="1" si="38"/>
        <v>Día 56</v>
      </c>
    </row>
    <row r="37" spans="2:9" ht="57" customHeight="1" x14ac:dyDescent="0.2">
      <c r="B37" s="37"/>
      <c r="C37" s="9"/>
      <c r="D37" s="10"/>
      <c r="E37" s="10"/>
      <c r="F37" s="10"/>
      <c r="G37" s="10"/>
      <c r="H37" s="10"/>
      <c r="I37" s="10"/>
    </row>
    <row r="38" spans="2:9" s="5" customFormat="1" ht="17.25" customHeight="1" x14ac:dyDescent="0.25">
      <c r="B38" s="38"/>
      <c r="C38" s="45">
        <f ca="1">I34+1</f>
        <v>43934</v>
      </c>
      <c r="D38" s="45">
        <f t="shared" ref="D38:I38" ca="1" si="39">C38+1</f>
        <v>43935</v>
      </c>
      <c r="E38" s="45">
        <f t="shared" ca="1" si="39"/>
        <v>43936</v>
      </c>
      <c r="F38" s="45">
        <f t="shared" ca="1" si="39"/>
        <v>43937</v>
      </c>
      <c r="G38" s="45">
        <f t="shared" ca="1" si="39"/>
        <v>43938</v>
      </c>
      <c r="H38" s="45">
        <f t="shared" ca="1" si="39"/>
        <v>43939</v>
      </c>
      <c r="I38" s="45">
        <f t="shared" ca="1" si="39"/>
        <v>43940</v>
      </c>
    </row>
    <row r="39" spans="2:9" ht="16.5" customHeight="1" x14ac:dyDescent="0.2">
      <c r="B39" s="27"/>
      <c r="C39" s="27"/>
      <c r="D39" s="27"/>
      <c r="E39" s="27"/>
      <c r="F39" s="27"/>
      <c r="G39" s="27"/>
      <c r="H39" s="27"/>
      <c r="I39" s="27"/>
    </row>
    <row r="40" spans="2:9" ht="24.75" customHeight="1" x14ac:dyDescent="0.2">
      <c r="B40" s="39" t="str">
        <f ca="1">CONCATENATE("Trimestre 1, mes ",DATEDIF(CalcFecha,I43,"m")+1)</f>
        <v>Trimestre 1, mes 3</v>
      </c>
      <c r="C40" s="27"/>
      <c r="D40" s="28"/>
      <c r="E40" s="28"/>
      <c r="F40" s="28"/>
      <c r="G40" s="28"/>
      <c r="H40" s="28"/>
      <c r="I40" s="40"/>
    </row>
    <row r="41" spans="2:9" s="4" customFormat="1" ht="17.25" customHeight="1" x14ac:dyDescent="0.2">
      <c r="B41" s="21" t="str">
        <f ca="1">CONCATENATE("Semana ",(DATEDIF(CalcFecha,I43,"d")/7))</f>
        <v>Semana 9</v>
      </c>
      <c r="C41" s="22" t="str">
        <f t="shared" ref="C41:I41" ca="1" si="40">CONCATENATE("Día ",DATEDIF(CalcFecha,C43,"d"))</f>
        <v>Día 57</v>
      </c>
      <c r="D41" s="23" t="str">
        <f t="shared" ca="1" si="40"/>
        <v>Día 58</v>
      </c>
      <c r="E41" s="23" t="str">
        <f t="shared" ca="1" si="40"/>
        <v>Día 59</v>
      </c>
      <c r="F41" s="23" t="str">
        <f t="shared" ca="1" si="40"/>
        <v>Día 60</v>
      </c>
      <c r="G41" s="23" t="str">
        <f t="shared" ca="1" si="40"/>
        <v>Día 61</v>
      </c>
      <c r="H41" s="23" t="str">
        <f t="shared" ca="1" si="40"/>
        <v>Día 62</v>
      </c>
      <c r="I41" s="23" t="str">
        <f t="shared" ca="1" si="40"/>
        <v>Día 63</v>
      </c>
    </row>
    <row r="42" spans="2:9" ht="57" customHeight="1" x14ac:dyDescent="0.2">
      <c r="B42" s="24"/>
      <c r="C42" s="9"/>
      <c r="D42" s="10"/>
      <c r="E42" s="10"/>
      <c r="F42" s="10"/>
      <c r="G42" s="10"/>
      <c r="H42" s="10"/>
      <c r="I42" s="10"/>
    </row>
    <row r="43" spans="2:9" s="5" customFormat="1" ht="17.25" customHeight="1" x14ac:dyDescent="0.25">
      <c r="B43" s="25"/>
      <c r="C43" s="45">
        <f ca="1">I38+1</f>
        <v>43941</v>
      </c>
      <c r="D43" s="46">
        <f ca="1">C43+ 1</f>
        <v>43942</v>
      </c>
      <c r="E43" s="46">
        <f t="shared" ref="E43" ca="1" si="41">D43+ 1</f>
        <v>43943</v>
      </c>
      <c r="F43" s="46">
        <f t="shared" ref="F43" ca="1" si="42">E43+ 1</f>
        <v>43944</v>
      </c>
      <c r="G43" s="46">
        <f t="shared" ref="G43" ca="1" si="43">F43+ 1</f>
        <v>43945</v>
      </c>
      <c r="H43" s="46">
        <f t="shared" ref="H43" ca="1" si="44">G43+ 1</f>
        <v>43946</v>
      </c>
      <c r="I43" s="46">
        <f t="shared" ref="I43" ca="1" si="45">H43+ 1</f>
        <v>43947</v>
      </c>
    </row>
    <row r="44" spans="2:9" ht="17.25" customHeight="1" x14ac:dyDescent="0.2">
      <c r="B44" s="26"/>
      <c r="C44" s="27"/>
      <c r="D44" s="28"/>
      <c r="E44" s="28"/>
      <c r="F44" s="28"/>
      <c r="G44" s="28"/>
      <c r="H44" s="28"/>
      <c r="I44" s="28"/>
    </row>
    <row r="45" spans="2:9" s="4" customFormat="1" ht="17.25" customHeight="1" x14ac:dyDescent="0.2">
      <c r="B45" s="29" t="str">
        <f ca="1">CONCATENATE("Semana ",(DATEDIF(CalcFecha,I47,"d")/7))</f>
        <v>Semana 10</v>
      </c>
      <c r="C45" s="22" t="str">
        <f t="shared" ref="C45:I45" ca="1" si="46">CONCATENATE("Día ",DATEDIF(CalcFecha,C47,"d"))</f>
        <v>Día 64</v>
      </c>
      <c r="D45" s="23" t="str">
        <f t="shared" ca="1" si="46"/>
        <v>Día 65</v>
      </c>
      <c r="E45" s="23" t="str">
        <f t="shared" ca="1" si="46"/>
        <v>Día 66</v>
      </c>
      <c r="F45" s="23" t="str">
        <f t="shared" ca="1" si="46"/>
        <v>Día 67</v>
      </c>
      <c r="G45" s="23" t="str">
        <f t="shared" ca="1" si="46"/>
        <v>Día 68</v>
      </c>
      <c r="H45" s="23" t="str">
        <f t="shared" ca="1" si="46"/>
        <v>Día 69</v>
      </c>
      <c r="I45" s="23" t="str">
        <f t="shared" ca="1" si="46"/>
        <v>Día 70</v>
      </c>
    </row>
    <row r="46" spans="2:9" ht="57" customHeight="1" x14ac:dyDescent="0.2">
      <c r="B46" s="30"/>
      <c r="C46" s="9"/>
      <c r="D46" s="10"/>
      <c r="E46" s="10"/>
      <c r="F46" s="10"/>
      <c r="G46" s="10"/>
      <c r="H46" s="10"/>
      <c r="I46" s="10"/>
    </row>
    <row r="47" spans="2:9" s="5" customFormat="1" ht="17.25" customHeight="1" x14ac:dyDescent="0.25">
      <c r="B47" s="31"/>
      <c r="C47" s="45">
        <f ca="1">I43+1</f>
        <v>43948</v>
      </c>
      <c r="D47" s="46">
        <f t="shared" ref="D47" ca="1" si="47">C47+ 1</f>
        <v>43949</v>
      </c>
      <c r="E47" s="46">
        <f t="shared" ref="E47" ca="1" si="48">D47+ 1</f>
        <v>43950</v>
      </c>
      <c r="F47" s="46">
        <f t="shared" ref="F47" ca="1" si="49">E47+ 1</f>
        <v>43951</v>
      </c>
      <c r="G47" s="46">
        <f t="shared" ref="G47" ca="1" si="50">F47+ 1</f>
        <v>43952</v>
      </c>
      <c r="H47" s="46">
        <f t="shared" ref="H47" ca="1" si="51">G47+ 1</f>
        <v>43953</v>
      </c>
      <c r="I47" s="46">
        <f t="shared" ref="I47" ca="1" si="52">H47+ 1</f>
        <v>43954</v>
      </c>
    </row>
    <row r="48" spans="2:9" ht="17.25" customHeight="1" x14ac:dyDescent="0.2">
      <c r="B48" s="26"/>
      <c r="C48" s="27"/>
      <c r="D48" s="28"/>
      <c r="E48" s="28"/>
      <c r="F48" s="28"/>
      <c r="G48" s="28"/>
      <c r="H48" s="28"/>
      <c r="I48" s="28"/>
    </row>
    <row r="49" spans="2:9" s="4" customFormat="1" ht="17.25" customHeight="1" x14ac:dyDescent="0.2">
      <c r="B49" s="33" t="str">
        <f ca="1">CONCATENATE("Semana ",(DATEDIF(CalcFecha,I51,"d")/7))</f>
        <v>Semana 11</v>
      </c>
      <c r="C49" s="22" t="str">
        <f t="shared" ref="C49:I49" ca="1" si="53">CONCATENATE("Día ",DATEDIF(CalcFecha,C51,"d"))</f>
        <v>Día 71</v>
      </c>
      <c r="D49" s="23" t="str">
        <f t="shared" ca="1" si="53"/>
        <v>Día 72</v>
      </c>
      <c r="E49" s="23" t="str">
        <f t="shared" ca="1" si="53"/>
        <v>Día 73</v>
      </c>
      <c r="F49" s="23" t="str">
        <f t="shared" ca="1" si="53"/>
        <v>Día 74</v>
      </c>
      <c r="G49" s="23" t="str">
        <f t="shared" ca="1" si="53"/>
        <v>Día 75</v>
      </c>
      <c r="H49" s="23" t="str">
        <f t="shared" ca="1" si="53"/>
        <v>Día 76</v>
      </c>
      <c r="I49" s="23" t="str">
        <f t="shared" ca="1" si="53"/>
        <v>Día 77</v>
      </c>
    </row>
    <row r="50" spans="2:9" ht="57" customHeight="1" x14ac:dyDescent="0.2">
      <c r="B50" s="34"/>
      <c r="C50" s="9"/>
      <c r="D50" s="10"/>
      <c r="E50" s="10"/>
      <c r="F50" s="10"/>
      <c r="G50" s="10"/>
      <c r="H50" s="10"/>
      <c r="I50" s="10"/>
    </row>
    <row r="51" spans="2:9" s="5" customFormat="1" ht="17.25" customHeight="1" x14ac:dyDescent="0.25">
      <c r="B51" s="35"/>
      <c r="C51" s="45">
        <f ca="1">I47+1</f>
        <v>43955</v>
      </c>
      <c r="D51" s="46">
        <f t="shared" ref="D51" ca="1" si="54">C51+ 1</f>
        <v>43956</v>
      </c>
      <c r="E51" s="46">
        <f t="shared" ref="E51" ca="1" si="55">D51+ 1</f>
        <v>43957</v>
      </c>
      <c r="F51" s="46">
        <f t="shared" ref="F51" ca="1" si="56">E51+ 1</f>
        <v>43958</v>
      </c>
      <c r="G51" s="46">
        <f t="shared" ref="G51" ca="1" si="57">F51+ 1</f>
        <v>43959</v>
      </c>
      <c r="H51" s="46">
        <f t="shared" ref="H51" ca="1" si="58">G51+ 1</f>
        <v>43960</v>
      </c>
      <c r="I51" s="46">
        <f t="shared" ref="I51" ca="1" si="59">H51+ 1</f>
        <v>43961</v>
      </c>
    </row>
    <row r="52" spans="2:9" ht="17.25" customHeight="1" x14ac:dyDescent="0.2">
      <c r="B52" s="27"/>
      <c r="C52" s="27"/>
      <c r="D52" s="27"/>
      <c r="E52" s="27"/>
      <c r="F52" s="27"/>
      <c r="G52" s="27"/>
      <c r="H52" s="27"/>
      <c r="I52" s="27"/>
    </row>
    <row r="53" spans="2:9" s="4" customFormat="1" ht="17.25" customHeight="1" x14ac:dyDescent="0.2">
      <c r="B53" s="36" t="str">
        <f ca="1">CONCATENATE("Semana ",(DATEDIF(CalcFecha,I55,"d")/7))</f>
        <v>Semana 12</v>
      </c>
      <c r="C53" s="22" t="str">
        <f t="shared" ref="C53:I53" ca="1" si="60">CONCATENATE("Día ",DATEDIF(CalcFecha,C55,"d"))</f>
        <v>Día 78</v>
      </c>
      <c r="D53" s="23" t="str">
        <f t="shared" ca="1" si="60"/>
        <v>Día 79</v>
      </c>
      <c r="E53" s="23" t="str">
        <f t="shared" ca="1" si="60"/>
        <v>Día 80</v>
      </c>
      <c r="F53" s="23" t="str">
        <f t="shared" ca="1" si="60"/>
        <v>Día 81</v>
      </c>
      <c r="G53" s="23" t="str">
        <f t="shared" ca="1" si="60"/>
        <v>Día 82</v>
      </c>
      <c r="H53" s="23" t="str">
        <f t="shared" ca="1" si="60"/>
        <v>Día 83</v>
      </c>
      <c r="I53" s="23" t="str">
        <f t="shared" ca="1" si="60"/>
        <v>Día 84</v>
      </c>
    </row>
    <row r="54" spans="2:9" ht="57" customHeight="1" x14ac:dyDescent="0.2">
      <c r="B54" s="37"/>
      <c r="C54" s="9"/>
      <c r="D54" s="10"/>
      <c r="E54" s="10"/>
      <c r="F54" s="10"/>
      <c r="G54" s="10"/>
      <c r="H54" s="10"/>
      <c r="I54" s="10"/>
    </row>
    <row r="55" spans="2:9" s="5" customFormat="1" ht="17.25" customHeight="1" x14ac:dyDescent="0.25">
      <c r="B55" s="38"/>
      <c r="C55" s="45">
        <f ca="1">I51+1</f>
        <v>43962</v>
      </c>
      <c r="D55" s="45">
        <f t="shared" ref="D55:I55" ca="1" si="61">C55+1</f>
        <v>43963</v>
      </c>
      <c r="E55" s="45">
        <f t="shared" ca="1" si="61"/>
        <v>43964</v>
      </c>
      <c r="F55" s="45">
        <f t="shared" ca="1" si="61"/>
        <v>43965</v>
      </c>
      <c r="G55" s="45">
        <f t="shared" ca="1" si="61"/>
        <v>43966</v>
      </c>
      <c r="H55" s="45">
        <f t="shared" ca="1" si="61"/>
        <v>43967</v>
      </c>
      <c r="I55" s="45">
        <f t="shared" ca="1" si="61"/>
        <v>43968</v>
      </c>
    </row>
    <row r="56" spans="2:9" ht="17.25" customHeight="1" x14ac:dyDescent="0.2">
      <c r="B56" s="27"/>
      <c r="C56" s="27"/>
      <c r="D56" s="27"/>
      <c r="E56" s="27"/>
      <c r="F56" s="27"/>
      <c r="G56" s="27"/>
      <c r="H56" s="27"/>
      <c r="I56" s="27"/>
    </row>
    <row r="57" spans="2:9" s="4" customFormat="1" ht="17.25" customHeight="1" x14ac:dyDescent="0.2">
      <c r="B57" s="21" t="str">
        <f ca="1">CONCATENATE("Semana ",(DATEDIF(CalcFecha,I59,"d")/7))</f>
        <v>Semana 13</v>
      </c>
      <c r="C57" s="22" t="str">
        <f t="shared" ref="C57:I57" ca="1" si="62">CONCATENATE("Día ",DATEDIF(CalcFecha,C59,"d"))</f>
        <v>Día 85</v>
      </c>
      <c r="D57" s="23" t="str">
        <f t="shared" ca="1" si="62"/>
        <v>Día 86</v>
      </c>
      <c r="E57" s="23" t="str">
        <f t="shared" ca="1" si="62"/>
        <v>Día 87</v>
      </c>
      <c r="F57" s="23" t="str">
        <f t="shared" ca="1" si="62"/>
        <v>Día 88</v>
      </c>
      <c r="G57" s="23" t="str">
        <f t="shared" ca="1" si="62"/>
        <v>Día 89</v>
      </c>
      <c r="H57" s="23" t="str">
        <f t="shared" ca="1" si="62"/>
        <v>Día 90</v>
      </c>
      <c r="I57" s="23" t="str">
        <f t="shared" ca="1" si="62"/>
        <v>Día 91</v>
      </c>
    </row>
    <row r="58" spans="2:9" ht="57" customHeight="1" x14ac:dyDescent="0.2">
      <c r="B58" s="24"/>
      <c r="C58" s="9"/>
      <c r="D58" s="10"/>
      <c r="E58" s="10"/>
      <c r="F58" s="10"/>
      <c r="G58" s="10"/>
      <c r="H58" s="10"/>
      <c r="I58" s="10"/>
    </row>
    <row r="59" spans="2:9" s="5" customFormat="1" ht="17.25" customHeight="1" x14ac:dyDescent="0.25">
      <c r="B59" s="25"/>
      <c r="C59" s="45">
        <f ca="1">I55+1</f>
        <v>43969</v>
      </c>
      <c r="D59" s="46">
        <f ca="1">C59+ 1</f>
        <v>43970</v>
      </c>
      <c r="E59" s="46">
        <f t="shared" ref="E59" ca="1" si="63">D59+ 1</f>
        <v>43971</v>
      </c>
      <c r="F59" s="46">
        <f t="shared" ref="F59" ca="1" si="64">E59+ 1</f>
        <v>43972</v>
      </c>
      <c r="G59" s="46">
        <f t="shared" ref="G59" ca="1" si="65">F59+ 1</f>
        <v>43973</v>
      </c>
      <c r="H59" s="46">
        <f t="shared" ref="H59" ca="1" si="66">G59+ 1</f>
        <v>43974</v>
      </c>
      <c r="I59" s="46">
        <f t="shared" ref="I59" ca="1" si="67">H59+ 1</f>
        <v>43975</v>
      </c>
    </row>
    <row r="60" spans="2:9" customFormat="1" ht="17.25" customHeight="1" x14ac:dyDescent="0.2">
      <c r="B60" s="27"/>
      <c r="C60" s="27"/>
      <c r="D60" s="27"/>
      <c r="E60" s="27"/>
      <c r="F60" s="27"/>
      <c r="G60" s="27"/>
      <c r="H60" s="27"/>
      <c r="I60" s="27"/>
    </row>
    <row r="61" spans="2:9" ht="24.75" customHeight="1" x14ac:dyDescent="0.2">
      <c r="B61" s="39" t="str">
        <f ca="1">CONCATENATE("Trimestre 2, mes ",DATEDIF(CalcFecha,I64,"m")+1)</f>
        <v>Trimestre 2, mes 4</v>
      </c>
      <c r="C61" s="27"/>
      <c r="D61" s="28"/>
      <c r="E61" s="28"/>
      <c r="F61" s="28"/>
      <c r="G61" s="28"/>
      <c r="H61" s="28"/>
      <c r="I61" s="40"/>
    </row>
    <row r="62" spans="2:9" s="4" customFormat="1" ht="17.25" customHeight="1" x14ac:dyDescent="0.2">
      <c r="B62" s="29" t="str">
        <f ca="1">CONCATENATE("Semana ",(DATEDIF(CalcFecha,I64,"d")/7))</f>
        <v>Semana 14</v>
      </c>
      <c r="C62" s="22" t="str">
        <f t="shared" ref="C62:I62" ca="1" si="68">CONCATENATE("Día ",DATEDIF(CalcFecha,C64,"d"))</f>
        <v>Día 92</v>
      </c>
      <c r="D62" s="23" t="str">
        <f t="shared" ca="1" si="68"/>
        <v>Día 93</v>
      </c>
      <c r="E62" s="23" t="str">
        <f t="shared" ca="1" si="68"/>
        <v>Día 94</v>
      </c>
      <c r="F62" s="23" t="str">
        <f t="shared" ca="1" si="68"/>
        <v>Día 95</v>
      </c>
      <c r="G62" s="23" t="str">
        <f t="shared" ca="1" si="68"/>
        <v>Día 96</v>
      </c>
      <c r="H62" s="23" t="str">
        <f t="shared" ca="1" si="68"/>
        <v>Día 97</v>
      </c>
      <c r="I62" s="23" t="str">
        <f t="shared" ca="1" si="68"/>
        <v>Día 98</v>
      </c>
    </row>
    <row r="63" spans="2:9" ht="57" customHeight="1" x14ac:dyDescent="0.2">
      <c r="B63" s="30"/>
      <c r="C63" s="9"/>
      <c r="D63" s="10"/>
      <c r="E63" s="10"/>
      <c r="F63" s="10"/>
      <c r="G63" s="10"/>
      <c r="H63" s="10"/>
      <c r="I63" s="10"/>
    </row>
    <row r="64" spans="2:9" s="5" customFormat="1" ht="17.25" customHeight="1" x14ac:dyDescent="0.25">
      <c r="B64" s="31"/>
      <c r="C64" s="45">
        <f ca="1">I59+1</f>
        <v>43976</v>
      </c>
      <c r="D64" s="46">
        <f t="shared" ref="D64" ca="1" si="69">C64+ 1</f>
        <v>43977</v>
      </c>
      <c r="E64" s="46">
        <f t="shared" ref="E64" ca="1" si="70">D64+ 1</f>
        <v>43978</v>
      </c>
      <c r="F64" s="46">
        <f t="shared" ref="F64" ca="1" si="71">E64+ 1</f>
        <v>43979</v>
      </c>
      <c r="G64" s="46">
        <f t="shared" ref="G64" ca="1" si="72">F64+ 1</f>
        <v>43980</v>
      </c>
      <c r="H64" s="46">
        <f t="shared" ref="H64" ca="1" si="73">G64+ 1</f>
        <v>43981</v>
      </c>
      <c r="I64" s="46">
        <f t="shared" ref="I64" ca="1" si="74">H64+ 1</f>
        <v>43982</v>
      </c>
    </row>
    <row r="65" spans="2:9" ht="17.25" customHeight="1" x14ac:dyDescent="0.2">
      <c r="B65" s="26"/>
      <c r="C65" s="27"/>
      <c r="D65" s="28"/>
      <c r="E65" s="28"/>
      <c r="F65" s="28"/>
      <c r="G65" s="28"/>
      <c r="H65" s="28"/>
      <c r="I65" s="28"/>
    </row>
    <row r="66" spans="2:9" s="4" customFormat="1" ht="17.25" customHeight="1" x14ac:dyDescent="0.2">
      <c r="B66" s="33" t="str">
        <f ca="1">CONCATENATE("Semana ",(DATEDIF(CalcFecha,I68,"d")/7))</f>
        <v>Semana 15</v>
      </c>
      <c r="C66" s="22" t="str">
        <f t="shared" ref="C66:I66" ca="1" si="75">CONCATENATE("Día ",DATEDIF(CalcFecha,C68,"d"))</f>
        <v>Día 99</v>
      </c>
      <c r="D66" s="23" t="str">
        <f t="shared" ca="1" si="75"/>
        <v>Día 100</v>
      </c>
      <c r="E66" s="23" t="str">
        <f t="shared" ca="1" si="75"/>
        <v>Día 101</v>
      </c>
      <c r="F66" s="23" t="str">
        <f t="shared" ca="1" si="75"/>
        <v>Día 102</v>
      </c>
      <c r="G66" s="23" t="str">
        <f t="shared" ca="1" si="75"/>
        <v>Día 103</v>
      </c>
      <c r="H66" s="23" t="str">
        <f t="shared" ca="1" si="75"/>
        <v>Día 104</v>
      </c>
      <c r="I66" s="23" t="str">
        <f t="shared" ca="1" si="75"/>
        <v>Día 105</v>
      </c>
    </row>
    <row r="67" spans="2:9" ht="57" customHeight="1" x14ac:dyDescent="0.2">
      <c r="B67" s="34"/>
      <c r="C67" s="9"/>
      <c r="D67" s="10"/>
      <c r="E67" s="10"/>
      <c r="F67" s="10"/>
      <c r="G67" s="10"/>
      <c r="H67" s="10"/>
      <c r="I67" s="10"/>
    </row>
    <row r="68" spans="2:9" s="5" customFormat="1" ht="17.25" customHeight="1" x14ac:dyDescent="0.25">
      <c r="B68" s="35"/>
      <c r="C68" s="45">
        <f ca="1">I64+1</f>
        <v>43983</v>
      </c>
      <c r="D68" s="46">
        <f t="shared" ref="D68" ca="1" si="76">C68+ 1</f>
        <v>43984</v>
      </c>
      <c r="E68" s="46">
        <f t="shared" ref="E68" ca="1" si="77">D68+ 1</f>
        <v>43985</v>
      </c>
      <c r="F68" s="46">
        <f t="shared" ref="F68" ca="1" si="78">E68+ 1</f>
        <v>43986</v>
      </c>
      <c r="G68" s="46">
        <f t="shared" ref="G68" ca="1" si="79">F68+ 1</f>
        <v>43987</v>
      </c>
      <c r="H68" s="46">
        <f t="shared" ref="H68" ca="1" si="80">G68+ 1</f>
        <v>43988</v>
      </c>
      <c r="I68" s="46">
        <f t="shared" ref="I68" ca="1" si="81">H68+ 1</f>
        <v>43989</v>
      </c>
    </row>
    <row r="69" spans="2:9" ht="17.25" customHeight="1" x14ac:dyDescent="0.2">
      <c r="B69" s="27"/>
      <c r="C69" s="27"/>
      <c r="D69" s="27"/>
      <c r="E69" s="27"/>
      <c r="F69" s="27"/>
      <c r="G69" s="27"/>
      <c r="H69" s="27"/>
      <c r="I69" s="27"/>
    </row>
    <row r="70" spans="2:9" s="4" customFormat="1" ht="17.25" customHeight="1" x14ac:dyDescent="0.2">
      <c r="B70" s="36" t="str">
        <f ca="1">CONCATENATE("Semana ",(DATEDIF(CalcFecha,I72,"d")/7))</f>
        <v>Semana 16</v>
      </c>
      <c r="C70" s="22" t="str">
        <f t="shared" ref="C70:I70" ca="1" si="82">CONCATENATE("Día ",DATEDIF(CalcFecha,C72,"d"))</f>
        <v>Día 106</v>
      </c>
      <c r="D70" s="23" t="str">
        <f t="shared" ca="1" si="82"/>
        <v>Día 107</v>
      </c>
      <c r="E70" s="23" t="str">
        <f t="shared" ca="1" si="82"/>
        <v>Día 108</v>
      </c>
      <c r="F70" s="23" t="str">
        <f t="shared" ca="1" si="82"/>
        <v>Día 109</v>
      </c>
      <c r="G70" s="23" t="str">
        <f t="shared" ca="1" si="82"/>
        <v>Día 110</v>
      </c>
      <c r="H70" s="23" t="str">
        <f t="shared" ca="1" si="82"/>
        <v>Día 111</v>
      </c>
      <c r="I70" s="23" t="str">
        <f t="shared" ca="1" si="82"/>
        <v>Día 112</v>
      </c>
    </row>
    <row r="71" spans="2:9" ht="57" customHeight="1" x14ac:dyDescent="0.2">
      <c r="B71" s="37"/>
      <c r="C71" s="9"/>
      <c r="D71" s="10"/>
      <c r="E71" s="10"/>
      <c r="F71" s="10"/>
      <c r="G71" s="10"/>
      <c r="H71" s="10"/>
      <c r="I71" s="10"/>
    </row>
    <row r="72" spans="2:9" s="5" customFormat="1" ht="17.25" customHeight="1" x14ac:dyDescent="0.25">
      <c r="B72" s="38"/>
      <c r="C72" s="45">
        <f ca="1">I68+1</f>
        <v>43990</v>
      </c>
      <c r="D72" s="45">
        <f t="shared" ref="D72:I72" ca="1" si="83">C72+1</f>
        <v>43991</v>
      </c>
      <c r="E72" s="45">
        <f t="shared" ca="1" si="83"/>
        <v>43992</v>
      </c>
      <c r="F72" s="45">
        <f t="shared" ca="1" si="83"/>
        <v>43993</v>
      </c>
      <c r="G72" s="45">
        <f t="shared" ca="1" si="83"/>
        <v>43994</v>
      </c>
      <c r="H72" s="45">
        <f t="shared" ca="1" si="83"/>
        <v>43995</v>
      </c>
      <c r="I72" s="45">
        <f t="shared" ca="1" si="83"/>
        <v>43996</v>
      </c>
    </row>
    <row r="73" spans="2:9" ht="16.5" customHeight="1" x14ac:dyDescent="0.2">
      <c r="B73" s="27"/>
      <c r="C73" s="27"/>
      <c r="D73" s="27"/>
      <c r="E73" s="27"/>
      <c r="F73" s="27"/>
      <c r="G73" s="27"/>
      <c r="H73" s="27"/>
      <c r="I73" s="27"/>
    </row>
    <row r="74" spans="2:9" s="4" customFormat="1" ht="17.25" customHeight="1" x14ac:dyDescent="0.2">
      <c r="B74" s="21" t="str">
        <f ca="1">CONCATENATE("Semana ",(DATEDIF(CalcFecha,I76,"d")/7))</f>
        <v>Semana 17</v>
      </c>
      <c r="C74" s="22" t="str">
        <f t="shared" ref="C74:I74" ca="1" si="84">CONCATENATE("Día ",DATEDIF(CalcFecha,C76,"d"))</f>
        <v>Día 113</v>
      </c>
      <c r="D74" s="23" t="str">
        <f t="shared" ca="1" si="84"/>
        <v>Día 114</v>
      </c>
      <c r="E74" s="23" t="str">
        <f t="shared" ca="1" si="84"/>
        <v>Día 115</v>
      </c>
      <c r="F74" s="23" t="str">
        <f t="shared" ca="1" si="84"/>
        <v>Día 116</v>
      </c>
      <c r="G74" s="23" t="str">
        <f t="shared" ca="1" si="84"/>
        <v>Día 117</v>
      </c>
      <c r="H74" s="23" t="str">
        <f t="shared" ca="1" si="84"/>
        <v>Día 118</v>
      </c>
      <c r="I74" s="23" t="str">
        <f t="shared" ca="1" si="84"/>
        <v>Día 119</v>
      </c>
    </row>
    <row r="75" spans="2:9" ht="57" customHeight="1" x14ac:dyDescent="0.2">
      <c r="B75" s="24"/>
      <c r="C75" s="9"/>
      <c r="D75" s="10"/>
      <c r="E75" s="10"/>
      <c r="F75" s="10"/>
      <c r="G75" s="10"/>
      <c r="H75" s="10"/>
      <c r="I75" s="10"/>
    </row>
    <row r="76" spans="2:9" s="5" customFormat="1" ht="17.25" customHeight="1" x14ac:dyDescent="0.25">
      <c r="B76" s="25"/>
      <c r="C76" s="45">
        <f ca="1">I72+1</f>
        <v>43997</v>
      </c>
      <c r="D76" s="46">
        <f ca="1">C76+ 1</f>
        <v>43998</v>
      </c>
      <c r="E76" s="46">
        <f t="shared" ref="E76" ca="1" si="85">D76+ 1</f>
        <v>43999</v>
      </c>
      <c r="F76" s="46">
        <f t="shared" ref="F76" ca="1" si="86">E76+ 1</f>
        <v>44000</v>
      </c>
      <c r="G76" s="46">
        <f t="shared" ref="G76" ca="1" si="87">F76+ 1</f>
        <v>44001</v>
      </c>
      <c r="H76" s="46">
        <f t="shared" ref="H76" ca="1" si="88">G76+ 1</f>
        <v>44002</v>
      </c>
      <c r="I76" s="46">
        <f t="shared" ref="I76" ca="1" si="89">H76+ 1</f>
        <v>44003</v>
      </c>
    </row>
    <row r="77" spans="2:9" customFormat="1" ht="17.25" customHeight="1" x14ac:dyDescent="0.2">
      <c r="B77" s="27"/>
      <c r="C77" s="27"/>
      <c r="D77" s="27"/>
      <c r="E77" s="27"/>
      <c r="F77" s="27"/>
      <c r="G77" s="27"/>
      <c r="H77" s="27"/>
      <c r="I77" s="27"/>
    </row>
    <row r="78" spans="2:9" ht="24.75" customHeight="1" x14ac:dyDescent="0.2">
      <c r="B78" s="39" t="str">
        <f ca="1">CONCATENATE("Trimestre 2, mes ",DATEDIF(CalcFecha,I81,"m")+1)</f>
        <v>Trimestre 2, mes 5</v>
      </c>
      <c r="C78" s="27"/>
      <c r="D78" s="28"/>
      <c r="E78" s="28"/>
      <c r="F78" s="28"/>
      <c r="G78" s="28"/>
      <c r="H78" s="28"/>
      <c r="I78" s="28"/>
    </row>
    <row r="79" spans="2:9" s="4" customFormat="1" ht="17.25" customHeight="1" x14ac:dyDescent="0.2">
      <c r="B79" s="29" t="str">
        <f ca="1">CONCATENATE("Semana ",(DATEDIF(CalcFecha,I81,"d")/7))</f>
        <v>Semana 18</v>
      </c>
      <c r="C79" s="22" t="str">
        <f t="shared" ref="C79:I79" ca="1" si="90">CONCATENATE("Día ",DATEDIF(CalcFecha,C81,"d"))</f>
        <v>Día 120</v>
      </c>
      <c r="D79" s="23" t="str">
        <f t="shared" ca="1" si="90"/>
        <v>Día 121</v>
      </c>
      <c r="E79" s="23" t="str">
        <f t="shared" ca="1" si="90"/>
        <v>Día 122</v>
      </c>
      <c r="F79" s="23" t="str">
        <f t="shared" ca="1" si="90"/>
        <v>Día 123</v>
      </c>
      <c r="G79" s="23" t="str">
        <f t="shared" ca="1" si="90"/>
        <v>Día 124</v>
      </c>
      <c r="H79" s="23" t="str">
        <f t="shared" ca="1" si="90"/>
        <v>Día 125</v>
      </c>
      <c r="I79" s="23" t="str">
        <f t="shared" ca="1" si="90"/>
        <v>Día 126</v>
      </c>
    </row>
    <row r="80" spans="2:9" ht="57" customHeight="1" x14ac:dyDescent="0.2">
      <c r="B80" s="30"/>
      <c r="C80" s="9"/>
      <c r="D80" s="10"/>
      <c r="E80" s="10"/>
      <c r="F80" s="10"/>
      <c r="G80" s="10"/>
      <c r="H80" s="10"/>
      <c r="I80" s="10"/>
    </row>
    <row r="81" spans="2:9" s="5" customFormat="1" ht="17.25" customHeight="1" x14ac:dyDescent="0.25">
      <c r="B81" s="31"/>
      <c r="C81" s="45">
        <f ca="1">I76+1</f>
        <v>44004</v>
      </c>
      <c r="D81" s="46">
        <f t="shared" ref="D81" ca="1" si="91">C81+ 1</f>
        <v>44005</v>
      </c>
      <c r="E81" s="46">
        <f t="shared" ref="E81" ca="1" si="92">D81+ 1</f>
        <v>44006</v>
      </c>
      <c r="F81" s="46">
        <f t="shared" ref="F81" ca="1" si="93">E81+ 1</f>
        <v>44007</v>
      </c>
      <c r="G81" s="46">
        <f t="shared" ref="G81" ca="1" si="94">F81+ 1</f>
        <v>44008</v>
      </c>
      <c r="H81" s="46">
        <f t="shared" ref="H81" ca="1" si="95">G81+ 1</f>
        <v>44009</v>
      </c>
      <c r="I81" s="46">
        <f t="shared" ref="I81" ca="1" si="96">H81+ 1</f>
        <v>44010</v>
      </c>
    </row>
    <row r="82" spans="2:9" ht="17.25" customHeight="1" x14ac:dyDescent="0.2">
      <c r="B82" s="26"/>
      <c r="C82" s="27"/>
      <c r="D82" s="28"/>
      <c r="E82" s="28"/>
      <c r="F82" s="28"/>
      <c r="G82" s="28"/>
      <c r="H82" s="28"/>
      <c r="I82" s="28"/>
    </row>
    <row r="83" spans="2:9" s="4" customFormat="1" ht="17.25" customHeight="1" x14ac:dyDescent="0.2">
      <c r="B83" s="33" t="str">
        <f ca="1">CONCATENATE("Semana ",(DATEDIF(CalcFecha,I85,"d")/7))</f>
        <v>Semana 19</v>
      </c>
      <c r="C83" s="22" t="str">
        <f t="shared" ref="C83:I83" ca="1" si="97">CONCATENATE("Día ",DATEDIF(CalcFecha,C85,"d"))</f>
        <v>Día 127</v>
      </c>
      <c r="D83" s="23" t="str">
        <f t="shared" ca="1" si="97"/>
        <v>Día 128</v>
      </c>
      <c r="E83" s="23" t="str">
        <f t="shared" ca="1" si="97"/>
        <v>Día 129</v>
      </c>
      <c r="F83" s="23" t="str">
        <f t="shared" ca="1" si="97"/>
        <v>Día 130</v>
      </c>
      <c r="G83" s="23" t="str">
        <f t="shared" ca="1" si="97"/>
        <v>Día 131</v>
      </c>
      <c r="H83" s="23" t="str">
        <f t="shared" ca="1" si="97"/>
        <v>Día 132</v>
      </c>
      <c r="I83" s="23" t="str">
        <f t="shared" ca="1" si="97"/>
        <v>Día 133</v>
      </c>
    </row>
    <row r="84" spans="2:9" ht="57" customHeight="1" x14ac:dyDescent="0.2">
      <c r="B84" s="34"/>
      <c r="C84" s="9"/>
      <c r="D84" s="10"/>
      <c r="E84" s="10"/>
      <c r="F84" s="10"/>
      <c r="G84" s="10"/>
      <c r="H84" s="10"/>
      <c r="I84" s="10"/>
    </row>
    <row r="85" spans="2:9" s="5" customFormat="1" ht="17.25" customHeight="1" x14ac:dyDescent="0.25">
      <c r="B85" s="35"/>
      <c r="C85" s="45">
        <f ca="1">I81+1</f>
        <v>44011</v>
      </c>
      <c r="D85" s="46">
        <f t="shared" ref="D85" ca="1" si="98">C85+ 1</f>
        <v>44012</v>
      </c>
      <c r="E85" s="46">
        <f t="shared" ref="E85" ca="1" si="99">D85+ 1</f>
        <v>44013</v>
      </c>
      <c r="F85" s="46">
        <f t="shared" ref="F85" ca="1" si="100">E85+ 1</f>
        <v>44014</v>
      </c>
      <c r="G85" s="46">
        <f t="shared" ref="G85" ca="1" si="101">F85+ 1</f>
        <v>44015</v>
      </c>
      <c r="H85" s="46">
        <f t="shared" ref="H85" ca="1" si="102">G85+ 1</f>
        <v>44016</v>
      </c>
      <c r="I85" s="46">
        <f t="shared" ref="I85" ca="1" si="103">H85+ 1</f>
        <v>44017</v>
      </c>
    </row>
    <row r="86" spans="2:9" ht="17.25" customHeight="1" x14ac:dyDescent="0.2">
      <c r="B86" s="27"/>
      <c r="C86" s="27"/>
      <c r="D86" s="27"/>
      <c r="E86" s="27"/>
      <c r="F86" s="27"/>
      <c r="G86" s="27"/>
      <c r="H86" s="27"/>
      <c r="I86" s="27"/>
    </row>
    <row r="87" spans="2:9" s="4" customFormat="1" ht="17.25" customHeight="1" x14ac:dyDescent="0.2">
      <c r="B87" s="36" t="str">
        <f ca="1">CONCATENATE("Semana ",(DATEDIF(CalcFecha,I89,"d")/7))</f>
        <v>Semana 20</v>
      </c>
      <c r="C87" s="22" t="str">
        <f t="shared" ref="C87:I87" ca="1" si="104">CONCATENATE("Día ",DATEDIF(CalcFecha,C89,"d"))</f>
        <v>Día 134</v>
      </c>
      <c r="D87" s="23" t="str">
        <f t="shared" ca="1" si="104"/>
        <v>Día 135</v>
      </c>
      <c r="E87" s="23" t="str">
        <f t="shared" ca="1" si="104"/>
        <v>Día 136</v>
      </c>
      <c r="F87" s="23" t="str">
        <f t="shared" ca="1" si="104"/>
        <v>Día 137</v>
      </c>
      <c r="G87" s="23" t="str">
        <f t="shared" ca="1" si="104"/>
        <v>Día 138</v>
      </c>
      <c r="H87" s="23" t="str">
        <f t="shared" ca="1" si="104"/>
        <v>Día 139</v>
      </c>
      <c r="I87" s="23" t="str">
        <f t="shared" ca="1" si="104"/>
        <v>Día 140</v>
      </c>
    </row>
    <row r="88" spans="2:9" ht="57" customHeight="1" x14ac:dyDescent="0.2">
      <c r="B88" s="37"/>
      <c r="C88" s="9"/>
      <c r="D88" s="10"/>
      <c r="E88" s="10"/>
      <c r="F88" s="10"/>
      <c r="G88" s="10"/>
      <c r="H88" s="10"/>
      <c r="I88" s="10"/>
    </row>
    <row r="89" spans="2:9" s="5" customFormat="1" ht="17.25" customHeight="1" x14ac:dyDescent="0.25">
      <c r="B89" s="38"/>
      <c r="C89" s="45">
        <f ca="1">I85+1</f>
        <v>44018</v>
      </c>
      <c r="D89" s="45">
        <f t="shared" ref="D89:I89" ca="1" si="105">C89+1</f>
        <v>44019</v>
      </c>
      <c r="E89" s="45">
        <f t="shared" ca="1" si="105"/>
        <v>44020</v>
      </c>
      <c r="F89" s="45">
        <f t="shared" ca="1" si="105"/>
        <v>44021</v>
      </c>
      <c r="G89" s="45">
        <f t="shared" ca="1" si="105"/>
        <v>44022</v>
      </c>
      <c r="H89" s="45">
        <f t="shared" ca="1" si="105"/>
        <v>44023</v>
      </c>
      <c r="I89" s="45">
        <f t="shared" ca="1" si="105"/>
        <v>44024</v>
      </c>
    </row>
    <row r="90" spans="2:9" ht="16.5" customHeight="1" x14ac:dyDescent="0.2">
      <c r="B90" s="27"/>
      <c r="C90" s="27"/>
      <c r="D90" s="27"/>
      <c r="E90" s="27"/>
      <c r="F90" s="27"/>
      <c r="G90" s="27"/>
      <c r="H90" s="27"/>
      <c r="I90" s="27"/>
    </row>
    <row r="91" spans="2:9" s="4" customFormat="1" ht="17.25" customHeight="1" x14ac:dyDescent="0.2">
      <c r="B91" s="21" t="str">
        <f ca="1">CONCATENATE("Semana ",(DATEDIF(CalcFecha,I93,"d")/7))</f>
        <v>Semana 21</v>
      </c>
      <c r="C91" s="22" t="str">
        <f t="shared" ref="C91:I91" ca="1" si="106">CONCATENATE("Día ",DATEDIF(CalcFecha,C93,"d"))</f>
        <v>Día 141</v>
      </c>
      <c r="D91" s="23" t="str">
        <f t="shared" ca="1" si="106"/>
        <v>Día 142</v>
      </c>
      <c r="E91" s="23" t="str">
        <f t="shared" ca="1" si="106"/>
        <v>Día 143</v>
      </c>
      <c r="F91" s="23" t="str">
        <f t="shared" ca="1" si="106"/>
        <v>Día 144</v>
      </c>
      <c r="G91" s="23" t="str">
        <f t="shared" ca="1" si="106"/>
        <v>Día 145</v>
      </c>
      <c r="H91" s="23" t="str">
        <f t="shared" ca="1" si="106"/>
        <v>Día 146</v>
      </c>
      <c r="I91" s="23" t="str">
        <f t="shared" ca="1" si="106"/>
        <v>Día 147</v>
      </c>
    </row>
    <row r="92" spans="2:9" ht="57" customHeight="1" x14ac:dyDescent="0.2">
      <c r="B92" s="24"/>
      <c r="C92" s="9"/>
      <c r="D92" s="10"/>
      <c r="E92" s="10"/>
      <c r="F92" s="10"/>
      <c r="G92" s="10"/>
      <c r="H92" s="10"/>
      <c r="I92" s="10"/>
    </row>
    <row r="93" spans="2:9" s="5" customFormat="1" ht="17.25" customHeight="1" x14ac:dyDescent="0.25">
      <c r="B93" s="25"/>
      <c r="C93" s="45">
        <f ca="1">I89+1</f>
        <v>44025</v>
      </c>
      <c r="D93" s="46">
        <f ca="1">C93+ 1</f>
        <v>44026</v>
      </c>
      <c r="E93" s="46">
        <f t="shared" ref="E93" ca="1" si="107">D93+ 1</f>
        <v>44027</v>
      </c>
      <c r="F93" s="46">
        <f t="shared" ref="F93" ca="1" si="108">E93+ 1</f>
        <v>44028</v>
      </c>
      <c r="G93" s="46">
        <f t="shared" ref="G93" ca="1" si="109">F93+ 1</f>
        <v>44029</v>
      </c>
      <c r="H93" s="46">
        <f t="shared" ref="H93" ca="1" si="110">G93+ 1</f>
        <v>44030</v>
      </c>
      <c r="I93" s="46">
        <f t="shared" ref="I93" ca="1" si="111">H93+ 1</f>
        <v>44031</v>
      </c>
    </row>
    <row r="94" spans="2:9" customFormat="1" ht="17.25" customHeight="1" x14ac:dyDescent="0.2">
      <c r="B94" s="27"/>
      <c r="C94" s="27"/>
      <c r="D94" s="27"/>
      <c r="E94" s="27"/>
      <c r="F94" s="27"/>
      <c r="G94" s="27"/>
      <c r="H94" s="27"/>
      <c r="I94" s="27"/>
    </row>
    <row r="95" spans="2:9" ht="24.75" customHeight="1" x14ac:dyDescent="0.2">
      <c r="B95" s="39" t="str">
        <f ca="1">CONCATENATE("Trimestre 2, mes ",DATEDIF(CalcFecha,I98,"m")+1)</f>
        <v>Trimestre 2, mes 6</v>
      </c>
      <c r="C95" s="27"/>
      <c r="D95" s="28"/>
      <c r="E95" s="28"/>
      <c r="F95" s="28"/>
      <c r="G95" s="28"/>
      <c r="H95" s="28"/>
      <c r="I95" s="28"/>
    </row>
    <row r="96" spans="2:9" s="4" customFormat="1" ht="17.25" customHeight="1" x14ac:dyDescent="0.2">
      <c r="B96" s="29" t="str">
        <f ca="1">CONCATENATE("Semana ",(DATEDIF(CalcFecha,I98,"d")/7))</f>
        <v>Semana 22</v>
      </c>
      <c r="C96" s="22" t="str">
        <f t="shared" ref="C96:I96" ca="1" si="112">CONCATENATE("Día ",DATEDIF(CalcFecha,C98,"d"))</f>
        <v>Día 148</v>
      </c>
      <c r="D96" s="23" t="str">
        <f t="shared" ca="1" si="112"/>
        <v>Día 149</v>
      </c>
      <c r="E96" s="23" t="str">
        <f t="shared" ca="1" si="112"/>
        <v>Día 150</v>
      </c>
      <c r="F96" s="23" t="str">
        <f t="shared" ca="1" si="112"/>
        <v>Día 151</v>
      </c>
      <c r="G96" s="23" t="str">
        <f t="shared" ca="1" si="112"/>
        <v>Día 152</v>
      </c>
      <c r="H96" s="23" t="str">
        <f t="shared" ca="1" si="112"/>
        <v>Día 153</v>
      </c>
      <c r="I96" s="23" t="str">
        <f t="shared" ca="1" si="112"/>
        <v>Día 154</v>
      </c>
    </row>
    <row r="97" spans="2:9" ht="57" customHeight="1" x14ac:dyDescent="0.2">
      <c r="B97" s="30"/>
      <c r="C97" s="9"/>
      <c r="D97" s="10"/>
      <c r="E97" s="10"/>
      <c r="F97" s="10"/>
      <c r="G97" s="10"/>
      <c r="H97" s="10"/>
      <c r="I97" s="10"/>
    </row>
    <row r="98" spans="2:9" s="5" customFormat="1" ht="17.25" customHeight="1" x14ac:dyDescent="0.25">
      <c r="B98" s="31"/>
      <c r="C98" s="45">
        <f ca="1">I93+1</f>
        <v>44032</v>
      </c>
      <c r="D98" s="46">
        <f t="shared" ref="D98" ca="1" si="113">C98+ 1</f>
        <v>44033</v>
      </c>
      <c r="E98" s="46">
        <f t="shared" ref="E98" ca="1" si="114">D98+ 1</f>
        <v>44034</v>
      </c>
      <c r="F98" s="46">
        <f t="shared" ref="F98" ca="1" si="115">E98+ 1</f>
        <v>44035</v>
      </c>
      <c r="G98" s="46">
        <f t="shared" ref="G98" ca="1" si="116">F98+ 1</f>
        <v>44036</v>
      </c>
      <c r="H98" s="46">
        <f t="shared" ref="H98" ca="1" si="117">G98+ 1</f>
        <v>44037</v>
      </c>
      <c r="I98" s="46">
        <f t="shared" ref="I98" ca="1" si="118">H98+ 1</f>
        <v>44038</v>
      </c>
    </row>
    <row r="99" spans="2:9" ht="17.25" customHeight="1" x14ac:dyDescent="0.2">
      <c r="B99" s="26"/>
      <c r="C99" s="27"/>
      <c r="D99" s="28"/>
      <c r="E99" s="28"/>
      <c r="F99" s="28"/>
      <c r="G99" s="28"/>
      <c r="H99" s="28"/>
      <c r="I99" s="28"/>
    </row>
    <row r="100" spans="2:9" s="4" customFormat="1" ht="17.25" customHeight="1" x14ac:dyDescent="0.2">
      <c r="B100" s="33" t="str">
        <f ca="1">CONCATENATE("Semana ",(DATEDIF(CalcFecha,I102,"d")/7))</f>
        <v>Semana 23</v>
      </c>
      <c r="C100" s="22" t="str">
        <f t="shared" ref="C100:I100" ca="1" si="119">CONCATENATE("Día ",DATEDIF(CalcFecha,C102,"d"))</f>
        <v>Día 155</v>
      </c>
      <c r="D100" s="23" t="str">
        <f t="shared" ca="1" si="119"/>
        <v>Día 156</v>
      </c>
      <c r="E100" s="23" t="str">
        <f t="shared" ca="1" si="119"/>
        <v>Día 157</v>
      </c>
      <c r="F100" s="23" t="str">
        <f t="shared" ca="1" si="119"/>
        <v>Día 158</v>
      </c>
      <c r="G100" s="23" t="str">
        <f t="shared" ca="1" si="119"/>
        <v>Día 159</v>
      </c>
      <c r="H100" s="23" t="str">
        <f t="shared" ca="1" si="119"/>
        <v>Día 160</v>
      </c>
      <c r="I100" s="23" t="str">
        <f t="shared" ca="1" si="119"/>
        <v>Día 161</v>
      </c>
    </row>
    <row r="101" spans="2:9" ht="57" customHeight="1" x14ac:dyDescent="0.2">
      <c r="B101" s="34"/>
      <c r="C101" s="9"/>
      <c r="D101" s="10"/>
      <c r="E101" s="10"/>
      <c r="F101" s="10"/>
      <c r="G101" s="10"/>
      <c r="H101" s="10"/>
      <c r="I101" s="10"/>
    </row>
    <row r="102" spans="2:9" s="5" customFormat="1" ht="17.25" customHeight="1" x14ac:dyDescent="0.25">
      <c r="B102" s="35"/>
      <c r="C102" s="45">
        <f ca="1">I98+1</f>
        <v>44039</v>
      </c>
      <c r="D102" s="46">
        <f t="shared" ref="D102" ca="1" si="120">C102+ 1</f>
        <v>44040</v>
      </c>
      <c r="E102" s="46">
        <f t="shared" ref="E102" ca="1" si="121">D102+ 1</f>
        <v>44041</v>
      </c>
      <c r="F102" s="46">
        <f t="shared" ref="F102" ca="1" si="122">E102+ 1</f>
        <v>44042</v>
      </c>
      <c r="G102" s="46">
        <f t="shared" ref="G102" ca="1" si="123">F102+ 1</f>
        <v>44043</v>
      </c>
      <c r="H102" s="46">
        <f t="shared" ref="H102" ca="1" si="124">G102+ 1</f>
        <v>44044</v>
      </c>
      <c r="I102" s="46">
        <f t="shared" ref="I102" ca="1" si="125">H102+ 1</f>
        <v>44045</v>
      </c>
    </row>
    <row r="103" spans="2:9" ht="17.25" customHeight="1" x14ac:dyDescent="0.2">
      <c r="B103" s="27"/>
      <c r="C103" s="27"/>
      <c r="D103" s="27"/>
      <c r="E103" s="27"/>
      <c r="F103" s="27"/>
      <c r="G103" s="27"/>
      <c r="H103" s="27"/>
      <c r="I103" s="27"/>
    </row>
    <row r="104" spans="2:9" s="4" customFormat="1" ht="17.25" customHeight="1" x14ac:dyDescent="0.2">
      <c r="B104" s="36" t="str">
        <f ca="1">CONCATENATE("Semana ",(DATEDIF(CalcFecha,I106,"d")/7))</f>
        <v>Semana 24</v>
      </c>
      <c r="C104" s="22" t="str">
        <f t="shared" ref="C104:I104" ca="1" si="126">CONCATENATE("Día ",DATEDIF(CalcFecha,C106,"d"))</f>
        <v>Día 162</v>
      </c>
      <c r="D104" s="23" t="str">
        <f t="shared" ca="1" si="126"/>
        <v>Día 163</v>
      </c>
      <c r="E104" s="23" t="str">
        <f t="shared" ca="1" si="126"/>
        <v>Día 164</v>
      </c>
      <c r="F104" s="23" t="str">
        <f t="shared" ca="1" si="126"/>
        <v>Día 165</v>
      </c>
      <c r="G104" s="23" t="str">
        <f t="shared" ca="1" si="126"/>
        <v>Día 166</v>
      </c>
      <c r="H104" s="23" t="str">
        <f t="shared" ca="1" si="126"/>
        <v>Día 167</v>
      </c>
      <c r="I104" s="23" t="str">
        <f t="shared" ca="1" si="126"/>
        <v>Día 168</v>
      </c>
    </row>
    <row r="105" spans="2:9" ht="57" customHeight="1" x14ac:dyDescent="0.2">
      <c r="B105" s="37"/>
      <c r="C105" s="9"/>
      <c r="D105" s="10"/>
      <c r="E105" s="10"/>
      <c r="F105" s="10"/>
      <c r="G105" s="10"/>
      <c r="H105" s="10"/>
      <c r="I105" s="10"/>
    </row>
    <row r="106" spans="2:9" s="5" customFormat="1" ht="17.25" customHeight="1" x14ac:dyDescent="0.25">
      <c r="B106" s="38"/>
      <c r="C106" s="45">
        <f ca="1">I102+1</f>
        <v>44046</v>
      </c>
      <c r="D106" s="45">
        <f t="shared" ref="D106:I106" ca="1" si="127">C106+1</f>
        <v>44047</v>
      </c>
      <c r="E106" s="45">
        <f t="shared" ca="1" si="127"/>
        <v>44048</v>
      </c>
      <c r="F106" s="45">
        <f t="shared" ca="1" si="127"/>
        <v>44049</v>
      </c>
      <c r="G106" s="45">
        <f t="shared" ca="1" si="127"/>
        <v>44050</v>
      </c>
      <c r="H106" s="45">
        <f t="shared" ca="1" si="127"/>
        <v>44051</v>
      </c>
      <c r="I106" s="45">
        <f t="shared" ca="1" si="127"/>
        <v>44052</v>
      </c>
    </row>
    <row r="107" spans="2:9" ht="16.5" customHeight="1" x14ac:dyDescent="0.2">
      <c r="B107" s="27"/>
      <c r="C107" s="27"/>
      <c r="D107" s="27"/>
      <c r="E107" s="27"/>
      <c r="F107" s="27"/>
      <c r="G107" s="27"/>
      <c r="H107" s="27"/>
      <c r="I107" s="27"/>
    </row>
    <row r="108" spans="2:9" s="4" customFormat="1" ht="17.25" customHeight="1" x14ac:dyDescent="0.2">
      <c r="B108" s="21" t="str">
        <f ca="1">CONCATENATE("Semana ",(DATEDIF(CalcFecha,I110,"d")/7))</f>
        <v>Semana 25</v>
      </c>
      <c r="C108" s="22" t="str">
        <f t="shared" ref="C108:I108" ca="1" si="128">CONCATENATE("Día ",DATEDIF(CalcFecha,C110,"d"))</f>
        <v>Día 169</v>
      </c>
      <c r="D108" s="23" t="str">
        <f t="shared" ca="1" si="128"/>
        <v>Día 170</v>
      </c>
      <c r="E108" s="23" t="str">
        <f t="shared" ca="1" si="128"/>
        <v>Día 171</v>
      </c>
      <c r="F108" s="23" t="str">
        <f t="shared" ca="1" si="128"/>
        <v>Día 172</v>
      </c>
      <c r="G108" s="23" t="str">
        <f t="shared" ca="1" si="128"/>
        <v>Día 173</v>
      </c>
      <c r="H108" s="23" t="str">
        <f t="shared" ca="1" si="128"/>
        <v>Día 174</v>
      </c>
      <c r="I108" s="23" t="str">
        <f t="shared" ca="1" si="128"/>
        <v>Día 175</v>
      </c>
    </row>
    <row r="109" spans="2:9" ht="57" customHeight="1" x14ac:dyDescent="0.2">
      <c r="B109" s="24"/>
      <c r="C109" s="9"/>
      <c r="D109" s="10"/>
      <c r="E109" s="10"/>
      <c r="F109" s="10"/>
      <c r="G109" s="10"/>
      <c r="H109" s="10"/>
      <c r="I109" s="10"/>
    </row>
    <row r="110" spans="2:9" s="5" customFormat="1" ht="17.25" customHeight="1" x14ac:dyDescent="0.25">
      <c r="B110" s="25"/>
      <c r="C110" s="45">
        <f ca="1">I106+1</f>
        <v>44053</v>
      </c>
      <c r="D110" s="46">
        <f ca="1">C110+ 1</f>
        <v>44054</v>
      </c>
      <c r="E110" s="46">
        <f t="shared" ref="E110" ca="1" si="129">D110+ 1</f>
        <v>44055</v>
      </c>
      <c r="F110" s="46">
        <f t="shared" ref="F110" ca="1" si="130">E110+ 1</f>
        <v>44056</v>
      </c>
      <c r="G110" s="46">
        <f t="shared" ref="G110" ca="1" si="131">F110+ 1</f>
        <v>44057</v>
      </c>
      <c r="H110" s="46">
        <f t="shared" ref="H110" ca="1" si="132">G110+ 1</f>
        <v>44058</v>
      </c>
      <c r="I110" s="46">
        <f t="shared" ref="I110" ca="1" si="133">H110+ 1</f>
        <v>44059</v>
      </c>
    </row>
    <row r="111" spans="2:9" ht="17.25" customHeight="1" x14ac:dyDescent="0.2">
      <c r="B111" s="26"/>
      <c r="C111" s="27"/>
      <c r="D111" s="28"/>
      <c r="E111" s="28"/>
      <c r="F111" s="28"/>
      <c r="G111" s="28"/>
      <c r="H111" s="28"/>
      <c r="I111" s="28"/>
    </row>
    <row r="112" spans="2:9" s="4" customFormat="1" ht="17.25" customHeight="1" x14ac:dyDescent="0.2">
      <c r="B112" s="29" t="str">
        <f ca="1">CONCATENATE("Semana ",(DATEDIF(CalcFecha,I114,"d")/7))</f>
        <v>Semana 26</v>
      </c>
      <c r="C112" s="22" t="str">
        <f t="shared" ref="C112:I112" ca="1" si="134">CONCATENATE("Día ",DATEDIF(CalcFecha,C114,"d"))</f>
        <v>Día 176</v>
      </c>
      <c r="D112" s="23" t="str">
        <f t="shared" ca="1" si="134"/>
        <v>Día 177</v>
      </c>
      <c r="E112" s="23" t="str">
        <f t="shared" ca="1" si="134"/>
        <v>Día 178</v>
      </c>
      <c r="F112" s="23" t="str">
        <f t="shared" ca="1" si="134"/>
        <v>Día 179</v>
      </c>
      <c r="G112" s="23" t="str">
        <f t="shared" ca="1" si="134"/>
        <v>Día 180</v>
      </c>
      <c r="H112" s="23" t="str">
        <f t="shared" ca="1" si="134"/>
        <v>Día 181</v>
      </c>
      <c r="I112" s="23" t="str">
        <f t="shared" ca="1" si="134"/>
        <v>Día 182</v>
      </c>
    </row>
    <row r="113" spans="2:9" ht="57" customHeight="1" x14ac:dyDescent="0.2">
      <c r="B113" s="30"/>
      <c r="C113" s="9"/>
      <c r="D113" s="10"/>
      <c r="E113" s="10"/>
      <c r="F113" s="10"/>
      <c r="G113" s="10"/>
      <c r="H113" s="10"/>
      <c r="I113" s="10"/>
    </row>
    <row r="114" spans="2:9" s="5" customFormat="1" ht="17.25" customHeight="1" x14ac:dyDescent="0.25">
      <c r="B114" s="31"/>
      <c r="C114" s="45">
        <f ca="1">I110+1</f>
        <v>44060</v>
      </c>
      <c r="D114" s="46">
        <f t="shared" ref="D114" ca="1" si="135">C114+ 1</f>
        <v>44061</v>
      </c>
      <c r="E114" s="46">
        <f t="shared" ref="E114" ca="1" si="136">D114+ 1</f>
        <v>44062</v>
      </c>
      <c r="F114" s="46">
        <f t="shared" ref="F114" ca="1" si="137">E114+ 1</f>
        <v>44063</v>
      </c>
      <c r="G114" s="46">
        <f t="shared" ref="G114" ca="1" si="138">F114+ 1</f>
        <v>44064</v>
      </c>
      <c r="H114" s="46">
        <f t="shared" ref="H114" ca="1" si="139">G114+ 1</f>
        <v>44065</v>
      </c>
      <c r="I114" s="46">
        <f t="shared" ref="I114" ca="1" si="140">H114+ 1</f>
        <v>44066</v>
      </c>
    </row>
    <row r="115" spans="2:9" customFormat="1" ht="17.25" customHeight="1" x14ac:dyDescent="0.2">
      <c r="B115" s="27"/>
      <c r="C115" s="27"/>
      <c r="D115" s="27"/>
      <c r="E115" s="27"/>
      <c r="F115" s="27"/>
      <c r="G115" s="27"/>
      <c r="H115" s="27"/>
      <c r="I115" s="27"/>
    </row>
    <row r="116" spans="2:9" ht="24.75" customHeight="1" x14ac:dyDescent="0.2">
      <c r="B116" s="39" t="str">
        <f ca="1">CONCATENATE("Trimestre 3, mes ",DATEDIF(CalcFecha,I119,"m")+1)</f>
        <v>Trimestre 3, mes 7</v>
      </c>
      <c r="C116" s="27"/>
      <c r="D116" s="28"/>
      <c r="E116" s="28"/>
      <c r="F116" s="28"/>
      <c r="G116" s="28"/>
      <c r="H116" s="28"/>
      <c r="I116" s="28"/>
    </row>
    <row r="117" spans="2:9" s="4" customFormat="1" ht="17.25" customHeight="1" x14ac:dyDescent="0.2">
      <c r="B117" s="33" t="str">
        <f ca="1">CONCATENATE("Semana ",(DATEDIF(CalcFecha,I119,"d")/7))</f>
        <v>Semana 27</v>
      </c>
      <c r="C117" s="22" t="str">
        <f t="shared" ref="C117:I117" ca="1" si="141">CONCATENATE("Día ",DATEDIF(CalcFecha,C119,"d"))</f>
        <v>Día 183</v>
      </c>
      <c r="D117" s="23" t="str">
        <f t="shared" ca="1" si="141"/>
        <v>Día 184</v>
      </c>
      <c r="E117" s="23" t="str">
        <f t="shared" ca="1" si="141"/>
        <v>Día 185</v>
      </c>
      <c r="F117" s="23" t="str">
        <f t="shared" ca="1" si="141"/>
        <v>Día 186</v>
      </c>
      <c r="G117" s="23" t="str">
        <f t="shared" ca="1" si="141"/>
        <v>Día 187</v>
      </c>
      <c r="H117" s="23" t="str">
        <f t="shared" ca="1" si="141"/>
        <v>Día 188</v>
      </c>
      <c r="I117" s="23" t="str">
        <f t="shared" ca="1" si="141"/>
        <v>Día 189</v>
      </c>
    </row>
    <row r="118" spans="2:9" ht="57" customHeight="1" x14ac:dyDescent="0.2">
      <c r="B118" s="34"/>
      <c r="C118" s="9"/>
      <c r="D118" s="10"/>
      <c r="E118" s="10"/>
      <c r="F118" s="10"/>
      <c r="G118" s="10"/>
      <c r="H118" s="10"/>
      <c r="I118" s="10"/>
    </row>
    <row r="119" spans="2:9" s="5" customFormat="1" ht="17.25" customHeight="1" x14ac:dyDescent="0.25">
      <c r="B119" s="35"/>
      <c r="C119" s="45">
        <f ca="1">I114+1</f>
        <v>44067</v>
      </c>
      <c r="D119" s="46">
        <f t="shared" ref="D119" ca="1" si="142">C119+ 1</f>
        <v>44068</v>
      </c>
      <c r="E119" s="46">
        <f t="shared" ref="E119" ca="1" si="143">D119+ 1</f>
        <v>44069</v>
      </c>
      <c r="F119" s="46">
        <f t="shared" ref="F119" ca="1" si="144">E119+ 1</f>
        <v>44070</v>
      </c>
      <c r="G119" s="46">
        <f t="shared" ref="G119" ca="1" si="145">F119+ 1</f>
        <v>44071</v>
      </c>
      <c r="H119" s="46">
        <f t="shared" ref="H119" ca="1" si="146">G119+ 1</f>
        <v>44072</v>
      </c>
      <c r="I119" s="46">
        <f t="shared" ref="I119" ca="1" si="147">H119+ 1</f>
        <v>44073</v>
      </c>
    </row>
    <row r="120" spans="2:9" ht="17.25" customHeight="1" x14ac:dyDescent="0.2">
      <c r="B120" s="27"/>
      <c r="C120" s="27"/>
      <c r="D120" s="27"/>
      <c r="E120" s="27"/>
      <c r="F120" s="27"/>
      <c r="G120" s="27"/>
      <c r="H120" s="27"/>
      <c r="I120" s="27"/>
    </row>
    <row r="121" spans="2:9" s="4" customFormat="1" ht="17.25" customHeight="1" x14ac:dyDescent="0.2">
      <c r="B121" s="36" t="str">
        <f ca="1">CONCATENATE("Semana ",(DATEDIF(CalcFecha,I123,"d")/7))</f>
        <v>Semana 28</v>
      </c>
      <c r="C121" s="22" t="str">
        <f t="shared" ref="C121:I121" ca="1" si="148">CONCATENATE("Día ",DATEDIF(CalcFecha,C123,"d"))</f>
        <v>Día 190</v>
      </c>
      <c r="D121" s="23" t="str">
        <f t="shared" ca="1" si="148"/>
        <v>Día 191</v>
      </c>
      <c r="E121" s="23" t="str">
        <f t="shared" ca="1" si="148"/>
        <v>Día 192</v>
      </c>
      <c r="F121" s="23" t="str">
        <f t="shared" ca="1" si="148"/>
        <v>Día 193</v>
      </c>
      <c r="G121" s="23" t="str">
        <f t="shared" ca="1" si="148"/>
        <v>Día 194</v>
      </c>
      <c r="H121" s="23" t="str">
        <f t="shared" ca="1" si="148"/>
        <v>Día 195</v>
      </c>
      <c r="I121" s="23" t="str">
        <f t="shared" ca="1" si="148"/>
        <v>Día 196</v>
      </c>
    </row>
    <row r="122" spans="2:9" ht="57" customHeight="1" x14ac:dyDescent="0.2">
      <c r="B122" s="37"/>
      <c r="C122" s="9"/>
      <c r="D122" s="10"/>
      <c r="E122" s="10"/>
      <c r="F122" s="10"/>
      <c r="G122" s="10"/>
      <c r="H122" s="10"/>
      <c r="I122" s="10"/>
    </row>
    <row r="123" spans="2:9" s="5" customFormat="1" ht="17.25" customHeight="1" x14ac:dyDescent="0.25">
      <c r="B123" s="38"/>
      <c r="C123" s="45">
        <f ca="1">I119+1</f>
        <v>44074</v>
      </c>
      <c r="D123" s="45">
        <f t="shared" ref="D123:I123" ca="1" si="149">C123+1</f>
        <v>44075</v>
      </c>
      <c r="E123" s="45">
        <f t="shared" ca="1" si="149"/>
        <v>44076</v>
      </c>
      <c r="F123" s="45">
        <f t="shared" ca="1" si="149"/>
        <v>44077</v>
      </c>
      <c r="G123" s="45">
        <f t="shared" ca="1" si="149"/>
        <v>44078</v>
      </c>
      <c r="H123" s="45">
        <f t="shared" ca="1" si="149"/>
        <v>44079</v>
      </c>
      <c r="I123" s="45">
        <f t="shared" ca="1" si="149"/>
        <v>44080</v>
      </c>
    </row>
    <row r="124" spans="2:9" ht="16.5" customHeight="1" x14ac:dyDescent="0.2">
      <c r="B124" s="27"/>
      <c r="C124" s="27"/>
      <c r="D124" s="27"/>
      <c r="E124" s="27"/>
      <c r="F124" s="27"/>
      <c r="G124" s="27"/>
      <c r="H124" s="27"/>
      <c r="I124" s="27"/>
    </row>
    <row r="125" spans="2:9" s="4" customFormat="1" ht="17.25" customHeight="1" x14ac:dyDescent="0.2">
      <c r="B125" s="21" t="str">
        <f ca="1">CONCATENATE("Semana ",(DATEDIF(CalcFecha,I127,"d")/7))</f>
        <v>Semana 29</v>
      </c>
      <c r="C125" s="22" t="str">
        <f t="shared" ref="C125:I125" ca="1" si="150">CONCATENATE("Día ",DATEDIF(CalcFecha,C127,"d"))</f>
        <v>Día 197</v>
      </c>
      <c r="D125" s="23" t="str">
        <f t="shared" ca="1" si="150"/>
        <v>Día 198</v>
      </c>
      <c r="E125" s="23" t="str">
        <f t="shared" ca="1" si="150"/>
        <v>Día 199</v>
      </c>
      <c r="F125" s="23" t="str">
        <f t="shared" ca="1" si="150"/>
        <v>Día 200</v>
      </c>
      <c r="G125" s="23" t="str">
        <f t="shared" ca="1" si="150"/>
        <v>Día 201</v>
      </c>
      <c r="H125" s="23" t="str">
        <f t="shared" ca="1" si="150"/>
        <v>Día 202</v>
      </c>
      <c r="I125" s="23" t="str">
        <f t="shared" ca="1" si="150"/>
        <v>Día 203</v>
      </c>
    </row>
    <row r="126" spans="2:9" ht="57" customHeight="1" x14ac:dyDescent="0.2">
      <c r="B126" s="24"/>
      <c r="C126" s="9"/>
      <c r="D126" s="10"/>
      <c r="E126" s="10"/>
      <c r="F126" s="10"/>
      <c r="G126" s="10"/>
      <c r="H126" s="10"/>
      <c r="I126" s="10"/>
    </row>
    <row r="127" spans="2:9" s="5" customFormat="1" ht="17.25" customHeight="1" x14ac:dyDescent="0.25">
      <c r="B127" s="25"/>
      <c r="C127" s="45">
        <f ca="1">I123+1</f>
        <v>44081</v>
      </c>
      <c r="D127" s="46">
        <f ca="1">C127+ 1</f>
        <v>44082</v>
      </c>
      <c r="E127" s="46">
        <f t="shared" ref="E127" ca="1" si="151">D127+ 1</f>
        <v>44083</v>
      </c>
      <c r="F127" s="46">
        <f t="shared" ref="F127" ca="1" si="152">E127+ 1</f>
        <v>44084</v>
      </c>
      <c r="G127" s="46">
        <f t="shared" ref="G127" ca="1" si="153">F127+ 1</f>
        <v>44085</v>
      </c>
      <c r="H127" s="46">
        <f t="shared" ref="H127" ca="1" si="154">G127+ 1</f>
        <v>44086</v>
      </c>
      <c r="I127" s="46">
        <f t="shared" ref="I127" ca="1" si="155">H127+ 1</f>
        <v>44087</v>
      </c>
    </row>
    <row r="128" spans="2:9" ht="17.25" customHeight="1" x14ac:dyDescent="0.2">
      <c r="B128" s="26"/>
      <c r="C128" s="27"/>
      <c r="D128" s="28"/>
      <c r="E128" s="28"/>
      <c r="F128" s="28"/>
      <c r="G128" s="28"/>
      <c r="H128" s="28"/>
      <c r="I128" s="28"/>
    </row>
    <row r="129" spans="2:9" s="4" customFormat="1" ht="17.25" customHeight="1" x14ac:dyDescent="0.2">
      <c r="B129" s="29" t="str">
        <f ca="1">CONCATENATE("Semana ",(DATEDIF(CalcFecha,I131,"d")/7))</f>
        <v>Semana 30</v>
      </c>
      <c r="C129" s="22" t="str">
        <f t="shared" ref="C129:I129" ca="1" si="156">CONCATENATE("Día ",DATEDIF(CalcFecha,C131,"d"))</f>
        <v>Día 204</v>
      </c>
      <c r="D129" s="23" t="str">
        <f t="shared" ca="1" si="156"/>
        <v>Día 205</v>
      </c>
      <c r="E129" s="23" t="str">
        <f t="shared" ca="1" si="156"/>
        <v>Día 206</v>
      </c>
      <c r="F129" s="23" t="str">
        <f t="shared" ca="1" si="156"/>
        <v>Día 207</v>
      </c>
      <c r="G129" s="23" t="str">
        <f t="shared" ca="1" si="156"/>
        <v>Día 208</v>
      </c>
      <c r="H129" s="23" t="str">
        <f t="shared" ca="1" si="156"/>
        <v>Día 209</v>
      </c>
      <c r="I129" s="23" t="str">
        <f t="shared" ca="1" si="156"/>
        <v>Día 210</v>
      </c>
    </row>
    <row r="130" spans="2:9" ht="57" customHeight="1" x14ac:dyDescent="0.2">
      <c r="B130" s="30"/>
      <c r="C130" s="9"/>
      <c r="D130" s="10"/>
      <c r="E130" s="10"/>
      <c r="F130" s="10"/>
      <c r="G130" s="10"/>
      <c r="H130" s="10"/>
      <c r="I130" s="10"/>
    </row>
    <row r="131" spans="2:9" s="5" customFormat="1" ht="17.25" customHeight="1" x14ac:dyDescent="0.25">
      <c r="B131" s="31"/>
      <c r="C131" s="45">
        <f ca="1">I127+1</f>
        <v>44088</v>
      </c>
      <c r="D131" s="46">
        <f t="shared" ref="D131" ca="1" si="157">C131+ 1</f>
        <v>44089</v>
      </c>
      <c r="E131" s="46">
        <f t="shared" ref="E131" ca="1" si="158">D131+ 1</f>
        <v>44090</v>
      </c>
      <c r="F131" s="46">
        <f t="shared" ref="F131" ca="1" si="159">E131+ 1</f>
        <v>44091</v>
      </c>
      <c r="G131" s="46">
        <f t="shared" ref="G131" ca="1" si="160">F131+ 1</f>
        <v>44092</v>
      </c>
      <c r="H131" s="46">
        <f t="shared" ref="H131" ca="1" si="161">G131+ 1</f>
        <v>44093</v>
      </c>
      <c r="I131" s="46">
        <f t="shared" ref="I131" ca="1" si="162">H131+ 1</f>
        <v>44094</v>
      </c>
    </row>
    <row r="132" spans="2:9" customFormat="1" ht="17.25" customHeight="1" x14ac:dyDescent="0.2">
      <c r="B132" s="27"/>
      <c r="C132" s="27"/>
      <c r="D132" s="27"/>
      <c r="E132" s="27"/>
      <c r="F132" s="27"/>
      <c r="G132" s="27"/>
      <c r="H132" s="27"/>
      <c r="I132" s="27"/>
    </row>
    <row r="133" spans="2:9" ht="24.75" customHeight="1" x14ac:dyDescent="0.2">
      <c r="B133" s="39" t="str">
        <f ca="1">CONCATENATE("Trimestre 3, mes ",DATEDIF(CalcFecha,I136,"m")+1)</f>
        <v>Trimestre 3, mes 8</v>
      </c>
      <c r="C133" s="27"/>
      <c r="D133" s="28"/>
      <c r="E133" s="28"/>
      <c r="F133" s="28"/>
      <c r="G133" s="28"/>
      <c r="H133" s="28"/>
      <c r="I133" s="28"/>
    </row>
    <row r="134" spans="2:9" s="4" customFormat="1" ht="17.25" customHeight="1" x14ac:dyDescent="0.2">
      <c r="B134" s="33" t="str">
        <f ca="1">CONCATENATE("Semana ",(DATEDIF(CalcFecha,I136,"d")/7))</f>
        <v>Semana 31</v>
      </c>
      <c r="C134" s="22" t="str">
        <f t="shared" ref="C134:I134" ca="1" si="163">CONCATENATE("Día ",DATEDIF(CalcFecha,C136,"d"))</f>
        <v>Día 211</v>
      </c>
      <c r="D134" s="23" t="str">
        <f t="shared" ca="1" si="163"/>
        <v>Día 212</v>
      </c>
      <c r="E134" s="23" t="str">
        <f t="shared" ca="1" si="163"/>
        <v>Día 213</v>
      </c>
      <c r="F134" s="23" t="str">
        <f t="shared" ca="1" si="163"/>
        <v>Día 214</v>
      </c>
      <c r="G134" s="23" t="str">
        <f t="shared" ca="1" si="163"/>
        <v>Día 215</v>
      </c>
      <c r="H134" s="23" t="str">
        <f t="shared" ca="1" si="163"/>
        <v>Día 216</v>
      </c>
      <c r="I134" s="23" t="str">
        <f t="shared" ca="1" si="163"/>
        <v>Día 217</v>
      </c>
    </row>
    <row r="135" spans="2:9" ht="57" customHeight="1" x14ac:dyDescent="0.2">
      <c r="B135" s="34"/>
      <c r="C135" s="9"/>
      <c r="D135" s="10"/>
      <c r="E135" s="10"/>
      <c r="F135" s="10"/>
      <c r="G135" s="10"/>
      <c r="H135" s="10"/>
      <c r="I135" s="10"/>
    </row>
    <row r="136" spans="2:9" s="5" customFormat="1" ht="17.25" customHeight="1" x14ac:dyDescent="0.25">
      <c r="B136" s="35"/>
      <c r="C136" s="45">
        <f ca="1">I131+1</f>
        <v>44095</v>
      </c>
      <c r="D136" s="46">
        <f t="shared" ref="D136" ca="1" si="164">C136+ 1</f>
        <v>44096</v>
      </c>
      <c r="E136" s="46">
        <f t="shared" ref="E136" ca="1" si="165">D136+ 1</f>
        <v>44097</v>
      </c>
      <c r="F136" s="46">
        <f t="shared" ref="F136" ca="1" si="166">E136+ 1</f>
        <v>44098</v>
      </c>
      <c r="G136" s="46">
        <f t="shared" ref="G136" ca="1" si="167">F136+ 1</f>
        <v>44099</v>
      </c>
      <c r="H136" s="46">
        <f t="shared" ref="H136" ca="1" si="168">G136+ 1</f>
        <v>44100</v>
      </c>
      <c r="I136" s="46">
        <f t="shared" ref="I136" ca="1" si="169">H136+ 1</f>
        <v>44101</v>
      </c>
    </row>
    <row r="137" spans="2:9" ht="17.25" customHeight="1" x14ac:dyDescent="0.2">
      <c r="B137" s="27"/>
      <c r="C137" s="27"/>
      <c r="D137" s="27"/>
      <c r="E137" s="27"/>
      <c r="F137" s="27"/>
      <c r="G137" s="27"/>
      <c r="H137" s="27"/>
      <c r="I137" s="27"/>
    </row>
    <row r="138" spans="2:9" s="4" customFormat="1" ht="17.25" customHeight="1" x14ac:dyDescent="0.2">
      <c r="B138" s="36" t="str">
        <f ca="1">CONCATENATE("Semana ",(DATEDIF(CalcFecha,I140,"d")/7))</f>
        <v>Semana 32</v>
      </c>
      <c r="C138" s="22" t="str">
        <f t="shared" ref="C138:I138" ca="1" si="170">CONCATENATE("Día ",DATEDIF(CalcFecha,C140,"d"))</f>
        <v>Día 218</v>
      </c>
      <c r="D138" s="23" t="str">
        <f t="shared" ca="1" si="170"/>
        <v>Día 219</v>
      </c>
      <c r="E138" s="23" t="str">
        <f t="shared" ca="1" si="170"/>
        <v>Día 220</v>
      </c>
      <c r="F138" s="23" t="str">
        <f t="shared" ca="1" si="170"/>
        <v>Día 221</v>
      </c>
      <c r="G138" s="23" t="str">
        <f t="shared" ca="1" si="170"/>
        <v>Día 222</v>
      </c>
      <c r="H138" s="23" t="str">
        <f t="shared" ca="1" si="170"/>
        <v>Día 223</v>
      </c>
      <c r="I138" s="23" t="str">
        <f t="shared" ca="1" si="170"/>
        <v>Día 224</v>
      </c>
    </row>
    <row r="139" spans="2:9" ht="57" customHeight="1" x14ac:dyDescent="0.2">
      <c r="B139" s="37"/>
      <c r="C139" s="9"/>
      <c r="D139" s="10"/>
      <c r="E139" s="10"/>
      <c r="F139" s="10"/>
      <c r="G139" s="10"/>
      <c r="H139" s="10"/>
      <c r="I139" s="10"/>
    </row>
    <row r="140" spans="2:9" s="5" customFormat="1" ht="17.25" customHeight="1" x14ac:dyDescent="0.25">
      <c r="B140" s="38"/>
      <c r="C140" s="45">
        <f ca="1">I136+1</f>
        <v>44102</v>
      </c>
      <c r="D140" s="45">
        <f t="shared" ref="D140:I140" ca="1" si="171">C140+1</f>
        <v>44103</v>
      </c>
      <c r="E140" s="45">
        <f t="shared" ca="1" si="171"/>
        <v>44104</v>
      </c>
      <c r="F140" s="45">
        <f t="shared" ca="1" si="171"/>
        <v>44105</v>
      </c>
      <c r="G140" s="45">
        <f t="shared" ca="1" si="171"/>
        <v>44106</v>
      </c>
      <c r="H140" s="45">
        <f t="shared" ca="1" si="171"/>
        <v>44107</v>
      </c>
      <c r="I140" s="45">
        <f t="shared" ca="1" si="171"/>
        <v>44108</v>
      </c>
    </row>
    <row r="141" spans="2:9" ht="16.5" customHeight="1" x14ac:dyDescent="0.2">
      <c r="B141" s="27"/>
      <c r="C141" s="27"/>
      <c r="D141" s="27"/>
      <c r="E141" s="27"/>
      <c r="F141" s="27"/>
      <c r="G141" s="27"/>
      <c r="H141" s="27"/>
      <c r="I141" s="27"/>
    </row>
    <row r="142" spans="2:9" s="4" customFormat="1" ht="17.25" customHeight="1" x14ac:dyDescent="0.2">
      <c r="B142" s="21" t="str">
        <f ca="1">CONCATENATE("Semana ",(DATEDIF(CalcFecha,I144,"d")/7))</f>
        <v>Semana 33</v>
      </c>
      <c r="C142" s="22" t="str">
        <f t="shared" ref="C142:I142" ca="1" si="172">CONCATENATE("Día ",DATEDIF(CalcFecha,C144,"d"))</f>
        <v>Día 225</v>
      </c>
      <c r="D142" s="23" t="str">
        <f t="shared" ca="1" si="172"/>
        <v>Día 226</v>
      </c>
      <c r="E142" s="23" t="str">
        <f t="shared" ca="1" si="172"/>
        <v>Día 227</v>
      </c>
      <c r="F142" s="23" t="str">
        <f t="shared" ca="1" si="172"/>
        <v>Día 228</v>
      </c>
      <c r="G142" s="23" t="str">
        <f t="shared" ca="1" si="172"/>
        <v>Día 229</v>
      </c>
      <c r="H142" s="23" t="str">
        <f t="shared" ca="1" si="172"/>
        <v>Día 230</v>
      </c>
      <c r="I142" s="23" t="str">
        <f t="shared" ca="1" si="172"/>
        <v>Día 231</v>
      </c>
    </row>
    <row r="143" spans="2:9" ht="57" customHeight="1" x14ac:dyDescent="0.2">
      <c r="B143" s="24"/>
      <c r="C143" s="9"/>
      <c r="D143" s="10"/>
      <c r="E143" s="10"/>
      <c r="F143" s="10"/>
      <c r="G143" s="10"/>
      <c r="H143" s="10"/>
      <c r="I143" s="10"/>
    </row>
    <row r="144" spans="2:9" s="5" customFormat="1" ht="17.25" customHeight="1" x14ac:dyDescent="0.25">
      <c r="B144" s="25"/>
      <c r="C144" s="45">
        <f ca="1">I140+1</f>
        <v>44109</v>
      </c>
      <c r="D144" s="46">
        <f ca="1">C144+ 1</f>
        <v>44110</v>
      </c>
      <c r="E144" s="46">
        <f t="shared" ref="E144" ca="1" si="173">D144+ 1</f>
        <v>44111</v>
      </c>
      <c r="F144" s="46">
        <f t="shared" ref="F144" ca="1" si="174">E144+ 1</f>
        <v>44112</v>
      </c>
      <c r="G144" s="46">
        <f t="shared" ref="G144" ca="1" si="175">F144+ 1</f>
        <v>44113</v>
      </c>
      <c r="H144" s="46">
        <f t="shared" ref="H144" ca="1" si="176">G144+ 1</f>
        <v>44114</v>
      </c>
      <c r="I144" s="46">
        <f t="shared" ref="I144" ca="1" si="177">H144+ 1</f>
        <v>44115</v>
      </c>
    </row>
    <row r="145" spans="2:9" ht="17.25" customHeight="1" x14ac:dyDescent="0.2">
      <c r="B145" s="26"/>
      <c r="C145" s="27"/>
      <c r="D145" s="28"/>
      <c r="E145" s="28"/>
      <c r="F145" s="28"/>
      <c r="G145" s="28"/>
      <c r="H145" s="28"/>
      <c r="I145" s="28"/>
    </row>
    <row r="146" spans="2:9" s="4" customFormat="1" ht="17.25" customHeight="1" x14ac:dyDescent="0.2">
      <c r="B146" s="29" t="str">
        <f ca="1">CONCATENATE("Semana ",(DATEDIF(CalcFecha,I148,"d")/7))</f>
        <v>Semana 34</v>
      </c>
      <c r="C146" s="22" t="str">
        <f t="shared" ref="C146:I146" ca="1" si="178">CONCATENATE("Día ",DATEDIF(CalcFecha,C148,"d"))</f>
        <v>Día 232</v>
      </c>
      <c r="D146" s="23" t="str">
        <f t="shared" ca="1" si="178"/>
        <v>Día 233</v>
      </c>
      <c r="E146" s="23" t="str">
        <f t="shared" ca="1" si="178"/>
        <v>Día 234</v>
      </c>
      <c r="F146" s="23" t="str">
        <f t="shared" ca="1" si="178"/>
        <v>Día 235</v>
      </c>
      <c r="G146" s="23" t="str">
        <f t="shared" ca="1" si="178"/>
        <v>Día 236</v>
      </c>
      <c r="H146" s="23" t="str">
        <f t="shared" ca="1" si="178"/>
        <v>Día 237</v>
      </c>
      <c r="I146" s="23" t="str">
        <f t="shared" ca="1" si="178"/>
        <v>Día 238</v>
      </c>
    </row>
    <row r="147" spans="2:9" ht="57" customHeight="1" x14ac:dyDescent="0.2">
      <c r="B147" s="30"/>
      <c r="C147" s="9"/>
      <c r="D147" s="10"/>
      <c r="E147" s="10"/>
      <c r="F147" s="10"/>
      <c r="G147" s="10"/>
      <c r="H147" s="10"/>
      <c r="I147" s="10"/>
    </row>
    <row r="148" spans="2:9" s="5" customFormat="1" ht="17.25" customHeight="1" x14ac:dyDescent="0.25">
      <c r="B148" s="31"/>
      <c r="C148" s="45">
        <f ca="1">I144+1</f>
        <v>44116</v>
      </c>
      <c r="D148" s="46">
        <f t="shared" ref="D148" ca="1" si="179">C148+ 1</f>
        <v>44117</v>
      </c>
      <c r="E148" s="46">
        <f t="shared" ref="E148" ca="1" si="180">D148+ 1</f>
        <v>44118</v>
      </c>
      <c r="F148" s="46">
        <f t="shared" ref="F148" ca="1" si="181">E148+ 1</f>
        <v>44119</v>
      </c>
      <c r="G148" s="46">
        <f t="shared" ref="G148" ca="1" si="182">F148+ 1</f>
        <v>44120</v>
      </c>
      <c r="H148" s="46">
        <f t="shared" ref="H148" ca="1" si="183">G148+ 1</f>
        <v>44121</v>
      </c>
      <c r="I148" s="46">
        <f t="shared" ref="I148" ca="1" si="184">H148+ 1</f>
        <v>44122</v>
      </c>
    </row>
    <row r="149" spans="2:9" ht="17.25" customHeight="1" x14ac:dyDescent="0.2">
      <c r="B149" s="26"/>
      <c r="C149" s="27"/>
      <c r="D149" s="28"/>
      <c r="E149" s="28"/>
      <c r="F149" s="28"/>
      <c r="G149" s="28"/>
      <c r="H149" s="28"/>
      <c r="I149" s="28"/>
    </row>
    <row r="150" spans="2:9" s="4" customFormat="1" ht="17.25" customHeight="1" x14ac:dyDescent="0.2">
      <c r="B150" s="33" t="str">
        <f ca="1">CONCATENATE("Semana ",(DATEDIF(CalcFecha,I152,"d")/7))</f>
        <v>Semana 35</v>
      </c>
      <c r="C150" s="22" t="str">
        <f t="shared" ref="C150:I150" ca="1" si="185">CONCATENATE("Día ",DATEDIF(CalcFecha,C152,"d"))</f>
        <v>Día 239</v>
      </c>
      <c r="D150" s="23" t="str">
        <f t="shared" ca="1" si="185"/>
        <v>Día 240</v>
      </c>
      <c r="E150" s="23" t="str">
        <f t="shared" ca="1" si="185"/>
        <v>Día 241</v>
      </c>
      <c r="F150" s="23" t="str">
        <f t="shared" ca="1" si="185"/>
        <v>Día 242</v>
      </c>
      <c r="G150" s="23" t="str">
        <f t="shared" ca="1" si="185"/>
        <v>Día 243</v>
      </c>
      <c r="H150" s="23" t="str">
        <f t="shared" ca="1" si="185"/>
        <v>Día 244</v>
      </c>
      <c r="I150" s="23" t="str">
        <f t="shared" ca="1" si="185"/>
        <v>Día 245</v>
      </c>
    </row>
    <row r="151" spans="2:9" ht="57" customHeight="1" x14ac:dyDescent="0.2">
      <c r="B151" s="34"/>
      <c r="C151" s="9"/>
      <c r="D151" s="10"/>
      <c r="E151" s="10"/>
      <c r="F151" s="10"/>
      <c r="G151" s="10"/>
      <c r="H151" s="10"/>
      <c r="I151" s="10"/>
    </row>
    <row r="152" spans="2:9" s="5" customFormat="1" ht="17.25" customHeight="1" x14ac:dyDescent="0.25">
      <c r="B152" s="35"/>
      <c r="C152" s="45">
        <f ca="1">I148+1</f>
        <v>44123</v>
      </c>
      <c r="D152" s="46">
        <f t="shared" ref="D152" ca="1" si="186">C152+ 1</f>
        <v>44124</v>
      </c>
      <c r="E152" s="46">
        <f t="shared" ref="E152" ca="1" si="187">D152+ 1</f>
        <v>44125</v>
      </c>
      <c r="F152" s="46">
        <f t="shared" ref="F152" ca="1" si="188">E152+ 1</f>
        <v>44126</v>
      </c>
      <c r="G152" s="46">
        <f t="shared" ref="G152" ca="1" si="189">F152+ 1</f>
        <v>44127</v>
      </c>
      <c r="H152" s="46">
        <f t="shared" ref="H152" ca="1" si="190">G152+ 1</f>
        <v>44128</v>
      </c>
      <c r="I152" s="46">
        <f t="shared" ref="I152" ca="1" si="191">H152+ 1</f>
        <v>44129</v>
      </c>
    </row>
    <row r="153" spans="2:9" customFormat="1" ht="17.25" customHeight="1" x14ac:dyDescent="0.2">
      <c r="B153" s="27"/>
      <c r="C153" s="27"/>
      <c r="D153" s="27"/>
      <c r="E153" s="27"/>
      <c r="F153" s="27"/>
      <c r="G153" s="27"/>
      <c r="H153" s="27"/>
      <c r="I153" s="27"/>
    </row>
    <row r="154" spans="2:9" ht="24.75" customHeight="1" x14ac:dyDescent="0.2">
      <c r="B154" s="39" t="str">
        <f ca="1">CONCATENATE("Trimestre 3, mes ",DATEDIF(CalcFecha,I161,"m")+1)</f>
        <v>Trimestre 3, mes 9</v>
      </c>
      <c r="C154" s="27"/>
      <c r="D154" s="27"/>
      <c r="E154" s="27"/>
      <c r="F154" s="27"/>
      <c r="G154" s="27"/>
      <c r="H154" s="27"/>
      <c r="I154" s="27"/>
    </row>
    <row r="155" spans="2:9" s="4" customFormat="1" ht="17.25" customHeight="1" x14ac:dyDescent="0.2">
      <c r="B155" s="36" t="str">
        <f ca="1">CONCATENATE("Semana ",(DATEDIF(CalcFecha,I157,"d")/7))</f>
        <v>Semana 36</v>
      </c>
      <c r="C155" s="22" t="str">
        <f t="shared" ref="C155:I155" ca="1" si="192">CONCATENATE("Día ",DATEDIF(CalcFecha,C157,"d"))</f>
        <v>Día 246</v>
      </c>
      <c r="D155" s="23" t="str">
        <f t="shared" ca="1" si="192"/>
        <v>Día 247</v>
      </c>
      <c r="E155" s="23" t="str">
        <f t="shared" ca="1" si="192"/>
        <v>Día 248</v>
      </c>
      <c r="F155" s="23" t="str">
        <f t="shared" ca="1" si="192"/>
        <v>Día 249</v>
      </c>
      <c r="G155" s="23" t="str">
        <f t="shared" ca="1" si="192"/>
        <v>Día 250</v>
      </c>
      <c r="H155" s="23" t="str">
        <f t="shared" ca="1" si="192"/>
        <v>Día 251</v>
      </c>
      <c r="I155" s="23" t="str">
        <f t="shared" ca="1" si="192"/>
        <v>Día 252</v>
      </c>
    </row>
    <row r="156" spans="2:9" ht="57" customHeight="1" x14ac:dyDescent="0.2">
      <c r="B156" s="37"/>
      <c r="C156" s="9"/>
      <c r="D156" s="10"/>
      <c r="E156" s="10"/>
      <c r="F156" s="10"/>
      <c r="G156" s="10"/>
      <c r="H156" s="10"/>
      <c r="I156" s="10"/>
    </row>
    <row r="157" spans="2:9" s="5" customFormat="1" ht="17.25" customHeight="1" x14ac:dyDescent="0.25">
      <c r="B157" s="38"/>
      <c r="C157" s="45">
        <f ca="1">I152+1</f>
        <v>44130</v>
      </c>
      <c r="D157" s="45">
        <f t="shared" ref="D157:I157" ca="1" si="193">C157+1</f>
        <v>44131</v>
      </c>
      <c r="E157" s="45">
        <f t="shared" ca="1" si="193"/>
        <v>44132</v>
      </c>
      <c r="F157" s="45">
        <f t="shared" ca="1" si="193"/>
        <v>44133</v>
      </c>
      <c r="G157" s="45">
        <f t="shared" ca="1" si="193"/>
        <v>44134</v>
      </c>
      <c r="H157" s="45">
        <f t="shared" ca="1" si="193"/>
        <v>44135</v>
      </c>
      <c r="I157" s="45">
        <f t="shared" ca="1" si="193"/>
        <v>44136</v>
      </c>
    </row>
    <row r="158" spans="2:9" ht="16.5" customHeight="1" x14ac:dyDescent="0.2">
      <c r="B158" s="27"/>
      <c r="C158" s="27"/>
      <c r="D158" s="27"/>
      <c r="E158" s="27"/>
      <c r="F158" s="27"/>
      <c r="G158" s="27"/>
      <c r="H158" s="27"/>
      <c r="I158" s="27"/>
    </row>
    <row r="159" spans="2:9" s="4" customFormat="1" ht="17.25" customHeight="1" x14ac:dyDescent="0.2">
      <c r="B159" s="21" t="str">
        <f ca="1">CONCATENATE("Semana ",(DATEDIF(CalcFecha,I161,"d")/7))</f>
        <v>Semana 37</v>
      </c>
      <c r="C159" s="22" t="str">
        <f t="shared" ref="C159:I159" ca="1" si="194">CONCATENATE("Día ",DATEDIF(CalcFecha,C161,"d"))</f>
        <v>Día 253</v>
      </c>
      <c r="D159" s="23" t="str">
        <f t="shared" ca="1" si="194"/>
        <v>Día 254</v>
      </c>
      <c r="E159" s="23" t="str">
        <f t="shared" ca="1" si="194"/>
        <v>Día 255</v>
      </c>
      <c r="F159" s="23" t="str">
        <f t="shared" ca="1" si="194"/>
        <v>Día 256</v>
      </c>
      <c r="G159" s="23" t="str">
        <f t="shared" ca="1" si="194"/>
        <v>Día 257</v>
      </c>
      <c r="H159" s="23" t="str">
        <f t="shared" ca="1" si="194"/>
        <v>Día 258</v>
      </c>
      <c r="I159" s="23" t="str">
        <f t="shared" ca="1" si="194"/>
        <v>Día 259</v>
      </c>
    </row>
    <row r="160" spans="2:9" ht="57" customHeight="1" x14ac:dyDescent="0.2">
      <c r="B160" s="24"/>
      <c r="C160" s="9"/>
      <c r="D160" s="10"/>
      <c r="E160" s="10"/>
      <c r="F160" s="10"/>
      <c r="G160" s="10"/>
      <c r="H160" s="10"/>
      <c r="I160" s="10"/>
    </row>
    <row r="161" spans="2:9" s="5" customFormat="1" ht="17.25" customHeight="1" x14ac:dyDescent="0.25">
      <c r="B161" s="25"/>
      <c r="C161" s="45">
        <f ca="1">I157+1</f>
        <v>44137</v>
      </c>
      <c r="D161" s="46">
        <f ca="1">C161+ 1</f>
        <v>44138</v>
      </c>
      <c r="E161" s="46">
        <f t="shared" ref="E161" ca="1" si="195">D161+ 1</f>
        <v>44139</v>
      </c>
      <c r="F161" s="46">
        <f t="shared" ref="F161" ca="1" si="196">E161+ 1</f>
        <v>44140</v>
      </c>
      <c r="G161" s="46">
        <f t="shared" ref="G161" ca="1" si="197">F161+ 1</f>
        <v>44141</v>
      </c>
      <c r="H161" s="46">
        <f t="shared" ref="H161" ca="1" si="198">G161+ 1</f>
        <v>44142</v>
      </c>
      <c r="I161" s="46">
        <f t="shared" ref="I161" ca="1" si="199">H161+ 1</f>
        <v>44143</v>
      </c>
    </row>
    <row r="162" spans="2:9" ht="17.25" customHeight="1" x14ac:dyDescent="0.2">
      <c r="B162" s="26"/>
      <c r="C162" s="27"/>
      <c r="D162" s="28"/>
      <c r="E162" s="28"/>
      <c r="F162" s="28"/>
      <c r="G162" s="28"/>
      <c r="H162" s="28"/>
      <c r="I162" s="28"/>
    </row>
    <row r="163" spans="2:9" s="4" customFormat="1" ht="17.25" customHeight="1" x14ac:dyDescent="0.2">
      <c r="B163" s="29" t="str">
        <f ca="1">CONCATENATE("Semana ",(DATEDIF(CalcFecha,I165,"d")/7))</f>
        <v>Semana 38</v>
      </c>
      <c r="C163" s="22" t="str">
        <f t="shared" ref="C163:I163" ca="1" si="200">CONCATENATE("Día ",DATEDIF(CalcFecha,C165,"d"))</f>
        <v>Día 260</v>
      </c>
      <c r="D163" s="23" t="str">
        <f t="shared" ca="1" si="200"/>
        <v>Día 261</v>
      </c>
      <c r="E163" s="23" t="str">
        <f t="shared" ca="1" si="200"/>
        <v>Día 262</v>
      </c>
      <c r="F163" s="23" t="str">
        <f t="shared" ca="1" si="200"/>
        <v>Día 263</v>
      </c>
      <c r="G163" s="23" t="str">
        <f t="shared" ca="1" si="200"/>
        <v>Día 264</v>
      </c>
      <c r="H163" s="23" t="str">
        <f t="shared" ca="1" si="200"/>
        <v>Día 265</v>
      </c>
      <c r="I163" s="23" t="str">
        <f t="shared" ca="1" si="200"/>
        <v>Día 266</v>
      </c>
    </row>
    <row r="164" spans="2:9" ht="57" customHeight="1" x14ac:dyDescent="0.2">
      <c r="B164" s="30"/>
      <c r="C164" s="9"/>
      <c r="D164" s="10"/>
      <c r="E164" s="10"/>
      <c r="F164" s="10"/>
      <c r="G164" s="10"/>
      <c r="H164" s="10"/>
      <c r="I164" s="10"/>
    </row>
    <row r="165" spans="2:9" s="5" customFormat="1" ht="17.25" customHeight="1" x14ac:dyDescent="0.25">
      <c r="B165" s="31"/>
      <c r="C165" s="45">
        <f ca="1">I161+1</f>
        <v>44144</v>
      </c>
      <c r="D165" s="46">
        <f t="shared" ref="D165" ca="1" si="201">C165+ 1</f>
        <v>44145</v>
      </c>
      <c r="E165" s="46">
        <f t="shared" ref="E165" ca="1" si="202">D165+ 1</f>
        <v>44146</v>
      </c>
      <c r="F165" s="46">
        <f t="shared" ref="F165" ca="1" si="203">E165+ 1</f>
        <v>44147</v>
      </c>
      <c r="G165" s="46">
        <f t="shared" ref="G165" ca="1" si="204">F165+ 1</f>
        <v>44148</v>
      </c>
      <c r="H165" s="46">
        <f t="shared" ref="H165" ca="1" si="205">G165+ 1</f>
        <v>44149</v>
      </c>
      <c r="I165" s="46">
        <f t="shared" ref="I165" ca="1" si="206">H165+ 1</f>
        <v>44150</v>
      </c>
    </row>
    <row r="166" spans="2:9" ht="17.25" customHeight="1" x14ac:dyDescent="0.2">
      <c r="B166" s="26"/>
      <c r="C166" s="27"/>
      <c r="D166" s="28"/>
      <c r="E166" s="28"/>
      <c r="F166" s="28"/>
      <c r="G166" s="28"/>
      <c r="H166" s="28"/>
      <c r="I166" s="41"/>
    </row>
    <row r="167" spans="2:9" s="4" customFormat="1" ht="17.25" customHeight="1" x14ac:dyDescent="0.2">
      <c r="B167" s="33" t="str">
        <f ca="1">CONCATENATE("Semana ",(DATEDIF(CalcFecha,I169,"d")/7))</f>
        <v>Semana 39</v>
      </c>
      <c r="C167" s="22" t="str">
        <f t="shared" ref="C167:I167" ca="1" si="207">CONCATENATE("Día ",DATEDIF(CalcFecha,C169,"d"))</f>
        <v>Día 267</v>
      </c>
      <c r="D167" s="23" t="str">
        <f t="shared" ca="1" si="207"/>
        <v>Día 268</v>
      </c>
      <c r="E167" s="23" t="str">
        <f t="shared" ca="1" si="207"/>
        <v>Día 269</v>
      </c>
      <c r="F167" s="23" t="str">
        <f t="shared" ca="1" si="207"/>
        <v>Día 270</v>
      </c>
      <c r="G167" s="23" t="str">
        <f t="shared" ca="1" si="207"/>
        <v>Día 271</v>
      </c>
      <c r="H167" s="23" t="str">
        <f t="shared" ca="1" si="207"/>
        <v>Día 272</v>
      </c>
      <c r="I167" s="23" t="str">
        <f t="shared" ca="1" si="207"/>
        <v>Día 273</v>
      </c>
    </row>
    <row r="168" spans="2:9" ht="57" customHeight="1" x14ac:dyDescent="0.2">
      <c r="B168" s="34"/>
      <c r="C168" s="9"/>
      <c r="D168" s="10"/>
      <c r="E168" s="10"/>
      <c r="F168" s="10"/>
      <c r="G168" s="10"/>
      <c r="H168" s="10"/>
      <c r="I168" s="10"/>
    </row>
    <row r="169" spans="2:9" s="5" customFormat="1" ht="17.25" customHeight="1" x14ac:dyDescent="0.25">
      <c r="B169" s="35"/>
      <c r="C169" s="45">
        <f ca="1">I165+1</f>
        <v>44151</v>
      </c>
      <c r="D169" s="46">
        <f t="shared" ref="D169" ca="1" si="208">C169+ 1</f>
        <v>44152</v>
      </c>
      <c r="E169" s="46">
        <f t="shared" ref="E169" ca="1" si="209">D169+ 1</f>
        <v>44153</v>
      </c>
      <c r="F169" s="46">
        <f t="shared" ref="F169" ca="1" si="210">E169+ 1</f>
        <v>44154</v>
      </c>
      <c r="G169" s="46">
        <f t="shared" ref="G169" ca="1" si="211">F169+ 1</f>
        <v>44155</v>
      </c>
      <c r="H169" s="46">
        <f t="shared" ref="H169" ca="1" si="212">G169+ 1</f>
        <v>44156</v>
      </c>
      <c r="I169" s="46">
        <f t="shared" ref="I169" ca="1" si="213">H169+ 1</f>
        <v>44157</v>
      </c>
    </row>
    <row r="170" spans="2:9" ht="17.25" customHeight="1" x14ac:dyDescent="0.2">
      <c r="B170" s="27"/>
      <c r="C170" s="27"/>
      <c r="D170" s="27"/>
      <c r="E170" s="27"/>
      <c r="F170" s="27"/>
      <c r="G170" s="27"/>
      <c r="H170" s="27"/>
      <c r="I170" s="27"/>
    </row>
    <row r="171" spans="2:9" s="4" customFormat="1" ht="17.25" customHeight="1" x14ac:dyDescent="0.2">
      <c r="B171" s="36" t="str">
        <f ca="1">CONCATENATE("Semana ",(DATEDIF(CalcFecha,I173,"d")/7))</f>
        <v>Semana 40</v>
      </c>
      <c r="C171" s="22" t="str">
        <f t="shared" ref="C171:I171" ca="1" si="214">CONCATENATE("Día ",DATEDIF(CalcFecha,C173,"d"))</f>
        <v>Día 274</v>
      </c>
      <c r="D171" s="23" t="str">
        <f t="shared" ca="1" si="214"/>
        <v>Día 275</v>
      </c>
      <c r="E171" s="23" t="str">
        <f t="shared" ca="1" si="214"/>
        <v>Día 276</v>
      </c>
      <c r="F171" s="23" t="str">
        <f t="shared" ca="1" si="214"/>
        <v>Día 277</v>
      </c>
      <c r="G171" s="23" t="str">
        <f t="shared" ca="1" si="214"/>
        <v>Día 278</v>
      </c>
      <c r="H171" s="23" t="str">
        <f t="shared" ca="1" si="214"/>
        <v>Día 279</v>
      </c>
      <c r="I171" s="23" t="str">
        <f t="shared" ca="1" si="214"/>
        <v>Día 280</v>
      </c>
    </row>
    <row r="172" spans="2:9" ht="57" customHeight="1" x14ac:dyDescent="0.2">
      <c r="B172" s="37"/>
      <c r="C172" s="9"/>
      <c r="D172" s="10"/>
      <c r="E172" s="10"/>
      <c r="F172" s="10"/>
      <c r="G172" s="10"/>
      <c r="H172" s="10"/>
      <c r="I172" s="10"/>
    </row>
    <row r="173" spans="2:9" s="5" customFormat="1" ht="17.25" customHeight="1" x14ac:dyDescent="0.25">
      <c r="B173" s="38"/>
      <c r="C173" s="45">
        <f ca="1">I169+1</f>
        <v>44158</v>
      </c>
      <c r="D173" s="45">
        <f t="shared" ref="D173:I173" ca="1" si="215">C173+1</f>
        <v>44159</v>
      </c>
      <c r="E173" s="45">
        <f t="shared" ca="1" si="215"/>
        <v>44160</v>
      </c>
      <c r="F173" s="45">
        <f t="shared" ca="1" si="215"/>
        <v>44161</v>
      </c>
      <c r="G173" s="45">
        <f t="shared" ca="1" si="215"/>
        <v>44162</v>
      </c>
      <c r="H173" s="45">
        <f t="shared" ca="1" si="215"/>
        <v>44163</v>
      </c>
      <c r="I173" s="45">
        <f t="shared" ca="1" si="215"/>
        <v>44164</v>
      </c>
    </row>
  </sheetData>
  <conditionalFormatting sqref="C9:I9 C13:I13 C17:I17 C21:I21 C26:I26 C30:I30 C34:I34 C38:I38 C43:I43 C47:I47 C51:I51 C55:I55 C59:I59 C64:I64 C68:I68 C72:I72 C76:I76 C81:I81 C85:I85 C89:I89 C93:I93 C98:I98 C102:I102 C106:I106 C110:I110 C114:I114 C119:I119 C123:I123 C127:I127 C131:I131 C136:I136 C140:I140 C144:I144 C148:I148 C152:I152 C157:I157 C161:I161 C165:I165 C169:I169 C173:I173">
    <cfRule type="expression" dxfId="0" priority="1">
      <formula>C9=TODAY()</formula>
    </cfRule>
  </conditionalFormatting>
  <dataValidations count="1">
    <dataValidation type="list" allowBlank="1" showInputMessage="1" showErrorMessage="1" sqref="G3" xr:uid="{00000000-0002-0000-0000-000000000000}">
      <formula1>"Date of Last Period,Date of Conception"</formula1>
    </dataValidation>
  </dataValidations>
  <pageMargins left="0.25" right="0.25" top="0.75" bottom="0.75" header="0.3" footer="0.3"/>
  <pageSetup scale="68" fitToHeight="0" orientation="portrait" r:id="rId1"/>
  <headerFooter>
    <oddFooter>Page &amp;P of &amp;N</oddFooter>
  </headerFooter>
  <rowBreaks count="5" manualBreakCount="5">
    <brk id="34" max="16383" man="1"/>
    <brk id="68" max="16383" man="1"/>
    <brk id="102" max="16383" man="1"/>
    <brk id="136" max="16383" man="1"/>
    <brk id="169" max="16383"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APDescription xmlns="2958f784-0ef9-4616-b22d-512a8cad1f0d" xsi:nil="true"/>
    <AssetExpire xmlns="2958f784-0ef9-4616-b22d-512a8cad1f0d">2029-01-01T08:00:00+00:00</AssetExpire>
    <CampaignTagsTaxHTField0 xmlns="2958f784-0ef9-4616-b22d-512a8cad1f0d">
      <Terms xmlns="http://schemas.microsoft.com/office/infopath/2007/PartnerControls"/>
    </CampaignTagsTaxHTField0>
    <IntlLangReviewDate xmlns="2958f784-0ef9-4616-b22d-512a8cad1f0d" xsi:nil="true"/>
    <TPFriendlyName xmlns="2958f784-0ef9-4616-b22d-512a8cad1f0d" xsi:nil="true"/>
    <IntlLangReview xmlns="2958f784-0ef9-4616-b22d-512a8cad1f0d">false</IntlLangReview>
    <LocLastLocAttemptVersionLookup xmlns="2958f784-0ef9-4616-b22d-512a8cad1f0d">854872</LocLastLocAttemptVersionLookup>
    <PolicheckWords xmlns="2958f784-0ef9-4616-b22d-512a8cad1f0d" xsi:nil="true"/>
    <SubmitterId xmlns="2958f784-0ef9-4616-b22d-512a8cad1f0d" xsi:nil="true"/>
    <AcquiredFrom xmlns="2958f784-0ef9-4616-b22d-512a8cad1f0d">Internal MS</AcquiredFrom>
    <EditorialStatus xmlns="2958f784-0ef9-4616-b22d-512a8cad1f0d">Complete</EditorialStatus>
    <Markets xmlns="2958f784-0ef9-4616-b22d-512a8cad1f0d"/>
    <OriginAsset xmlns="2958f784-0ef9-4616-b22d-512a8cad1f0d" xsi:nil="true"/>
    <AssetStart xmlns="2958f784-0ef9-4616-b22d-512a8cad1f0d">2012-08-30T21:32:00+00:00</AssetStart>
    <FriendlyTitle xmlns="2958f784-0ef9-4616-b22d-512a8cad1f0d" xsi:nil="true"/>
    <MarketSpecific xmlns="2958f784-0ef9-4616-b22d-512a8cad1f0d">false</MarketSpecific>
    <TPNamespace xmlns="2958f784-0ef9-4616-b22d-512a8cad1f0d" xsi:nil="true"/>
    <PublishStatusLookup xmlns="2958f784-0ef9-4616-b22d-512a8cad1f0d">
      <Value>684789</Value>
    </PublishStatusLookup>
    <APAuthor xmlns="2958f784-0ef9-4616-b22d-512a8cad1f0d">
      <UserInfo>
        <DisplayName>REDMOND\matthos</DisplayName>
        <AccountId>59</AccountId>
        <AccountType/>
      </UserInfo>
    </APAuthor>
    <TPCommandLine xmlns="2958f784-0ef9-4616-b22d-512a8cad1f0d" xsi:nil="true"/>
    <IntlLangReviewer xmlns="2958f784-0ef9-4616-b22d-512a8cad1f0d" xsi:nil="true"/>
    <OpenTemplate xmlns="2958f784-0ef9-4616-b22d-512a8cad1f0d">true</OpenTemplate>
    <CSXSubmissionDate xmlns="2958f784-0ef9-4616-b22d-512a8cad1f0d" xsi:nil="true"/>
    <TaxCatchAll xmlns="2958f784-0ef9-4616-b22d-512a8cad1f0d"/>
    <Manager xmlns="2958f784-0ef9-4616-b22d-512a8cad1f0d" xsi:nil="true"/>
    <NumericId xmlns="2958f784-0ef9-4616-b22d-512a8cad1f0d" xsi:nil="true"/>
    <ParentAssetId xmlns="2958f784-0ef9-4616-b22d-512a8cad1f0d" xsi:nil="true"/>
    <OriginalSourceMarket xmlns="2958f784-0ef9-4616-b22d-512a8cad1f0d">english</OriginalSourceMarket>
    <ApprovalStatus xmlns="2958f784-0ef9-4616-b22d-512a8cad1f0d">InProgress</ApprovalStatus>
    <TPComponent xmlns="2958f784-0ef9-4616-b22d-512a8cad1f0d" xsi:nil="true"/>
    <EditorialTags xmlns="2958f784-0ef9-4616-b22d-512a8cad1f0d" xsi:nil="true"/>
    <TPExecutable xmlns="2958f784-0ef9-4616-b22d-512a8cad1f0d" xsi:nil="true"/>
    <TPLaunchHelpLink xmlns="2958f784-0ef9-4616-b22d-512a8cad1f0d" xsi:nil="true"/>
    <LocComments xmlns="2958f784-0ef9-4616-b22d-512a8cad1f0d" xsi:nil="true"/>
    <LocRecommendedHandoff xmlns="2958f784-0ef9-4616-b22d-512a8cad1f0d" xsi:nil="true"/>
    <SourceTitle xmlns="2958f784-0ef9-4616-b22d-512a8cad1f0d" xsi:nil="true"/>
    <CSXUpdate xmlns="2958f784-0ef9-4616-b22d-512a8cad1f0d">false</CSXUpdate>
    <IntlLocPriority xmlns="2958f784-0ef9-4616-b22d-512a8cad1f0d" xsi:nil="true"/>
    <UAProjectedTotalWords xmlns="2958f784-0ef9-4616-b22d-512a8cad1f0d" xsi:nil="true"/>
    <AssetType xmlns="2958f784-0ef9-4616-b22d-512a8cad1f0d">TP</AssetType>
    <MachineTranslated xmlns="2958f784-0ef9-4616-b22d-512a8cad1f0d">false</MachineTranslated>
    <OutputCachingOn xmlns="2958f784-0ef9-4616-b22d-512a8cad1f0d">false</OutputCachingOn>
    <TemplateStatus xmlns="2958f784-0ef9-4616-b22d-512a8cad1f0d">Complete</TemplateStatus>
    <IsSearchable xmlns="2958f784-0ef9-4616-b22d-512a8cad1f0d">true</IsSearchable>
    <ContentItem xmlns="2958f784-0ef9-4616-b22d-512a8cad1f0d" xsi:nil="true"/>
    <HandoffToMSDN xmlns="2958f784-0ef9-4616-b22d-512a8cad1f0d" xsi:nil="true"/>
    <ShowIn xmlns="2958f784-0ef9-4616-b22d-512a8cad1f0d">Show everywhere</ShowIn>
    <ThumbnailAssetId xmlns="2958f784-0ef9-4616-b22d-512a8cad1f0d" xsi:nil="true"/>
    <UALocComments xmlns="2958f784-0ef9-4616-b22d-512a8cad1f0d" xsi:nil="true"/>
    <UALocRecommendation xmlns="2958f784-0ef9-4616-b22d-512a8cad1f0d">Localize</UALocRecommendation>
    <LastModifiedDateTime xmlns="2958f784-0ef9-4616-b22d-512a8cad1f0d" xsi:nil="true"/>
    <LegacyData xmlns="2958f784-0ef9-4616-b22d-512a8cad1f0d" xsi:nil="true"/>
    <LocManualTestRequired xmlns="2958f784-0ef9-4616-b22d-512a8cad1f0d">false</LocManualTestRequired>
    <LocMarketGroupTiers2 xmlns="2958f784-0ef9-4616-b22d-512a8cad1f0d" xsi:nil="true"/>
    <ClipArtFilename xmlns="2958f784-0ef9-4616-b22d-512a8cad1f0d" xsi:nil="true"/>
    <TPApplication xmlns="2958f784-0ef9-4616-b22d-512a8cad1f0d" xsi:nil="true"/>
    <CSXHash xmlns="2958f784-0ef9-4616-b22d-512a8cad1f0d" xsi:nil="true"/>
    <DirectSourceMarket xmlns="2958f784-0ef9-4616-b22d-512a8cad1f0d">english</DirectSourceMarket>
    <PrimaryImageGen xmlns="2958f784-0ef9-4616-b22d-512a8cad1f0d">false</PrimaryImageGen>
    <PlannedPubDate xmlns="2958f784-0ef9-4616-b22d-512a8cad1f0d" xsi:nil="true"/>
    <CSXSubmissionMarket xmlns="2958f784-0ef9-4616-b22d-512a8cad1f0d" xsi:nil="true"/>
    <Downloads xmlns="2958f784-0ef9-4616-b22d-512a8cad1f0d">0</Downloads>
    <ArtSampleDocs xmlns="2958f784-0ef9-4616-b22d-512a8cad1f0d" xsi:nil="true"/>
    <TrustLevel xmlns="2958f784-0ef9-4616-b22d-512a8cad1f0d">1 Microsoft Managed Content</TrustLevel>
    <BlockPublish xmlns="2958f784-0ef9-4616-b22d-512a8cad1f0d">false</BlockPublish>
    <TPLaunchHelpLinkType xmlns="2958f784-0ef9-4616-b22d-512a8cad1f0d">Template</TPLaunchHelpLinkType>
    <LocalizationTagsTaxHTField0 xmlns="2958f784-0ef9-4616-b22d-512a8cad1f0d">
      <Terms xmlns="http://schemas.microsoft.com/office/infopath/2007/PartnerControls"/>
    </LocalizationTagsTaxHTField0>
    <BusinessGroup xmlns="2958f784-0ef9-4616-b22d-512a8cad1f0d" xsi:nil="true"/>
    <Providers xmlns="2958f784-0ef9-4616-b22d-512a8cad1f0d" xsi:nil="true"/>
    <TemplateTemplateType xmlns="2958f784-0ef9-4616-b22d-512a8cad1f0d">Excel Spreadsheet Template</TemplateTemplateType>
    <TimesCloned xmlns="2958f784-0ef9-4616-b22d-512a8cad1f0d" xsi:nil="true"/>
    <TPAppVersion xmlns="2958f784-0ef9-4616-b22d-512a8cad1f0d" xsi:nil="true"/>
    <VoteCount xmlns="2958f784-0ef9-4616-b22d-512a8cad1f0d" xsi:nil="true"/>
    <AverageRating xmlns="2958f784-0ef9-4616-b22d-512a8cad1f0d" xsi:nil="true"/>
    <FeatureTagsTaxHTField0 xmlns="2958f784-0ef9-4616-b22d-512a8cad1f0d">
      <Terms xmlns="http://schemas.microsoft.com/office/infopath/2007/PartnerControls"/>
    </FeatureTagsTaxHTField0>
    <Provider xmlns="2958f784-0ef9-4616-b22d-512a8cad1f0d" xsi:nil="true"/>
    <UACurrentWords xmlns="2958f784-0ef9-4616-b22d-512a8cad1f0d" xsi:nil="true"/>
    <AssetId xmlns="2958f784-0ef9-4616-b22d-512a8cad1f0d">TP103427609</AssetId>
    <TPClientViewer xmlns="2958f784-0ef9-4616-b22d-512a8cad1f0d" xsi:nil="true"/>
    <DSATActionTaken xmlns="2958f784-0ef9-4616-b22d-512a8cad1f0d" xsi:nil="true"/>
    <APEditor xmlns="2958f784-0ef9-4616-b22d-512a8cad1f0d">
      <UserInfo>
        <DisplayName/>
        <AccountId xsi:nil="true"/>
        <AccountType/>
      </UserInfo>
    </APEditor>
    <TPInstallLocation xmlns="2958f784-0ef9-4616-b22d-512a8cad1f0d" xsi:nil="true"/>
    <OOCacheId xmlns="2958f784-0ef9-4616-b22d-512a8cad1f0d" xsi:nil="true"/>
    <IsDeleted xmlns="2958f784-0ef9-4616-b22d-512a8cad1f0d">false</IsDeleted>
    <PublishTargets xmlns="2958f784-0ef9-4616-b22d-512a8cad1f0d">OfficeOnlineVNext</PublishTargets>
    <ApprovalLog xmlns="2958f784-0ef9-4616-b22d-512a8cad1f0d" xsi:nil="true"/>
    <BugNumber xmlns="2958f784-0ef9-4616-b22d-512a8cad1f0d" xsi:nil="true"/>
    <CrawlForDependencies xmlns="2958f784-0ef9-4616-b22d-512a8cad1f0d">false</CrawlForDependencies>
    <InternalTagsTaxHTField0 xmlns="2958f784-0ef9-4616-b22d-512a8cad1f0d">
      <Terms xmlns="http://schemas.microsoft.com/office/infopath/2007/PartnerControls"/>
    </InternalTagsTaxHTField0>
    <LastHandOff xmlns="2958f784-0ef9-4616-b22d-512a8cad1f0d" xsi:nil="true"/>
    <Milestone xmlns="2958f784-0ef9-4616-b22d-512a8cad1f0d" xsi:nil="true"/>
    <OriginalRelease xmlns="2958f784-0ef9-4616-b22d-512a8cad1f0d">15</OriginalRelease>
    <RecommendationsModifier xmlns="2958f784-0ef9-4616-b22d-512a8cad1f0d" xsi:nil="true"/>
    <ScenarioTagsTaxHTField0 xmlns="2958f784-0ef9-4616-b22d-512a8cad1f0d">
      <Terms xmlns="http://schemas.microsoft.com/office/infopath/2007/PartnerControls"/>
    </ScenarioTagsTaxHTField0>
    <UANotes xmlns="2958f784-0ef9-4616-b22d-512a8cad1f0d" xsi:nil="true"/>
    <Description0 xmlns="fb5acd76-e9f3-4601-9d69-91f53ab96ae6" xsi:nil="true"/>
    <Component xmlns="fb5acd76-e9f3-4601-9d69-91f53ab96ae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TemplateFile" ma:contentTypeID="0x010100DE95A0C693CEB341887D38A4A2B58B45040072C752107C5A7B47AA91A1EE638E6F1F" ma:contentTypeVersion="55" ma:contentTypeDescription="Create a new document." ma:contentTypeScope="" ma:versionID="3c98c83416931a21d43ed007fda5e4dd">
  <xsd:schema xmlns:xsd="http://www.w3.org/2001/XMLSchema" xmlns:xs="http://www.w3.org/2001/XMLSchema" xmlns:p="http://schemas.microsoft.com/office/2006/metadata/properties" xmlns:ns2="2958f784-0ef9-4616-b22d-512a8cad1f0d" xmlns:ns3="fb5acd76-e9f3-4601-9d69-91f53ab96ae6" targetNamespace="http://schemas.microsoft.com/office/2006/metadata/properties" ma:root="true" ma:fieldsID="938018c4f46d99993d20879d4e9ddff8" ns2:_="" ns3:_="">
    <xsd:import namespace="2958f784-0ef9-4616-b22d-512a8cad1f0d"/>
    <xsd:import namespace="fb5acd76-e9f3-4601-9d69-91f53ab96ae6"/>
    <xsd:element name="properties">
      <xsd:complexType>
        <xsd:sequence>
          <xsd:element name="documentManagement">
            <xsd:complexType>
              <xsd:all>
                <xsd:element ref="ns2:AcquiredFrom" minOccurs="0"/>
                <xsd:element ref="ns2:UACurrentWords" minOccurs="0"/>
                <xsd:element ref="ns2:TPApplication" minOccurs="0"/>
                <xsd:element ref="ns2:ApprovalLog" minOccurs="0"/>
                <xsd:element ref="ns2:ApprovalStatus" minOccurs="0"/>
                <xsd:element ref="ns2:AssetStart" minOccurs="0"/>
                <xsd:element ref="ns2:AssetExpire" minOccurs="0"/>
                <xsd:element ref="ns2:AssetId" minOccurs="0"/>
                <xsd:element ref="ns2:IsSearchable" minOccurs="0"/>
                <xsd:element ref="ns2:AssetType" minOccurs="0"/>
                <xsd:element ref="ns2:APAuthor" minOccurs="0"/>
                <xsd:element ref="ns2:AverageRating" minOccurs="0"/>
                <xsd:element ref="ns2:BlockPublish" minOccurs="0"/>
                <xsd:element ref="ns2:BugNumber" minOccurs="0"/>
                <xsd:element ref="ns2:CampaignTagsTaxHTField0" minOccurs="0"/>
                <xsd:element ref="ns2:TPClientViewer" minOccurs="0"/>
                <xsd:element ref="ns2:ClipArtFilename" minOccurs="0"/>
                <xsd:element ref="ns2:TPCommandLine" minOccurs="0"/>
                <xsd:element ref="ns2:TPComponent" minOccurs="0"/>
                <xsd:element ref="ns2:ContentItem" minOccurs="0"/>
                <xsd:element ref="ns2:CrawlForDependencies" minOccurs="0"/>
                <xsd:element ref="ns2:CSXHash" minOccurs="0"/>
                <xsd:element ref="ns2:CSXSubmissionMarket" minOccurs="0"/>
                <xsd:element ref="ns2:CSXUpdate" minOccurs="0"/>
                <xsd:element ref="ns2:IntlLangReviewDate" minOccurs="0"/>
                <xsd:element ref="ns2:IsDeleted" minOccurs="0"/>
                <xsd:element ref="ns2:APDescription" minOccurs="0"/>
                <xsd:element ref="ns2:DirectSourceMarket" minOccurs="0"/>
                <xsd:element ref="ns2:Downloads" minOccurs="0"/>
                <xsd:element ref="ns2:DSATActionTaken" minOccurs="0"/>
                <xsd:element ref="ns2:APEditor" minOccurs="0"/>
                <xsd:element ref="ns2:EditorialStatus" minOccurs="0"/>
                <xsd:element ref="ns2:EditorialTags" minOccurs="0"/>
                <xsd:element ref="ns2:TPExecutable" minOccurs="0"/>
                <xsd:element ref="ns2:FeatureTagsTaxHTField0" minOccurs="0"/>
                <xsd:element ref="ns2:TPFriendlyName" minOccurs="0"/>
                <xsd:element ref="ns2:FriendlyTitle" minOccurs="0"/>
                <xsd:element ref="ns2:PrimaryImageGen" minOccurs="0"/>
                <xsd:element ref="ns2:HandoffToMSDN" minOccurs="0"/>
                <xsd:element ref="ns2:InProjectListLookup" minOccurs="0"/>
                <xsd:element ref="ns2:TPInstallLocation" minOccurs="0"/>
                <xsd:element ref="ns2:InternalTagsTaxHTField0" minOccurs="0"/>
                <xsd:element ref="ns2:IntlLangReview" minOccurs="0"/>
                <xsd:element ref="ns2:IntlLangReviewer" minOccurs="0"/>
                <xsd:element ref="ns2:MarketSpecific" minOccurs="0"/>
                <xsd:element ref="ns2:LastCompleteVersionLookup" minOccurs="0"/>
                <xsd:element ref="ns2:LastHandOff" minOccurs="0"/>
                <xsd:element ref="ns2:LastModifiedDateTime" minOccurs="0"/>
                <xsd:element ref="ns2:LastPreviewErrorLookup" minOccurs="0"/>
                <xsd:element ref="ns2:LastPreviewResultLookup" minOccurs="0"/>
                <xsd:element ref="ns2:LastPreviewAttemptDateLookup" minOccurs="0"/>
                <xsd:element ref="ns2:LastPreviewedByLookup" minOccurs="0"/>
                <xsd:element ref="ns2:LastPreviewTimeLookup" minOccurs="0"/>
                <xsd:element ref="ns2:LastPreviewVersionLookup" minOccurs="0"/>
                <xsd:element ref="ns2:LastPublishErrorLookup" minOccurs="0"/>
                <xsd:element ref="ns2:LastPublishResultLookup" minOccurs="0"/>
                <xsd:element ref="ns2:LastPublishAttemptDateLookup" minOccurs="0"/>
                <xsd:element ref="ns2:LastPublishedByLookup" minOccurs="0"/>
                <xsd:element ref="ns2:LastPublishTimeLookup" minOccurs="0"/>
                <xsd:element ref="ns2:LastPublishVersionLookup" minOccurs="0"/>
                <xsd:element ref="ns2:TPLaunchHelpLinkType" minOccurs="0"/>
                <xsd:element ref="ns2:LegacyData" minOccurs="0"/>
                <xsd:element ref="ns2:TPLaunchHelpLink" minOccurs="0"/>
                <xsd:element ref="ns2:LocComments" minOccurs="0"/>
                <xsd:element ref="ns2:LocLastLocAttemptVersionLookup" minOccurs="0"/>
                <xsd:element ref="ns2:LocLastLocAttemptVersionTypeLookup" minOccurs="0"/>
                <xsd:element ref="ns2:LocManualTestRequired" minOccurs="0"/>
                <xsd:element ref="ns2:LocMarketGroupTiers2" minOccurs="0"/>
                <xsd:element ref="ns2:LocNewPublishedVersionLookup" minOccurs="0"/>
                <xsd:element ref="ns2:LocOverallHandbackStatusLookup" minOccurs="0"/>
                <xsd:element ref="ns2:LocOverallLocStatusLookup" minOccurs="0"/>
                <xsd:element ref="ns2:LocOverallPreviewStatusLookup" minOccurs="0"/>
                <xsd:element ref="ns2:LocOverallPublishStatusLookup" minOccurs="0"/>
                <xsd:element ref="ns2:IntlLocPriority" minOccurs="0"/>
                <xsd:element ref="ns2:LocProcessedForHandoffsLookup" minOccurs="0"/>
                <xsd:element ref="ns2:LocProcessedForMarketsLookup" minOccurs="0"/>
                <xsd:element ref="ns2:LocPublishedDependentAssetsLookup" minOccurs="0"/>
                <xsd:element ref="ns2:LocPublishedLinkedAssetsLookup" minOccurs="0"/>
                <xsd:element ref="ns2:LocRecommendedHandoff" minOccurs="0"/>
                <xsd:element ref="ns2:LocalizationTagsTaxHTField0" minOccurs="0"/>
                <xsd:element ref="ns2:MachineTranslated" minOccurs="0"/>
                <xsd:element ref="ns2:Manager" minOccurs="0"/>
                <xsd:element ref="ns2:Markets" minOccurs="0"/>
                <xsd:element ref="ns2:Milestone" minOccurs="0"/>
                <xsd:element ref="ns2:TPNamespace" minOccurs="0"/>
                <xsd:element ref="ns2:NumericId" minOccurs="0"/>
                <xsd:element ref="ns2:NumOfRatingsLookup" minOccurs="0"/>
                <xsd:element ref="ns2:OOCacheId" minOccurs="0"/>
                <xsd:element ref="ns2:OpenTemplate" minOccurs="0"/>
                <xsd:element ref="ns2:OriginAsset" minOccurs="0"/>
                <xsd:element ref="ns2:OriginalRelease" minOccurs="0"/>
                <xsd:element ref="ns2:OriginalSourceMarket" minOccurs="0"/>
                <xsd:element ref="ns2:OutputCachingOn" minOccurs="0"/>
                <xsd:element ref="ns2:ParentAssetId" minOccurs="0"/>
                <xsd:element ref="ns2:PlannedPubDate" minOccurs="0"/>
                <xsd:element ref="ns2:PolicheckWords" minOccurs="0"/>
                <xsd:element ref="ns2:BusinessGroup" minOccurs="0"/>
                <xsd:element ref="ns2:UAProjectedTotalWords" minOccurs="0"/>
                <xsd:element ref="ns2:Provider" minOccurs="0"/>
                <xsd:element ref="ns2:Providers" minOccurs="0"/>
                <xsd:element ref="ns2:PublishStatusLookup" minOccurs="0"/>
                <xsd:element ref="ns2:PublishTargets" minOccurs="0"/>
                <xsd:element ref="ns2:RecommendationsModifier" minOccurs="0"/>
                <xsd:element ref="ns2:ArtSampleDocs" minOccurs="0"/>
                <xsd:element ref="ns2:ScenarioTagsTaxHTField0" minOccurs="0"/>
                <xsd:element ref="ns2:ShowIn" minOccurs="0"/>
                <xsd:element ref="ns2:SourceTitle" minOccurs="0"/>
                <xsd:element ref="ns2:CSXSubmissionDate" minOccurs="0"/>
                <xsd:element ref="ns2:SubmitterId" minOccurs="0"/>
                <xsd:element ref="ns2:TaxCatchAll" minOccurs="0"/>
                <xsd:element ref="ns2:TaxCatchAllLabel" minOccurs="0"/>
                <xsd:element ref="ns2:TemplateStatus" minOccurs="0"/>
                <xsd:element ref="ns2:TemplateTemplateType" minOccurs="0"/>
                <xsd:element ref="ns2:ThumbnailAssetId" minOccurs="0"/>
                <xsd:element ref="ns2:TimesCloned" minOccurs="0"/>
                <xsd:element ref="ns2:TrustLevel" minOccurs="0"/>
                <xsd:element ref="ns2:UALocComments" minOccurs="0"/>
                <xsd:element ref="ns2:UALocRecommendation" minOccurs="0"/>
                <xsd:element ref="ns2:UANotes" minOccurs="0"/>
                <xsd:element ref="ns2:TPAppVersion" minOccurs="0"/>
                <xsd:element ref="ns2:VoteCount" minOccurs="0"/>
                <xsd:element ref="ns3:Description0" minOccurs="0"/>
                <xsd:element ref="ns3:Compone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8f784-0ef9-4616-b22d-512a8cad1f0d" elementFormDefault="qualified">
    <xsd:import namespace="http://schemas.microsoft.com/office/2006/documentManagement/types"/>
    <xsd:import namespace="http://schemas.microsoft.com/office/infopath/2007/PartnerControls"/>
    <xsd:element name="AcquiredFrom" ma:index="1" nillable="true" ma:displayName="Acquired From" ma:default="Internal MS" ma:internalName="AcquiredFrom" ma:readOnly="false">
      <xsd:simpleType>
        <xsd:restriction base="dms:Choice">
          <xsd:enumeration value="Internal MS"/>
          <xsd:enumeration value="Community"/>
          <xsd:enumeration value="MVP"/>
          <xsd:enumeration value="Publisher"/>
          <xsd:enumeration value="Partner"/>
          <xsd:enumeration value="None"/>
        </xsd:restriction>
      </xsd:simpleType>
    </xsd:element>
    <xsd:element name="UACurrentWords" ma:index="2" nillable="true" ma:displayName="Actual Word Count" ma:default="" ma:internalName="UACurrentWords" ma:readOnly="false">
      <xsd:simpleType>
        <xsd:restriction base="dms:Unknown"/>
      </xsd:simpleType>
    </xsd:element>
    <xsd:element name="TPApplication" ma:index="3" nillable="true" ma:displayName="Application to Open Template With" ma:default="" ma:internalName="TPApplication">
      <xsd:simpleType>
        <xsd:restriction base="dms:Text"/>
      </xsd:simpleType>
    </xsd:element>
    <xsd:element name="ApprovalLog" ma:index="4" nillable="true" ma:displayName="Approval Log" ma:default="" ma:hidden="true" ma:internalName="ApprovalLog" ma:readOnly="false">
      <xsd:simpleType>
        <xsd:restriction base="dms:Note"/>
      </xsd:simpleType>
    </xsd:element>
    <xsd:element name="ApprovalStatus" ma:index="5" nillable="true" ma:displayName="Approval Status" ma:default="InProgress" ma:internalName="ApprovalStatus" ma:readOnly="false">
      <xsd:simpleType>
        <xsd:restriction base="dms:Choice">
          <xsd:enumeration value="InProgress"/>
          <xsd:enumeration value="Rejected"/>
          <xsd:enumeration value="Questionable"/>
          <xsd:enumeration value="ApprovedAutomatic"/>
          <xsd:enumeration value="ApprovedManual"/>
          <xsd:enumeration value="On Hold"/>
          <xsd:enumeration value="Needs Review"/>
          <xsd:enumeration value="A Violation"/>
          <xsd:enumeration value="Unpublished Violation"/>
        </xsd:restriction>
      </xsd:simpleType>
    </xsd:element>
    <xsd:element name="AssetStart" ma:index="6" nillable="true" ma:displayName="Asset Begin Date" ma:default="[Today]" ma:internalName="AssetStart" ma:readOnly="false">
      <xsd:simpleType>
        <xsd:restriction base="dms:DateTime"/>
      </xsd:simpleType>
    </xsd:element>
    <xsd:element name="AssetExpire" ma:index="7" nillable="true" ma:displayName="Asset End Date" ma:default="2029-01-01T00:00:00Z" ma:internalName="AssetExpire" ma:readOnly="false">
      <xsd:simpleType>
        <xsd:restriction base="dms:DateTime"/>
      </xsd:simpleType>
    </xsd:element>
    <xsd:element name="AssetId" ma:index="8" nillable="true" ma:displayName="Asset ID" ma:default="" ma:indexed="true" ma:internalName="AssetId" ma:readOnly="false">
      <xsd:simpleType>
        <xsd:restriction base="dms:Text">
          <xsd:maxLength value="255"/>
        </xsd:restriction>
      </xsd:simpleType>
    </xsd:element>
    <xsd:element name="IsSearchable" ma:index="9" nillable="true" ma:displayName="Asset Searchable?" ma:default="true" ma:internalName="IsSearchable" ma:readOnly="false">
      <xsd:simpleType>
        <xsd:restriction base="dms:Boolean"/>
      </xsd:simpleType>
    </xsd:element>
    <xsd:element name="AssetType" ma:index="10" nillable="true" ma:displayName="Asset Type" ma:default="" ma:internalName="AssetType" ma:readOnly="false">
      <xsd:simpleType>
        <xsd:restriction base="dms:Unknown"/>
      </xsd:simpleType>
    </xsd:element>
    <xsd:element name="APAuthor" ma:index="11" nillable="true" ma:displayName="Author" ma:default="" ma:list="UserInfo" ma:internalName="APAutho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verageRating" ma:index="12" nillable="true" ma:displayName="Average Rating" ma:internalName="AverageRating" ma:readOnly="false">
      <xsd:simpleType>
        <xsd:restriction base="dms:Text"/>
      </xsd:simpleType>
    </xsd:element>
    <xsd:element name="BlockPublish" ma:index="13" nillable="true" ma:displayName="Block from Publishing?" ma:default="" ma:internalName="BlockPublish" ma:readOnly="false">
      <xsd:simpleType>
        <xsd:restriction base="dms:Boolean"/>
      </xsd:simpleType>
    </xsd:element>
    <xsd:element name="BugNumber" ma:index="14" nillable="true" ma:displayName="Bug Number" ma:default="" ma:internalName="BugNumber" ma:readOnly="false">
      <xsd:simpleType>
        <xsd:restriction base="dms:Text"/>
      </xsd:simpleType>
    </xsd:element>
    <xsd:element name="CampaignTagsTaxHTField0" ma:index="16" nillable="true" ma:taxonomy="true" ma:internalName="CampaignTagsTaxHTField0" ma:taxonomyFieldName="CampaignTags" ma:displayName="Campaigns" ma:readOnly="false" ma:default="" ma:fieldId="{ca69c71e-a029-4733-aca1-cabc27411b08}" ma:taxonomyMulti="true" ma:sspId="8f79753a-75d3-41f5-8ca3-40b843941b4f" ma:termSetId="ca0e50d4-faa1-44ce-961e-bb1441c60e66" ma:anchorId="00000000-0000-0000-0000-000000000000" ma:open="false" ma:isKeyword="false">
      <xsd:complexType>
        <xsd:sequence>
          <xsd:element ref="pc:Terms" minOccurs="0" maxOccurs="1"/>
        </xsd:sequence>
      </xsd:complexType>
    </xsd:element>
    <xsd:element name="TPClientViewer" ma:index="17" nillable="true" ma:displayName="Client Viewer" ma:default="" ma:internalName="TPClientViewer">
      <xsd:simpleType>
        <xsd:restriction base="dms:Text"/>
      </xsd:simpleType>
    </xsd:element>
    <xsd:element name="ClipArtFilename" ma:index="18" nillable="true" ma:displayName="Clip Art Name" ma:default="" ma:internalName="ClipArtFilename" ma:readOnly="false">
      <xsd:simpleType>
        <xsd:restriction base="dms:Text"/>
      </xsd:simpleType>
    </xsd:element>
    <xsd:element name="TPCommandLine" ma:index="19" nillable="true" ma:displayName="Command Line" ma:default="" ma:internalName="TPCommandLine">
      <xsd:simpleType>
        <xsd:restriction base="dms:Text"/>
      </xsd:simpleType>
    </xsd:element>
    <xsd:element name="TPComponent" ma:index="20" nillable="true" ma:displayName="Component" ma:default="" ma:internalName="TPComponent">
      <xsd:simpleType>
        <xsd:restriction base="dms:Text"/>
      </xsd:simpleType>
    </xsd:element>
    <xsd:element name="ContentItem" ma:index="21" nillable="true" ma:displayName="Content Item" ma:default="" ma:hidden="true" ma:internalName="ContentItem" ma:readOnly="false">
      <xsd:simpleType>
        <xsd:restriction base="dms:Unknown"/>
      </xsd:simpleType>
    </xsd:element>
    <xsd:element name="CrawlForDependencies" ma:index="23" nillable="true" ma:displayName="Crawl for Dependencies?" ma:default="true" ma:internalName="CrawlForDependencies" ma:readOnly="false">
      <xsd:simpleType>
        <xsd:restriction base="dms:Boolean"/>
      </xsd:simpleType>
    </xsd:element>
    <xsd:element name="CSXHash" ma:index="26" nillable="true" ma:displayName="CSX Hash" ma:default="" ma:indexed="true" ma:internalName="CSXHash" ma:readOnly="false">
      <xsd:simpleType>
        <xsd:restriction base="dms:Text"/>
      </xsd:simpleType>
    </xsd:element>
    <xsd:element name="CSXSubmissionMarket" ma:index="27" nillable="true" ma:displayName="CSX Submission Market" ma:default="" ma:list="{8D80075B-F8CE-48D6-9BD2-D195F7E115A9}" ma:internalName="CSXSubmissionMarket" ma:readOnly="false" ma:showField="MarketName" ma:web="2958f784-0ef9-4616-b22d-512a8cad1f0d">
      <xsd:simpleType>
        <xsd:restriction base="dms:Lookup"/>
      </xsd:simpleType>
    </xsd:element>
    <xsd:element name="CSXUpdate" ma:index="28" nillable="true" ma:displayName="CSX Updated?" ma:default="false" ma:internalName="CSXUpdate" ma:readOnly="false">
      <xsd:simpleType>
        <xsd:restriction base="dms:Boolean"/>
      </xsd:simpleType>
    </xsd:element>
    <xsd:element name="IntlLangReviewDate" ma:index="29" nillable="true" ma:displayName="Date to Complete Intl QA" ma:default="" ma:internalName="IntlLangReviewDate" ma:readOnly="false">
      <xsd:simpleType>
        <xsd:restriction base="dms:DateTime"/>
      </xsd:simpleType>
    </xsd:element>
    <xsd:element name="IsDeleted" ma:index="30" nillable="true" ma:displayName="Deleted?" ma:default="" ma:internalName="IsDeleted" ma:readOnly="false">
      <xsd:simpleType>
        <xsd:restriction base="dms:Boolean"/>
      </xsd:simpleType>
    </xsd:element>
    <xsd:element name="APDescription" ma:index="31" nillable="true" ma:displayName="Description" ma:default="" ma:internalName="APDescription" ma:readOnly="false">
      <xsd:simpleType>
        <xsd:restriction base="dms:Note"/>
      </xsd:simpleType>
    </xsd:element>
    <xsd:element name="DirectSourceMarket" ma:index="32" nillable="true" ma:displayName="Direct Source Market Group" ma:default="" ma:internalName="DirectSourceMarket" ma:readOnly="false">
      <xsd:simpleType>
        <xsd:restriction base="dms:Text"/>
      </xsd:simpleType>
    </xsd:element>
    <xsd:element name="Downloads" ma:index="33" nillable="true" ma:displayName="Downloads" ma:default="0" ma:hidden="true" ma:internalName="Downloads" ma:readOnly="false">
      <xsd:simpleType>
        <xsd:restriction base="dms:Unknown"/>
      </xsd:simpleType>
    </xsd:element>
    <xsd:element name="DSATActionTaken" ma:index="34" nillable="true" ma:displayName="DSAT Action Taken" ma:default="" ma:internalName="DSATActionTaken" ma:readOnly="false">
      <xsd:simpleType>
        <xsd:restriction base="dms:Choice">
          <xsd:enumeration value="Best Bets"/>
          <xsd:enumeration value="Expire"/>
          <xsd:enumeration value="Hide"/>
          <xsd:enumeration value="None"/>
        </xsd:restriction>
      </xsd:simpleType>
    </xsd:element>
    <xsd:element name="APEditor" ma:index="35" nillable="true" ma:displayName="Editor" ma:default="" ma:list="UserInfo" ma:internalName="APEdito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ialStatus" ma:index="36" nillable="true" ma:displayName="Editorial Status" ma:default="" ma:internalName="EditorialStatus" ma:readOnly="false">
      <xsd:simpleType>
        <xsd:restriction base="dms:Unknown"/>
      </xsd:simpleType>
    </xsd:element>
    <xsd:element name="EditorialTags" ma:index="37" nillable="true" ma:displayName="Editorial Tags" ma:default="" ma:internalName="EditorialTags">
      <xsd:simpleType>
        <xsd:restriction base="dms:Unknown"/>
      </xsd:simpleType>
    </xsd:element>
    <xsd:element name="TPExecutable" ma:index="38" nillable="true" ma:displayName="Executable" ma:default="" ma:internalName="TPExecutable">
      <xsd:simpleType>
        <xsd:restriction base="dms:Text"/>
      </xsd:simpleType>
    </xsd:element>
    <xsd:element name="FeatureTagsTaxHTField0" ma:index="40" nillable="true" ma:taxonomy="true" ma:internalName="FeatureTagsTaxHTField0" ma:taxonomyFieldName="FeatureTags" ma:displayName="Features" ma:readOnly="false" ma:default="" ma:fieldId="{9327d1a0-1a14-4b12-a74c-0f320f972977}" ma:taxonomyMulti="true" ma:sspId="8f79753a-75d3-41f5-8ca3-40b843941b4f" ma:termSetId="f1ab6845-967d-4854-a0ba-4ec07f0f8113" ma:anchorId="00000000-0000-0000-0000-000000000000" ma:open="false" ma:isKeyword="false">
      <xsd:complexType>
        <xsd:sequence>
          <xsd:element ref="pc:Terms" minOccurs="0" maxOccurs="1"/>
        </xsd:sequence>
      </xsd:complexType>
    </xsd:element>
    <xsd:element name="TPFriendlyName" ma:index="41" nillable="true" ma:displayName="Friendly Name" ma:default="" ma:internalName="TPFriendlyName">
      <xsd:simpleType>
        <xsd:restriction base="dms:Text"/>
      </xsd:simpleType>
    </xsd:element>
    <xsd:element name="FriendlyTitle" ma:index="42" nillable="true" ma:displayName="Friendly Title" ma:default="" ma:description="Shorter title to be used when displaying search results" ma:internalName="FriendlyTitle" ma:readOnly="false">
      <xsd:simpleType>
        <xsd:restriction base="dms:Text"/>
      </xsd:simpleType>
    </xsd:element>
    <xsd:element name="PrimaryImageGen" ma:index="43" nillable="true" ma:displayName="Generate Images?" ma:default="true" ma:internalName="PrimaryImageGen">
      <xsd:simpleType>
        <xsd:restriction base="dms:Boolean"/>
      </xsd:simpleType>
    </xsd:element>
    <xsd:element name="HandoffToMSDN" ma:index="44" nillable="true" ma:displayName="Handoff To MSDN Date" ma:default="" ma:internalName="HandoffToMSDN" ma:readOnly="false">
      <xsd:simpleType>
        <xsd:restriction base="dms:DateTime"/>
      </xsd:simpleType>
    </xsd:element>
    <xsd:element name="InProjectListLookup" ma:index="45" nillable="true" ma:displayName="InProjectListLookup" ma:list="{1F044C38-11A0-4051-9DF8-A3AFA85E16DC}" ma:internalName="InProjectListLookup" ma:readOnly="true" ma:showField="InProjectList"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TPInstallLocation" ma:index="46" nillable="true" ma:displayName="Install Location" ma:default="" ma:internalName="TPInstallLocation">
      <xsd:simpleType>
        <xsd:restriction base="dms:Text"/>
      </xsd:simpleType>
    </xsd:element>
    <xsd:element name="InternalTagsTaxHTField0" ma:index="48" nillable="true" ma:taxonomy="true" ma:internalName="InternalTagsTaxHTField0" ma:taxonomyFieldName="InternalTags" ma:displayName="Internal Tags" ma:readOnly="false" ma:default="" ma:fieldId="{3b364bcb-a06e-4da1-8475-f5243c3236b2}" ma:taxonomyMulti="true" ma:sspId="8f79753a-75d3-41f5-8ca3-40b843941b4f" ma:termSetId="82b6639e-f7fc-4c18-ad2d-003a6e707765" ma:anchorId="00000000-0000-0000-0000-000000000000" ma:open="false" ma:isKeyword="false">
      <xsd:complexType>
        <xsd:sequence>
          <xsd:element ref="pc:Terms" minOccurs="0" maxOccurs="1"/>
        </xsd:sequence>
      </xsd:complexType>
    </xsd:element>
    <xsd:element name="IntlLangReview" ma:index="49" nillable="true" ma:displayName="Intl Lang QA Review Required?" ma:default="" ma:internalName="IntlLangReview" ma:readOnly="false">
      <xsd:simpleType>
        <xsd:restriction base="dms:Boolean"/>
      </xsd:simpleType>
    </xsd:element>
    <xsd:element name="IntlLangReviewer" ma:index="50" nillable="true" ma:displayName="Intl Lang QA Reviewer" ma:default="" ma:internalName="IntlLangReviewer" ma:readOnly="false">
      <xsd:simpleType>
        <xsd:restriction base="dms:Text"/>
      </xsd:simpleType>
    </xsd:element>
    <xsd:element name="MarketSpecific" ma:index="51" nillable="true" ma:displayName="Is Market Specific?" ma:default="" ma:internalName="MarketSpecific" ma:readOnly="false">
      <xsd:simpleType>
        <xsd:restriction base="dms:Boolean"/>
      </xsd:simpleType>
    </xsd:element>
    <xsd:element name="LastCompleteVersionLookup" ma:index="52" nillable="true" ma:displayName="Last Complete Version Lookup" ma:default="" ma:list="{1F044C38-11A0-4051-9DF8-A3AFA85E16DC}" ma:internalName="LastCompleteVersionLookup" ma:readOnly="true" ma:showField="LastCompleteVersion"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HandOff" ma:index="53" nillable="true" ma:displayName="Last Hand-off" ma:default="" ma:internalName="LastHandOff" ma:readOnly="false">
      <xsd:simpleType>
        <xsd:restriction base="dms:DateTime"/>
      </xsd:simpleType>
    </xsd:element>
    <xsd:element name="LastModifiedDateTime" ma:index="54" nillable="true" ma:displayName="Last Modified Date" ma:default="" ma:internalName="LastModifiedDateTime" ma:readOnly="false">
      <xsd:simpleType>
        <xsd:restriction base="dms:DateTime"/>
      </xsd:simpleType>
    </xsd:element>
    <xsd:element name="LastPreviewErrorLookup" ma:index="55" nillable="true" ma:displayName="Last Preview Attempt Error" ma:default="" ma:list="{1F044C38-11A0-4051-9DF8-A3AFA85E16DC}" ma:internalName="LastPreviewErrorLookup" ma:readOnly="true" ma:showField="LastPreviewError"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reviewResultLookup" ma:index="56" nillable="true" ma:displayName="Last Preview Attempt Result" ma:default="" ma:list="{1F044C38-11A0-4051-9DF8-A3AFA85E16DC}" ma:internalName="LastPreviewResultLookup" ma:readOnly="true" ma:showField="LastPreviewResult"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reviewAttemptDateLookup" ma:index="57" nillable="true" ma:displayName="Last Preview Attempted On" ma:default="" ma:list="{1F044C38-11A0-4051-9DF8-A3AFA85E16DC}" ma:internalName="LastPreviewAttemptDateLookup" ma:readOnly="true" ma:showField="LastPreviewAttemptDate"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reviewedByLookup" ma:index="58" nillable="true" ma:displayName="Last Previewed By" ma:default="" ma:list="{1F044C38-11A0-4051-9DF8-A3AFA85E16DC}" ma:internalName="LastPreviewedByLookup" ma:readOnly="true" ma:showField="LastPreviewedBy"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reviewTimeLookup" ma:index="59" nillable="true" ma:displayName="Last Previewed Date" ma:default="" ma:list="{1F044C38-11A0-4051-9DF8-A3AFA85E16DC}" ma:internalName="LastPreviewTimeLookup" ma:readOnly="true" ma:showField="LastPreviewTime"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reviewVersionLookup" ma:index="60" nillable="true" ma:displayName="Last Previewed Version" ma:default="" ma:list="{1F044C38-11A0-4051-9DF8-A3AFA85E16DC}" ma:internalName="LastPreviewVersionLookup" ma:readOnly="true" ma:showField="LastPreviewVersion"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ublishErrorLookup" ma:index="61" nillable="true" ma:displayName="Last Publish Attempt Error" ma:default="" ma:list="{1F044C38-11A0-4051-9DF8-A3AFA85E16DC}" ma:internalName="LastPublishErrorLookup" ma:readOnly="true" ma:showField="LastPublishError"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ublishResultLookup" ma:index="62" nillable="true" ma:displayName="Last Publish Attempt Result" ma:default="" ma:list="{1F044C38-11A0-4051-9DF8-A3AFA85E16DC}" ma:internalName="LastPublishResultLookup" ma:readOnly="true" ma:showField="LastPublishResult"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ublishAttemptDateLookup" ma:index="63" nillable="true" ma:displayName="Last Publish Attempted On" ma:default="" ma:list="{1F044C38-11A0-4051-9DF8-A3AFA85E16DC}" ma:internalName="LastPublishAttemptDateLookup" ma:readOnly="true" ma:showField="LastPublishAttemptDate"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ublishedByLookup" ma:index="64" nillable="true" ma:displayName="Last Published By" ma:default="" ma:list="{1F044C38-11A0-4051-9DF8-A3AFA85E16DC}" ma:internalName="LastPublishedByLookup" ma:readOnly="true" ma:showField="LastPublishedBy"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ublishTimeLookup" ma:index="65" nillable="true" ma:displayName="Last Published Date" ma:default="" ma:list="{1F044C38-11A0-4051-9DF8-A3AFA85E16DC}" ma:internalName="LastPublishTimeLookup" ma:readOnly="true" ma:showField="LastPublishTime"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LastPublishVersionLookup" ma:index="66" nillable="true" ma:displayName="Last Published Version" ma:default="" ma:list="{1F044C38-11A0-4051-9DF8-A3AFA85E16DC}" ma:internalName="LastPublishVersionLookup" ma:readOnly="true" ma:showField="LastPublishVersion"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TPLaunchHelpLinkType" ma:index="67" nillable="true" ma:displayName="Launch Help Link Type" ma:default="Template" ma:internalName="TPLaunchHelpLinkType">
      <xsd:simpleType>
        <xsd:restriction base="dms:Choice">
          <xsd:enumeration value="Template"/>
          <xsd:enumeration value="Training"/>
          <xsd:enumeration value="URL"/>
          <xsd:enumeration value="None"/>
        </xsd:restriction>
      </xsd:simpleType>
    </xsd:element>
    <xsd:element name="LegacyData" ma:index="68" nillable="true" ma:displayName="Legacy Data" ma:default="" ma:internalName="LegacyData" ma:readOnly="false">
      <xsd:simpleType>
        <xsd:restriction base="dms:Note"/>
      </xsd:simpleType>
    </xsd:element>
    <xsd:element name="TPLaunchHelpLink" ma:index="69" nillable="true" ma:displayName="Link to Launch Help Topic" ma:default="" ma:internalName="TPLaunchHelpLink">
      <xsd:simpleType>
        <xsd:restriction base="dms:Text"/>
      </xsd:simpleType>
    </xsd:element>
    <xsd:element name="LocComments" ma:index="70" nillable="true" ma:displayName="Loc Approval Comments" ma:default="" ma:internalName="LocComments" ma:readOnly="false">
      <xsd:simpleType>
        <xsd:restriction base="dms:Note"/>
      </xsd:simpleType>
    </xsd:element>
    <xsd:element name="LocLastLocAttemptVersionLookup" ma:index="71" nillable="true" ma:displayName="Loc Last Loc Attempt Version" ma:default="" ma:list="{AC64899A-88C0-4725-BCFC-902FA402DE74}" ma:internalName="LocLastLocAttemptVersionLookup" ma:readOnly="false" ma:showField="LastLocAttemptVersion" ma:web="2958f784-0ef9-4616-b22d-512a8cad1f0d">
      <xsd:simpleType>
        <xsd:restriction base="dms:Lookup"/>
      </xsd:simpleType>
    </xsd:element>
    <xsd:element name="LocLastLocAttemptVersionTypeLookup" ma:index="72" nillable="true" ma:displayName="Loc Last Loc Attempt Version Type" ma:default="" ma:list="{AC64899A-88C0-4725-BCFC-902FA402DE74}" ma:internalName="LocLastLocAttemptVersionTypeLookup" ma:readOnly="true" ma:showField="LastLocAttemptVersionType" ma:web="2958f784-0ef9-4616-b22d-512a8cad1f0d">
      <xsd:simpleType>
        <xsd:restriction base="dms:Lookup"/>
      </xsd:simpleType>
    </xsd:element>
    <xsd:element name="LocManualTestRequired" ma:index="73" nillable="true" ma:displayName="Loc Manual Test Required" ma:default="" ma:internalName="LocManualTestRequired" ma:readOnly="false">
      <xsd:simpleType>
        <xsd:restriction base="dms:Boolean"/>
      </xsd:simpleType>
    </xsd:element>
    <xsd:element name="LocMarketGroupTiers2" ma:index="74" nillable="true" ma:displayName="Loc Market Group Tiers" ma:internalName="LocMarketGroupTiers2" ma:readOnly="false">
      <xsd:simpleType>
        <xsd:restriction base="dms:Unknown"/>
      </xsd:simpleType>
    </xsd:element>
    <xsd:element name="LocNewPublishedVersionLookup" ma:index="75" nillable="true" ma:displayName="Loc New Published Version Lookup" ma:default="" ma:list="{AC64899A-88C0-4725-BCFC-902FA402DE74}" ma:internalName="LocNewPublishedVersionLookup" ma:readOnly="true" ma:showField="NewPublishedVersion" ma:web="2958f784-0ef9-4616-b22d-512a8cad1f0d">
      <xsd:simpleType>
        <xsd:restriction base="dms:Lookup"/>
      </xsd:simpleType>
    </xsd:element>
    <xsd:element name="LocOverallHandbackStatusLookup" ma:index="76" nillable="true" ma:displayName="Loc Overall Handback Status" ma:default="" ma:list="{AC64899A-88C0-4725-BCFC-902FA402DE74}" ma:internalName="LocOverallHandbackStatusLookup" ma:readOnly="true" ma:showField="OverallHandbackStatus" ma:web="2958f784-0ef9-4616-b22d-512a8cad1f0d">
      <xsd:simpleType>
        <xsd:restriction base="dms:Lookup"/>
      </xsd:simpleType>
    </xsd:element>
    <xsd:element name="LocOverallLocStatusLookup" ma:index="77" nillable="true" ma:displayName="Loc Overall Localize Status" ma:default="" ma:list="{AC64899A-88C0-4725-BCFC-902FA402DE74}" ma:internalName="LocOverallLocStatusLookup" ma:readOnly="true" ma:showField="OverallLocStatus" ma:web="2958f784-0ef9-4616-b22d-512a8cad1f0d">
      <xsd:simpleType>
        <xsd:restriction base="dms:Lookup"/>
      </xsd:simpleType>
    </xsd:element>
    <xsd:element name="LocOverallPreviewStatusLookup" ma:index="78" nillable="true" ma:displayName="Loc Overall Preview Status" ma:default="" ma:list="{AC64899A-88C0-4725-BCFC-902FA402DE74}" ma:internalName="LocOverallPreviewStatusLookup" ma:readOnly="true" ma:showField="OverallPreviewStatus" ma:web="2958f784-0ef9-4616-b22d-512a8cad1f0d">
      <xsd:simpleType>
        <xsd:restriction base="dms:Lookup"/>
      </xsd:simpleType>
    </xsd:element>
    <xsd:element name="LocOverallPublishStatusLookup" ma:index="79" nillable="true" ma:displayName="Loc Overall Publish Status" ma:default="" ma:list="{AC64899A-88C0-4725-BCFC-902FA402DE74}" ma:internalName="LocOverallPublishStatusLookup" ma:readOnly="true" ma:showField="OverallPublishStatus" ma:web="2958f784-0ef9-4616-b22d-512a8cad1f0d">
      <xsd:simpleType>
        <xsd:restriction base="dms:Lookup"/>
      </xsd:simpleType>
    </xsd:element>
    <xsd:element name="IntlLocPriority" ma:index="80" nillable="true" ma:displayName="Loc Priority" ma:default="" ma:internalName="IntlLocPriority" ma:readOnly="false">
      <xsd:simpleType>
        <xsd:restriction base="dms:Unknown"/>
      </xsd:simpleType>
    </xsd:element>
    <xsd:element name="LocProcessedForHandoffsLookup" ma:index="81" nillable="true" ma:displayName="Loc Processed For Handoffs" ma:default="" ma:list="{AC64899A-88C0-4725-BCFC-902FA402DE74}" ma:internalName="LocProcessedForHandoffsLookup" ma:readOnly="true" ma:showField="ProcessedForHandoffs" ma:web="2958f784-0ef9-4616-b22d-512a8cad1f0d">
      <xsd:simpleType>
        <xsd:restriction base="dms:Lookup"/>
      </xsd:simpleType>
    </xsd:element>
    <xsd:element name="LocProcessedForMarketsLookup" ma:index="82" nillable="true" ma:displayName="Loc Processed For Markets" ma:default="" ma:list="{AC64899A-88C0-4725-BCFC-902FA402DE74}" ma:internalName="LocProcessedForMarketsLookup" ma:readOnly="true" ma:showField="ProcessedForMarkets" ma:web="2958f784-0ef9-4616-b22d-512a8cad1f0d">
      <xsd:simpleType>
        <xsd:restriction base="dms:Lookup"/>
      </xsd:simpleType>
    </xsd:element>
    <xsd:element name="LocPublishedDependentAssetsLookup" ma:index="83" nillable="true" ma:displayName="Loc Published Dependent Assets" ma:default="" ma:list="{AC64899A-88C0-4725-BCFC-902FA402DE74}" ma:internalName="LocPublishedDependentAssetsLookup" ma:readOnly="true" ma:showField="PublishedDependentAssets" ma:web="2958f784-0ef9-4616-b22d-512a8cad1f0d">
      <xsd:simpleType>
        <xsd:restriction base="dms:Lookup"/>
      </xsd:simpleType>
    </xsd:element>
    <xsd:element name="LocPublishedLinkedAssetsLookup" ma:index="84" nillable="true" ma:displayName="Loc Published Linked Assets" ma:default="" ma:list="{AC64899A-88C0-4725-BCFC-902FA402DE74}" ma:internalName="LocPublishedLinkedAssetsLookup" ma:readOnly="true" ma:showField="PublishedLinkedAssets" ma:web="2958f784-0ef9-4616-b22d-512a8cad1f0d">
      <xsd:simpleType>
        <xsd:restriction base="dms:Lookup"/>
      </xsd:simpleType>
    </xsd:element>
    <xsd:element name="LocRecommendedHandoff" ma:index="85" nillable="true" ma:displayName="Loc Recommended Handoff" ma:default="" ma:indexed="true" ma:internalName="LocRecommendedHandoff" ma:readOnly="false">
      <xsd:simpleType>
        <xsd:restriction base="dms:Text"/>
      </xsd:simpleType>
    </xsd:element>
    <xsd:element name="LocalizationTagsTaxHTField0" ma:index="87" nillable="true" ma:taxonomy="true" ma:internalName="LocalizationTagsTaxHTField0" ma:taxonomyFieldName="LocalizationTags" ma:displayName="Localization Tags" ma:readOnly="false" ma:default="" ma:fieldId="{251ee2d3-c117-4524-b3f1-1010c3cab2a3}" ma:taxonomyMulti="true" ma:sspId="8f79753a-75d3-41f5-8ca3-40b843941b4f" ma:termSetId="5b7703a5-8e8b-4b58-8b31-1cea35331da3" ma:anchorId="00000000-0000-0000-0000-000000000000" ma:open="false" ma:isKeyword="false">
      <xsd:complexType>
        <xsd:sequence>
          <xsd:element ref="pc:Terms" minOccurs="0" maxOccurs="1"/>
        </xsd:sequence>
      </xsd:complexType>
    </xsd:element>
    <xsd:element name="MachineTranslated" ma:index="88" nillable="true" ma:displayName="Machine Translated" ma:default="" ma:internalName="MachineTranslated" ma:readOnly="false">
      <xsd:simpleType>
        <xsd:restriction base="dms:Boolean"/>
      </xsd:simpleType>
    </xsd:element>
    <xsd:element name="Manager" ma:index="89" nillable="true" ma:displayName="Manager" ma:hidden="true" ma:internalName="Manager" ma:readOnly="false">
      <xsd:simpleType>
        <xsd:restriction base="dms:Text"/>
      </xsd:simpleType>
    </xsd:element>
    <xsd:element name="Markets" ma:index="90" nillable="true" ma:displayName="Markets" ma:default="" ma:description="Leave blank to show in all markets" ma:list="{8D80075B-F8CE-48D6-9BD2-D195F7E115A9}" ma:internalName="Markets" ma:readOnly="false" ma:showField="MarketName"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Milestone" ma:index="91" nillable="true" ma:displayName="Milestone" ma:default="" ma:internalName="Milestone" ma:readOnly="false">
      <xsd:simpleType>
        <xsd:restriction base="dms:Unknown"/>
      </xsd:simpleType>
    </xsd:element>
    <xsd:element name="TPNamespace" ma:index="94" nillable="true" ma:displayName="Namespace" ma:default="" ma:internalName="TPNamespace">
      <xsd:simpleType>
        <xsd:restriction base="dms:Text"/>
      </xsd:simpleType>
    </xsd:element>
    <xsd:element name="NumericId" ma:index="95" nillable="true" ma:displayName="Numeric ID" ma:default="" ma:indexed="true" ma:internalName="NumericId" ma:readOnly="false">
      <xsd:simpleType>
        <xsd:restriction base="dms:Number"/>
      </xsd:simpleType>
    </xsd:element>
    <xsd:element name="NumOfRatingsLookup" ma:index="96" nillable="true" ma:displayName="NumOfRatings" ma:default="" ma:list="{1F044C38-11A0-4051-9DF8-A3AFA85E16DC}" ma:internalName="NumOfRatingsLookup" ma:readOnly="true" ma:showField="NumOfRatings"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OOCacheId" ma:index="97" nillable="true" ma:displayName="OOCacheId" ma:internalName="OOCacheId" ma:readOnly="false">
      <xsd:simpleType>
        <xsd:restriction base="dms:Text"/>
      </xsd:simpleType>
    </xsd:element>
    <xsd:element name="OpenTemplate" ma:index="98" nillable="true" ma:displayName="Open Template" ma:default="true" ma:internalName="OpenTemplate">
      <xsd:simpleType>
        <xsd:restriction base="dms:Boolean"/>
      </xsd:simpleType>
    </xsd:element>
    <xsd:element name="OriginAsset" ma:index="99" nillable="true" ma:displayName="Origin Asset" ma:default="" ma:internalName="OriginAsset" ma:readOnly="false">
      <xsd:simpleType>
        <xsd:restriction base="dms:Text"/>
      </xsd:simpleType>
    </xsd:element>
    <xsd:element name="OriginalRelease" ma:index="100" nillable="true" ma:displayName="Original Release" ma:default="15" ma:internalName="OriginalRelease" ma:readOnly="false">
      <xsd:simpleType>
        <xsd:restriction base="dms:Choice">
          <xsd:enumeration value="14"/>
          <xsd:enumeration value="15"/>
          <xsd:enumeration value="16"/>
        </xsd:restriction>
      </xsd:simpleType>
    </xsd:element>
    <xsd:element name="OriginalSourceMarket" ma:index="101" nillable="true" ma:displayName="Original Source Market Group" ma:default="" ma:internalName="OriginalSourceMarket" ma:readOnly="false">
      <xsd:simpleType>
        <xsd:restriction base="dms:Text"/>
      </xsd:simpleType>
    </xsd:element>
    <xsd:element name="OutputCachingOn" ma:index="102" nillable="true" ma:displayName="Output Caching" ma:default="true" ma:hidden="true" ma:internalName="OutputCachingOn" ma:readOnly="false">
      <xsd:simpleType>
        <xsd:restriction base="dms:Boolean"/>
      </xsd:simpleType>
    </xsd:element>
    <xsd:element name="ParentAssetId" ma:index="103" nillable="true" ma:displayName="Parent Asset Id" ma:default="" ma:internalName="ParentAssetId" ma:readOnly="false">
      <xsd:simpleType>
        <xsd:restriction base="dms:Text"/>
      </xsd:simpleType>
    </xsd:element>
    <xsd:element name="PlannedPubDate" ma:index="104" nillable="true" ma:displayName="Planned Publish Date" ma:default="" ma:indexed="true" ma:internalName="PlannedPubDate" ma:readOnly="false">
      <xsd:simpleType>
        <xsd:restriction base="dms:DateTime"/>
      </xsd:simpleType>
    </xsd:element>
    <xsd:element name="PolicheckWords" ma:index="105" nillable="true" ma:displayName="Policheck Words" ma:default="" ma:internalName="PolicheckWords" ma:readOnly="false">
      <xsd:simpleType>
        <xsd:restriction base="dms:Text"/>
      </xsd:simpleType>
    </xsd:element>
    <xsd:element name="BusinessGroup" ma:index="106" nillable="true" ma:displayName="Product Division Owner" ma:default="" ma:internalName="BusinessGroup" ma:readOnly="false">
      <xsd:simpleType>
        <xsd:restriction base="dms:Unknown"/>
      </xsd:simpleType>
    </xsd:element>
    <xsd:element name="UAProjectedTotalWords" ma:index="107" nillable="true" ma:displayName="Projected Word Count" ma:default="" ma:internalName="UAProjectedTotalWords" ma:readOnly="false">
      <xsd:simpleType>
        <xsd:restriction base="dms:Unknown"/>
      </xsd:simpleType>
    </xsd:element>
    <xsd:element name="Provider" ma:index="108" nillable="true" ma:displayName="Provider" ma:default="" ma:internalName="Provider" ma:readOnly="false">
      <xsd:simpleType>
        <xsd:restriction base="dms:Unknown"/>
      </xsd:simpleType>
    </xsd:element>
    <xsd:element name="Providers" ma:index="109" nillable="true" ma:displayName="Providers" ma:default="" ma:internalName="Providers">
      <xsd:simpleType>
        <xsd:restriction base="dms:Unknown"/>
      </xsd:simpleType>
    </xsd:element>
    <xsd:element name="PublishStatusLookup" ma:index="110" nillable="true" ma:displayName="Publish Status" ma:default="" ma:list="{1F044C38-11A0-4051-9DF8-A3AFA85E16DC}" ma:internalName="PublishStatusLookup" ma:readOnly="false" ma:showField="PublishStatus"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PublishTargets" ma:index="111" nillable="true" ma:displayName="Publish Target" ma:default="OfficeOnlineVNext" ma:internalName="PublishTargets" ma:readOnly="false">
      <xsd:simpleType>
        <xsd:restriction base="dms:Unknown"/>
      </xsd:simpleType>
    </xsd:element>
    <xsd:element name="RecommendationsModifier" ma:index="112" nillable="true" ma:displayName="Recommendations Modifier" ma:default="" ma:internalName="RecommendationsModifier" ma:readOnly="false">
      <xsd:simpleType>
        <xsd:restriction base="dms:Number"/>
      </xsd:simpleType>
    </xsd:element>
    <xsd:element name="ArtSampleDocs" ma:index="113" nillable="true" ma:displayName="Sample Docs" ma:default="" ma:hidden="true" ma:internalName="ArtSampleDocs" ma:readOnly="false">
      <xsd:simpleType>
        <xsd:restriction base="dms:Text"/>
      </xsd:simpleType>
    </xsd:element>
    <xsd:element name="ScenarioTagsTaxHTField0" ma:index="115" nillable="true" ma:taxonomy="true" ma:internalName="ScenarioTagsTaxHTField0" ma:taxonomyFieldName="ScenarioTags" ma:displayName="Scenarios" ma:readOnly="false" ma:default="" ma:fieldId="{654e2ea7-8c43-4b3c-9db4-bd71f7cfe4f4}" ma:taxonomyMulti="true" ma:sspId="8f79753a-75d3-41f5-8ca3-40b843941b4f" ma:termSetId="4b7d5f16-e2f2-4fc0-bab3-6e8b931e57d6" ma:anchorId="00000000-0000-0000-0000-000000000000" ma:open="false" ma:isKeyword="false">
      <xsd:complexType>
        <xsd:sequence>
          <xsd:element ref="pc:Terms" minOccurs="0" maxOccurs="1"/>
        </xsd:sequence>
      </xsd:complexType>
    </xsd:element>
    <xsd:element name="ShowIn" ma:index="117" nillable="true" ma:displayName="Show In" ma:default="Show everywhere" ma:internalName="ShowIn" ma:readOnly="false">
      <xsd:simpleType>
        <xsd:restriction base="dms:Choice">
          <xsd:enumeration value="Hide on web"/>
          <xsd:enumeration value="On Web no search"/>
          <xsd:enumeration value="Show everywhere"/>
          <xsd:enumeration value="Special use only"/>
        </xsd:restriction>
      </xsd:simpleType>
    </xsd:element>
    <xsd:element name="SourceTitle" ma:index="118" nillable="true" ma:displayName="Source Title" ma:default="" ma:indexed="true" ma:internalName="SourceTitle" ma:readOnly="false">
      <xsd:simpleType>
        <xsd:restriction base="dms:Text"/>
      </xsd:simpleType>
    </xsd:element>
    <xsd:element name="CSXSubmissionDate" ma:index="119" nillable="true" ma:displayName="Submission Date" ma:default="" ma:internalName="CSXSubmissionDate" ma:readOnly="false">
      <xsd:simpleType>
        <xsd:restriction base="dms:DateTime"/>
      </xsd:simpleType>
    </xsd:element>
    <xsd:element name="SubmitterId" ma:index="120" nillable="true" ma:displayName="Submitter ID" ma:default="" ma:internalName="SubmitterId" ma:readOnly="false">
      <xsd:simpleType>
        <xsd:restriction base="dms:Text"/>
      </xsd:simpleType>
    </xsd:element>
    <xsd:element name="TaxCatchAll" ma:index="121" nillable="true" ma:displayName="Taxonomy Catch All Column" ma:hidden="true" ma:list="{33f01220-6030-4880-975f-b9ea0de09f53}" ma:internalName="TaxCatchAll" ma:showField="CatchAllData"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TaxCatchAllLabel" ma:index="122" nillable="true" ma:displayName="Taxonomy Catch All Column1" ma:hidden="true" ma:list="{33f01220-6030-4880-975f-b9ea0de09f53}" ma:internalName="TaxCatchAllLabel" ma:readOnly="true" ma:showField="CatchAllDataLabel" ma:web="2958f784-0ef9-4616-b22d-512a8cad1f0d">
      <xsd:complexType>
        <xsd:complexContent>
          <xsd:extension base="dms:MultiChoiceLookup">
            <xsd:sequence>
              <xsd:element name="Value" type="dms:Lookup" maxOccurs="unbounded" minOccurs="0" nillable="true"/>
            </xsd:sequence>
          </xsd:extension>
        </xsd:complexContent>
      </xsd:complexType>
    </xsd:element>
    <xsd:element name="TemplateStatus" ma:index="123" nillable="true" ma:displayName="Template Status" ma:default="" ma:internalName="TemplateStatus">
      <xsd:simpleType>
        <xsd:restriction base="dms:Unknown"/>
      </xsd:simpleType>
    </xsd:element>
    <xsd:element name="TemplateTemplateType" ma:index="124" nillable="true" ma:displayName="Template Type" ma:default="" ma:internalName="TemplateTemplateType">
      <xsd:simpleType>
        <xsd:restriction base="dms:Unknown"/>
      </xsd:simpleType>
    </xsd:element>
    <xsd:element name="ThumbnailAssetId" ma:index="125" nillable="true" ma:displayName="Thumbnail Image Asset" ma:default="" ma:internalName="ThumbnailAssetId" ma:readOnly="false">
      <xsd:simpleType>
        <xsd:restriction base="dms:Text"/>
      </xsd:simpleType>
    </xsd:element>
    <xsd:element name="TimesCloned" ma:index="126" nillable="true" ma:displayName="Times Cloned" ma:default="" ma:internalName="TimesCloned" ma:readOnly="false">
      <xsd:simpleType>
        <xsd:restriction base="dms:Number"/>
      </xsd:simpleType>
    </xsd:element>
    <xsd:element name="TrustLevel" ma:index="128" nillable="true" ma:displayName="Trust Level" ma:default="1 Microsoft Managed Content" ma:internalName="TrustLevel" ma:readOnly="false">
      <xsd:simpleType>
        <xsd:restriction base="dms:Unknown"/>
      </xsd:simpleType>
    </xsd:element>
    <xsd:element name="UALocComments" ma:index="129" nillable="true" ma:displayName="UA Loc Comments" ma:default="" ma:internalName="UALocComments" ma:readOnly="false">
      <xsd:simpleType>
        <xsd:restriction base="dms:Note"/>
      </xsd:simpleType>
    </xsd:element>
    <xsd:element name="UALocRecommendation" ma:index="130" nillable="true" ma:displayName="UA Loc Recommendation" ma:default="Localize" ma:internalName="UALocRecommendation" ma:readOnly="false">
      <xsd:simpleType>
        <xsd:restriction base="dms:Choice">
          <xsd:enumeration value="Localize"/>
          <xsd:enumeration value="Never Localize"/>
          <xsd:enumeration value="Priority Localize"/>
        </xsd:restriction>
      </xsd:simpleType>
    </xsd:element>
    <xsd:element name="UANotes" ma:index="131" nillable="true" ma:displayName="UA Notes" ma:default="" ma:internalName="UANotes" ma:readOnly="false">
      <xsd:simpleType>
        <xsd:restriction base="dms:Note"/>
      </xsd:simpleType>
    </xsd:element>
    <xsd:element name="TPAppVersion" ma:index="132" nillable="true" ma:displayName="Version" ma:default="" ma:internalName="TPAppVersion">
      <xsd:simpleType>
        <xsd:restriction base="dms:Text"/>
      </xsd:simpleType>
    </xsd:element>
    <xsd:element name="VoteCount" ma:index="133" nillable="true" ma:displayName="Vote Count" ma:default="" ma:internalName="VoteCount" ma:readOnly="fals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b5acd76-e9f3-4601-9d69-91f53ab96ae6" elementFormDefault="qualified">
    <xsd:import namespace="http://schemas.microsoft.com/office/2006/documentManagement/types"/>
    <xsd:import namespace="http://schemas.microsoft.com/office/infopath/2007/PartnerControls"/>
    <xsd:element name="Description0" ma:index="134" nillable="true" ma:displayName="Description" ma:internalName="Description0">
      <xsd:simpleType>
        <xsd:restriction base="dms:Note"/>
      </xsd:simpleType>
    </xsd:element>
    <xsd:element name="Component" ma:index="135" nillable="true" ma:displayName="Component" ma:internalName="Component">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2" ma:displayName="Content Type"/>
        <xsd:element ref="dc:title" minOccurs="0" maxOccurs="1" ma:index="12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855A8F-0E41-43AE-B225-7000FC8FC046}">
  <ds:schemaRefs>
    <ds:schemaRef ds:uri="http://schemas.microsoft.com/sharepoint/v3/contenttype/forms"/>
  </ds:schemaRefs>
</ds:datastoreItem>
</file>

<file path=customXml/itemProps2.xml><?xml version="1.0" encoding="utf-8"?>
<ds:datastoreItem xmlns:ds="http://schemas.openxmlformats.org/officeDocument/2006/customXml" ds:itemID="{A65C093F-F36B-4E2F-AB05-8E3984F55BCA}">
  <ds:schemaRefs>
    <ds:schemaRef ds:uri="http://schemas.microsoft.com/office/2006/metadata/properties"/>
    <ds:schemaRef ds:uri="http://schemas.microsoft.com/office/infopath/2007/PartnerControls"/>
    <ds:schemaRef ds:uri="2958f784-0ef9-4616-b22d-512a8cad1f0d"/>
    <ds:schemaRef ds:uri="fb5acd76-e9f3-4601-9d69-91f53ab96ae6"/>
  </ds:schemaRefs>
</ds:datastoreItem>
</file>

<file path=customXml/itemProps3.xml><?xml version="1.0" encoding="utf-8"?>
<ds:datastoreItem xmlns:ds="http://schemas.openxmlformats.org/officeDocument/2006/customXml" ds:itemID="{0E824658-2BE3-4EB3-AA7D-7FE3F6F082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8f784-0ef9-4616-b22d-512a8cad1f0d"/>
    <ds:schemaRef ds:uri="fb5acd76-e9f3-4601-9d69-91f53ab96a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Calendario de embarazo</vt:lpstr>
      <vt:lpstr>CalcFecha</vt:lpstr>
      <vt:lpstr>FechaParto</vt:lpstr>
      <vt:lpstr>MétodoCálc</vt:lpstr>
      <vt:lpstr>NombreBebé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01</dc:creator>
  <cp:lastModifiedBy>01</cp:lastModifiedBy>
  <dcterms:created xsi:type="dcterms:W3CDTF">2012-08-27T23:00:44Z</dcterms:created>
  <dcterms:modified xsi:type="dcterms:W3CDTF">2020-04-23T20:33:46Z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0x010100DE95A0C693CEB341887D38A4A2B58B45040072C752107C5A7B47AA91A1EE638E6F1F</vt:lpwstr>
  </property>
  <property fmtid="{D5CDD505-2E9C-101B-9397-08002B2CF9AE}" pid="3" name="InternalTags">
    <vt:lpwstr/>
  </property>
  <property fmtid="{D5CDD505-2E9C-101B-9397-08002B2CF9AE}" pid="4" name="FeatureTags">
    <vt:lpwstr/>
  </property>
  <property fmtid="{D5CDD505-2E9C-101B-9397-08002B2CF9AE}" pid="5" name="LocalizationTags">
    <vt:lpwstr/>
  </property>
  <property fmtid="{D5CDD505-2E9C-101B-9397-08002B2CF9AE}" pid="6" name="ScenarioTags">
    <vt:lpwstr/>
  </property>
  <property fmtid="{D5CDD505-2E9C-101B-9397-08002B2CF9AE}" pid="7" name="CampaignTags">
    <vt:lpwstr/>
  </property>
  <property fmtid="{D5CDD505-2E9C-101B-9397-08002B2CF9AE}" pid="8" name="HiddenCategoryTags">
    <vt:lpwstr/>
  </property>
  <property fmtid="{D5CDD505-2E9C-101B-9397-08002B2CF9AE}" pid="9" name="CategoryTags">
    <vt:lpwstr/>
  </property>
  <property fmtid="{D5CDD505-2E9C-101B-9397-08002B2CF9AE}" pid="10" name="CategoryTagsTaxHTField0">
    <vt:lpwstr/>
  </property>
  <property fmtid="{D5CDD505-2E9C-101B-9397-08002B2CF9AE}" pid="11" name="HiddenCategoryTagsTaxHTField0">
    <vt:lpwstr/>
  </property>
</Properties>
</file>