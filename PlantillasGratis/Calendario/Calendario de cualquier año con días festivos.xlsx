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ustomProperty1.bin" ContentType="application/vnd.openxmlformats-officedocument.spreadsheetml.customProperty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01\Desktop\AILEEN PLANTILLAS\EXCEL\CALENDARIO\"/>
    </mc:Choice>
  </mc:AlternateContent>
  <xr:revisionPtr revIDLastSave="0" documentId="8_{BC1DB4C6-9B8F-41A0-A344-BD4951337788}" xr6:coauthVersionLast="45" xr6:coauthVersionMax="45" xr10:uidLastSave="{00000000-0000-0000-0000-000000000000}"/>
  <bookViews>
    <workbookView xWindow="-120" yWindow="-120" windowWidth="20730" windowHeight="11160" tabRatio="788" xr2:uid="{00000000-000D-0000-FFFF-FFFF00000000}"/>
  </bookViews>
  <sheets>
    <sheet name="Configuración" sheetId="27" r:id="rId1"/>
    <sheet name="Enero" sheetId="14" r:id="rId2"/>
    <sheet name="Febrero" sheetId="15" r:id="rId3"/>
    <sheet name="Marzo" sheetId="16" r:id="rId4"/>
    <sheet name="Abril" sheetId="17" r:id="rId5"/>
    <sheet name="Mayo" sheetId="18" r:id="rId6"/>
    <sheet name="Junio" sheetId="19" r:id="rId7"/>
    <sheet name="Julio" sheetId="20" r:id="rId8"/>
    <sheet name="Agosto" sheetId="21" r:id="rId9"/>
    <sheet name="Septiembre" sheetId="22" r:id="rId10"/>
    <sheet name="Octubre" sheetId="23" r:id="rId11"/>
    <sheet name="Noviembre" sheetId="24" r:id="rId12"/>
    <sheet name="Diciembre" sheetId="25" r:id="rId13"/>
    <sheet name="Días festivos" sheetId="26" r:id="rId14"/>
  </sheets>
  <definedNames>
    <definedName name="_xlnm.Print_Area" localSheetId="4">Abril!$A$1:$I$19</definedName>
    <definedName name="_xlnm.Print_Area" localSheetId="8">Agosto!$A$1:$I$19</definedName>
    <definedName name="_xlnm.Print_Area" localSheetId="0">Configuración!$A$1:$AG$36</definedName>
    <definedName name="_xlnm.Print_Area" localSheetId="12">Diciembre!$A$1:$I$19</definedName>
    <definedName name="_xlnm.Print_Area" localSheetId="1">Enero!$A$1:$I$19</definedName>
    <definedName name="_xlnm.Print_Area" localSheetId="2">Febrero!$A$1:$I$19</definedName>
    <definedName name="_xlnm.Print_Area" localSheetId="7">Julio!$A$1:$I$19</definedName>
    <definedName name="_xlnm.Print_Area" localSheetId="6">Junio!$A$1:$I$19</definedName>
    <definedName name="_xlnm.Print_Area" localSheetId="3">Marzo!$A$1:$I$19</definedName>
    <definedName name="_xlnm.Print_Area" localSheetId="5">Mayo!$A$1:$I$19</definedName>
    <definedName name="_xlnm.Print_Area" localSheetId="11">Noviembre!$A$1:$I$19</definedName>
    <definedName name="_xlnm.Print_Area" localSheetId="10">Octubre!$A$1:$I$19</definedName>
    <definedName name="_xlnm.Print_Area" localSheetId="9">Septiembre!$A$1:$I$19</definedName>
    <definedName name="CalYear">Configuración!$R$4</definedName>
    <definedName name="Días">{0,1,2,3,4,5,6} + {0;1;2;3;4;5}*7</definedName>
    <definedName name="InicioDeLaSemana">Configuración!$I$4</definedName>
    <definedName name="MayoLunes">SUM((WEEKDAY(DATE(CalYear,5,(ROW(INDIRECT("1:"&amp;DAY(DATE(CalYear,5+1,0)))))))=2)*1)</definedName>
    <definedName name="MostrarDíasFestivos">Configuración!$I$5</definedName>
    <definedName name="MostrarFestivosObservados">Configuración!$I$7</definedName>
    <definedName name="Observado">Configuración!$I$6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R4" i="27" l="1"/>
  <c r="B6" i="26" s="1"/>
  <c r="F6" i="26" s="1"/>
  <c r="B4" i="25" l="1"/>
  <c r="B4" i="24"/>
  <c r="B4" i="23"/>
  <c r="B4" i="22"/>
  <c r="B4" i="21"/>
  <c r="B4" i="20"/>
  <c r="B4" i="19"/>
  <c r="B4" i="18"/>
  <c r="B4" i="17"/>
  <c r="B4" i="16"/>
  <c r="B4" i="15"/>
  <c r="B15" i="25" l="1" a="1"/>
  <c r="C15" i="25" s="1"/>
  <c r="B13" i="25" a="1"/>
  <c r="G13" i="25" s="1"/>
  <c r="B11" i="25" a="1"/>
  <c r="G11" i="25" s="1"/>
  <c r="B9" i="25" a="1"/>
  <c r="G9" i="25" s="1"/>
  <c r="H7" i="25"/>
  <c r="B7" i="25" a="1"/>
  <c r="G7" i="25" s="1"/>
  <c r="B5" i="25" a="1"/>
  <c r="G5" i="25" s="1"/>
  <c r="B15" i="24" a="1"/>
  <c r="C15" i="24" s="1"/>
  <c r="D13" i="24"/>
  <c r="B13" i="24" a="1"/>
  <c r="G13" i="24" s="1"/>
  <c r="B11" i="24" a="1"/>
  <c r="G11" i="24" s="1"/>
  <c r="H9" i="24"/>
  <c r="D9" i="24"/>
  <c r="B9" i="24" a="1"/>
  <c r="G9" i="24" s="1"/>
  <c r="B7" i="24" a="1"/>
  <c r="G7" i="24" s="1"/>
  <c r="B5" i="24" a="1"/>
  <c r="G5" i="24" s="1"/>
  <c r="B15" i="23" a="1"/>
  <c r="C15" i="23" s="1"/>
  <c r="D13" i="23"/>
  <c r="B13" i="23" a="1"/>
  <c r="G13" i="23" s="1"/>
  <c r="B11" i="23" a="1"/>
  <c r="G11" i="23" s="1"/>
  <c r="H9" i="23"/>
  <c r="D9" i="23"/>
  <c r="B9" i="23" a="1"/>
  <c r="G9" i="23" s="1"/>
  <c r="B7" i="23" a="1"/>
  <c r="G7" i="23" s="1"/>
  <c r="D5" i="23"/>
  <c r="B5" i="23" a="1"/>
  <c r="G5" i="23" s="1"/>
  <c r="B15" i="22" a="1"/>
  <c r="C15" i="22" s="1"/>
  <c r="B13" i="22" a="1"/>
  <c r="G13" i="22" s="1"/>
  <c r="B11" i="22" a="1"/>
  <c r="G11" i="22" s="1"/>
  <c r="B9" i="22" a="1"/>
  <c r="G9" i="22" s="1"/>
  <c r="B7" i="22" a="1"/>
  <c r="G7" i="22" s="1"/>
  <c r="B5" i="22" a="1"/>
  <c r="G5" i="22" s="1"/>
  <c r="B15" i="21" a="1"/>
  <c r="C15" i="21" s="1"/>
  <c r="B13" i="21" a="1"/>
  <c r="G13" i="21" s="1"/>
  <c r="H11" i="21"/>
  <c r="B11" i="21" a="1"/>
  <c r="G11" i="21" s="1"/>
  <c r="B9" i="21" a="1"/>
  <c r="G9" i="21" s="1"/>
  <c r="B7" i="21" a="1"/>
  <c r="G7" i="21" s="1"/>
  <c r="B5" i="21" a="1"/>
  <c r="G5" i="21" s="1"/>
  <c r="B15" i="20" a="1"/>
  <c r="C15" i="20" s="1"/>
  <c r="B13" i="20" a="1"/>
  <c r="G13" i="20" s="1"/>
  <c r="B11" i="20" a="1"/>
  <c r="G11" i="20" s="1"/>
  <c r="H9" i="20"/>
  <c r="D9" i="20"/>
  <c r="B9" i="20" a="1"/>
  <c r="G9" i="20" s="1"/>
  <c r="B7" i="20" a="1"/>
  <c r="G7" i="20" s="1"/>
  <c r="B5" i="20" a="1"/>
  <c r="G5" i="20" s="1"/>
  <c r="B15" i="19" a="1"/>
  <c r="C15" i="19" s="1"/>
  <c r="B13" i="19" a="1"/>
  <c r="G13" i="19" s="1"/>
  <c r="B11" i="19" a="1"/>
  <c r="G11" i="19" s="1"/>
  <c r="B9" i="19" a="1"/>
  <c r="G9" i="19" s="1"/>
  <c r="B7" i="19" a="1"/>
  <c r="G7" i="19" s="1"/>
  <c r="B5" i="19" a="1"/>
  <c r="G5" i="19" s="1"/>
  <c r="B15" i="18" a="1"/>
  <c r="C15" i="18" s="1"/>
  <c r="B13" i="18" a="1"/>
  <c r="G13" i="18" s="1"/>
  <c r="B11" i="18" a="1"/>
  <c r="G11" i="18" s="1"/>
  <c r="B9" i="18" a="1"/>
  <c r="G9" i="18" s="1"/>
  <c r="B7" i="18" a="1"/>
  <c r="G7" i="18" s="1"/>
  <c r="B5" i="18" a="1"/>
  <c r="G5" i="18" s="1"/>
  <c r="B15" i="17" a="1"/>
  <c r="C15" i="17" s="1"/>
  <c r="D13" i="17"/>
  <c r="B13" i="17" a="1"/>
  <c r="G13" i="17" s="1"/>
  <c r="B11" i="17" a="1"/>
  <c r="G11" i="17" s="1"/>
  <c r="B9" i="17" a="1"/>
  <c r="G9" i="17" s="1"/>
  <c r="B7" i="17" a="1"/>
  <c r="G7" i="17" s="1"/>
  <c r="B5" i="17" a="1"/>
  <c r="G5" i="17" s="1"/>
  <c r="B15" i="16" a="1"/>
  <c r="B15" i="16" s="1"/>
  <c r="B13" i="16" a="1"/>
  <c r="F13" i="16" s="1"/>
  <c r="B11" i="16" a="1"/>
  <c r="F11" i="16" s="1"/>
  <c r="B9" i="16" a="1"/>
  <c r="F9" i="16" s="1"/>
  <c r="G7" i="16"/>
  <c r="B7" i="16" a="1"/>
  <c r="F7" i="16" s="1"/>
  <c r="B5" i="16" a="1"/>
  <c r="F5" i="16" s="1"/>
  <c r="B15" i="15" a="1"/>
  <c r="C15" i="15" s="1"/>
  <c r="F13" i="15"/>
  <c r="B13" i="15" a="1"/>
  <c r="G13" i="15" s="1"/>
  <c r="B11" i="15" a="1"/>
  <c r="G11" i="15" s="1"/>
  <c r="D9" i="15"/>
  <c r="B9" i="15"/>
  <c r="B9" i="15" a="1"/>
  <c r="G9" i="15" s="1"/>
  <c r="B7" i="15" a="1"/>
  <c r="G7" i="15" s="1"/>
  <c r="D5" i="15"/>
  <c r="B5" i="15" a="1"/>
  <c r="G5" i="15" s="1"/>
  <c r="B15" i="14" a="1"/>
  <c r="C15" i="14" s="1"/>
  <c r="B13" i="14" a="1"/>
  <c r="G13" i="14" s="1"/>
  <c r="B11" i="14" a="1"/>
  <c r="G11" i="14" s="1"/>
  <c r="B9" i="14" a="1"/>
  <c r="G9" i="14" s="1"/>
  <c r="B7" i="14" a="1"/>
  <c r="G7" i="14" s="1"/>
  <c r="B5" i="14" a="1"/>
  <c r="G5" i="14" s="1"/>
  <c r="I7" i="27"/>
  <c r="D5" i="17" l="1"/>
  <c r="H7" i="24"/>
  <c r="D9" i="14"/>
  <c r="D7" i="15"/>
  <c r="C9" i="16"/>
  <c r="D9" i="19"/>
  <c r="H11" i="20"/>
  <c r="D5" i="21"/>
  <c r="D9" i="21"/>
  <c r="D13" i="21"/>
  <c r="H7" i="23"/>
  <c r="D5" i="25"/>
  <c r="D9" i="25"/>
  <c r="D13" i="25"/>
  <c r="D13" i="14"/>
  <c r="C11" i="16"/>
  <c r="H11" i="19"/>
  <c r="D9" i="16"/>
  <c r="H7" i="17"/>
  <c r="H9" i="19"/>
  <c r="H5" i="21"/>
  <c r="H13" i="21"/>
  <c r="D5" i="24"/>
  <c r="H9" i="25"/>
  <c r="H5" i="16"/>
  <c r="D7" i="14"/>
  <c r="H9" i="14"/>
  <c r="H13" i="14"/>
  <c r="H5" i="15"/>
  <c r="F7" i="15"/>
  <c r="B11" i="15"/>
  <c r="H13" i="15"/>
  <c r="C5" i="16"/>
  <c r="H7" i="16"/>
  <c r="G9" i="16"/>
  <c r="D11" i="16"/>
  <c r="C13" i="16"/>
  <c r="H5" i="17"/>
  <c r="D11" i="17"/>
  <c r="H13" i="17"/>
  <c r="D7" i="19"/>
  <c r="D7" i="20"/>
  <c r="D7" i="21"/>
  <c r="H9" i="21"/>
  <c r="H5" i="23"/>
  <c r="D11" i="23"/>
  <c r="H13" i="23"/>
  <c r="H5" i="24"/>
  <c r="D11" i="24"/>
  <c r="H13" i="24"/>
  <c r="H5" i="25"/>
  <c r="D11" i="25"/>
  <c r="H13" i="25"/>
  <c r="H11" i="15"/>
  <c r="H7" i="14"/>
  <c r="H7" i="15"/>
  <c r="F9" i="15"/>
  <c r="D11" i="15"/>
  <c r="B13" i="15"/>
  <c r="D5" i="16"/>
  <c r="C7" i="16"/>
  <c r="H9" i="16"/>
  <c r="G11" i="16"/>
  <c r="D13" i="16"/>
  <c r="C15" i="16"/>
  <c r="D9" i="17"/>
  <c r="H11" i="17"/>
  <c r="D5" i="19"/>
  <c r="H7" i="19"/>
  <c r="D13" i="19"/>
  <c r="D5" i="20"/>
  <c r="H7" i="20"/>
  <c r="D13" i="20"/>
  <c r="H7" i="21"/>
  <c r="H11" i="23"/>
  <c r="H11" i="24"/>
  <c r="H11" i="25"/>
  <c r="H13" i="16"/>
  <c r="B7" i="15"/>
  <c r="H9" i="15"/>
  <c r="F11" i="15"/>
  <c r="D13" i="15"/>
  <c r="B15" i="15"/>
  <c r="G5" i="16"/>
  <c r="D7" i="16"/>
  <c r="H11" i="16"/>
  <c r="G13" i="16"/>
  <c r="D7" i="17"/>
  <c r="H9" i="17"/>
  <c r="H5" i="19"/>
  <c r="D11" i="19"/>
  <c r="H13" i="19"/>
  <c r="H5" i="20"/>
  <c r="D11" i="20"/>
  <c r="H13" i="20"/>
  <c r="D11" i="21"/>
  <c r="D7" i="23"/>
  <c r="D7" i="24"/>
  <c r="D7" i="25"/>
  <c r="E5" i="25"/>
  <c r="E9" i="25"/>
  <c r="E11" i="25"/>
  <c r="E13" i="25"/>
  <c r="B5" i="25"/>
  <c r="F5" i="25"/>
  <c r="B7" i="25"/>
  <c r="F7" i="25"/>
  <c r="B9" i="25"/>
  <c r="F9" i="25"/>
  <c r="B11" i="25"/>
  <c r="F11" i="25"/>
  <c r="B13" i="25"/>
  <c r="F13" i="25"/>
  <c r="B15" i="25"/>
  <c r="E7" i="25"/>
  <c r="C5" i="25"/>
  <c r="C7" i="25"/>
  <c r="C9" i="25"/>
  <c r="C11" i="25"/>
  <c r="C13" i="25"/>
  <c r="E5" i="24"/>
  <c r="E7" i="24"/>
  <c r="E11" i="24"/>
  <c r="E13" i="24"/>
  <c r="B5" i="24"/>
  <c r="F5" i="24"/>
  <c r="B7" i="24"/>
  <c r="F7" i="24"/>
  <c r="B9" i="24"/>
  <c r="F9" i="24"/>
  <c r="B11" i="24"/>
  <c r="F11" i="24"/>
  <c r="B13" i="24"/>
  <c r="F13" i="24"/>
  <c r="B15" i="24"/>
  <c r="E9" i="24"/>
  <c r="C5" i="24"/>
  <c r="C7" i="24"/>
  <c r="C9" i="24"/>
  <c r="C11" i="24"/>
  <c r="C13" i="24"/>
  <c r="E5" i="23"/>
  <c r="E9" i="23"/>
  <c r="E11" i="23"/>
  <c r="E13" i="23"/>
  <c r="B5" i="23"/>
  <c r="F5" i="23"/>
  <c r="B7" i="23"/>
  <c r="F7" i="23"/>
  <c r="B9" i="23"/>
  <c r="F9" i="23"/>
  <c r="B11" i="23"/>
  <c r="F11" i="23"/>
  <c r="B13" i="23"/>
  <c r="F13" i="23"/>
  <c r="B15" i="23"/>
  <c r="E7" i="23"/>
  <c r="C5" i="23"/>
  <c r="C7" i="23"/>
  <c r="C9" i="23"/>
  <c r="C11" i="23"/>
  <c r="C13" i="23"/>
  <c r="E11" i="22"/>
  <c r="E13" i="22"/>
  <c r="B5" i="22"/>
  <c r="B7" i="22"/>
  <c r="B9" i="22"/>
  <c r="B11" i="22"/>
  <c r="B13" i="22"/>
  <c r="F13" i="22"/>
  <c r="D5" i="22"/>
  <c r="H5" i="22"/>
  <c r="D7" i="22"/>
  <c r="H7" i="22"/>
  <c r="D9" i="22"/>
  <c r="H9" i="22"/>
  <c r="D11" i="22"/>
  <c r="H11" i="22"/>
  <c r="D13" i="22"/>
  <c r="H13" i="22"/>
  <c r="E5" i="22"/>
  <c r="E7" i="22"/>
  <c r="E9" i="22"/>
  <c r="F5" i="22"/>
  <c r="F7" i="22"/>
  <c r="F9" i="22"/>
  <c r="F11" i="22"/>
  <c r="B15" i="22"/>
  <c r="C5" i="22"/>
  <c r="C7" i="22"/>
  <c r="C9" i="22"/>
  <c r="C11" i="22"/>
  <c r="C13" i="22"/>
  <c r="E5" i="21"/>
  <c r="E9" i="21"/>
  <c r="E11" i="21"/>
  <c r="B5" i="21"/>
  <c r="F5" i="21"/>
  <c r="B7" i="21"/>
  <c r="F7" i="21"/>
  <c r="B9" i="21"/>
  <c r="F9" i="21"/>
  <c r="B11" i="21"/>
  <c r="F11" i="21"/>
  <c r="B13" i="21"/>
  <c r="F13" i="21"/>
  <c r="B15" i="21"/>
  <c r="E7" i="21"/>
  <c r="E13" i="21"/>
  <c r="C5" i="21"/>
  <c r="C7" i="21"/>
  <c r="C9" i="21"/>
  <c r="C11" i="21"/>
  <c r="C13" i="21"/>
  <c r="E5" i="20"/>
  <c r="E9" i="20"/>
  <c r="E11" i="20"/>
  <c r="E13" i="20"/>
  <c r="B5" i="20"/>
  <c r="F5" i="20"/>
  <c r="B7" i="20"/>
  <c r="F7" i="20"/>
  <c r="B9" i="20"/>
  <c r="F9" i="20"/>
  <c r="B11" i="20"/>
  <c r="F11" i="20"/>
  <c r="B13" i="20"/>
  <c r="F13" i="20"/>
  <c r="B15" i="20"/>
  <c r="E7" i="20"/>
  <c r="C5" i="20"/>
  <c r="C7" i="20"/>
  <c r="C9" i="20"/>
  <c r="C11" i="20"/>
  <c r="C13" i="20"/>
  <c r="E5" i="19"/>
  <c r="E9" i="19"/>
  <c r="E11" i="19"/>
  <c r="E13" i="19"/>
  <c r="B5" i="19"/>
  <c r="F5" i="19"/>
  <c r="B7" i="19"/>
  <c r="F7" i="19"/>
  <c r="B9" i="19"/>
  <c r="F9" i="19"/>
  <c r="B11" i="19"/>
  <c r="F11" i="19"/>
  <c r="B13" i="19"/>
  <c r="F13" i="19"/>
  <c r="B15" i="19"/>
  <c r="E7" i="19"/>
  <c r="C5" i="19"/>
  <c r="C7" i="19"/>
  <c r="C9" i="19"/>
  <c r="C11" i="19"/>
  <c r="C13" i="19"/>
  <c r="E5" i="18"/>
  <c r="E9" i="18"/>
  <c r="E11" i="18"/>
  <c r="D5" i="18"/>
  <c r="H5" i="18"/>
  <c r="D7" i="18"/>
  <c r="H7" i="18"/>
  <c r="D9" i="18"/>
  <c r="H9" i="18"/>
  <c r="D11" i="18"/>
  <c r="H11" i="18"/>
  <c r="D13" i="18"/>
  <c r="H13" i="18"/>
  <c r="E7" i="18"/>
  <c r="E13" i="18"/>
  <c r="B5" i="18"/>
  <c r="F5" i="18"/>
  <c r="B7" i="18"/>
  <c r="F7" i="18"/>
  <c r="B9" i="18"/>
  <c r="F9" i="18"/>
  <c r="B11" i="18"/>
  <c r="F11" i="18"/>
  <c r="B13" i="18"/>
  <c r="F13" i="18"/>
  <c r="B15" i="18"/>
  <c r="C5" i="18"/>
  <c r="C7" i="18"/>
  <c r="C9" i="18"/>
  <c r="C11" i="18"/>
  <c r="C13" i="18"/>
  <c r="E7" i="17"/>
  <c r="E9" i="17"/>
  <c r="E11" i="17"/>
  <c r="B5" i="17"/>
  <c r="F5" i="17"/>
  <c r="B7" i="17"/>
  <c r="F7" i="17"/>
  <c r="B9" i="17"/>
  <c r="F9" i="17"/>
  <c r="B11" i="17"/>
  <c r="F11" i="17"/>
  <c r="B13" i="17"/>
  <c r="F13" i="17"/>
  <c r="B15" i="17"/>
  <c r="E5" i="17"/>
  <c r="E13" i="17"/>
  <c r="C5" i="17"/>
  <c r="C7" i="17"/>
  <c r="C9" i="17"/>
  <c r="C11" i="17"/>
  <c r="C13" i="17"/>
  <c r="E7" i="16"/>
  <c r="E9" i="16"/>
  <c r="E11" i="16"/>
  <c r="E5" i="16"/>
  <c r="E13" i="16"/>
  <c r="B5" i="16"/>
  <c r="B7" i="16"/>
  <c r="B9" i="16"/>
  <c r="B11" i="16"/>
  <c r="B13" i="16"/>
  <c r="E5" i="15"/>
  <c r="E7" i="15"/>
  <c r="E9" i="15"/>
  <c r="E11" i="15"/>
  <c r="E13" i="15"/>
  <c r="B5" i="15"/>
  <c r="F5" i="15"/>
  <c r="C5" i="15"/>
  <c r="C7" i="15"/>
  <c r="C9" i="15"/>
  <c r="C11" i="15"/>
  <c r="C13" i="15"/>
  <c r="E5" i="14"/>
  <c r="E7" i="14"/>
  <c r="E9" i="14"/>
  <c r="E13" i="14"/>
  <c r="D5" i="14"/>
  <c r="H5" i="14"/>
  <c r="D11" i="14"/>
  <c r="H11" i="14"/>
  <c r="E11" i="14"/>
  <c r="B5" i="14"/>
  <c r="F5" i="14"/>
  <c r="B7" i="14"/>
  <c r="F7" i="14"/>
  <c r="B9" i="14"/>
  <c r="F9" i="14"/>
  <c r="B11" i="14"/>
  <c r="F11" i="14"/>
  <c r="B13" i="14"/>
  <c r="F13" i="14"/>
  <c r="B15" i="14"/>
  <c r="C5" i="14"/>
  <c r="C4" i="14" s="1"/>
  <c r="C7" i="14"/>
  <c r="C9" i="14"/>
  <c r="C11" i="14"/>
  <c r="C13" i="14"/>
  <c r="Z27" i="27"/>
  <c r="R27" i="27"/>
  <c r="J27" i="27"/>
  <c r="B27" i="27"/>
  <c r="Z18" i="27"/>
  <c r="R18" i="27"/>
  <c r="J18" i="27"/>
  <c r="B18" i="27"/>
  <c r="Z9" i="27"/>
  <c r="R9" i="27"/>
  <c r="J9" i="27"/>
  <c r="B9" i="27"/>
  <c r="J16" i="27" l="1" a="1"/>
  <c r="J15" i="27" a="1"/>
  <c r="J14" i="27" a="1"/>
  <c r="J13" i="27" a="1"/>
  <c r="J12" i="27" a="1"/>
  <c r="J11" i="27" a="1"/>
  <c r="J28" i="27"/>
  <c r="J31" i="27" a="1"/>
  <c r="J33" i="27" a="1"/>
  <c r="J30" i="27" a="1"/>
  <c r="J34" i="27" a="1"/>
  <c r="J32" i="27" a="1"/>
  <c r="J29" i="27" a="1"/>
  <c r="J21" i="27" a="1"/>
  <c r="J20" i="27" a="1"/>
  <c r="J25" i="27" a="1"/>
  <c r="J22" i="27" a="1"/>
  <c r="J24" i="27" a="1"/>
  <c r="J23" i="27" a="1"/>
  <c r="R16" i="27" a="1"/>
  <c r="R15" i="27" a="1"/>
  <c r="R14" i="27" a="1"/>
  <c r="R13" i="27" a="1"/>
  <c r="R12" i="27" a="1"/>
  <c r="R11" i="27" a="1"/>
  <c r="R19" i="27"/>
  <c r="R20" i="27" a="1"/>
  <c r="R25" i="27" a="1"/>
  <c r="R24" i="27" a="1"/>
  <c r="R23" i="27" a="1"/>
  <c r="R22" i="27" a="1"/>
  <c r="R21" i="27" a="1"/>
  <c r="R28" i="27"/>
  <c r="R34" i="27" a="1"/>
  <c r="R33" i="27" a="1"/>
  <c r="R32" i="27" a="1"/>
  <c r="R31" i="27" a="1"/>
  <c r="R30" i="27" a="1"/>
  <c r="R29" i="27" a="1"/>
  <c r="Z10" i="27"/>
  <c r="Z16" i="27" a="1"/>
  <c r="Z15" i="27" a="1"/>
  <c r="Z14" i="27" a="1"/>
  <c r="Z13" i="27" a="1"/>
  <c r="Z12" i="27" a="1"/>
  <c r="Z11" i="27" a="1"/>
  <c r="Z19" i="27"/>
  <c r="Z25" i="27" a="1"/>
  <c r="Z24" i="27" a="1"/>
  <c r="Z23" i="27" a="1"/>
  <c r="Z22" i="27" a="1"/>
  <c r="Z21" i="27" a="1"/>
  <c r="Z20" i="27" a="1"/>
  <c r="Z28" i="27"/>
  <c r="Z34" i="27" a="1"/>
  <c r="Z33" i="27" a="1"/>
  <c r="Z32" i="27" a="1"/>
  <c r="Z31" i="27" a="1"/>
  <c r="Z30" i="27" a="1"/>
  <c r="Z29" i="27" a="1"/>
  <c r="B16" i="27" a="1"/>
  <c r="B13" i="27" a="1"/>
  <c r="B14" i="27" a="1"/>
  <c r="B11" i="27" a="1"/>
  <c r="B15" i="27" a="1"/>
  <c r="B12" i="27" a="1"/>
  <c r="B25" i="27" a="1"/>
  <c r="B24" i="27" a="1"/>
  <c r="B23" i="27" a="1"/>
  <c r="B22" i="27" a="1"/>
  <c r="B20" i="27" a="1"/>
  <c r="B21" i="27" a="1"/>
  <c r="B34" i="27" a="1"/>
  <c r="B33" i="27" a="1"/>
  <c r="B32" i="27" a="1"/>
  <c r="B31" i="27" a="1"/>
  <c r="B30" i="27" a="1"/>
  <c r="B29" i="27" a="1"/>
  <c r="J10" i="27"/>
  <c r="R10" i="27"/>
  <c r="B28" i="27"/>
  <c r="B19" i="27"/>
  <c r="J19" i="27"/>
  <c r="B10" i="27"/>
  <c r="B13" i="26"/>
  <c r="B11" i="26"/>
  <c r="B10" i="26"/>
  <c r="B7" i="26"/>
  <c r="B12" i="26"/>
  <c r="B9" i="26"/>
  <c r="B14" i="26"/>
  <c r="B5" i="26"/>
  <c r="B8" i="26"/>
  <c r="E6" i="26" l="1"/>
  <c r="E7" i="26"/>
  <c r="F7" i="26" s="1"/>
  <c r="C31" i="27"/>
  <c r="B31" i="27"/>
  <c r="H31" i="27"/>
  <c r="E31" i="27"/>
  <c r="G31" i="27"/>
  <c r="D31" i="27"/>
  <c r="F31" i="27"/>
  <c r="F21" i="27"/>
  <c r="G21" i="27"/>
  <c r="C21" i="27"/>
  <c r="H21" i="27"/>
  <c r="B21" i="27"/>
  <c r="D21" i="27"/>
  <c r="E21" i="27"/>
  <c r="C24" i="27"/>
  <c r="H24" i="27"/>
  <c r="D24" i="27"/>
  <c r="E24" i="27"/>
  <c r="G24" i="27"/>
  <c r="F24" i="27"/>
  <c r="B24" i="27"/>
  <c r="F11" i="27"/>
  <c r="G11" i="27"/>
  <c r="C11" i="27"/>
  <c r="H11" i="27"/>
  <c r="E11" i="27"/>
  <c r="B11" i="27"/>
  <c r="D11" i="27"/>
  <c r="AA29" i="27"/>
  <c r="AF29" i="27"/>
  <c r="AB29" i="27"/>
  <c r="AD29" i="27"/>
  <c r="AE29" i="27"/>
  <c r="Z29" i="27"/>
  <c r="AC29" i="27"/>
  <c r="AB33" i="27"/>
  <c r="AA33" i="27"/>
  <c r="AD33" i="27"/>
  <c r="AE33" i="27"/>
  <c r="AF33" i="27"/>
  <c r="Z33" i="27"/>
  <c r="AC33" i="27"/>
  <c r="AA21" i="27"/>
  <c r="AF21" i="27"/>
  <c r="AB21" i="27"/>
  <c r="AD21" i="27"/>
  <c r="AC21" i="27"/>
  <c r="AE21" i="27"/>
  <c r="Z21" i="27"/>
  <c r="AA25" i="27"/>
  <c r="Z25" i="27"/>
  <c r="AF25" i="27"/>
  <c r="AB25" i="27"/>
  <c r="AC25" i="27"/>
  <c r="AE25" i="27"/>
  <c r="AD25" i="27"/>
  <c r="AD13" i="27"/>
  <c r="AE13" i="27"/>
  <c r="AA13" i="27"/>
  <c r="AB13" i="27"/>
  <c r="AC13" i="27"/>
  <c r="AF13" i="27"/>
  <c r="Z13" i="27"/>
  <c r="T32" i="27"/>
  <c r="S32" i="27"/>
  <c r="V32" i="27"/>
  <c r="U32" i="27"/>
  <c r="X32" i="27"/>
  <c r="R32" i="27"/>
  <c r="W32" i="27"/>
  <c r="T21" i="27"/>
  <c r="V21" i="27"/>
  <c r="S21" i="27"/>
  <c r="U21" i="27"/>
  <c r="R21" i="27"/>
  <c r="X21" i="27"/>
  <c r="W21" i="27"/>
  <c r="S25" i="27"/>
  <c r="X25" i="27"/>
  <c r="T25" i="27"/>
  <c r="U25" i="27"/>
  <c r="V25" i="27"/>
  <c r="R25" i="27"/>
  <c r="W25" i="27"/>
  <c r="V12" i="27"/>
  <c r="S12" i="27"/>
  <c r="W12" i="27"/>
  <c r="X12" i="27"/>
  <c r="U12" i="27"/>
  <c r="R12" i="27"/>
  <c r="T12" i="27"/>
  <c r="V16" i="27"/>
  <c r="S16" i="27"/>
  <c r="W16" i="27"/>
  <c r="X16" i="27"/>
  <c r="U16" i="27"/>
  <c r="T16" i="27"/>
  <c r="R16" i="27"/>
  <c r="K25" i="27"/>
  <c r="J25" i="27"/>
  <c r="M25" i="27"/>
  <c r="P25" i="27"/>
  <c r="L25" i="27"/>
  <c r="O25" i="27"/>
  <c r="N25" i="27"/>
  <c r="K32" i="27"/>
  <c r="J32" i="27"/>
  <c r="M32" i="27"/>
  <c r="P32" i="27"/>
  <c r="L32" i="27"/>
  <c r="O32" i="27"/>
  <c r="N32" i="27"/>
  <c r="L31" i="27"/>
  <c r="M31" i="27"/>
  <c r="N31" i="27"/>
  <c r="P31" i="27"/>
  <c r="J31" i="27"/>
  <c r="K31" i="27"/>
  <c r="O31" i="27"/>
  <c r="N13" i="27"/>
  <c r="K13" i="27"/>
  <c r="O13" i="27"/>
  <c r="M13" i="27"/>
  <c r="J13" i="27"/>
  <c r="L13" i="27"/>
  <c r="P13" i="27"/>
  <c r="E9" i="26"/>
  <c r="F9" i="26" s="1"/>
  <c r="C32" i="27"/>
  <c r="H32" i="27"/>
  <c r="D32" i="27"/>
  <c r="F32" i="27"/>
  <c r="B32" i="27"/>
  <c r="G32" i="27"/>
  <c r="E32" i="27"/>
  <c r="F20" i="27"/>
  <c r="G20" i="27"/>
  <c r="C20" i="27"/>
  <c r="H20" i="27"/>
  <c r="B20" i="27"/>
  <c r="E20" i="27"/>
  <c r="D20" i="27"/>
  <c r="C25" i="27"/>
  <c r="H25" i="27"/>
  <c r="D25" i="27"/>
  <c r="G25" i="27"/>
  <c r="F25" i="27"/>
  <c r="E25" i="27"/>
  <c r="B25" i="27"/>
  <c r="F14" i="27"/>
  <c r="G14" i="27"/>
  <c r="C14" i="27"/>
  <c r="H14" i="27"/>
  <c r="E14" i="27"/>
  <c r="D14" i="27"/>
  <c r="B14" i="27"/>
  <c r="AA30" i="27"/>
  <c r="Z30" i="27"/>
  <c r="AF30" i="27"/>
  <c r="AB30" i="27"/>
  <c r="AC30" i="27"/>
  <c r="AE30" i="27"/>
  <c r="AD30" i="27"/>
  <c r="AB34" i="27"/>
  <c r="AA34" i="27"/>
  <c r="AD34" i="27"/>
  <c r="AC34" i="27"/>
  <c r="AE34" i="27"/>
  <c r="AF34" i="27"/>
  <c r="Z34" i="27"/>
  <c r="AB22" i="27"/>
  <c r="AD22" i="27"/>
  <c r="AE22" i="27"/>
  <c r="AF22" i="27"/>
  <c r="AA22" i="27"/>
  <c r="Z22" i="27"/>
  <c r="AC22" i="27"/>
  <c r="AD14" i="27"/>
  <c r="AE14" i="27"/>
  <c r="AA14" i="27"/>
  <c r="AC14" i="27"/>
  <c r="AB14" i="27"/>
  <c r="Z14" i="27"/>
  <c r="AF14" i="27"/>
  <c r="T29" i="27"/>
  <c r="V29" i="27"/>
  <c r="S29" i="27"/>
  <c r="U29" i="27"/>
  <c r="R29" i="27"/>
  <c r="X29" i="27"/>
  <c r="W29" i="27"/>
  <c r="T33" i="27"/>
  <c r="V33" i="27"/>
  <c r="U33" i="27"/>
  <c r="R33" i="27"/>
  <c r="S33" i="27"/>
  <c r="X33" i="27"/>
  <c r="W33" i="27"/>
  <c r="S22" i="27"/>
  <c r="X22" i="27"/>
  <c r="T22" i="27"/>
  <c r="U22" i="27"/>
  <c r="V22" i="27"/>
  <c r="R22" i="27"/>
  <c r="W22" i="27"/>
  <c r="V20" i="27"/>
  <c r="S20" i="27"/>
  <c r="W20" i="27"/>
  <c r="X20" i="27"/>
  <c r="U20" i="27"/>
  <c r="T20" i="27"/>
  <c r="R20" i="27"/>
  <c r="V13" i="27"/>
  <c r="S13" i="27"/>
  <c r="W13" i="27"/>
  <c r="X13" i="27"/>
  <c r="R13" i="27"/>
  <c r="T13" i="27"/>
  <c r="U13" i="27"/>
  <c r="K23" i="27"/>
  <c r="P23" i="27"/>
  <c r="M23" i="27"/>
  <c r="L23" i="27"/>
  <c r="N23" i="27"/>
  <c r="J23" i="27"/>
  <c r="O23" i="27"/>
  <c r="N20" i="27"/>
  <c r="K20" i="27"/>
  <c r="O20" i="27"/>
  <c r="L20" i="27"/>
  <c r="P20" i="27"/>
  <c r="J20" i="27"/>
  <c r="M20" i="27"/>
  <c r="L34" i="27"/>
  <c r="M34" i="27"/>
  <c r="N34" i="27"/>
  <c r="P34" i="27"/>
  <c r="J34" i="27"/>
  <c r="K34" i="27"/>
  <c r="O34" i="27"/>
  <c r="N14" i="27"/>
  <c r="K14" i="27"/>
  <c r="O14" i="27"/>
  <c r="J14" i="27"/>
  <c r="L14" i="27"/>
  <c r="P14" i="27"/>
  <c r="M14" i="27"/>
  <c r="E10" i="26"/>
  <c r="F10" i="26" s="1"/>
  <c r="E5" i="26"/>
  <c r="F5" i="26" s="1"/>
  <c r="E12" i="26"/>
  <c r="F12" i="26" s="1"/>
  <c r="E11" i="26"/>
  <c r="F11" i="26" s="1"/>
  <c r="C29" i="27"/>
  <c r="H29" i="27"/>
  <c r="D29" i="27"/>
  <c r="E29" i="27"/>
  <c r="G29" i="27"/>
  <c r="F29" i="27"/>
  <c r="B29" i="27"/>
  <c r="D33" i="27"/>
  <c r="F33" i="27"/>
  <c r="C33" i="27"/>
  <c r="B33" i="27"/>
  <c r="E33" i="27"/>
  <c r="G33" i="27"/>
  <c r="H33" i="27"/>
  <c r="D22" i="27"/>
  <c r="F22" i="27"/>
  <c r="C22" i="27"/>
  <c r="H22" i="27"/>
  <c r="E22" i="27"/>
  <c r="G22" i="27"/>
  <c r="B22" i="27"/>
  <c r="F12" i="27"/>
  <c r="G12" i="27"/>
  <c r="C12" i="27"/>
  <c r="H12" i="27"/>
  <c r="E12" i="27"/>
  <c r="B12" i="27"/>
  <c r="D12" i="27"/>
  <c r="F13" i="27"/>
  <c r="G13" i="27"/>
  <c r="C13" i="27"/>
  <c r="H13" i="27"/>
  <c r="E13" i="27"/>
  <c r="B13" i="27"/>
  <c r="D13" i="27"/>
  <c r="AB31" i="27"/>
  <c r="AD31" i="27"/>
  <c r="Z31" i="27"/>
  <c r="AE31" i="27"/>
  <c r="AC31" i="27"/>
  <c r="AF31" i="27"/>
  <c r="AA31" i="27"/>
  <c r="AA23" i="27"/>
  <c r="Z23" i="27"/>
  <c r="AF23" i="27"/>
  <c r="AB23" i="27"/>
  <c r="AC23" i="27"/>
  <c r="AE23" i="27"/>
  <c r="AD23" i="27"/>
  <c r="AD11" i="27"/>
  <c r="AE11" i="27"/>
  <c r="AA11" i="27"/>
  <c r="AB11" i="27"/>
  <c r="AC11" i="27"/>
  <c r="AF11" i="27"/>
  <c r="Z11" i="27"/>
  <c r="AD15" i="27"/>
  <c r="AE15" i="27"/>
  <c r="AA15" i="27"/>
  <c r="AC15" i="27"/>
  <c r="AB15" i="27"/>
  <c r="Z15" i="27"/>
  <c r="AF15" i="27"/>
  <c r="S30" i="27"/>
  <c r="R30" i="27"/>
  <c r="X30" i="27"/>
  <c r="U30" i="27"/>
  <c r="T30" i="27"/>
  <c r="W30" i="27"/>
  <c r="V30" i="27"/>
  <c r="T34" i="27"/>
  <c r="V34" i="27"/>
  <c r="U34" i="27"/>
  <c r="R34" i="27"/>
  <c r="X34" i="27"/>
  <c r="W34" i="27"/>
  <c r="S34" i="27"/>
  <c r="T23" i="27"/>
  <c r="S23" i="27"/>
  <c r="V23" i="27"/>
  <c r="U23" i="27"/>
  <c r="R23" i="27"/>
  <c r="W23" i="27"/>
  <c r="X23" i="27"/>
  <c r="V14" i="27"/>
  <c r="S14" i="27"/>
  <c r="W14" i="27"/>
  <c r="X14" i="27"/>
  <c r="R14" i="27"/>
  <c r="T14" i="27"/>
  <c r="U14" i="27"/>
  <c r="K24" i="27"/>
  <c r="J24" i="27"/>
  <c r="M24" i="27"/>
  <c r="P24" i="27"/>
  <c r="L24" i="27"/>
  <c r="O24" i="27"/>
  <c r="N24" i="27"/>
  <c r="L21" i="27"/>
  <c r="K21" i="27"/>
  <c r="M21" i="27"/>
  <c r="J21" i="27"/>
  <c r="P21" i="27"/>
  <c r="O21" i="27"/>
  <c r="N21" i="27"/>
  <c r="K30" i="27"/>
  <c r="P30" i="27"/>
  <c r="M30" i="27"/>
  <c r="L30" i="27"/>
  <c r="N30" i="27"/>
  <c r="O30" i="27"/>
  <c r="J30" i="27"/>
  <c r="N11" i="27"/>
  <c r="K11" i="27"/>
  <c r="O11" i="27"/>
  <c r="M11" i="27"/>
  <c r="J11" i="27"/>
  <c r="L11" i="27"/>
  <c r="P11" i="27"/>
  <c r="N15" i="27"/>
  <c r="K15" i="27"/>
  <c r="O15" i="27"/>
  <c r="J15" i="27"/>
  <c r="L15" i="27"/>
  <c r="P15" i="27"/>
  <c r="M15" i="27"/>
  <c r="E14" i="26"/>
  <c r="F14" i="26" s="1"/>
  <c r="E13" i="26"/>
  <c r="F13" i="26" s="1"/>
  <c r="C30" i="27"/>
  <c r="B30" i="27"/>
  <c r="H30" i="27"/>
  <c r="D30" i="27"/>
  <c r="F30" i="27"/>
  <c r="G30" i="27"/>
  <c r="E30" i="27"/>
  <c r="D34" i="27"/>
  <c r="F34" i="27"/>
  <c r="C34" i="27"/>
  <c r="B34" i="27"/>
  <c r="G34" i="27"/>
  <c r="E34" i="27"/>
  <c r="H34" i="27"/>
  <c r="C23" i="27"/>
  <c r="B23" i="27"/>
  <c r="H23" i="27"/>
  <c r="G23" i="27"/>
  <c r="D23" i="27"/>
  <c r="E23" i="27"/>
  <c r="F23" i="27"/>
  <c r="F15" i="27"/>
  <c r="G15" i="27"/>
  <c r="C15" i="27"/>
  <c r="H15" i="27"/>
  <c r="E15" i="27"/>
  <c r="B15" i="27"/>
  <c r="D15" i="27"/>
  <c r="F16" i="27"/>
  <c r="G16" i="27"/>
  <c r="C16" i="27"/>
  <c r="H16" i="27"/>
  <c r="E16" i="27"/>
  <c r="B16" i="27"/>
  <c r="D16" i="27"/>
  <c r="AA32" i="27"/>
  <c r="AF32" i="27"/>
  <c r="AB32" i="27"/>
  <c r="AC32" i="27"/>
  <c r="AE32" i="27"/>
  <c r="AD32" i="27"/>
  <c r="Z32" i="27"/>
  <c r="AD20" i="27"/>
  <c r="AE20" i="27"/>
  <c r="AA20" i="27"/>
  <c r="AB20" i="27"/>
  <c r="AC20" i="27"/>
  <c r="AF20" i="27"/>
  <c r="Z20" i="27"/>
  <c r="AA24" i="27"/>
  <c r="Z24" i="27"/>
  <c r="AF24" i="27"/>
  <c r="AB24" i="27"/>
  <c r="AE24" i="27"/>
  <c r="AD24" i="27"/>
  <c r="AC24" i="27"/>
  <c r="AD12" i="27"/>
  <c r="AE12" i="27"/>
  <c r="AA12" i="27"/>
  <c r="AB12" i="27"/>
  <c r="Z12" i="27"/>
  <c r="AC12" i="27"/>
  <c r="AF12" i="27"/>
  <c r="AD16" i="27"/>
  <c r="AE16" i="27"/>
  <c r="AA16" i="27"/>
  <c r="AB16" i="27"/>
  <c r="AC16" i="27"/>
  <c r="AF16" i="27"/>
  <c r="Z16" i="27"/>
  <c r="S31" i="27"/>
  <c r="R31" i="27"/>
  <c r="X31" i="27"/>
  <c r="U31" i="27"/>
  <c r="T31" i="27"/>
  <c r="V31" i="27"/>
  <c r="W31" i="27"/>
  <c r="S24" i="27"/>
  <c r="X24" i="27"/>
  <c r="T24" i="27"/>
  <c r="U24" i="27"/>
  <c r="V24" i="27"/>
  <c r="R24" i="27"/>
  <c r="W24" i="27"/>
  <c r="V11" i="27"/>
  <c r="S11" i="27"/>
  <c r="W11" i="27"/>
  <c r="X11" i="27"/>
  <c r="R11" i="27"/>
  <c r="U11" i="27"/>
  <c r="T11" i="27"/>
  <c r="V15" i="27"/>
  <c r="S15" i="27"/>
  <c r="W15" i="27"/>
  <c r="X15" i="27"/>
  <c r="T15" i="27"/>
  <c r="U15" i="27"/>
  <c r="R15" i="27"/>
  <c r="K22" i="27"/>
  <c r="J22" i="27"/>
  <c r="M22" i="27"/>
  <c r="P22" i="27"/>
  <c r="L22" i="27"/>
  <c r="N22" i="27"/>
  <c r="O22" i="27"/>
  <c r="K29" i="27"/>
  <c r="J29" i="27"/>
  <c r="M29" i="27"/>
  <c r="P29" i="27"/>
  <c r="L29" i="27"/>
  <c r="O29" i="27"/>
  <c r="N29" i="27"/>
  <c r="L33" i="27"/>
  <c r="M33" i="27"/>
  <c r="N33" i="27"/>
  <c r="K33" i="27"/>
  <c r="P33" i="27"/>
  <c r="J33" i="27"/>
  <c r="O33" i="27"/>
  <c r="N12" i="27"/>
  <c r="K12" i="27"/>
  <c r="O12" i="27"/>
  <c r="J12" i="27"/>
  <c r="L12" i="27"/>
  <c r="P12" i="27"/>
  <c r="M12" i="27"/>
  <c r="N16" i="27"/>
  <c r="K16" i="27"/>
  <c r="O16" i="27"/>
  <c r="J16" i="27"/>
  <c r="L16" i="27"/>
  <c r="M16" i="27"/>
  <c r="P16" i="27"/>
  <c r="E8" i="26"/>
  <c r="F8" i="26" s="1"/>
  <c r="G4" i="25"/>
  <c r="G4" i="24"/>
  <c r="G4" i="23"/>
  <c r="H4" i="22"/>
  <c r="G4" i="21"/>
  <c r="E4" i="20"/>
  <c r="H4" i="19"/>
  <c r="G4" i="18"/>
  <c r="H4" i="17"/>
  <c r="H4" i="16"/>
  <c r="H4" i="15"/>
  <c r="B16" i="17" l="1"/>
  <c r="C16" i="18"/>
  <c r="C16" i="24"/>
  <c r="C16" i="19"/>
  <c r="C16" i="25"/>
  <c r="C16" i="20"/>
  <c r="C16" i="23"/>
  <c r="C16" i="16"/>
  <c r="C16" i="21"/>
  <c r="C16" i="22"/>
  <c r="G14" i="18"/>
  <c r="H14" i="23"/>
  <c r="H14" i="19"/>
  <c r="G14" i="17"/>
  <c r="H14" i="22"/>
  <c r="H14" i="24"/>
  <c r="H14" i="25"/>
  <c r="H14" i="20"/>
  <c r="H14" i="16"/>
  <c r="H14" i="21"/>
  <c r="H12" i="17"/>
  <c r="G12" i="18"/>
  <c r="G12" i="24"/>
  <c r="G12" i="19"/>
  <c r="G12" i="25"/>
  <c r="G12" i="20"/>
  <c r="G12" i="16"/>
  <c r="G12" i="21"/>
  <c r="G12" i="22"/>
  <c r="G12" i="23"/>
  <c r="H10" i="17"/>
  <c r="G10" i="18"/>
  <c r="G10" i="24"/>
  <c r="H10" i="20"/>
  <c r="G10" i="23"/>
  <c r="G10" i="25"/>
  <c r="H10" i="19"/>
  <c r="G10" i="21"/>
  <c r="H10" i="16"/>
  <c r="H10" i="22"/>
  <c r="G8" i="18"/>
  <c r="H8" i="23"/>
  <c r="G8" i="19"/>
  <c r="H8" i="24"/>
  <c r="G8" i="20"/>
  <c r="H8" i="25"/>
  <c r="G8" i="16"/>
  <c r="H8" i="21"/>
  <c r="G8" i="22"/>
  <c r="G8" i="17"/>
  <c r="G6" i="25"/>
  <c r="G6" i="24"/>
  <c r="G6" i="23"/>
  <c r="H6" i="22"/>
  <c r="G6" i="21"/>
  <c r="E6" i="20"/>
  <c r="C16" i="15"/>
  <c r="H14" i="15"/>
  <c r="G12" i="15"/>
  <c r="H10" i="15"/>
  <c r="G8" i="15"/>
  <c r="H6" i="19"/>
  <c r="G6" i="18"/>
  <c r="H6" i="17"/>
  <c r="H6" i="16"/>
  <c r="H6" i="15"/>
  <c r="B2" i="18"/>
  <c r="B6" i="18"/>
  <c r="B14" i="18"/>
  <c r="F4" i="18"/>
  <c r="F10" i="18"/>
  <c r="F14" i="18"/>
  <c r="D8" i="18"/>
  <c r="H8" i="18"/>
  <c r="D12" i="18"/>
  <c r="H12" i="18"/>
  <c r="D4" i="18"/>
  <c r="H4" i="18"/>
  <c r="B8" i="18"/>
  <c r="F8" i="18"/>
  <c r="D10" i="18"/>
  <c r="H10" i="18"/>
  <c r="B12" i="18"/>
  <c r="F12" i="18"/>
  <c r="D14" i="18"/>
  <c r="H14" i="18"/>
  <c r="B16" i="18"/>
  <c r="C8" i="25"/>
  <c r="E8" i="25"/>
  <c r="G8" i="25"/>
  <c r="C14" i="25"/>
  <c r="E14" i="25"/>
  <c r="G14" i="25"/>
  <c r="B6" i="25"/>
  <c r="F4" i="25"/>
  <c r="H4" i="25"/>
  <c r="B8" i="25"/>
  <c r="D8" i="25"/>
  <c r="F8" i="25"/>
  <c r="B2" i="25"/>
  <c r="D10" i="25"/>
  <c r="F10" i="25"/>
  <c r="H10" i="25"/>
  <c r="B12" i="25"/>
  <c r="D12" i="25"/>
  <c r="F12" i="25"/>
  <c r="H12" i="25"/>
  <c r="B14" i="25"/>
  <c r="D14" i="25"/>
  <c r="F14" i="25"/>
  <c r="B16" i="25"/>
  <c r="C4" i="25"/>
  <c r="E4" i="25"/>
  <c r="C10" i="25"/>
  <c r="E10" i="25"/>
  <c r="C12" i="25"/>
  <c r="E12" i="25"/>
  <c r="C8" i="24"/>
  <c r="E8" i="24"/>
  <c r="G8" i="24"/>
  <c r="C14" i="24"/>
  <c r="E14" i="24"/>
  <c r="G14" i="24"/>
  <c r="B6" i="24"/>
  <c r="D4" i="24"/>
  <c r="H4" i="24"/>
  <c r="B8" i="24"/>
  <c r="D8" i="24"/>
  <c r="F8" i="24"/>
  <c r="B2" i="24"/>
  <c r="D10" i="24"/>
  <c r="F10" i="24"/>
  <c r="H10" i="24"/>
  <c r="B12" i="24"/>
  <c r="D12" i="24"/>
  <c r="F12" i="24"/>
  <c r="H12" i="24"/>
  <c r="B14" i="24"/>
  <c r="D14" i="24"/>
  <c r="F14" i="24"/>
  <c r="B16" i="24"/>
  <c r="C4" i="24"/>
  <c r="E4" i="24"/>
  <c r="C10" i="24"/>
  <c r="E10" i="24"/>
  <c r="C12" i="24"/>
  <c r="E12" i="24"/>
  <c r="C8" i="23"/>
  <c r="E8" i="23"/>
  <c r="G8" i="23"/>
  <c r="C14" i="23"/>
  <c r="E14" i="23"/>
  <c r="G14" i="23"/>
  <c r="B6" i="23"/>
  <c r="F4" i="23"/>
  <c r="H4" i="23"/>
  <c r="B8" i="23"/>
  <c r="D8" i="23"/>
  <c r="F8" i="23"/>
  <c r="D10" i="23"/>
  <c r="F10" i="23"/>
  <c r="H10" i="23"/>
  <c r="B12" i="23"/>
  <c r="D12" i="23"/>
  <c r="F12" i="23"/>
  <c r="H12" i="23"/>
  <c r="B14" i="23"/>
  <c r="D14" i="23"/>
  <c r="F14" i="23"/>
  <c r="B16" i="23"/>
  <c r="C4" i="23"/>
  <c r="E4" i="23"/>
  <c r="C10" i="23"/>
  <c r="E10" i="23"/>
  <c r="C12" i="23"/>
  <c r="E12" i="23"/>
  <c r="E4" i="22"/>
  <c r="G4" i="22"/>
  <c r="C10" i="22"/>
  <c r="E10" i="22"/>
  <c r="G10" i="22"/>
  <c r="C14" i="22"/>
  <c r="E14" i="22"/>
  <c r="G14" i="22"/>
  <c r="B6" i="22"/>
  <c r="D4" i="22"/>
  <c r="F4" i="22"/>
  <c r="B8" i="22"/>
  <c r="D8" i="22"/>
  <c r="F8" i="22"/>
  <c r="H8" i="22"/>
  <c r="D10" i="22"/>
  <c r="F10" i="22"/>
  <c r="B12" i="22"/>
  <c r="D12" i="22"/>
  <c r="F12" i="22"/>
  <c r="H12" i="22"/>
  <c r="B14" i="22"/>
  <c r="D14" i="22"/>
  <c r="F14" i="22"/>
  <c r="B16" i="22"/>
  <c r="C8" i="22"/>
  <c r="E8" i="22"/>
  <c r="C12" i="22"/>
  <c r="E12" i="22"/>
  <c r="C8" i="21"/>
  <c r="E8" i="21"/>
  <c r="G8" i="21"/>
  <c r="C14" i="21"/>
  <c r="E14" i="21"/>
  <c r="G14" i="21"/>
  <c r="B6" i="21"/>
  <c r="D4" i="21"/>
  <c r="F4" i="21"/>
  <c r="H4" i="21"/>
  <c r="B8" i="21"/>
  <c r="D8" i="21"/>
  <c r="F8" i="21"/>
  <c r="D10" i="21"/>
  <c r="F10" i="21"/>
  <c r="H10" i="21"/>
  <c r="B12" i="21"/>
  <c r="D12" i="21"/>
  <c r="F12" i="21"/>
  <c r="H12" i="21"/>
  <c r="B14" i="21"/>
  <c r="D14" i="21"/>
  <c r="F14" i="21"/>
  <c r="B16" i="21"/>
  <c r="C4" i="21"/>
  <c r="C10" i="21"/>
  <c r="E10" i="21"/>
  <c r="C12" i="21"/>
  <c r="E12" i="21"/>
  <c r="G4" i="20"/>
  <c r="C10" i="20"/>
  <c r="E10" i="20"/>
  <c r="G10" i="20"/>
  <c r="C14" i="20"/>
  <c r="E14" i="20"/>
  <c r="G14" i="20"/>
  <c r="B6" i="20"/>
  <c r="D4" i="20"/>
  <c r="H4" i="20"/>
  <c r="B8" i="20"/>
  <c r="D8" i="20"/>
  <c r="F8" i="20"/>
  <c r="H8" i="20"/>
  <c r="B2" i="20"/>
  <c r="D10" i="20"/>
  <c r="F10" i="20"/>
  <c r="B12" i="20"/>
  <c r="D12" i="20"/>
  <c r="F12" i="20"/>
  <c r="H12" i="20"/>
  <c r="B14" i="20"/>
  <c r="D14" i="20"/>
  <c r="F14" i="20"/>
  <c r="B16" i="20"/>
  <c r="C8" i="20"/>
  <c r="E8" i="20"/>
  <c r="C12" i="20"/>
  <c r="E12" i="20"/>
  <c r="C4" i="19"/>
  <c r="E4" i="19"/>
  <c r="G4" i="19"/>
  <c r="C10" i="19"/>
  <c r="E10" i="19"/>
  <c r="G10" i="19"/>
  <c r="C14" i="19"/>
  <c r="E14" i="19"/>
  <c r="G14" i="19"/>
  <c r="B6" i="19"/>
  <c r="D4" i="19"/>
  <c r="B8" i="19"/>
  <c r="D8" i="19"/>
  <c r="F8" i="19"/>
  <c r="H8" i="19"/>
  <c r="B2" i="19"/>
  <c r="D10" i="19"/>
  <c r="F10" i="19"/>
  <c r="B12" i="19"/>
  <c r="D12" i="19"/>
  <c r="F12" i="19"/>
  <c r="H12" i="19"/>
  <c r="B14" i="19"/>
  <c r="D14" i="19"/>
  <c r="F14" i="19"/>
  <c r="B16" i="19"/>
  <c r="C8" i="19"/>
  <c r="E8" i="19"/>
  <c r="C12" i="19"/>
  <c r="E12" i="19"/>
  <c r="E4" i="18"/>
  <c r="C8" i="18"/>
  <c r="E8" i="18"/>
  <c r="C10" i="18"/>
  <c r="E10" i="18"/>
  <c r="C12" i="18"/>
  <c r="E12" i="18"/>
  <c r="C14" i="18"/>
  <c r="E14" i="18"/>
  <c r="C4" i="17"/>
  <c r="C10" i="17"/>
  <c r="E10" i="17"/>
  <c r="G10" i="17"/>
  <c r="C12" i="17"/>
  <c r="E12" i="17"/>
  <c r="G12" i="17"/>
  <c r="C16" i="17"/>
  <c r="B6" i="17"/>
  <c r="D4" i="17"/>
  <c r="F4" i="17"/>
  <c r="B8" i="17"/>
  <c r="D8" i="17"/>
  <c r="F8" i="17"/>
  <c r="H8" i="17"/>
  <c r="B2" i="17"/>
  <c r="D10" i="17"/>
  <c r="F10" i="17"/>
  <c r="B12" i="17"/>
  <c r="D12" i="17"/>
  <c r="F12" i="17"/>
  <c r="B14" i="17"/>
  <c r="D14" i="17"/>
  <c r="F14" i="17"/>
  <c r="H14" i="17"/>
  <c r="C8" i="17"/>
  <c r="E8" i="17"/>
  <c r="C14" i="17"/>
  <c r="E14" i="17"/>
  <c r="C4" i="16"/>
  <c r="E4" i="16"/>
  <c r="G4" i="16"/>
  <c r="C10" i="16"/>
  <c r="E10" i="16"/>
  <c r="G10" i="16"/>
  <c r="C14" i="16"/>
  <c r="E14" i="16"/>
  <c r="G14" i="16"/>
  <c r="B6" i="16"/>
  <c r="D4" i="16"/>
  <c r="B8" i="16"/>
  <c r="D8" i="16"/>
  <c r="F8" i="16"/>
  <c r="H8" i="16"/>
  <c r="B2" i="16"/>
  <c r="D10" i="16"/>
  <c r="F10" i="16"/>
  <c r="B12" i="16"/>
  <c r="D12" i="16"/>
  <c r="F12" i="16"/>
  <c r="H12" i="16"/>
  <c r="B14" i="16"/>
  <c r="D14" i="16"/>
  <c r="F14" i="16"/>
  <c r="B16" i="16"/>
  <c r="C8" i="16"/>
  <c r="E8" i="16"/>
  <c r="C12" i="16"/>
  <c r="E12" i="16"/>
  <c r="C4" i="15"/>
  <c r="E4" i="15"/>
  <c r="G4" i="15"/>
  <c r="C10" i="15"/>
  <c r="E10" i="15"/>
  <c r="G10" i="15"/>
  <c r="C14" i="15"/>
  <c r="E14" i="15"/>
  <c r="G14" i="15"/>
  <c r="B6" i="15"/>
  <c r="B8" i="15"/>
  <c r="D8" i="15"/>
  <c r="F8" i="15"/>
  <c r="H8" i="15"/>
  <c r="D10" i="15"/>
  <c r="F10" i="15"/>
  <c r="B12" i="15"/>
  <c r="D12" i="15"/>
  <c r="F12" i="15"/>
  <c r="H12" i="15"/>
  <c r="B14" i="15"/>
  <c r="D14" i="15"/>
  <c r="F14" i="15"/>
  <c r="B16" i="15"/>
  <c r="C8" i="15"/>
  <c r="E8" i="15"/>
  <c r="C12" i="15"/>
  <c r="E12" i="15"/>
  <c r="B4" i="14"/>
  <c r="D6" i="20" l="1"/>
  <c r="H6" i="25"/>
  <c r="G6" i="19"/>
  <c r="E6" i="19"/>
  <c r="D6" i="24"/>
  <c r="H6" i="18"/>
  <c r="E6" i="15"/>
  <c r="D6" i="22"/>
  <c r="G6" i="15"/>
  <c r="D6" i="19"/>
  <c r="F6" i="25"/>
  <c r="D6" i="16"/>
  <c r="D6" i="18"/>
  <c r="E6" i="23"/>
  <c r="H6" i="24"/>
  <c r="E6" i="18"/>
  <c r="C6" i="25"/>
  <c r="B10" i="20"/>
  <c r="D6" i="17"/>
  <c r="E6" i="22"/>
  <c r="C6" i="24"/>
  <c r="B10" i="17"/>
  <c r="E4" i="17"/>
  <c r="E6" i="17"/>
  <c r="F6" i="21"/>
  <c r="F4" i="19"/>
  <c r="F6" i="19"/>
  <c r="C4" i="20"/>
  <c r="C6" i="20"/>
  <c r="B2" i="21"/>
  <c r="B10" i="21"/>
  <c r="H6" i="23"/>
  <c r="G4" i="17"/>
  <c r="G6" i="17"/>
  <c r="C4" i="18"/>
  <c r="C6" i="18"/>
  <c r="B2" i="22"/>
  <c r="B10" i="22"/>
  <c r="D4" i="25"/>
  <c r="D6" i="25"/>
  <c r="C6" i="15"/>
  <c r="C6" i="21"/>
  <c r="G6" i="22"/>
  <c r="C6" i="23"/>
  <c r="B10" i="18"/>
  <c r="F4" i="15"/>
  <c r="F6" i="15"/>
  <c r="E4" i="21"/>
  <c r="E6" i="21"/>
  <c r="B2" i="15"/>
  <c r="B10" i="15"/>
  <c r="D4" i="15"/>
  <c r="D6" i="15"/>
  <c r="F4" i="16"/>
  <c r="F6" i="16"/>
  <c r="C6" i="17"/>
  <c r="C6" i="19"/>
  <c r="C6" i="16"/>
  <c r="F6" i="17"/>
  <c r="G6" i="20"/>
  <c r="D6" i="21"/>
  <c r="F4" i="20"/>
  <c r="F6" i="20"/>
  <c r="C4" i="22"/>
  <c r="C6" i="22"/>
  <c r="B2" i="23"/>
  <c r="B10" i="23"/>
  <c r="D4" i="23"/>
  <c r="D6" i="23"/>
  <c r="F4" i="24"/>
  <c r="F6" i="24"/>
  <c r="E6" i="16"/>
  <c r="F6" i="18"/>
  <c r="H6" i="21"/>
  <c r="E6" i="24"/>
  <c r="B10" i="25"/>
  <c r="F6" i="23"/>
  <c r="B10" i="16"/>
  <c r="G6" i="16"/>
  <c r="H6" i="20"/>
  <c r="F6" i="22"/>
  <c r="E6" i="25"/>
  <c r="B10" i="24"/>
  <c r="B10" i="19"/>
  <c r="C16" i="14"/>
  <c r="C14" i="14"/>
  <c r="B12" i="14"/>
  <c r="B10" i="14"/>
  <c r="B8" i="14"/>
  <c r="B6" i="14"/>
  <c r="B2" i="14" l="1"/>
  <c r="E8" i="14"/>
  <c r="G8" i="14"/>
  <c r="C8" i="14"/>
  <c r="G12" i="14"/>
  <c r="E12" i="14"/>
  <c r="C12" i="14"/>
  <c r="H8" i="14"/>
  <c r="F8" i="14"/>
  <c r="D8" i="14"/>
  <c r="G10" i="14"/>
  <c r="C10" i="14"/>
  <c r="H12" i="14"/>
  <c r="F12" i="14"/>
  <c r="D12" i="14"/>
  <c r="E10" i="14"/>
  <c r="B16" i="14"/>
  <c r="H14" i="14"/>
  <c r="F14" i="14"/>
  <c r="D14" i="14"/>
  <c r="B14" i="14"/>
  <c r="G14" i="14"/>
  <c r="E14" i="14"/>
  <c r="H10" i="14"/>
  <c r="F10" i="14"/>
  <c r="D10" i="14"/>
  <c r="G6" i="14"/>
  <c r="E6" i="14"/>
  <c r="C6" i="14"/>
  <c r="H6" i="14"/>
  <c r="F6" i="14"/>
  <c r="D6" i="14"/>
  <c r="G4" i="14" l="1"/>
  <c r="H4" i="14"/>
  <c r="E4" i="14"/>
  <c r="D4" i="14"/>
  <c r="F4" i="14"/>
</calcChain>
</file>

<file path=xl/sharedStrings.xml><?xml version="1.0" encoding="utf-8"?>
<sst xmlns="http://schemas.openxmlformats.org/spreadsheetml/2006/main" count="47" uniqueCount="36">
  <si>
    <t>CONFIGURACIÓN DEL CALENDARIO</t>
  </si>
  <si>
    <t>INICIO DE LA SEMANA</t>
  </si>
  <si>
    <t>MOSTRAR DÍAS FESTIVOS</t>
  </si>
  <si>
    <t>MOSTRAR FESTIVOS OBSERVADOS</t>
  </si>
  <si>
    <t>VISTA ANUAL</t>
  </si>
  <si>
    <t>DOMINGO</t>
  </si>
  <si>
    <t>AÑO</t>
  </si>
  <si>
    <t>NOTAS</t>
  </si>
  <si>
    <t>Días festivos de Estados Unidos</t>
  </si>
  <si>
    <t>DÍA</t>
  </si>
  <si>
    <t>FESTIVIDAD</t>
  </si>
  <si>
    <t>Año nuevo</t>
  </si>
  <si>
    <t>Día de la Investidura</t>
  </si>
  <si>
    <t>Día del Presidente</t>
  </si>
  <si>
    <t>Día de los Caídos</t>
  </si>
  <si>
    <t>Día de la Independencia</t>
  </si>
  <si>
    <t>Día del Trabajo</t>
  </si>
  <si>
    <t>Día de la Raza</t>
  </si>
  <si>
    <t>Día de los Veteranos</t>
  </si>
  <si>
    <t>Día de Acción de Gracias</t>
  </si>
  <si>
    <t>Navidad</t>
  </si>
  <si>
    <t>CAE EN</t>
  </si>
  <si>
    <t>1 de enero</t>
  </si>
  <si>
    <t>20 de enero, cada cuatro años, elecciones presidenciales</t>
  </si>
  <si>
    <t>Tercer lunes de febrero</t>
  </si>
  <si>
    <t>Último lunes de mayo</t>
  </si>
  <si>
    <t>4 de julio</t>
  </si>
  <si>
    <t>Primer lunes de septiembre</t>
  </si>
  <si>
    <t>Segundo lunes de octubre</t>
  </si>
  <si>
    <t>11 de noviembre</t>
  </si>
  <si>
    <t>Cuarto jueves de noviembre</t>
  </si>
  <si>
    <t>25 de diciembre</t>
  </si>
  <si>
    <t>DÍA DE LA SEMANA</t>
  </si>
  <si>
    <t>CORREGIDO</t>
  </si>
  <si>
    <t>MOSTRAR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</si>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</sst>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mmmm\ yyyy"/>
    <numFmt numFmtId="165" formatCode="d"/>
    <numFmt numFmtId="166" formatCode="mmmm"/>
  </numFmts>
  <fonts count="23" x14ac:knownFonts="1">
    <font>
      <sz val="10"/>
      <color theme="1" tint="0.34998626667073579"/>
      <name val="Trebuchet MS"/>
      <family val="2"/>
      <scheme val="minor"/>
    </font>
    <font>
      <sz val="8"/>
      <name val="Arial"/>
      <family val="2"/>
    </font>
    <font>
      <b/>
      <sz val="11"/>
      <color theme="0"/>
      <name val="Trebuchet MS"/>
      <family val="2"/>
      <scheme val="minor"/>
    </font>
    <font>
      <b/>
      <sz val="14"/>
      <color theme="0"/>
      <name val="Trebuchet MS"/>
      <family val="2"/>
      <scheme val="minor"/>
    </font>
    <font>
      <sz val="10"/>
      <color indexed="63"/>
      <name val="Trebuchet MS"/>
      <family val="2"/>
      <scheme val="minor"/>
    </font>
    <font>
      <b/>
      <sz val="10"/>
      <color theme="3"/>
      <name val="Trebuchet MS"/>
      <family val="2"/>
      <scheme val="major"/>
    </font>
    <font>
      <b/>
      <sz val="20"/>
      <color theme="4"/>
      <name val="Trebuchet MS"/>
      <family val="2"/>
      <scheme val="major"/>
    </font>
    <font>
      <sz val="12"/>
      <color theme="3"/>
      <name val="Trebuchet MS"/>
      <family val="2"/>
      <scheme val="major"/>
    </font>
    <font>
      <b/>
      <sz val="100"/>
      <color theme="3"/>
      <name val="Trebuchet MS"/>
      <family val="2"/>
      <scheme val="major"/>
    </font>
    <font>
      <b/>
      <sz val="11"/>
      <color theme="3"/>
      <name val="Trebuchet MS"/>
      <family val="2"/>
      <scheme val="major"/>
    </font>
    <font>
      <b/>
      <sz val="12"/>
      <color theme="4"/>
      <name val="Trebuchet MS"/>
      <family val="2"/>
      <scheme val="minor"/>
    </font>
    <font>
      <sz val="12"/>
      <color theme="3"/>
      <name val="Trebuchet MS"/>
      <family val="2"/>
      <scheme val="minor"/>
    </font>
    <font>
      <sz val="11"/>
      <color theme="3"/>
      <name val="Trebuchet MS"/>
      <family val="2"/>
      <scheme val="minor"/>
    </font>
    <font>
      <sz val="9"/>
      <color theme="4"/>
      <name val="Trebuchet MS"/>
      <family val="2"/>
      <scheme val="minor"/>
    </font>
    <font>
      <sz val="10"/>
      <color theme="2"/>
      <name val="Trebuchet MS"/>
      <family val="2"/>
      <scheme val="minor"/>
    </font>
    <font>
      <sz val="10"/>
      <color theme="1" tint="0.34998626667073579"/>
      <name val="Trebuchet MS"/>
      <family val="2"/>
      <scheme val="minor"/>
    </font>
    <font>
      <b/>
      <sz val="20"/>
      <color theme="4"/>
      <name val="Trebuchet MS"/>
      <family val="2"/>
      <scheme val="major"/>
    </font>
    <font>
      <b/>
      <sz val="24"/>
      <color theme="4"/>
      <name val="Trebuchet MS"/>
      <family val="2"/>
      <scheme val="minor"/>
    </font>
    <font>
      <sz val="12"/>
      <color theme="3"/>
      <name val="Trebuchet MS"/>
      <family val="2"/>
      <scheme val="major"/>
    </font>
    <font>
      <sz val="11"/>
      <color theme="4"/>
      <name val="Trebuchet MS"/>
      <family val="2"/>
      <scheme val="minor"/>
    </font>
    <font>
      <b/>
      <sz val="100"/>
      <color theme="3"/>
      <name val="Trebuchet MS"/>
      <family val="2"/>
      <scheme val="major"/>
    </font>
    <font>
      <b/>
      <sz val="11"/>
      <color theme="3"/>
      <name val="Trebuchet MS"/>
      <family val="2"/>
      <scheme val="major"/>
    </font>
    <font>
      <sz val="10"/>
      <color theme="3"/>
      <name val="Trebuchet MS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4"/>
      </patternFill>
    </fill>
    <fill>
      <patternFill patternType="solid">
        <fgColor theme="8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ck">
        <color theme="1" tint="0.499984740745262"/>
      </left>
      <right style="thick">
        <color theme="1" tint="0.499984740745262"/>
      </right>
      <top style="thick">
        <color theme="1" tint="0.499984740745262"/>
      </top>
      <bottom style="thick">
        <color theme="1" tint="0.499984740745262"/>
      </bottom>
      <diagonal/>
    </border>
    <border>
      <left/>
      <right/>
      <top/>
      <bottom style="thick">
        <color theme="3"/>
      </bottom>
      <diagonal/>
    </border>
    <border>
      <left/>
      <right/>
      <top/>
      <bottom style="dotted">
        <color theme="4"/>
      </bottom>
      <diagonal/>
    </border>
    <border>
      <left/>
      <right/>
      <top style="dotted">
        <color theme="4"/>
      </top>
      <bottom style="thick">
        <color theme="3"/>
      </bottom>
      <diagonal/>
    </border>
    <border>
      <left style="thin">
        <color theme="0"/>
      </left>
      <right style="thin">
        <color theme="0"/>
      </right>
      <top style="dotted">
        <color theme="4"/>
      </top>
      <bottom style="thick">
        <color theme="3"/>
      </bottom>
      <diagonal/>
    </border>
    <border>
      <left/>
      <right style="medium">
        <color theme="0"/>
      </right>
      <top style="thick">
        <color theme="3"/>
      </top>
      <bottom/>
      <diagonal/>
    </border>
    <border>
      <left style="medium">
        <color theme="0"/>
      </left>
      <right style="medium">
        <color theme="0"/>
      </right>
      <top style="thick">
        <color theme="3"/>
      </top>
      <bottom/>
      <diagonal/>
    </border>
    <border>
      <left style="medium">
        <color theme="0"/>
      </left>
      <right/>
      <top style="thick">
        <color theme="3"/>
      </top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/>
      <top/>
      <bottom/>
      <diagonal/>
    </border>
    <border>
      <left style="thin">
        <color theme="0"/>
      </left>
      <right/>
      <top style="dotted">
        <color theme="4"/>
      </top>
      <bottom style="thick">
        <color theme="3"/>
      </bottom>
      <diagonal/>
    </border>
    <border>
      <left/>
      <right style="thin">
        <color theme="0"/>
      </right>
      <top style="dotted">
        <color theme="4"/>
      </top>
      <bottom style="thick">
        <color theme="3"/>
      </bottom>
      <diagonal/>
    </border>
    <border>
      <left/>
      <right style="medium">
        <color theme="2"/>
      </right>
      <top/>
      <bottom/>
      <diagonal/>
    </border>
    <border>
      <left style="medium">
        <color theme="2"/>
      </left>
      <right style="medium">
        <color theme="2"/>
      </right>
      <top/>
      <bottom/>
      <diagonal/>
    </border>
    <border>
      <left style="medium">
        <color theme="2"/>
      </left>
      <right/>
      <top/>
      <bottom/>
      <diagonal/>
    </border>
    <border>
      <left/>
      <right/>
      <top style="thick">
        <color theme="3"/>
      </top>
      <bottom style="dotted">
        <color theme="4"/>
      </bottom>
      <diagonal/>
    </border>
  </borders>
  <cellStyleXfs count="9">
    <xf numFmtId="0" fontId="0" fillId="5" borderId="0">
      <alignment vertical="center"/>
    </xf>
    <xf numFmtId="0" fontId="4" fillId="2" borderId="0" applyNumberFormat="0" applyBorder="0" applyAlignment="0" applyProtection="0"/>
    <xf numFmtId="0" fontId="6" fillId="5" borderId="3" applyNumberFormat="0" applyProtection="0">
      <alignment vertical="center"/>
    </xf>
    <xf numFmtId="0" fontId="2" fillId="3" borderId="1" applyNumberFormat="0" applyAlignment="0" applyProtection="0"/>
    <xf numFmtId="0" fontId="3" fillId="4" borderId="2" applyNumberFormat="0" applyProtection="0">
      <alignment vertical="center"/>
    </xf>
    <xf numFmtId="0" fontId="8" fillId="5" borderId="0" applyNumberFormat="0" applyBorder="0" applyProtection="0"/>
    <xf numFmtId="0" fontId="5" fillId="5" borderId="6" applyNumberFormat="0" applyProtection="0">
      <alignment vertical="center"/>
    </xf>
    <xf numFmtId="0" fontId="7" fillId="5" borderId="0" applyNumberFormat="0" applyBorder="0" applyProtection="0">
      <alignment vertical="center"/>
    </xf>
    <xf numFmtId="0" fontId="9" fillId="5" borderId="5" applyNumberFormat="0" applyProtection="0">
      <alignment horizontal="center" vertical="center"/>
    </xf>
  </cellStyleXfs>
  <cellXfs count="65">
    <xf numFmtId="0" fontId="0" fillId="5" borderId="0" xfId="0">
      <alignment vertical="center"/>
    </xf>
    <xf numFmtId="0" fontId="0" fillId="5" borderId="0" xfId="0" applyAlignment="1">
      <alignment horizontal="left"/>
    </xf>
    <xf numFmtId="0" fontId="5" fillId="5" borderId="13" xfId="6" applyBorder="1">
      <alignment vertical="center"/>
    </xf>
    <xf numFmtId="0" fontId="5" fillId="5" borderId="5" xfId="6" applyBorder="1">
      <alignment vertical="center"/>
    </xf>
    <xf numFmtId="0" fontId="5" fillId="5" borderId="14" xfId="6" applyBorder="1">
      <alignment vertical="center"/>
    </xf>
    <xf numFmtId="165" fontId="11" fillId="5" borderId="7" xfId="0" applyNumberFormat="1" applyFont="1" applyFill="1" applyBorder="1" applyAlignment="1">
      <alignment horizontal="left" wrapText="1" indent="1"/>
    </xf>
    <xf numFmtId="165" fontId="11" fillId="5" borderId="8" xfId="0" applyNumberFormat="1" applyFont="1" applyFill="1" applyBorder="1" applyAlignment="1">
      <alignment horizontal="left" wrapText="1" indent="1"/>
    </xf>
    <xf numFmtId="165" fontId="11" fillId="5" borderId="9" xfId="0" applyNumberFormat="1" applyFont="1" applyFill="1" applyBorder="1" applyAlignment="1">
      <alignment horizontal="left" wrapText="1" indent="1"/>
    </xf>
    <xf numFmtId="165" fontId="12" fillId="6" borderId="15" xfId="0" applyNumberFormat="1" applyFont="1" applyFill="1" applyBorder="1" applyAlignment="1">
      <alignment horizontal="left" wrapText="1" indent="1"/>
    </xf>
    <xf numFmtId="165" fontId="12" fillId="6" borderId="16" xfId="0" applyNumberFormat="1" applyFont="1" applyFill="1" applyBorder="1" applyAlignment="1">
      <alignment horizontal="left" wrapText="1" indent="1"/>
    </xf>
    <xf numFmtId="165" fontId="12" fillId="6" borderId="17" xfId="0" applyNumberFormat="1" applyFont="1" applyFill="1" applyBorder="1" applyAlignment="1">
      <alignment horizontal="left" wrapText="1" indent="1"/>
    </xf>
    <xf numFmtId="165" fontId="12" fillId="5" borderId="10" xfId="0" applyNumberFormat="1" applyFont="1" applyFill="1" applyBorder="1" applyAlignment="1">
      <alignment horizontal="left" wrapText="1" indent="1"/>
    </xf>
    <xf numFmtId="165" fontId="12" fillId="5" borderId="11" xfId="0" applyNumberFormat="1" applyFont="1" applyFill="1" applyBorder="1" applyAlignment="1">
      <alignment horizontal="left" wrapText="1" indent="1"/>
    </xf>
    <xf numFmtId="165" fontId="12" fillId="5" borderId="12" xfId="0" applyNumberFormat="1" applyFont="1" applyFill="1" applyBorder="1" applyAlignment="1">
      <alignment horizontal="left" wrapText="1" indent="1"/>
    </xf>
    <xf numFmtId="0" fontId="13" fillId="5" borderId="10" xfId="0" applyFont="1" applyFill="1" applyBorder="1" applyAlignment="1">
      <alignment horizontal="left" vertical="top" wrapText="1" indent="1"/>
    </xf>
    <xf numFmtId="0" fontId="13" fillId="5" borderId="11" xfId="0" applyFont="1" applyFill="1" applyBorder="1" applyAlignment="1">
      <alignment horizontal="left" vertical="top" wrapText="1" indent="1"/>
    </xf>
    <xf numFmtId="0" fontId="13" fillId="5" borderId="11" xfId="1" applyFont="1" applyFill="1" applyBorder="1" applyAlignment="1">
      <alignment horizontal="left" vertical="top" wrapText="1" indent="1"/>
    </xf>
    <xf numFmtId="0" fontId="13" fillId="5" borderId="12" xfId="1" applyFont="1" applyFill="1" applyBorder="1" applyAlignment="1">
      <alignment horizontal="left" vertical="top" wrapText="1" indent="1"/>
    </xf>
    <xf numFmtId="0" fontId="13" fillId="6" borderId="15" xfId="0" applyFont="1" applyFill="1" applyBorder="1" applyAlignment="1">
      <alignment horizontal="left" vertical="center" wrapText="1" indent="1"/>
    </xf>
    <xf numFmtId="0" fontId="13" fillId="6" borderId="16" xfId="0" applyFont="1" applyFill="1" applyBorder="1" applyAlignment="1">
      <alignment horizontal="left" vertical="center" wrapText="1" indent="1"/>
    </xf>
    <xf numFmtId="0" fontId="13" fillId="6" borderId="16" xfId="1" applyFont="1" applyFill="1" applyBorder="1" applyAlignment="1">
      <alignment horizontal="left" vertical="center" wrapText="1" indent="1"/>
    </xf>
    <xf numFmtId="0" fontId="13" fillId="6" borderId="17" xfId="1" applyFont="1" applyFill="1" applyBorder="1" applyAlignment="1">
      <alignment horizontal="left" vertical="center" wrapText="1" indent="1"/>
    </xf>
    <xf numFmtId="0" fontId="13" fillId="5" borderId="10" xfId="0" applyFont="1" applyFill="1" applyBorder="1" applyAlignment="1">
      <alignment horizontal="left" vertical="center" wrapText="1" indent="1"/>
    </xf>
    <xf numFmtId="0" fontId="13" fillId="5" borderId="11" xfId="0" applyFont="1" applyFill="1" applyBorder="1" applyAlignment="1">
      <alignment horizontal="left" vertical="center" wrapText="1" indent="1"/>
    </xf>
    <xf numFmtId="0" fontId="13" fillId="5" borderId="11" xfId="1" applyFont="1" applyFill="1" applyBorder="1" applyAlignment="1">
      <alignment horizontal="left" vertical="center" wrapText="1" indent="1"/>
    </xf>
    <xf numFmtId="0" fontId="13" fillId="5" borderId="12" xfId="1" applyFont="1" applyFill="1" applyBorder="1" applyAlignment="1">
      <alignment horizontal="left" vertical="center" wrapText="1" indent="1"/>
    </xf>
    <xf numFmtId="0" fontId="0" fillId="5" borderId="0" xfId="0" applyFont="1" applyFill="1" applyBorder="1" applyAlignment="1">
      <alignment horizontal="left"/>
    </xf>
    <xf numFmtId="14" fontId="0" fillId="5" borderId="0" xfId="0" applyNumberFormat="1" applyFont="1" applyFill="1" applyBorder="1" applyAlignment="1">
      <alignment horizontal="left"/>
    </xf>
    <xf numFmtId="16" fontId="0" fillId="5" borderId="0" xfId="0" quotePrefix="1" applyNumberFormat="1" applyFont="1" applyFill="1" applyBorder="1" applyAlignment="1">
      <alignment horizontal="left"/>
    </xf>
    <xf numFmtId="1" fontId="0" fillId="5" borderId="0" xfId="0" quotePrefix="1" applyNumberFormat="1" applyFont="1" applyFill="1" applyBorder="1" applyAlignment="1">
      <alignment horizontal="left"/>
    </xf>
    <xf numFmtId="0" fontId="6" fillId="5" borderId="5" xfId="2" applyBorder="1">
      <alignment vertical="center"/>
    </xf>
    <xf numFmtId="0" fontId="5" fillId="5" borderId="5" xfId="6" applyBorder="1" applyAlignment="1">
      <alignment vertical="center"/>
    </xf>
    <xf numFmtId="0" fontId="6" fillId="5" borderId="0" xfId="2" applyBorder="1">
      <alignment vertical="center"/>
    </xf>
    <xf numFmtId="164" fontId="6" fillId="5" borderId="0" xfId="2" applyNumberFormat="1" applyBorder="1">
      <alignment vertical="center"/>
    </xf>
    <xf numFmtId="164" fontId="6" fillId="5" borderId="0" xfId="2" applyNumberFormat="1" applyBorder="1" applyAlignment="1">
      <alignment horizontal="left" vertical="center"/>
    </xf>
    <xf numFmtId="0" fontId="6" fillId="5" borderId="0" xfId="2" applyBorder="1" applyAlignment="1">
      <alignment horizontal="left" vertical="center"/>
    </xf>
    <xf numFmtId="0" fontId="14" fillId="5" borderId="0" xfId="0" applyFont="1">
      <alignment vertical="center"/>
    </xf>
    <xf numFmtId="0" fontId="15" fillId="5" borderId="4" xfId="0" applyFont="1" applyBorder="1">
      <alignment vertical="center"/>
    </xf>
    <xf numFmtId="0" fontId="15" fillId="5" borderId="0" xfId="0" applyFont="1">
      <alignment vertical="center"/>
    </xf>
    <xf numFmtId="0" fontId="16" fillId="5" borderId="3" xfId="2" applyFont="1">
      <alignment vertical="center"/>
    </xf>
    <xf numFmtId="0" fontId="17" fillId="5" borderId="0" xfId="0" applyFont="1" applyAlignment="1"/>
    <xf numFmtId="0" fontId="14" fillId="5" borderId="4" xfId="0" applyFont="1" applyBorder="1">
      <alignment vertical="center"/>
    </xf>
    <xf numFmtId="0" fontId="14" fillId="5" borderId="0" xfId="0" applyFont="1" applyAlignment="1">
      <alignment horizontal="left" vertical="center"/>
    </xf>
    <xf numFmtId="0" fontId="15" fillId="5" borderId="0" xfId="0" applyFont="1" applyAlignment="1">
      <alignment horizontal="left" vertical="center"/>
    </xf>
    <xf numFmtId="0" fontId="14" fillId="5" borderId="0" xfId="0" applyFont="1" applyAlignment="1"/>
    <xf numFmtId="0" fontId="15" fillId="5" borderId="0" xfId="0" applyFont="1" applyAlignment="1"/>
    <xf numFmtId="165" fontId="22" fillId="5" borderId="0" xfId="0" applyNumberFormat="1" applyFont="1" applyAlignment="1">
      <alignment horizontal="center"/>
    </xf>
    <xf numFmtId="165" fontId="22" fillId="6" borderId="0" xfId="0" applyNumberFormat="1" applyFont="1" applyFill="1" applyAlignment="1">
      <alignment horizontal="center" vertical="center"/>
    </xf>
    <xf numFmtId="165" fontId="22" fillId="5" borderId="0" xfId="0" applyNumberFormat="1" applyFont="1" applyAlignment="1">
      <alignment horizontal="center" vertical="center"/>
    </xf>
    <xf numFmtId="166" fontId="21" fillId="5" borderId="5" xfId="8" applyNumberFormat="1" applyFont="1" applyAlignment="1">
      <alignment horizontal="left" vertical="center"/>
    </xf>
    <xf numFmtId="0" fontId="14" fillId="5" borderId="4" xfId="0" applyFont="1" applyBorder="1" applyAlignment="1">
      <alignment horizontal="left" vertical="center"/>
    </xf>
    <xf numFmtId="0" fontId="17" fillId="5" borderId="0" xfId="0" applyFont="1" applyAlignment="1">
      <alignment horizontal="left"/>
    </xf>
    <xf numFmtId="0" fontId="18" fillId="5" borderId="0" xfId="7" applyFont="1" applyAlignment="1"/>
    <xf numFmtId="0" fontId="20" fillId="5" borderId="0" xfId="5" applyFont="1" applyBorder="1"/>
    <xf numFmtId="0" fontId="19" fillId="5" borderId="0" xfId="0" applyFont="1" applyAlignment="1">
      <alignment horizontal="left" vertical="center"/>
    </xf>
    <xf numFmtId="0" fontId="14" fillId="5" borderId="18" xfId="0" applyFont="1" applyBorder="1" applyAlignment="1">
      <alignment horizontal="left" vertical="center"/>
    </xf>
    <xf numFmtId="0" fontId="16" fillId="5" borderId="5" xfId="2" applyFont="1" applyBorder="1" applyAlignment="1">
      <alignment horizontal="left" vertical="center"/>
    </xf>
    <xf numFmtId="0" fontId="18" fillId="5" borderId="0" xfId="7" applyFont="1" applyAlignment="1">
      <alignment horizontal="left"/>
    </xf>
    <xf numFmtId="164" fontId="6" fillId="5" borderId="5" xfId="2" applyNumberFormat="1" applyBorder="1" applyAlignment="1">
      <alignment horizontal="left" vertical="center"/>
    </xf>
    <xf numFmtId="0" fontId="2" fillId="6" borderId="16" xfId="3" applyFill="1" applyBorder="1" applyAlignment="1">
      <alignment horizontal="left" vertical="center" wrapText="1"/>
    </xf>
    <xf numFmtId="0" fontId="2" fillId="6" borderId="17" xfId="3" applyFill="1" applyBorder="1" applyAlignment="1">
      <alignment horizontal="left" vertical="center" wrapText="1"/>
    </xf>
    <xf numFmtId="165" fontId="10" fillId="6" borderId="16" xfId="3" applyNumberFormat="1" applyFont="1" applyFill="1" applyBorder="1" applyAlignment="1">
      <alignment horizontal="left" wrapText="1" indent="1"/>
    </xf>
    <xf numFmtId="165" fontId="10" fillId="6" borderId="17" xfId="3" applyNumberFormat="1" applyFont="1" applyFill="1" applyBorder="1" applyAlignment="1">
      <alignment horizontal="left" wrapText="1" indent="1"/>
    </xf>
    <xf numFmtId="0" fontId="0" fillId="5" borderId="0" xfId="0" applyAlignment="1">
      <alignment horizontal="left"/>
    </xf>
    <xf numFmtId="0" fontId="0" fillId="5" borderId="0" xfId="0" applyAlignment="1"/>
  </cellXfs>
  <cellStyles count="9">
    <cellStyle name="40% - Énfasis1" xfId="1" builtinId="31" customBuiltin="1"/>
    <cellStyle name="Encabezado 1" xfId="2" builtinId="16" customBuiltin="1"/>
    <cellStyle name="Encabezado 4" xfId="8" builtinId="19" customBuiltin="1"/>
    <cellStyle name="Énfasis1" xfId="3" builtinId="29" customBuiltin="1"/>
    <cellStyle name="Énfasis5" xfId="4" builtinId="45" customBuiltin="1"/>
    <cellStyle name="Normal" xfId="0" builtinId="0" customBuiltin="1"/>
    <cellStyle name="Título" xfId="5" builtinId="15" customBuiltin="1"/>
    <cellStyle name="Título 2" xfId="6" builtinId="17" customBuiltin="1"/>
    <cellStyle name="Título 3" xfId="7" builtinId="18" customBuiltin="1"/>
  </cellStyles>
  <dxfs count="51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3" tint="0.59996337778862885"/>
      </font>
    </dxf>
    <dxf>
      <font>
        <color theme="3" tint="0.59996337778862885"/>
      </font>
    </dxf>
    <dxf>
      <font>
        <color theme="3" tint="0.59996337778862885"/>
      </font>
    </dxf>
    <dxf>
      <font>
        <color theme="3" tint="0.59996337778862885"/>
      </font>
    </dxf>
    <dxf>
      <font>
        <color theme="3" tint="0.59996337778862885"/>
      </font>
    </dxf>
    <dxf>
      <font>
        <color theme="3" tint="0.59996337778862885"/>
      </font>
    </dxf>
    <dxf>
      <font>
        <color theme="3" tint="0.59996337778862885"/>
      </font>
    </dxf>
    <dxf>
      <font>
        <color theme="3" tint="0.59996337778862885"/>
      </font>
    </dxf>
    <dxf>
      <font>
        <color theme="3" tint="0.59996337778862885"/>
      </font>
    </dxf>
    <dxf>
      <font>
        <color theme="3" tint="0.59996337778862885"/>
      </font>
    </dxf>
    <dxf>
      <font>
        <color theme="3" tint="0.59996337778862885"/>
      </font>
    </dxf>
    <dxf>
      <font>
        <color theme="3" tint="0.59996337778862885"/>
      </font>
    </dxf>
    <dxf>
      <font>
        <color theme="3" tint="0.59996337778862885"/>
      </font>
    </dxf>
    <dxf>
      <font>
        <color theme="3" tint="0.59996337778862885"/>
      </font>
    </dxf>
    <dxf>
      <font>
        <color theme="3" tint="0.59996337778862885"/>
      </font>
    </dxf>
    <dxf>
      <font>
        <color theme="3" tint="0.59996337778862885"/>
      </font>
    </dxf>
    <dxf>
      <font>
        <color theme="3" tint="0.59996337778862885"/>
      </font>
    </dxf>
    <dxf>
      <font>
        <color theme="3" tint="0.59996337778862885"/>
      </font>
    </dxf>
    <dxf>
      <font>
        <color theme="3" tint="0.59996337778862885"/>
      </font>
    </dxf>
    <dxf>
      <font>
        <color theme="3" tint="0.59996337778862885"/>
      </font>
    </dxf>
    <dxf>
      <font>
        <color theme="3" tint="0.59996337778862885"/>
      </font>
    </dxf>
    <dxf>
      <font>
        <color theme="3" tint="0.59996337778862885"/>
      </font>
    </dxf>
    <dxf>
      <font>
        <color theme="3" tint="0.59996337778862885"/>
      </font>
    </dxf>
    <dxf>
      <font>
        <color theme="3" tint="0.59996337778862885"/>
      </font>
    </dxf>
    <dxf>
      <font>
        <b val="0"/>
        <i val="0"/>
        <color theme="3"/>
      </font>
      <fill>
        <patternFill patternType="solid">
          <fgColor theme="0" tint="-0.14996795556505021"/>
          <bgColor theme="2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theme="3"/>
      </font>
      <fill>
        <patternFill>
          <bgColor theme="2"/>
        </patternFill>
      </fill>
      <border diagonalUp="0" diagonalDown="0">
        <left/>
        <right/>
        <top/>
        <bottom style="thick">
          <color theme="3"/>
        </bottom>
        <vertical/>
        <horizontal/>
      </border>
    </dxf>
    <dxf>
      <font>
        <b val="0"/>
        <i val="0"/>
        <color theme="3"/>
      </font>
      <fill>
        <patternFill patternType="none">
          <bgColor auto="1"/>
        </patternFill>
      </fill>
      <border diagonalUp="0" diagonalDown="0">
        <left/>
        <right/>
        <top/>
        <bottom/>
        <vertical/>
        <horizontal/>
      </border>
    </dxf>
  </dxfs>
  <tableStyles count="1" defaultTableStyle="Calendario con la tabla de días festivos" defaultPivotStyle="PivotStyleLight16">
    <tableStyle name="Calendario con la tabla de días festivos" pivot="0" count="3" xr9:uid="{00000000-0011-0000-FFFF-FFFF00000000}">
      <tableStyleElement type="wholeTable" dxfId="50"/>
      <tableStyleElement type="headerRow" dxfId="49"/>
      <tableStyleElement type="firstRowStripe" dxfId="4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F1F2F5"/>
      <rgbColor rgb="00008080"/>
      <rgbColor rgb="00E4EAF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314265"/>
      <rgbColor rgb="00CCFFCC"/>
      <rgbColor rgb="00FFEECD"/>
      <rgbColor rgb="00D0D8E2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71778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4B4B4B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trlProps/ctrlProp1.xml><?xml version="1.0" encoding="utf-8"?>
<formControlPr xmlns="http://schemas.microsoft.com/office/spreadsheetml/2009/9/main" objectType="Spin" dx="16" fmlaLink="$R$4" max="2999" min="1900" page="10" val="2020"/>
</file>

<file path=xl/ctrlProps/ctrlProp2.xml><?xml version="1.0" encoding="utf-8"?>
<formControlPr xmlns="http://schemas.microsoft.com/office/spreadsheetml/2009/9/main" objectType="CheckBox" checked="Checked" fmlaLink="$I$5" lockText="1" noThreeD="1"/>
</file>

<file path=xl/ctrlProps/ctrlProp3.xml><?xml version="1.0" encoding="utf-8"?>
<formControlPr xmlns="http://schemas.microsoft.com/office/spreadsheetml/2009/9/main" objectType="CheckBox" checked="Checked" fmlaLink="$I$6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#Enero!A1"/><Relationship Id="rId1" Type="http://schemas.openxmlformats.org/officeDocument/2006/relationships/hyperlink" Target="#'D&#237;as festivos'!A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#Febrero!A1"/><Relationship Id="rId1" Type="http://schemas.openxmlformats.org/officeDocument/2006/relationships/hyperlink" Target="#Configuraci&#243;n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#Marzo!A1"/><Relationship Id="rId1" Type="http://schemas.openxmlformats.org/officeDocument/2006/relationships/hyperlink" Target="#Enero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hyperlink" Target="#Abril!A1"/><Relationship Id="rId1" Type="http://schemas.openxmlformats.org/officeDocument/2006/relationships/hyperlink" Target="#Febrero!A1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hyperlink" Target="#Mayo!A1"/><Relationship Id="rId1" Type="http://schemas.openxmlformats.org/officeDocument/2006/relationships/hyperlink" Target="#Marzo!A1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hyperlink" Target="#Junio!A1"/><Relationship Id="rId1" Type="http://schemas.openxmlformats.org/officeDocument/2006/relationships/hyperlink" Target="#Abril!A1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hyperlink" Target="#Julio!A1"/><Relationship Id="rId1" Type="http://schemas.openxmlformats.org/officeDocument/2006/relationships/hyperlink" Target="#Mayo!A1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hyperlink" Target="#Agosto!A1"/><Relationship Id="rId1" Type="http://schemas.openxmlformats.org/officeDocument/2006/relationships/hyperlink" Target="#Junio!A1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hyperlink" Target="#Septiembre!A1"/><Relationship Id="rId1" Type="http://schemas.openxmlformats.org/officeDocument/2006/relationships/hyperlink" Target="#Julio!A1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hyperlink" Target="#Octubre!A1"/><Relationship Id="rId1" Type="http://schemas.openxmlformats.org/officeDocument/2006/relationships/hyperlink" Target="#Agosto!A1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hyperlink" Target="#Noviembre!A1"/><Relationship Id="rId1" Type="http://schemas.openxmlformats.org/officeDocument/2006/relationships/hyperlink" Target="#Septiembre!A1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hyperlink" Target="#Diciembre!A1"/><Relationship Id="rId1" Type="http://schemas.openxmlformats.org/officeDocument/2006/relationships/hyperlink" Target="#Octubre!A1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hyperlink" Target="#'D&#237;as festivos'!A1"/><Relationship Id="rId1" Type="http://schemas.openxmlformats.org/officeDocument/2006/relationships/hyperlink" Target="#Noviembre!A1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hyperlink" Target="#Configuraci&#243;n!A1"/><Relationship Id="rId1" Type="http://schemas.openxmlformats.org/officeDocument/2006/relationships/hyperlink" Target="#Diciembr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219075</xdr:colOff>
      <xdr:row>2</xdr:row>
      <xdr:rowOff>257175</xdr:rowOff>
    </xdr:from>
    <xdr:to>
      <xdr:col>31</xdr:col>
      <xdr:colOff>333375</xdr:colOff>
      <xdr:row>7</xdr:row>
      <xdr:rowOff>342900</xdr:rowOff>
    </xdr:to>
    <xdr:sp macro="" textlink="CalYear">
      <xdr:nvSpPr>
        <xdr:cNvPr id="8" name="Cuadro de text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7886700" y="809625"/>
          <a:ext cx="3800475" cy="1457325"/>
        </a:xfrm>
        <a:prstGeom prst="rect">
          <a:avLst/>
        </a:prstGeom>
        <a:solidFill>
          <a:schemeClr val="bg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l" rtl="0"/>
          <a:fld id="{24578334-23DC-4013-8E7E-E1AF84D6BCC2}" type="TxLink">
            <a:rPr lang="en-US" sz="10000" b="1" i="0" u="none" strike="noStrike">
              <a:solidFill>
                <a:srgbClr val="524845"/>
              </a:solidFill>
              <a:effectLst>
                <a:outerShdw blurRad="50800" dist="38100" dir="2700000" algn="tl" rotWithShape="0">
                  <a:schemeClr val="bg2">
                    <a:lumMod val="25000"/>
                    <a:alpha val="40000"/>
                  </a:schemeClr>
                </a:outerShdw>
              </a:effectLst>
              <a:latin typeface="Trebuchet MS"/>
            </a:rPr>
            <a:pPr algn="l" rtl="0"/>
            <a:t>2020</a:t>
          </a:fld>
          <a:endParaRPr lang="en-US" sz="12000">
            <a:effectLst>
              <a:outerShdw blurRad="50800" dist="38100" dir="2700000" algn="tl" rotWithShape="0">
                <a:schemeClr val="bg2">
                  <a:lumMod val="25000"/>
                  <a:alpha val="40000"/>
                </a:schemeClr>
              </a:outerShdw>
            </a:effectLst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</xdr:colOff>
          <xdr:row>4</xdr:row>
          <xdr:rowOff>85725</xdr:rowOff>
        </xdr:from>
        <xdr:to>
          <xdr:col>8</xdr:col>
          <xdr:colOff>304800</xdr:colOff>
          <xdr:row>5</xdr:row>
          <xdr:rowOff>0</xdr:rowOff>
        </xdr:to>
        <xdr:sp macro="" textlink="">
          <xdr:nvSpPr>
            <xdr:cNvPr id="14338" name="ShowHolidaysCtrl" descr="Check to show holidays on the month sheets and uncheck to not show any." hidden="1">
              <a:extLst>
                <a:ext uri="{63B3BB69-23CF-44E3-9099-C40C66FF867C}">
                  <a14:compatExt spid="_x0000_s14338"/>
                </a:ext>
                <a:ext uri="{FF2B5EF4-FFF2-40B4-BE49-F238E27FC236}">
                  <a16:creationId xmlns:a16="http://schemas.microsoft.com/office/drawing/2014/main" id="{00000000-0008-0000-0000-000002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C05C48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</xdr:colOff>
          <xdr:row>5</xdr:row>
          <xdr:rowOff>85725</xdr:rowOff>
        </xdr:from>
        <xdr:to>
          <xdr:col>8</xdr:col>
          <xdr:colOff>304800</xdr:colOff>
          <xdr:row>6</xdr:row>
          <xdr:rowOff>0</xdr:rowOff>
        </xdr:to>
        <xdr:sp macro="" textlink="">
          <xdr:nvSpPr>
            <xdr:cNvPr id="14339" name="ShowObservedCtrl" descr="Check to show the observed calendar dates on the month sheets, or leave unchecked to show the actual holiday dates." hidden="1">
              <a:extLst>
                <a:ext uri="{63B3BB69-23CF-44E3-9099-C40C66FF867C}">
                  <a14:compatExt spid="_x0000_s14339"/>
                </a:ext>
                <a:ext uri="{FF2B5EF4-FFF2-40B4-BE49-F238E27FC236}">
                  <a16:creationId xmlns:a16="http://schemas.microsoft.com/office/drawing/2014/main" id="{00000000-0008-0000-0000-000003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FFFFFF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absolute">
    <xdr:from>
      <xdr:col>28</xdr:col>
      <xdr:colOff>314325</xdr:colOff>
      <xdr:row>0</xdr:row>
      <xdr:rowOff>171450</xdr:rowOff>
    </xdr:from>
    <xdr:to>
      <xdr:col>30</xdr:col>
      <xdr:colOff>9525</xdr:colOff>
      <xdr:row>1</xdr:row>
      <xdr:rowOff>304800</xdr:rowOff>
    </xdr:to>
    <xdr:sp macro="" textlink="">
      <xdr:nvSpPr>
        <xdr:cNvPr id="5" name="Rectángulo 4" descr="&quot;&quot;" title="Botón de navegación de Configuración">
          <a:hlinkClick xmlns:r="http://schemas.openxmlformats.org/officeDocument/2006/relationships" r:id="rId1" tooltip="Días festivos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10639425" y="171450"/>
          <a:ext cx="381000" cy="323850"/>
        </a:xfrm>
        <a:prstGeom prst="rect">
          <a:avLst/>
        </a:prstGeom>
        <a:noFill/>
        <a:ln w="9525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r>
            <a:rPr lang="es" sz="2400" b="0">
              <a:solidFill>
                <a:schemeClr val="accent1"/>
              </a:solidFill>
              <a:latin typeface="+mn-lt"/>
            </a:rPr>
            <a:t>&lt;</a:t>
          </a:r>
        </a:p>
      </xdr:txBody>
    </xdr:sp>
    <xdr:clientData fPrintsWithSheet="0"/>
  </xdr:twoCellAnchor>
  <xdr:twoCellAnchor editAs="absolute">
    <xdr:from>
      <xdr:col>30</xdr:col>
      <xdr:colOff>19050</xdr:colOff>
      <xdr:row>0</xdr:row>
      <xdr:rowOff>171450</xdr:rowOff>
    </xdr:from>
    <xdr:to>
      <xdr:col>31</xdr:col>
      <xdr:colOff>57150</xdr:colOff>
      <xdr:row>1</xdr:row>
      <xdr:rowOff>304800</xdr:rowOff>
    </xdr:to>
    <xdr:sp macro="" textlink="">
      <xdr:nvSpPr>
        <xdr:cNvPr id="6" name="Rectángulo 5" descr="&quot;&quot;" title="Botón de navegación de Enero">
          <a:hlinkClick xmlns:r="http://schemas.openxmlformats.org/officeDocument/2006/relationships" r:id="rId2" tooltip="Enero"/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1029950" y="171450"/>
          <a:ext cx="381000" cy="323850"/>
        </a:xfrm>
        <a:prstGeom prst="rect">
          <a:avLst/>
        </a:prstGeom>
        <a:solidFill>
          <a:schemeClr val="accent1"/>
        </a:solidFill>
        <a:ln w="9525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r>
            <a:rPr lang="es" sz="2400" b="0"/>
            <a:t>&gt;</a:t>
          </a:r>
        </a:p>
      </xdr:txBody>
    </xdr:sp>
    <xdr:clientData fPrintsWithSheet="0"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31</xdr:col>
          <xdr:colOff>0</xdr:colOff>
          <xdr:row>6</xdr:row>
          <xdr:rowOff>66675</xdr:rowOff>
        </xdr:from>
        <xdr:to>
          <xdr:col>31</xdr:col>
          <xdr:colOff>152400</xdr:colOff>
          <xdr:row>7</xdr:row>
          <xdr:rowOff>19050</xdr:rowOff>
        </xdr:to>
        <xdr:sp macro="" textlink="">
          <xdr:nvSpPr>
            <xdr:cNvPr id="14337" name="Control numérico 1" descr="Click the spinner to change the calendar year." hidden="1">
              <a:extLst>
                <a:ext uri="{63B3BB69-23CF-44E3-9099-C40C66FF867C}">
                  <a14:compatExt spid="_x0000_s14337"/>
                </a:ext>
                <a:ext uri="{FF2B5EF4-FFF2-40B4-BE49-F238E27FC236}">
                  <a16:creationId xmlns:a16="http://schemas.microsoft.com/office/drawing/2014/main" id="{00000000-0008-0000-0000-000001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1123950</xdr:colOff>
      <xdr:row>0</xdr:row>
      <xdr:rowOff>171450</xdr:rowOff>
    </xdr:from>
    <xdr:to>
      <xdr:col>7</xdr:col>
      <xdr:colOff>323850</xdr:colOff>
      <xdr:row>1</xdr:row>
      <xdr:rowOff>304800</xdr:rowOff>
    </xdr:to>
    <xdr:sp macro="" textlink="">
      <xdr:nvSpPr>
        <xdr:cNvPr id="2" name="Rectángulo 1" descr="&quot;&quot;" title="Botón de navegación de Configuración">
          <a:hlinkClick xmlns:r="http://schemas.openxmlformats.org/officeDocument/2006/relationships" r:id="rId1" tooltip="Configuración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7305675" y="171450"/>
          <a:ext cx="381000" cy="323850"/>
        </a:xfrm>
        <a:prstGeom prst="rect">
          <a:avLst/>
        </a:prstGeom>
        <a:noFill/>
        <a:ln w="9525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r>
            <a:rPr lang="es" sz="2400" b="0">
              <a:solidFill>
                <a:schemeClr val="accent1"/>
              </a:solidFill>
            </a:rPr>
            <a:t>&lt;</a:t>
          </a:r>
        </a:p>
      </xdr:txBody>
    </xdr:sp>
    <xdr:clientData fPrintsWithSheet="0"/>
  </xdr:twoCellAnchor>
  <xdr:twoCellAnchor editAs="absolute">
    <xdr:from>
      <xdr:col>7</xdr:col>
      <xdr:colOff>333375</xdr:colOff>
      <xdr:row>0</xdr:row>
      <xdr:rowOff>171450</xdr:rowOff>
    </xdr:from>
    <xdr:to>
      <xdr:col>7</xdr:col>
      <xdr:colOff>714375</xdr:colOff>
      <xdr:row>1</xdr:row>
      <xdr:rowOff>304800</xdr:rowOff>
    </xdr:to>
    <xdr:sp macro="" textlink="">
      <xdr:nvSpPr>
        <xdr:cNvPr id="4" name="Rectángulo 3" descr="&quot;&quot;" title="Botón de navegación de Febrero">
          <a:hlinkClick xmlns:r="http://schemas.openxmlformats.org/officeDocument/2006/relationships" r:id="rId2" tooltip="Febrero"/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7696200" y="171450"/>
          <a:ext cx="381000" cy="323850"/>
        </a:xfrm>
        <a:prstGeom prst="rect">
          <a:avLst/>
        </a:prstGeom>
        <a:solidFill>
          <a:schemeClr val="accent1"/>
        </a:solidFill>
        <a:ln w="9525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r>
            <a:rPr lang="es" sz="2400" b="0"/>
            <a:t>&gt;</a:t>
          </a:r>
        </a:p>
      </xdr:txBody>
    </xdr:sp>
    <xdr:clientData fPrint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1123950</xdr:colOff>
      <xdr:row>0</xdr:row>
      <xdr:rowOff>171450</xdr:rowOff>
    </xdr:from>
    <xdr:to>
      <xdr:col>7</xdr:col>
      <xdr:colOff>323850</xdr:colOff>
      <xdr:row>1</xdr:row>
      <xdr:rowOff>304800</xdr:rowOff>
    </xdr:to>
    <xdr:sp macro="" textlink="">
      <xdr:nvSpPr>
        <xdr:cNvPr id="2" name="Rectángulo 1" descr="&quot;&quot;" title="Botón de navegación de Enero">
          <a:hlinkClick xmlns:r="http://schemas.openxmlformats.org/officeDocument/2006/relationships" r:id="rId1" tooltip="Enero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7305675" y="171450"/>
          <a:ext cx="381000" cy="323850"/>
        </a:xfrm>
        <a:prstGeom prst="rect">
          <a:avLst/>
        </a:prstGeom>
        <a:noFill/>
        <a:ln w="9525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r>
            <a:rPr lang="es" sz="2400" b="0">
              <a:solidFill>
                <a:schemeClr val="accent1"/>
              </a:solidFill>
            </a:rPr>
            <a:t>&lt;</a:t>
          </a:r>
        </a:p>
      </xdr:txBody>
    </xdr:sp>
    <xdr:clientData fPrintsWithSheet="0"/>
  </xdr:twoCellAnchor>
  <xdr:twoCellAnchor editAs="absolute">
    <xdr:from>
      <xdr:col>7</xdr:col>
      <xdr:colOff>323849</xdr:colOff>
      <xdr:row>0</xdr:row>
      <xdr:rowOff>171450</xdr:rowOff>
    </xdr:from>
    <xdr:to>
      <xdr:col>7</xdr:col>
      <xdr:colOff>714374</xdr:colOff>
      <xdr:row>1</xdr:row>
      <xdr:rowOff>304800</xdr:rowOff>
    </xdr:to>
    <xdr:sp macro="" textlink="">
      <xdr:nvSpPr>
        <xdr:cNvPr id="3" name="Rectángulo 2" descr="&quot;&quot;" title="Botón de navegación de Marzo">
          <a:hlinkClick xmlns:r="http://schemas.openxmlformats.org/officeDocument/2006/relationships" r:id="rId2" tooltip="Marzo"/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7686674" y="171450"/>
          <a:ext cx="390525" cy="323850"/>
        </a:xfrm>
        <a:prstGeom prst="rect">
          <a:avLst/>
        </a:prstGeom>
        <a:ln w="9525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r>
            <a:rPr lang="es" sz="2400" b="0"/>
            <a:t>&gt;</a:t>
          </a:r>
        </a:p>
      </xdr:txBody>
    </xdr:sp>
    <xdr:clientData fPrintsWithSheet="0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1123950</xdr:colOff>
      <xdr:row>0</xdr:row>
      <xdr:rowOff>171450</xdr:rowOff>
    </xdr:from>
    <xdr:to>
      <xdr:col>7</xdr:col>
      <xdr:colOff>323850</xdr:colOff>
      <xdr:row>1</xdr:row>
      <xdr:rowOff>304800</xdr:rowOff>
    </xdr:to>
    <xdr:sp macro="" textlink="">
      <xdr:nvSpPr>
        <xdr:cNvPr id="2" name="Rectángulo 1" descr="&quot;&quot;" title="Botón de navegación de Febrero">
          <a:hlinkClick xmlns:r="http://schemas.openxmlformats.org/officeDocument/2006/relationships" r:id="rId1" tooltip="Febrero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7305675" y="171450"/>
          <a:ext cx="381000" cy="323850"/>
        </a:xfrm>
        <a:prstGeom prst="rect">
          <a:avLst/>
        </a:prstGeom>
        <a:noFill/>
        <a:ln w="9525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r>
            <a:rPr lang="es" sz="2400" b="0">
              <a:solidFill>
                <a:schemeClr val="accent1"/>
              </a:solidFill>
            </a:rPr>
            <a:t>&lt;</a:t>
          </a:r>
        </a:p>
      </xdr:txBody>
    </xdr:sp>
    <xdr:clientData fPrintsWithSheet="0"/>
  </xdr:twoCellAnchor>
  <xdr:twoCellAnchor editAs="absolute">
    <xdr:from>
      <xdr:col>7</xdr:col>
      <xdr:colOff>333375</xdr:colOff>
      <xdr:row>0</xdr:row>
      <xdr:rowOff>171450</xdr:rowOff>
    </xdr:from>
    <xdr:to>
      <xdr:col>7</xdr:col>
      <xdr:colOff>714375</xdr:colOff>
      <xdr:row>1</xdr:row>
      <xdr:rowOff>304800</xdr:rowOff>
    </xdr:to>
    <xdr:sp macro="" textlink="">
      <xdr:nvSpPr>
        <xdr:cNvPr id="3" name="Rectángulo 2" descr="&quot;&quot;" title="Botón de navegación de Abril">
          <a:hlinkClick xmlns:r="http://schemas.openxmlformats.org/officeDocument/2006/relationships" r:id="rId2" tooltip="Abril"/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7696200" y="171450"/>
          <a:ext cx="381000" cy="323850"/>
        </a:xfrm>
        <a:prstGeom prst="rect">
          <a:avLst/>
        </a:prstGeom>
        <a:ln w="9525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r>
            <a:rPr lang="es" sz="2400" b="0"/>
            <a:t>&gt;</a:t>
          </a:r>
        </a:p>
      </xdr:txBody>
    </xdr:sp>
    <xdr:clientData fPrint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1123950</xdr:colOff>
      <xdr:row>0</xdr:row>
      <xdr:rowOff>171450</xdr:rowOff>
    </xdr:from>
    <xdr:to>
      <xdr:col>7</xdr:col>
      <xdr:colOff>323850</xdr:colOff>
      <xdr:row>1</xdr:row>
      <xdr:rowOff>304800</xdr:rowOff>
    </xdr:to>
    <xdr:sp macro="" textlink="">
      <xdr:nvSpPr>
        <xdr:cNvPr id="2" name="Rectángulo 1" descr="&quot;&quot;" title="Botón de navegación de Marzo">
          <a:hlinkClick xmlns:r="http://schemas.openxmlformats.org/officeDocument/2006/relationships" r:id="rId1" tooltip="Marzo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7305675" y="171450"/>
          <a:ext cx="381000" cy="323850"/>
        </a:xfrm>
        <a:prstGeom prst="rect">
          <a:avLst/>
        </a:prstGeom>
        <a:noFill/>
        <a:ln w="9525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r>
            <a:rPr lang="es" sz="2400" b="0">
              <a:solidFill>
                <a:schemeClr val="accent1"/>
              </a:solidFill>
            </a:rPr>
            <a:t>&lt;</a:t>
          </a:r>
        </a:p>
      </xdr:txBody>
    </xdr:sp>
    <xdr:clientData fPrintsWithSheet="0"/>
  </xdr:twoCellAnchor>
  <xdr:twoCellAnchor editAs="absolute">
    <xdr:from>
      <xdr:col>7</xdr:col>
      <xdr:colOff>333375</xdr:colOff>
      <xdr:row>0</xdr:row>
      <xdr:rowOff>171450</xdr:rowOff>
    </xdr:from>
    <xdr:to>
      <xdr:col>7</xdr:col>
      <xdr:colOff>714375</xdr:colOff>
      <xdr:row>1</xdr:row>
      <xdr:rowOff>304800</xdr:rowOff>
    </xdr:to>
    <xdr:sp macro="" textlink="">
      <xdr:nvSpPr>
        <xdr:cNvPr id="3" name="Rectángulo 2" descr="&quot;&quot;" title="Botón de navegación de Mayo">
          <a:hlinkClick xmlns:r="http://schemas.openxmlformats.org/officeDocument/2006/relationships" r:id="rId2" tooltip="Mayo"/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7696200" y="171450"/>
          <a:ext cx="381000" cy="323850"/>
        </a:xfrm>
        <a:prstGeom prst="rect">
          <a:avLst/>
        </a:prstGeom>
        <a:ln w="9525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r>
            <a:rPr lang="es" sz="2400" b="0"/>
            <a:t>&gt;</a:t>
          </a:r>
        </a:p>
      </xdr:txBody>
    </xdr:sp>
    <xdr:clientData fPrint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1123950</xdr:colOff>
      <xdr:row>0</xdr:row>
      <xdr:rowOff>171450</xdr:rowOff>
    </xdr:from>
    <xdr:to>
      <xdr:col>7</xdr:col>
      <xdr:colOff>323850</xdr:colOff>
      <xdr:row>1</xdr:row>
      <xdr:rowOff>304800</xdr:rowOff>
    </xdr:to>
    <xdr:sp macro="" textlink="">
      <xdr:nvSpPr>
        <xdr:cNvPr id="2" name="Rectángulo 1" descr="&quot;&quot;" title="Botón de navegación de Abril">
          <a:hlinkClick xmlns:r="http://schemas.openxmlformats.org/officeDocument/2006/relationships" r:id="rId1" tooltip="Abril"/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7305675" y="171450"/>
          <a:ext cx="381000" cy="323850"/>
        </a:xfrm>
        <a:prstGeom prst="rect">
          <a:avLst/>
        </a:prstGeom>
        <a:noFill/>
        <a:ln w="9525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r>
            <a:rPr lang="es" sz="2400" b="0">
              <a:solidFill>
                <a:schemeClr val="accent1"/>
              </a:solidFill>
            </a:rPr>
            <a:t>&lt;</a:t>
          </a:r>
        </a:p>
      </xdr:txBody>
    </xdr:sp>
    <xdr:clientData fPrintsWithSheet="0"/>
  </xdr:twoCellAnchor>
  <xdr:twoCellAnchor editAs="absolute">
    <xdr:from>
      <xdr:col>7</xdr:col>
      <xdr:colOff>323849</xdr:colOff>
      <xdr:row>0</xdr:row>
      <xdr:rowOff>171450</xdr:rowOff>
    </xdr:from>
    <xdr:to>
      <xdr:col>7</xdr:col>
      <xdr:colOff>714374</xdr:colOff>
      <xdr:row>1</xdr:row>
      <xdr:rowOff>304800</xdr:rowOff>
    </xdr:to>
    <xdr:sp macro="" textlink="">
      <xdr:nvSpPr>
        <xdr:cNvPr id="3" name="Rectángulo 2" descr="&quot;&quot;" title="Botón de navegación de Junio">
          <a:hlinkClick xmlns:r="http://schemas.openxmlformats.org/officeDocument/2006/relationships" r:id="rId2" tooltip="Junio"/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7686674" y="171450"/>
          <a:ext cx="390525" cy="323850"/>
        </a:xfrm>
        <a:prstGeom prst="rect">
          <a:avLst/>
        </a:prstGeom>
        <a:ln w="9525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r>
            <a:rPr lang="es" sz="2400" b="0"/>
            <a:t>&gt;</a:t>
          </a:r>
        </a:p>
      </xdr:txBody>
    </xdr:sp>
    <xdr:clientData fPrint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1123950</xdr:colOff>
      <xdr:row>0</xdr:row>
      <xdr:rowOff>171450</xdr:rowOff>
    </xdr:from>
    <xdr:to>
      <xdr:col>7</xdr:col>
      <xdr:colOff>323850</xdr:colOff>
      <xdr:row>1</xdr:row>
      <xdr:rowOff>304800</xdr:rowOff>
    </xdr:to>
    <xdr:sp macro="" textlink="">
      <xdr:nvSpPr>
        <xdr:cNvPr id="2" name="Rectángulo 1" descr="&quot;&quot;" title="Botón de navegación de Mayo">
          <a:hlinkClick xmlns:r="http://schemas.openxmlformats.org/officeDocument/2006/relationships" r:id="rId1" tooltip="Mayo"/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7305675" y="171450"/>
          <a:ext cx="381000" cy="323850"/>
        </a:xfrm>
        <a:prstGeom prst="rect">
          <a:avLst/>
        </a:prstGeom>
        <a:noFill/>
        <a:ln w="9525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r>
            <a:rPr lang="es" sz="2400" b="0">
              <a:solidFill>
                <a:schemeClr val="accent1"/>
              </a:solidFill>
            </a:rPr>
            <a:t>&lt;</a:t>
          </a:r>
        </a:p>
      </xdr:txBody>
    </xdr:sp>
    <xdr:clientData fPrintsWithSheet="0"/>
  </xdr:twoCellAnchor>
  <xdr:twoCellAnchor editAs="absolute">
    <xdr:from>
      <xdr:col>7</xdr:col>
      <xdr:colOff>323849</xdr:colOff>
      <xdr:row>0</xdr:row>
      <xdr:rowOff>171450</xdr:rowOff>
    </xdr:from>
    <xdr:to>
      <xdr:col>7</xdr:col>
      <xdr:colOff>714374</xdr:colOff>
      <xdr:row>1</xdr:row>
      <xdr:rowOff>304800</xdr:rowOff>
    </xdr:to>
    <xdr:sp macro="" textlink="">
      <xdr:nvSpPr>
        <xdr:cNvPr id="3" name="Rectángulo 2" descr="&quot;&quot;" title="Botón de navegación de Julio">
          <a:hlinkClick xmlns:r="http://schemas.openxmlformats.org/officeDocument/2006/relationships" r:id="rId2" tooltip="Julio"/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7686674" y="171450"/>
          <a:ext cx="390525" cy="323850"/>
        </a:xfrm>
        <a:prstGeom prst="rect">
          <a:avLst/>
        </a:prstGeom>
        <a:ln w="9525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r>
            <a:rPr lang="es" sz="2400" b="0"/>
            <a:t>&gt;</a:t>
          </a:r>
        </a:p>
      </xdr:txBody>
    </xdr:sp>
    <xdr:clientData fPrint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1123950</xdr:colOff>
      <xdr:row>0</xdr:row>
      <xdr:rowOff>171450</xdr:rowOff>
    </xdr:from>
    <xdr:to>
      <xdr:col>7</xdr:col>
      <xdr:colOff>323850</xdr:colOff>
      <xdr:row>1</xdr:row>
      <xdr:rowOff>304800</xdr:rowOff>
    </xdr:to>
    <xdr:sp macro="" textlink="">
      <xdr:nvSpPr>
        <xdr:cNvPr id="2" name="Rectángulo 1" descr="&quot;&quot;" title="Botón de navegación de Junio">
          <a:hlinkClick xmlns:r="http://schemas.openxmlformats.org/officeDocument/2006/relationships" r:id="rId1" tooltip="Junio"/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7305675" y="171450"/>
          <a:ext cx="381000" cy="323850"/>
        </a:xfrm>
        <a:prstGeom prst="rect">
          <a:avLst/>
        </a:prstGeom>
        <a:noFill/>
        <a:ln w="9525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r>
            <a:rPr lang="es" sz="2400" b="0">
              <a:solidFill>
                <a:schemeClr val="accent1"/>
              </a:solidFill>
            </a:rPr>
            <a:t>&lt;</a:t>
          </a:r>
        </a:p>
      </xdr:txBody>
    </xdr:sp>
    <xdr:clientData fPrintsWithSheet="0"/>
  </xdr:twoCellAnchor>
  <xdr:twoCellAnchor editAs="absolute">
    <xdr:from>
      <xdr:col>7</xdr:col>
      <xdr:colOff>333375</xdr:colOff>
      <xdr:row>0</xdr:row>
      <xdr:rowOff>171450</xdr:rowOff>
    </xdr:from>
    <xdr:to>
      <xdr:col>7</xdr:col>
      <xdr:colOff>714375</xdr:colOff>
      <xdr:row>1</xdr:row>
      <xdr:rowOff>304800</xdr:rowOff>
    </xdr:to>
    <xdr:sp macro="" textlink="">
      <xdr:nvSpPr>
        <xdr:cNvPr id="3" name="Rectángulo 2" descr="&quot;&quot;" title="Botón de navegación de Agosto">
          <a:hlinkClick xmlns:r="http://schemas.openxmlformats.org/officeDocument/2006/relationships" r:id="rId2" tooltip="Agosto"/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7696200" y="171450"/>
          <a:ext cx="381000" cy="323850"/>
        </a:xfrm>
        <a:prstGeom prst="rect">
          <a:avLst/>
        </a:prstGeom>
        <a:ln w="9525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r>
            <a:rPr lang="es" sz="2400" b="0"/>
            <a:t>&gt;</a:t>
          </a:r>
        </a:p>
      </xdr:txBody>
    </xdr:sp>
    <xdr:clientData fPrint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1123950</xdr:colOff>
      <xdr:row>0</xdr:row>
      <xdr:rowOff>171450</xdr:rowOff>
    </xdr:from>
    <xdr:to>
      <xdr:col>7</xdr:col>
      <xdr:colOff>323850</xdr:colOff>
      <xdr:row>1</xdr:row>
      <xdr:rowOff>304800</xdr:rowOff>
    </xdr:to>
    <xdr:sp macro="" textlink="">
      <xdr:nvSpPr>
        <xdr:cNvPr id="2" name="Rectángulo 1" descr="&quot;&quot;" title="Botón de navegación de Agosto">
          <a:hlinkClick xmlns:r="http://schemas.openxmlformats.org/officeDocument/2006/relationships" r:id="rId1" tooltip="Julio"/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7305675" y="171450"/>
          <a:ext cx="381000" cy="323850"/>
        </a:xfrm>
        <a:prstGeom prst="rect">
          <a:avLst/>
        </a:prstGeom>
        <a:noFill/>
        <a:ln w="9525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r>
            <a:rPr lang="es" sz="2400" b="0">
              <a:solidFill>
                <a:schemeClr val="accent1"/>
              </a:solidFill>
            </a:rPr>
            <a:t>&lt;</a:t>
          </a:r>
          <a:endParaRPr lang="en-US" sz="1400" b="0">
            <a:solidFill>
              <a:schemeClr val="accent1"/>
            </a:solidFill>
          </a:endParaRPr>
        </a:p>
      </xdr:txBody>
    </xdr:sp>
    <xdr:clientData fPrintsWithSheet="0"/>
  </xdr:twoCellAnchor>
  <xdr:twoCellAnchor editAs="absolute">
    <xdr:from>
      <xdr:col>7</xdr:col>
      <xdr:colOff>333375</xdr:colOff>
      <xdr:row>0</xdr:row>
      <xdr:rowOff>171450</xdr:rowOff>
    </xdr:from>
    <xdr:to>
      <xdr:col>7</xdr:col>
      <xdr:colOff>714375</xdr:colOff>
      <xdr:row>1</xdr:row>
      <xdr:rowOff>304800</xdr:rowOff>
    </xdr:to>
    <xdr:sp macro="" textlink="">
      <xdr:nvSpPr>
        <xdr:cNvPr id="3" name="Rectángulo 2" descr="&quot;&quot;" title="Botón de navegación de Septiembre">
          <a:hlinkClick xmlns:r="http://schemas.openxmlformats.org/officeDocument/2006/relationships" r:id="rId2" tooltip="Septiembre"/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7696200" y="171450"/>
          <a:ext cx="381000" cy="323850"/>
        </a:xfrm>
        <a:prstGeom prst="rect">
          <a:avLst/>
        </a:prstGeom>
        <a:ln w="9525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r>
            <a:rPr lang="es" sz="2400" b="0"/>
            <a:t>&gt;</a:t>
          </a:r>
        </a:p>
      </xdr:txBody>
    </xdr:sp>
    <xdr:clientData fPrintsWithSheet="0"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1123950</xdr:colOff>
      <xdr:row>0</xdr:row>
      <xdr:rowOff>171450</xdr:rowOff>
    </xdr:from>
    <xdr:to>
      <xdr:col>7</xdr:col>
      <xdr:colOff>323850</xdr:colOff>
      <xdr:row>1</xdr:row>
      <xdr:rowOff>304800</xdr:rowOff>
    </xdr:to>
    <xdr:sp macro="" textlink="">
      <xdr:nvSpPr>
        <xdr:cNvPr id="2" name="Rectángulo 1" descr="&quot;&quot;" title="Botón de navegación de Agosto">
          <a:hlinkClick xmlns:r="http://schemas.openxmlformats.org/officeDocument/2006/relationships" r:id="rId1" tooltip="Agosto"/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7305675" y="171450"/>
          <a:ext cx="381000" cy="323850"/>
        </a:xfrm>
        <a:prstGeom prst="rect">
          <a:avLst/>
        </a:prstGeom>
        <a:noFill/>
        <a:ln w="9525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r>
            <a:rPr lang="es" sz="2400" b="0">
              <a:solidFill>
                <a:schemeClr val="accent1"/>
              </a:solidFill>
            </a:rPr>
            <a:t>&lt;</a:t>
          </a:r>
        </a:p>
      </xdr:txBody>
    </xdr:sp>
    <xdr:clientData fPrintsWithSheet="0"/>
  </xdr:twoCellAnchor>
  <xdr:twoCellAnchor editAs="absolute">
    <xdr:from>
      <xdr:col>7</xdr:col>
      <xdr:colOff>333375</xdr:colOff>
      <xdr:row>0</xdr:row>
      <xdr:rowOff>171450</xdr:rowOff>
    </xdr:from>
    <xdr:to>
      <xdr:col>7</xdr:col>
      <xdr:colOff>714375</xdr:colOff>
      <xdr:row>1</xdr:row>
      <xdr:rowOff>304800</xdr:rowOff>
    </xdr:to>
    <xdr:sp macro="" textlink="">
      <xdr:nvSpPr>
        <xdr:cNvPr id="3" name="Rectángulo 2" descr="&quot;&quot;" title="Botón de navegación de Octubre">
          <a:hlinkClick xmlns:r="http://schemas.openxmlformats.org/officeDocument/2006/relationships" r:id="rId2" tooltip="Octubre"/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7696200" y="171450"/>
          <a:ext cx="381000" cy="323850"/>
        </a:xfrm>
        <a:prstGeom prst="rect">
          <a:avLst/>
        </a:prstGeom>
        <a:ln w="9525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r>
            <a:rPr lang="es" sz="2400" b="0"/>
            <a:t>&gt;</a:t>
          </a:r>
        </a:p>
      </xdr:txBody>
    </xdr:sp>
    <xdr:clientData fPrintsWithSheet="0"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1123950</xdr:colOff>
      <xdr:row>0</xdr:row>
      <xdr:rowOff>171450</xdr:rowOff>
    </xdr:from>
    <xdr:to>
      <xdr:col>7</xdr:col>
      <xdr:colOff>323850</xdr:colOff>
      <xdr:row>1</xdr:row>
      <xdr:rowOff>304800</xdr:rowOff>
    </xdr:to>
    <xdr:sp macro="" textlink="">
      <xdr:nvSpPr>
        <xdr:cNvPr id="2" name="Rectángulo 1" descr="&quot;&quot;" title="Botón de navegación de Septiembre">
          <a:hlinkClick xmlns:r="http://schemas.openxmlformats.org/officeDocument/2006/relationships" r:id="rId1" tooltip="Septiembre"/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/>
      </xdr:nvSpPr>
      <xdr:spPr>
        <a:xfrm>
          <a:off x="7305675" y="171450"/>
          <a:ext cx="381000" cy="323850"/>
        </a:xfrm>
        <a:prstGeom prst="rect">
          <a:avLst/>
        </a:prstGeom>
        <a:noFill/>
        <a:ln w="9525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r>
            <a:rPr lang="es" sz="2400" b="0">
              <a:solidFill>
                <a:schemeClr val="accent1"/>
              </a:solidFill>
            </a:rPr>
            <a:t>&lt;</a:t>
          </a:r>
        </a:p>
      </xdr:txBody>
    </xdr:sp>
    <xdr:clientData fPrintsWithSheet="0"/>
  </xdr:twoCellAnchor>
  <xdr:twoCellAnchor editAs="absolute">
    <xdr:from>
      <xdr:col>7</xdr:col>
      <xdr:colOff>333375</xdr:colOff>
      <xdr:row>0</xdr:row>
      <xdr:rowOff>171450</xdr:rowOff>
    </xdr:from>
    <xdr:to>
      <xdr:col>7</xdr:col>
      <xdr:colOff>714375</xdr:colOff>
      <xdr:row>1</xdr:row>
      <xdr:rowOff>304800</xdr:rowOff>
    </xdr:to>
    <xdr:sp macro="" textlink="">
      <xdr:nvSpPr>
        <xdr:cNvPr id="3" name="Rectángulo 2" descr="&quot;&quot;" title="Botón de navegación de Noviembre">
          <a:hlinkClick xmlns:r="http://schemas.openxmlformats.org/officeDocument/2006/relationships" r:id="rId2" tooltip="Noviembre"/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/>
      </xdr:nvSpPr>
      <xdr:spPr>
        <a:xfrm>
          <a:off x="7696200" y="171450"/>
          <a:ext cx="381000" cy="323850"/>
        </a:xfrm>
        <a:prstGeom prst="rect">
          <a:avLst/>
        </a:prstGeom>
        <a:ln w="9525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r>
            <a:rPr lang="es" sz="2400" b="0"/>
            <a:t>&gt;</a:t>
          </a:r>
        </a:p>
      </xdr:txBody>
    </xdr:sp>
    <xdr:clientData fPrintsWithSheet="0"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1123950</xdr:colOff>
      <xdr:row>0</xdr:row>
      <xdr:rowOff>171450</xdr:rowOff>
    </xdr:from>
    <xdr:to>
      <xdr:col>7</xdr:col>
      <xdr:colOff>323850</xdr:colOff>
      <xdr:row>1</xdr:row>
      <xdr:rowOff>304800</xdr:rowOff>
    </xdr:to>
    <xdr:sp macro="" textlink="">
      <xdr:nvSpPr>
        <xdr:cNvPr id="2" name="Rectángulo 1" descr="&quot;&quot;" title="Botón de navegación de Noviembre">
          <a:hlinkClick xmlns:r="http://schemas.openxmlformats.org/officeDocument/2006/relationships" r:id="rId1" tooltip="Octubre"/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/>
      </xdr:nvSpPr>
      <xdr:spPr>
        <a:xfrm>
          <a:off x="7305675" y="171450"/>
          <a:ext cx="381000" cy="323850"/>
        </a:xfrm>
        <a:prstGeom prst="rect">
          <a:avLst/>
        </a:prstGeom>
        <a:noFill/>
        <a:ln w="9525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r>
            <a:rPr lang="es" sz="2400" b="0">
              <a:solidFill>
                <a:schemeClr val="accent1"/>
              </a:solidFill>
            </a:rPr>
            <a:t>&lt;</a:t>
          </a:r>
        </a:p>
      </xdr:txBody>
    </xdr:sp>
    <xdr:clientData fPrintsWithSheet="0"/>
  </xdr:twoCellAnchor>
  <xdr:twoCellAnchor editAs="absolute">
    <xdr:from>
      <xdr:col>7</xdr:col>
      <xdr:colOff>333375</xdr:colOff>
      <xdr:row>0</xdr:row>
      <xdr:rowOff>171450</xdr:rowOff>
    </xdr:from>
    <xdr:to>
      <xdr:col>7</xdr:col>
      <xdr:colOff>714375</xdr:colOff>
      <xdr:row>1</xdr:row>
      <xdr:rowOff>304800</xdr:rowOff>
    </xdr:to>
    <xdr:sp macro="" textlink="">
      <xdr:nvSpPr>
        <xdr:cNvPr id="3" name="Rectángulo 2" descr="&quot;&quot;" title="Botón de navegación de Diciembre">
          <a:hlinkClick xmlns:r="http://schemas.openxmlformats.org/officeDocument/2006/relationships" r:id="rId2" tooltip="Diciembre"/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/>
      </xdr:nvSpPr>
      <xdr:spPr>
        <a:xfrm>
          <a:off x="7696200" y="171450"/>
          <a:ext cx="381000" cy="323850"/>
        </a:xfrm>
        <a:prstGeom prst="rect">
          <a:avLst/>
        </a:prstGeom>
        <a:ln w="9525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r>
            <a:rPr lang="es" sz="2400" b="0"/>
            <a:t>&gt;</a:t>
          </a:r>
        </a:p>
      </xdr:txBody>
    </xdr:sp>
    <xdr:clientData fPrintsWithSheet="0"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1123950</xdr:colOff>
      <xdr:row>0</xdr:row>
      <xdr:rowOff>171450</xdr:rowOff>
    </xdr:from>
    <xdr:to>
      <xdr:col>7</xdr:col>
      <xdr:colOff>323850</xdr:colOff>
      <xdr:row>1</xdr:row>
      <xdr:rowOff>304800</xdr:rowOff>
    </xdr:to>
    <xdr:sp macro="" textlink="">
      <xdr:nvSpPr>
        <xdr:cNvPr id="2" name="Rectángulo 1" descr="&quot;&quot;" title="Botón de navegación de Diciembre">
          <a:hlinkClick xmlns:r="http://schemas.openxmlformats.org/officeDocument/2006/relationships" r:id="rId1" tooltip="Noviembre"/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/>
      </xdr:nvSpPr>
      <xdr:spPr>
        <a:xfrm>
          <a:off x="7305675" y="171450"/>
          <a:ext cx="381000" cy="323850"/>
        </a:xfrm>
        <a:prstGeom prst="rect">
          <a:avLst/>
        </a:prstGeom>
        <a:noFill/>
        <a:ln w="9525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r>
            <a:rPr lang="es" sz="2400" b="0">
              <a:solidFill>
                <a:schemeClr val="accent1"/>
              </a:solidFill>
            </a:rPr>
            <a:t>&lt;</a:t>
          </a:r>
        </a:p>
      </xdr:txBody>
    </xdr:sp>
    <xdr:clientData fPrintsWithSheet="0"/>
  </xdr:twoCellAnchor>
  <xdr:twoCellAnchor editAs="absolute">
    <xdr:from>
      <xdr:col>7</xdr:col>
      <xdr:colOff>333375</xdr:colOff>
      <xdr:row>0</xdr:row>
      <xdr:rowOff>171450</xdr:rowOff>
    </xdr:from>
    <xdr:to>
      <xdr:col>7</xdr:col>
      <xdr:colOff>714375</xdr:colOff>
      <xdr:row>1</xdr:row>
      <xdr:rowOff>304800</xdr:rowOff>
    </xdr:to>
    <xdr:sp macro="" textlink="">
      <xdr:nvSpPr>
        <xdr:cNvPr id="3" name="Rectángulo 2" descr="&quot;&quot;" title="Botón de navegación de Días festivos">
          <a:hlinkClick xmlns:r="http://schemas.openxmlformats.org/officeDocument/2006/relationships" r:id="rId2" tooltip="Días festivos"/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/>
      </xdr:nvSpPr>
      <xdr:spPr>
        <a:xfrm>
          <a:off x="7696200" y="171450"/>
          <a:ext cx="381000" cy="323850"/>
        </a:xfrm>
        <a:prstGeom prst="rect">
          <a:avLst/>
        </a:prstGeom>
        <a:ln w="9525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r>
            <a:rPr lang="es" sz="2400" b="0"/>
            <a:t>&gt;</a:t>
          </a:r>
        </a:p>
      </xdr:txBody>
    </xdr:sp>
    <xdr:clientData fPrintsWithSheet="0"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1085850</xdr:colOff>
      <xdr:row>0</xdr:row>
      <xdr:rowOff>171450</xdr:rowOff>
    </xdr:from>
    <xdr:to>
      <xdr:col>5</xdr:col>
      <xdr:colOff>295275</xdr:colOff>
      <xdr:row>1</xdr:row>
      <xdr:rowOff>285750</xdr:rowOff>
    </xdr:to>
    <xdr:sp macro="" textlink="">
      <xdr:nvSpPr>
        <xdr:cNvPr id="2" name="Rectángulo 1" descr="&quot;&quot;" title="Botón de navegación de Diciembre">
          <a:hlinkClick xmlns:r="http://schemas.openxmlformats.org/officeDocument/2006/relationships" r:id="rId1" tooltip="Diciembre"/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/>
      </xdr:nvSpPr>
      <xdr:spPr>
        <a:xfrm>
          <a:off x="8515350" y="171450"/>
          <a:ext cx="381000" cy="323850"/>
        </a:xfrm>
        <a:prstGeom prst="rect">
          <a:avLst/>
        </a:prstGeom>
        <a:solidFill>
          <a:schemeClr val="bg2"/>
        </a:solidFill>
        <a:ln w="9525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r>
            <a:rPr lang="es" sz="2400" b="0">
              <a:solidFill>
                <a:schemeClr val="accent1"/>
              </a:solidFill>
            </a:rPr>
            <a:t>&lt;</a:t>
          </a:r>
        </a:p>
      </xdr:txBody>
    </xdr:sp>
    <xdr:clientData fPrintsWithSheet="0"/>
  </xdr:twoCellAnchor>
  <xdr:twoCellAnchor editAs="absolute">
    <xdr:from>
      <xdr:col>5</xdr:col>
      <xdr:colOff>304800</xdr:colOff>
      <xdr:row>0</xdr:row>
      <xdr:rowOff>171450</xdr:rowOff>
    </xdr:from>
    <xdr:to>
      <xdr:col>5</xdr:col>
      <xdr:colOff>685800</xdr:colOff>
      <xdr:row>1</xdr:row>
      <xdr:rowOff>285750</xdr:rowOff>
    </xdr:to>
    <xdr:sp macro="" textlink="">
      <xdr:nvSpPr>
        <xdr:cNvPr id="3" name="Rectángulo 2">
          <a:hlinkClick xmlns:r="http://schemas.openxmlformats.org/officeDocument/2006/relationships" r:id="rId2" tooltip="Configuración"/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/>
      </xdr:nvSpPr>
      <xdr:spPr>
        <a:xfrm>
          <a:off x="8905875" y="171450"/>
          <a:ext cx="381000" cy="323850"/>
        </a:xfrm>
        <a:prstGeom prst="rect">
          <a:avLst/>
        </a:prstGeom>
        <a:solidFill>
          <a:schemeClr val="accent1"/>
        </a:solidFill>
        <a:ln w="9525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r>
            <a:rPr lang="es" sz="2400" b="0"/>
            <a:t>&gt;</a:t>
          </a:r>
        </a:p>
      </xdr:txBody>
    </xdr:sp>
    <xdr:clientData fPrintsWithSheet="0"/>
  </xdr:twoCellAnchor>
  <xdr:twoCellAnchor editAs="oneCell">
    <xdr:from>
      <xdr:col>1</xdr:col>
      <xdr:colOff>0</xdr:colOff>
      <xdr:row>14</xdr:row>
      <xdr:rowOff>190499</xdr:rowOff>
    </xdr:from>
    <xdr:to>
      <xdr:col>2</xdr:col>
      <xdr:colOff>1495424</xdr:colOff>
      <xdr:row>27</xdr:row>
      <xdr:rowOff>114300</xdr:rowOff>
    </xdr:to>
    <xdr:sp macro="" textlink="">
      <xdr:nvSpPr>
        <xdr:cNvPr id="5" name="Globo rectangular 4" descr="Estas fechas se ajustarán automáticamente por usted. Puede mostrar o no mostrar los días festivos que quiera cambiando el valor de la columna MOSTRAR.&#10;&#10;La columna CORREGIDO se cambiará si el día festivo observado tiene que caer en un día laborable.  El domingo se observará el lunes siguiente y el sábado se observará el viernes anterior.&#10;&#10;También puede agregar otros días festivos." title="Ahí va una sugerencia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/>
      </xdr:nvSpPr>
      <xdr:spPr>
        <a:xfrm>
          <a:off x="238125" y="3362324"/>
          <a:ext cx="3019424" cy="2400301"/>
        </a:xfrm>
        <a:prstGeom prst="wedgeRectCallout">
          <a:avLst>
            <a:gd name="adj1" fmla="val -21055"/>
            <a:gd name="adj2" fmla="val -58148"/>
          </a:avLst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 rtl="0"/>
          <a:r>
            <a:rPr lang="es" sz="1100"/>
            <a:t>AHÍ VA UNA SUGERENCIA</a:t>
          </a:r>
        </a:p>
        <a:p>
          <a:pPr algn="l" rtl="0"/>
          <a:r>
            <a:rPr lang="es" sz="1100" b="1">
              <a:solidFill>
                <a:schemeClr val="accent1">
                  <a:lumMod val="75000"/>
                </a:schemeClr>
              </a:solidFill>
            </a:rPr>
            <a:t>------------------------------------------------</a:t>
          </a:r>
        </a:p>
        <a:p>
          <a:pPr algn="l" rtl="0"/>
          <a:r>
            <a:rPr lang="es" sz="1100"/>
            <a:t>Estas fechas se ajustarán automáticamente por usted. Puede mostrar o no mostrar los días festivos que quiera cambiando el valor de la columna MOSTRAR.</a:t>
          </a:r>
        </a:p>
        <a:p>
          <a:pPr algn="l" rtl="0"/>
          <a:endParaRPr lang="en-US" sz="1100"/>
        </a:p>
        <a:p>
          <a:pPr algn="l" rtl="0"/>
          <a:r>
            <a:rPr lang="es" sz="1100"/>
            <a:t>La columna CORREGIDO se cambiará si el día festivo observado tiene que caer en un día laborable.  El domingo se observará</a:t>
          </a:r>
          <a:r>
            <a:rPr lang="es" sz="1100" baseline="0"/>
            <a:t> el lunes siguiente y el sábado se observará el viernes anterior.</a:t>
          </a:r>
        </a:p>
        <a:p>
          <a:pPr algn="l" rtl="0"/>
          <a:endParaRPr lang="en-US" sz="1100" baseline="0"/>
        </a:p>
        <a:p>
          <a:pPr algn="l" rtl="0"/>
          <a:r>
            <a:rPr lang="es" sz="1100" baseline="0"/>
            <a:t>También puede agregar otros días festivos.</a:t>
          </a:r>
          <a:endParaRPr lang="en-US" sz="1100"/>
        </a:p>
      </xdr:txBody>
    </xdr:sp>
    <xdr:clientData fPrintsWithSheet="0"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Díasfestivos" displayName="tblDíasfestivos" ref="B4:G14" totalsRowShown="0">
  <autoFilter ref="B4:G14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sortState ref="B5:F15">
    <sortCondition ref="B4:B15"/>
  </sortState>
  <tableColumns count="6">
    <tableColumn id="1" xr3:uid="{00000000-0010-0000-0000-000001000000}" name="DÍA"/>
    <tableColumn id="2" xr3:uid="{00000000-0010-0000-0000-000002000000}" name="FESTIVIDAD"/>
    <tableColumn id="3" xr3:uid="{00000000-0010-0000-0000-000003000000}" name="CAE EN"/>
    <tableColumn id="7" xr3:uid="{00000000-0010-0000-0000-000007000000}" name="DÍA DE LA SEMANA">
      <calculatedColumnFormula>IFERROR(WEEKDAY(tblDíasfestivos[[#This Row],[DÍA]],IF(InicioDeLaSemana="Lunes",2,1)),0)</calculatedColumnFormula>
    </tableColumn>
    <tableColumn id="5" xr3:uid="{00000000-0010-0000-0000-000005000000}" name="CORREGIDO">
      <calculatedColumnFormula>IF(ISTEXT(tblDíasfestivos[[#This Row],[DÍA]]),"Not Observed",IF(tblDíasfestivos[[#This Row],[DÍA DE LA SEMANA]]=1,tblDíasfestivos[[#This Row],[DÍA]]+1,IF(tblDíasfestivos[[#This Row],[DÍA DE LA SEMANA]]=7,tblDíasfestivos[[#This Row],[DÍA]]-1,tblDíasfestivos[[#This Row],[DÍA]])))</calculatedColumnFormula>
    </tableColumn>
    <tableColumn id="4" xr3:uid="{00000000-0010-0000-0000-000004000000}" name="MOSTRAR"/>
  </tableColumns>
  <tableStyleInfo name="Calendario con la tabla de días festivos" showFirstColumn="0" showLastColumn="0" showRowStripes="1" showColumnStripes="0"/>
  <extLst>
    <ext xmlns:x14="http://schemas.microsoft.com/office/spreadsheetml/2009/9/main" uri="{504A1905-F514-4f6f-8877-14C23A59335A}">
      <x14:table altText="Días festivos" altTextSummary="Lista de días festivos, las fechas, descripción del día en el que cae, una columna para una fecha corregida para observaciones y una columna para establecer si se muestra ese día en las hojas mensuales."/>
    </ext>
  </extLst>
</table>
</file>

<file path=xl/theme/theme1.xml><?xml version="1.0" encoding="utf-8"?>
<a:theme xmlns:a="http://schemas.openxmlformats.org/drawingml/2006/main" name="Office Theme">
  <a:themeElements>
    <a:clrScheme name="Calendar with holidays">
      <a:dk1>
        <a:srgbClr val="000000"/>
      </a:dk1>
      <a:lt1>
        <a:srgbClr val="FFFFFF"/>
      </a:lt1>
      <a:dk2>
        <a:srgbClr val="524845"/>
      </a:dk2>
      <a:lt2>
        <a:srgbClr val="F6F2EA"/>
      </a:lt2>
      <a:accent1>
        <a:srgbClr val="C05C48"/>
      </a:accent1>
      <a:accent2>
        <a:srgbClr val="D1832D"/>
      </a:accent2>
      <a:accent3>
        <a:srgbClr val="4FB08F"/>
      </a:accent3>
      <a:accent4>
        <a:srgbClr val="E4DBB6"/>
      </a:accent4>
      <a:accent5>
        <a:srgbClr val="699FAB"/>
      </a:accent5>
      <a:accent6>
        <a:srgbClr val="9079A2"/>
      </a:accent6>
      <a:hlink>
        <a:srgbClr val="699FAB"/>
      </a:hlink>
      <a:folHlink>
        <a:srgbClr val="9079A2"/>
      </a:folHlink>
    </a:clrScheme>
    <a:fontScheme name="Calendar with holidays">
      <a:majorFont>
        <a:latin typeface="Trebuchet MS"/>
        <a:ea typeface=""/>
        <a:cs typeface=""/>
      </a:majorFont>
      <a:minorFont>
        <a:latin typeface="Trebuchet M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/>
    <pageSetUpPr autoPageBreaks="0" fitToPage="1"/>
  </sheetPr>
  <dimension ref="A1:AF34"/>
  <sheetViews>
    <sheetView showGridLines="0" tabSelected="1" workbookViewId="0"/>
  </sheetViews>
  <sheetFormatPr baseColWidth="10" defaultColWidth="9.140625" defaultRowHeight="15" x14ac:dyDescent="0.3"/>
  <cols>
    <col min="1" max="1" width="6.7109375" style="36" customWidth="1"/>
    <col min="2" max="8" width="5.140625" style="38" customWidth="1"/>
    <col min="9" max="9" width="7.85546875" style="38" customWidth="1"/>
    <col min="10" max="16" width="5.140625" style="38" customWidth="1"/>
    <col min="17" max="17" width="7.85546875" style="38" customWidth="1"/>
    <col min="18" max="24" width="5.140625" style="38" customWidth="1"/>
    <col min="25" max="25" width="9" style="38" customWidth="1"/>
    <col min="26" max="32" width="5.140625" style="38" customWidth="1"/>
    <col min="33" max="33" width="6.7109375" style="38" customWidth="1"/>
    <col min="34" max="16384" width="9.140625" style="38"/>
  </cols>
  <sheetData>
    <row r="1" spans="1:32" x14ac:dyDescent="0.3"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</row>
    <row r="2" spans="1:32" ht="28.5" customHeight="1" thickBot="1" x14ac:dyDescent="0.5">
      <c r="B2" s="56" t="s">
        <v>0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R2" s="40"/>
      <c r="S2" s="40"/>
      <c r="T2" s="40"/>
      <c r="U2" s="40"/>
      <c r="V2" s="40"/>
      <c r="W2" s="51" t="s">
        <v>6</v>
      </c>
      <c r="X2" s="51"/>
      <c r="Y2" s="51"/>
      <c r="Z2" s="51"/>
    </row>
    <row r="3" spans="1:32" ht="21.75" customHeight="1" thickTop="1" x14ac:dyDescent="0.45">
      <c r="R3" s="40"/>
      <c r="S3" s="40"/>
      <c r="T3" s="40"/>
      <c r="U3" s="40"/>
      <c r="V3" s="40"/>
      <c r="W3" s="51"/>
      <c r="X3" s="51"/>
      <c r="Y3" s="51"/>
      <c r="Z3" s="51"/>
    </row>
    <row r="4" spans="1:32" ht="18" x14ac:dyDescent="0.35">
      <c r="B4" s="52" t="s">
        <v>1</v>
      </c>
      <c r="C4" s="52"/>
      <c r="D4" s="52"/>
      <c r="E4" s="52"/>
      <c r="F4" s="52"/>
      <c r="G4" s="52"/>
      <c r="H4" s="52"/>
      <c r="I4" s="54" t="s">
        <v>5</v>
      </c>
      <c r="J4" s="54"/>
      <c r="K4" s="54"/>
      <c r="R4" s="53">
        <f ca="1">YEAR(TODAY())</f>
        <v>2020</v>
      </c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</row>
    <row r="5" spans="1:32" ht="23.25" customHeight="1" x14ac:dyDescent="0.35">
      <c r="B5" s="52" t="s">
        <v>2</v>
      </c>
      <c r="C5" s="52"/>
      <c r="D5" s="52"/>
      <c r="E5" s="52"/>
      <c r="F5" s="52"/>
      <c r="G5" s="52"/>
      <c r="H5" s="52"/>
      <c r="I5" s="36" t="b">
        <v>1</v>
      </c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</row>
    <row r="6" spans="1:32" ht="23.25" customHeight="1" x14ac:dyDescent="0.35">
      <c r="B6" s="57" t="s">
        <v>3</v>
      </c>
      <c r="C6" s="57"/>
      <c r="D6" s="57"/>
      <c r="E6" s="57"/>
      <c r="F6" s="57"/>
      <c r="G6" s="57"/>
      <c r="H6" s="57"/>
      <c r="I6" s="36" t="b">
        <v>1</v>
      </c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</row>
    <row r="7" spans="1:32" ht="21.75" customHeight="1" x14ac:dyDescent="0.3">
      <c r="B7" s="37"/>
      <c r="C7" s="37"/>
      <c r="D7" s="37"/>
      <c r="E7" s="37"/>
      <c r="F7" s="37"/>
      <c r="G7" s="37"/>
      <c r="H7" s="37"/>
      <c r="I7" s="41" t="b">
        <f>IF(MostrarDíasFestivos,Observado,MostrarDíasFestivos)</f>
        <v>1</v>
      </c>
      <c r="J7" s="37"/>
      <c r="K7" s="37"/>
      <c r="L7" s="37"/>
      <c r="M7" s="37"/>
      <c r="N7" s="37"/>
      <c r="O7" s="37"/>
      <c r="P7" s="37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</row>
    <row r="8" spans="1:32" ht="28.5" thickBot="1" x14ac:dyDescent="0.35">
      <c r="B8" s="39" t="s">
        <v>4</v>
      </c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</row>
    <row r="9" spans="1:32" ht="15.75" thickTop="1" x14ac:dyDescent="0.3">
      <c r="B9" s="55">
        <f ca="1">DATE(CalYear,1,1)</f>
        <v>43831</v>
      </c>
      <c r="C9" s="55"/>
      <c r="D9" s="55"/>
      <c r="E9" s="55"/>
      <c r="F9" s="55"/>
      <c r="G9" s="55"/>
      <c r="H9" s="55"/>
      <c r="J9" s="55">
        <f ca="1">DATE(CalYear,2,1)</f>
        <v>43862</v>
      </c>
      <c r="K9" s="55"/>
      <c r="L9" s="55"/>
      <c r="M9" s="55"/>
      <c r="N9" s="55"/>
      <c r="O9" s="55"/>
      <c r="P9" s="55"/>
      <c r="R9" s="50">
        <f ca="1">DATE(CalYear,3,1)</f>
        <v>43891</v>
      </c>
      <c r="S9" s="50"/>
      <c r="T9" s="50"/>
      <c r="U9" s="50"/>
      <c r="V9" s="50"/>
      <c r="W9" s="50"/>
      <c r="X9" s="50"/>
      <c r="Z9" s="50">
        <f ca="1">DATE(CalYear,4,1)</f>
        <v>43922</v>
      </c>
      <c r="AA9" s="50"/>
      <c r="AB9" s="50"/>
      <c r="AC9" s="50"/>
      <c r="AD9" s="50"/>
      <c r="AE9" s="50"/>
      <c r="AF9" s="50"/>
    </row>
    <row r="10" spans="1:32" s="43" customFormat="1" ht="24" customHeight="1" thickBot="1" x14ac:dyDescent="0.35">
      <c r="A10" s="42"/>
      <c r="B10" s="49" t="str">
        <f ca="1">UPPER(TEXT(B9,"MMMM"))</f>
        <v>ENERO</v>
      </c>
      <c r="C10" s="49"/>
      <c r="D10" s="49"/>
      <c r="E10" s="49"/>
      <c r="F10" s="49"/>
      <c r="G10" s="49"/>
      <c r="H10" s="49"/>
      <c r="J10" s="49" t="str">
        <f ca="1">UPPER(TEXT(J9,"MMMM"))</f>
        <v>FEBRERO</v>
      </c>
      <c r="K10" s="49"/>
      <c r="L10" s="49"/>
      <c r="M10" s="49"/>
      <c r="N10" s="49"/>
      <c r="O10" s="49"/>
      <c r="P10" s="49"/>
      <c r="R10" s="49" t="str">
        <f ca="1">UPPER(TEXT(R9,"MMMM"))</f>
        <v>MARZO</v>
      </c>
      <c r="S10" s="49"/>
      <c r="T10" s="49"/>
      <c r="U10" s="49"/>
      <c r="V10" s="49"/>
      <c r="W10" s="49"/>
      <c r="X10" s="49"/>
      <c r="Z10" s="49" t="str">
        <f ca="1">UPPER(TEXT(Z9,"MMMM"))</f>
        <v>ABRIL</v>
      </c>
      <c r="AA10" s="49"/>
      <c r="AB10" s="49"/>
      <c r="AC10" s="49"/>
      <c r="AD10" s="49"/>
      <c r="AE10" s="49"/>
      <c r="AF10" s="49"/>
    </row>
    <row r="11" spans="1:32" s="45" customFormat="1" ht="21" customHeight="1" thickTop="1" x14ac:dyDescent="0.3">
      <c r="A11" s="44">
        <v>1</v>
      </c>
      <c r="B11" s="46">
        <f t="array" aca="1" ref="B11:H11" ca="1">Días+DATE(CalYear,MONTH($B$9),1)-WEEKDAY(DATE(CalYear,MONTH($B$9),1),(InicioDeLaSemana="Lunes")+1)+$A11*7-6</f>
        <v>43828</v>
      </c>
      <c r="C11" s="46">
        <f ca="1"/>
        <v>43829</v>
      </c>
      <c r="D11" s="46">
        <f ca="1"/>
        <v>43830</v>
      </c>
      <c r="E11" s="46">
        <f ca="1"/>
        <v>43831</v>
      </c>
      <c r="F11" s="46">
        <f ca="1"/>
        <v>43832</v>
      </c>
      <c r="G11" s="46">
        <f ca="1"/>
        <v>43833</v>
      </c>
      <c r="H11" s="46">
        <f ca="1"/>
        <v>43834</v>
      </c>
      <c r="J11" s="46">
        <f t="array" aca="1" ref="J11:P11" ca="1">Días+DATE(CalYear,MONTH($J$9),1)-WEEKDAY(DATE(CalYear,MONTH($J$9),1),(InicioDeLaSemana="Lunes")+1)+$A11*7-6</f>
        <v>43856</v>
      </c>
      <c r="K11" s="46">
        <f ca="1"/>
        <v>43857</v>
      </c>
      <c r="L11" s="46">
        <f ca="1"/>
        <v>43858</v>
      </c>
      <c r="M11" s="46">
        <f ca="1"/>
        <v>43859</v>
      </c>
      <c r="N11" s="46">
        <f ca="1"/>
        <v>43860</v>
      </c>
      <c r="O11" s="46">
        <f ca="1"/>
        <v>43861</v>
      </c>
      <c r="P11" s="46">
        <f ca="1"/>
        <v>43862</v>
      </c>
      <c r="R11" s="46">
        <f t="array" aca="1" ref="R11:X11" ca="1">Días+DATE(CalYear,MONTH($R$9),1)-WEEKDAY(DATE(CalYear,MONTH($R$9),1),(InicioDeLaSemana="Lunes")+1)+$A11*7-6</f>
        <v>43891</v>
      </c>
      <c r="S11" s="46">
        <f ca="1"/>
        <v>43892</v>
      </c>
      <c r="T11" s="46">
        <f ca="1"/>
        <v>43893</v>
      </c>
      <c r="U11" s="46">
        <f ca="1"/>
        <v>43894</v>
      </c>
      <c r="V11" s="46">
        <f ca="1"/>
        <v>43895</v>
      </c>
      <c r="W11" s="46">
        <f ca="1"/>
        <v>43896</v>
      </c>
      <c r="X11" s="46">
        <f ca="1"/>
        <v>43897</v>
      </c>
      <c r="Z11" s="46">
        <f t="array" aca="1" ref="Z11:AF11" ca="1">Días+DATE(CalYear,MONTH($Z$9),1)-WEEKDAY(DATE(CalYear,MONTH($Z$9),1),(InicioDeLaSemana="Lunes")+1)+$A11*7-6</f>
        <v>43919</v>
      </c>
      <c r="AA11" s="46">
        <f ca="1"/>
        <v>43920</v>
      </c>
      <c r="AB11" s="46">
        <f ca="1"/>
        <v>43921</v>
      </c>
      <c r="AC11" s="46">
        <f ca="1"/>
        <v>43922</v>
      </c>
      <c r="AD11" s="46">
        <f ca="1"/>
        <v>43923</v>
      </c>
      <c r="AE11" s="46">
        <f ca="1"/>
        <v>43924</v>
      </c>
      <c r="AF11" s="46">
        <f ca="1"/>
        <v>43925</v>
      </c>
    </row>
    <row r="12" spans="1:32" x14ac:dyDescent="0.3">
      <c r="A12" s="36">
        <v>2</v>
      </c>
      <c r="B12" s="47">
        <f t="array" aca="1" ref="B12:H12" ca="1">Días+DATE(CalYear,MONTH($B$9),1)-WEEKDAY(DATE(CalYear,MONTH($B$9),1),(InicioDeLaSemana="Lunes")+1)+$A12*7-6</f>
        <v>43835</v>
      </c>
      <c r="C12" s="47">
        <f ca="1"/>
        <v>43836</v>
      </c>
      <c r="D12" s="47">
        <f ca="1"/>
        <v>43837</v>
      </c>
      <c r="E12" s="47">
        <f ca="1"/>
        <v>43838</v>
      </c>
      <c r="F12" s="47">
        <f ca="1"/>
        <v>43839</v>
      </c>
      <c r="G12" s="47">
        <f ca="1"/>
        <v>43840</v>
      </c>
      <c r="H12" s="47">
        <f ca="1"/>
        <v>43841</v>
      </c>
      <c r="J12" s="47">
        <f t="array" aca="1" ref="J12:P12" ca="1">Días+DATE(CalYear,MONTH($J$9),1)-WEEKDAY(DATE(CalYear,MONTH($J$9),1),(InicioDeLaSemana="Lunes")+1)+$A12*7-6</f>
        <v>43863</v>
      </c>
      <c r="K12" s="47">
        <f ca="1"/>
        <v>43864</v>
      </c>
      <c r="L12" s="47">
        <f ca="1"/>
        <v>43865</v>
      </c>
      <c r="M12" s="47">
        <f ca="1"/>
        <v>43866</v>
      </c>
      <c r="N12" s="47">
        <f ca="1"/>
        <v>43867</v>
      </c>
      <c r="O12" s="47">
        <f ca="1"/>
        <v>43868</v>
      </c>
      <c r="P12" s="47">
        <f ca="1"/>
        <v>43869</v>
      </c>
      <c r="R12" s="47">
        <f t="array" aca="1" ref="R12:X12" ca="1">Días+DATE(CalYear,MONTH($R$9),1)-WEEKDAY(DATE(CalYear,MONTH($R$9),1),(InicioDeLaSemana="Lunes")+1)+$A12*7-6</f>
        <v>43898</v>
      </c>
      <c r="S12" s="47">
        <f ca="1"/>
        <v>43899</v>
      </c>
      <c r="T12" s="47">
        <f ca="1"/>
        <v>43900</v>
      </c>
      <c r="U12" s="47">
        <f ca="1"/>
        <v>43901</v>
      </c>
      <c r="V12" s="47">
        <f ca="1"/>
        <v>43902</v>
      </c>
      <c r="W12" s="47">
        <f ca="1"/>
        <v>43903</v>
      </c>
      <c r="X12" s="47">
        <f ca="1"/>
        <v>43904</v>
      </c>
      <c r="Z12" s="47">
        <f t="array" aca="1" ref="Z12:AF12" ca="1">Días+DATE(CalYear,MONTH($Z$9),1)-WEEKDAY(DATE(CalYear,MONTH($Z$9),1),(InicioDeLaSemana="Lunes")+1)+$A12*7-6</f>
        <v>43926</v>
      </c>
      <c r="AA12" s="47">
        <f ca="1"/>
        <v>43927</v>
      </c>
      <c r="AB12" s="47">
        <f ca="1"/>
        <v>43928</v>
      </c>
      <c r="AC12" s="47">
        <f ca="1"/>
        <v>43929</v>
      </c>
      <c r="AD12" s="47">
        <f ca="1"/>
        <v>43930</v>
      </c>
      <c r="AE12" s="47">
        <f ca="1"/>
        <v>43931</v>
      </c>
      <c r="AF12" s="47">
        <f ca="1"/>
        <v>43932</v>
      </c>
    </row>
    <row r="13" spans="1:32" x14ac:dyDescent="0.3">
      <c r="A13" s="36">
        <v>3</v>
      </c>
      <c r="B13" s="48">
        <f t="array" aca="1" ref="B13:H13" ca="1">Días+DATE(CalYear,MONTH($B$9),1)-WEEKDAY(DATE(CalYear,MONTH($B$9),1),(InicioDeLaSemana="Lunes")+1)+$A13*7-6</f>
        <v>43842</v>
      </c>
      <c r="C13" s="48">
        <f ca="1"/>
        <v>43843</v>
      </c>
      <c r="D13" s="48">
        <f ca="1"/>
        <v>43844</v>
      </c>
      <c r="E13" s="48">
        <f ca="1"/>
        <v>43845</v>
      </c>
      <c r="F13" s="48">
        <f ca="1"/>
        <v>43846</v>
      </c>
      <c r="G13" s="48">
        <f ca="1"/>
        <v>43847</v>
      </c>
      <c r="H13" s="48">
        <f ca="1"/>
        <v>43848</v>
      </c>
      <c r="J13" s="48">
        <f t="array" aca="1" ref="J13:P13" ca="1">Días+DATE(CalYear,MONTH($J$9),1)-WEEKDAY(DATE(CalYear,MONTH($J$9),1),(InicioDeLaSemana="Lunes")+1)+$A13*7-6</f>
        <v>43870</v>
      </c>
      <c r="K13" s="48">
        <f ca="1"/>
        <v>43871</v>
      </c>
      <c r="L13" s="48">
        <f ca="1"/>
        <v>43872</v>
      </c>
      <c r="M13" s="48">
        <f ca="1"/>
        <v>43873</v>
      </c>
      <c r="N13" s="48">
        <f ca="1"/>
        <v>43874</v>
      </c>
      <c r="O13" s="48">
        <f ca="1"/>
        <v>43875</v>
      </c>
      <c r="P13" s="48">
        <f ca="1"/>
        <v>43876</v>
      </c>
      <c r="R13" s="48">
        <f t="array" aca="1" ref="R13:X13" ca="1">Días+DATE(CalYear,MONTH($R$9),1)-WEEKDAY(DATE(CalYear,MONTH($R$9),1),(InicioDeLaSemana="Lunes")+1)+$A13*7-6</f>
        <v>43905</v>
      </c>
      <c r="S13" s="48">
        <f ca="1"/>
        <v>43906</v>
      </c>
      <c r="T13" s="48">
        <f ca="1"/>
        <v>43907</v>
      </c>
      <c r="U13" s="48">
        <f ca="1"/>
        <v>43908</v>
      </c>
      <c r="V13" s="48">
        <f ca="1"/>
        <v>43909</v>
      </c>
      <c r="W13" s="48">
        <f ca="1"/>
        <v>43910</v>
      </c>
      <c r="X13" s="48">
        <f ca="1"/>
        <v>43911</v>
      </c>
      <c r="Z13" s="48">
        <f t="array" aca="1" ref="Z13:AF13" ca="1">Días+DATE(CalYear,MONTH($Z$9),1)-WEEKDAY(DATE(CalYear,MONTH($Z$9),1),(InicioDeLaSemana="Lunes")+1)+$A13*7-6</f>
        <v>43933</v>
      </c>
      <c r="AA13" s="48">
        <f ca="1"/>
        <v>43934</v>
      </c>
      <c r="AB13" s="48">
        <f ca="1"/>
        <v>43935</v>
      </c>
      <c r="AC13" s="48">
        <f ca="1"/>
        <v>43936</v>
      </c>
      <c r="AD13" s="48">
        <f ca="1"/>
        <v>43937</v>
      </c>
      <c r="AE13" s="48">
        <f ca="1"/>
        <v>43938</v>
      </c>
      <c r="AF13" s="48">
        <f ca="1"/>
        <v>43939</v>
      </c>
    </row>
    <row r="14" spans="1:32" x14ac:dyDescent="0.3">
      <c r="A14" s="36">
        <v>4</v>
      </c>
      <c r="B14" s="47">
        <f t="array" aca="1" ref="B14:H14" ca="1">Días+DATE(CalYear,MONTH($B$9),1)-WEEKDAY(DATE(CalYear,MONTH($B$9),1),(InicioDeLaSemana="Lunes")+1)+$A14*7-6</f>
        <v>43849</v>
      </c>
      <c r="C14" s="47">
        <f ca="1"/>
        <v>43850</v>
      </c>
      <c r="D14" s="47">
        <f ca="1"/>
        <v>43851</v>
      </c>
      <c r="E14" s="47">
        <f ca="1"/>
        <v>43852</v>
      </c>
      <c r="F14" s="47">
        <f ca="1"/>
        <v>43853</v>
      </c>
      <c r="G14" s="47">
        <f ca="1"/>
        <v>43854</v>
      </c>
      <c r="H14" s="47">
        <f ca="1"/>
        <v>43855</v>
      </c>
      <c r="J14" s="47">
        <f t="array" aca="1" ref="J14:P14" ca="1">Días+DATE(CalYear,MONTH($J$9),1)-WEEKDAY(DATE(CalYear,MONTH($J$9),1),(InicioDeLaSemana="Lunes")+1)+$A14*7-6</f>
        <v>43877</v>
      </c>
      <c r="K14" s="47">
        <f ca="1"/>
        <v>43878</v>
      </c>
      <c r="L14" s="47">
        <f ca="1"/>
        <v>43879</v>
      </c>
      <c r="M14" s="47">
        <f ca="1"/>
        <v>43880</v>
      </c>
      <c r="N14" s="47">
        <f ca="1"/>
        <v>43881</v>
      </c>
      <c r="O14" s="47">
        <f ca="1"/>
        <v>43882</v>
      </c>
      <c r="P14" s="47">
        <f ca="1"/>
        <v>43883</v>
      </c>
      <c r="R14" s="47">
        <f t="array" aca="1" ref="R14:X14" ca="1">Días+DATE(CalYear,MONTH($R$9),1)-WEEKDAY(DATE(CalYear,MONTH($R$9),1),(InicioDeLaSemana="Lunes")+1)+$A14*7-6</f>
        <v>43912</v>
      </c>
      <c r="S14" s="47">
        <f ca="1"/>
        <v>43913</v>
      </c>
      <c r="T14" s="47">
        <f ca="1"/>
        <v>43914</v>
      </c>
      <c r="U14" s="47">
        <f ca="1"/>
        <v>43915</v>
      </c>
      <c r="V14" s="47">
        <f ca="1"/>
        <v>43916</v>
      </c>
      <c r="W14" s="47">
        <f ca="1"/>
        <v>43917</v>
      </c>
      <c r="X14" s="47">
        <f ca="1"/>
        <v>43918</v>
      </c>
      <c r="Z14" s="47">
        <f t="array" aca="1" ref="Z14:AF14" ca="1">Días+DATE(CalYear,MONTH($Z$9),1)-WEEKDAY(DATE(CalYear,MONTH($Z$9),1),(InicioDeLaSemana="Lunes")+1)+$A14*7-6</f>
        <v>43940</v>
      </c>
      <c r="AA14" s="47">
        <f ca="1"/>
        <v>43941</v>
      </c>
      <c r="AB14" s="47">
        <f ca="1"/>
        <v>43942</v>
      </c>
      <c r="AC14" s="47">
        <f ca="1"/>
        <v>43943</v>
      </c>
      <c r="AD14" s="47">
        <f ca="1"/>
        <v>43944</v>
      </c>
      <c r="AE14" s="47">
        <f ca="1"/>
        <v>43945</v>
      </c>
      <c r="AF14" s="47">
        <f ca="1"/>
        <v>43946</v>
      </c>
    </row>
    <row r="15" spans="1:32" x14ac:dyDescent="0.3">
      <c r="A15" s="36">
        <v>5</v>
      </c>
      <c r="B15" s="48">
        <f t="array" aca="1" ref="B15:H15" ca="1">Días+DATE(CalYear,MONTH($B$9),1)-WEEKDAY(DATE(CalYear,MONTH($B$9),1),(InicioDeLaSemana="Lunes")+1)+$A15*7-6</f>
        <v>43856</v>
      </c>
      <c r="C15" s="48">
        <f ca="1"/>
        <v>43857</v>
      </c>
      <c r="D15" s="48">
        <f ca="1"/>
        <v>43858</v>
      </c>
      <c r="E15" s="48">
        <f ca="1"/>
        <v>43859</v>
      </c>
      <c r="F15" s="48">
        <f ca="1"/>
        <v>43860</v>
      </c>
      <c r="G15" s="48">
        <f ca="1"/>
        <v>43861</v>
      </c>
      <c r="H15" s="48">
        <f ca="1"/>
        <v>43862</v>
      </c>
      <c r="J15" s="48">
        <f t="array" aca="1" ref="J15:P15" ca="1">Días+DATE(CalYear,MONTH($J$9),1)-WEEKDAY(DATE(CalYear,MONTH($J$9),1),(InicioDeLaSemana="Lunes")+1)+$A15*7-6</f>
        <v>43884</v>
      </c>
      <c r="K15" s="48">
        <f ca="1"/>
        <v>43885</v>
      </c>
      <c r="L15" s="48">
        <f ca="1"/>
        <v>43886</v>
      </c>
      <c r="M15" s="48">
        <f ca="1"/>
        <v>43887</v>
      </c>
      <c r="N15" s="48">
        <f ca="1"/>
        <v>43888</v>
      </c>
      <c r="O15" s="48">
        <f ca="1"/>
        <v>43889</v>
      </c>
      <c r="P15" s="48">
        <f ca="1"/>
        <v>43890</v>
      </c>
      <c r="R15" s="48">
        <f t="array" aca="1" ref="R15:X15" ca="1">Días+DATE(CalYear,MONTH($R$9),1)-WEEKDAY(DATE(CalYear,MONTH($R$9),1),(InicioDeLaSemana="Lunes")+1)+$A15*7-6</f>
        <v>43919</v>
      </c>
      <c r="S15" s="48">
        <f ca="1"/>
        <v>43920</v>
      </c>
      <c r="T15" s="48">
        <f ca="1"/>
        <v>43921</v>
      </c>
      <c r="U15" s="48">
        <f ca="1"/>
        <v>43922</v>
      </c>
      <c r="V15" s="48">
        <f ca="1"/>
        <v>43923</v>
      </c>
      <c r="W15" s="48">
        <f ca="1"/>
        <v>43924</v>
      </c>
      <c r="X15" s="48">
        <f ca="1"/>
        <v>43925</v>
      </c>
      <c r="Z15" s="48">
        <f t="array" aca="1" ref="Z15:AF15" ca="1">Días+DATE(CalYear,MONTH($Z$9),1)-WEEKDAY(DATE(CalYear,MONTH($Z$9),1),(InicioDeLaSemana="Lunes")+1)+$A15*7-6</f>
        <v>43947</v>
      </c>
      <c r="AA15" s="48">
        <f ca="1"/>
        <v>43948</v>
      </c>
      <c r="AB15" s="48">
        <f ca="1"/>
        <v>43949</v>
      </c>
      <c r="AC15" s="48">
        <f ca="1"/>
        <v>43950</v>
      </c>
      <c r="AD15" s="48">
        <f ca="1"/>
        <v>43951</v>
      </c>
      <c r="AE15" s="48">
        <f ca="1"/>
        <v>43952</v>
      </c>
      <c r="AF15" s="48">
        <f ca="1"/>
        <v>43953</v>
      </c>
    </row>
    <row r="16" spans="1:32" x14ac:dyDescent="0.3">
      <c r="A16" s="36">
        <v>6</v>
      </c>
      <c r="B16" s="47">
        <f t="array" aca="1" ref="B16:H16" ca="1">Días+DATE(CalYear,MONTH($B$9),1)-WEEKDAY(DATE(CalYear,MONTH($B$9),1),(InicioDeLaSemana="Lunes")+1)+$A16*7-6</f>
        <v>43863</v>
      </c>
      <c r="C16" s="47">
        <f ca="1"/>
        <v>43864</v>
      </c>
      <c r="D16" s="47">
        <f ca="1"/>
        <v>43865</v>
      </c>
      <c r="E16" s="47">
        <f ca="1"/>
        <v>43866</v>
      </c>
      <c r="F16" s="47">
        <f ca="1"/>
        <v>43867</v>
      </c>
      <c r="G16" s="47">
        <f ca="1"/>
        <v>43868</v>
      </c>
      <c r="H16" s="47">
        <f ca="1"/>
        <v>43869</v>
      </c>
      <c r="J16" s="47">
        <f t="array" aca="1" ref="J16:P16" ca="1">Días+DATE(CalYear,MONTH($J$9),1)-WEEKDAY(DATE(CalYear,MONTH($J$9),1),(InicioDeLaSemana="Lunes")+1)+$A16*7-6</f>
        <v>43891</v>
      </c>
      <c r="K16" s="47">
        <f ca="1"/>
        <v>43892</v>
      </c>
      <c r="L16" s="47">
        <f ca="1"/>
        <v>43893</v>
      </c>
      <c r="M16" s="47">
        <f ca="1"/>
        <v>43894</v>
      </c>
      <c r="N16" s="47">
        <f ca="1"/>
        <v>43895</v>
      </c>
      <c r="O16" s="47">
        <f ca="1"/>
        <v>43896</v>
      </c>
      <c r="P16" s="47">
        <f ca="1"/>
        <v>43897</v>
      </c>
      <c r="R16" s="47">
        <f t="array" aca="1" ref="R16:X16" ca="1">Días+DATE(CalYear,MONTH($R$9),1)-WEEKDAY(DATE(CalYear,MONTH($R$9),1),(InicioDeLaSemana="Lunes")+1)+$A16*7-6</f>
        <v>43926</v>
      </c>
      <c r="S16" s="47">
        <f ca="1"/>
        <v>43927</v>
      </c>
      <c r="T16" s="47">
        <f ca="1"/>
        <v>43928</v>
      </c>
      <c r="U16" s="47">
        <f ca="1"/>
        <v>43929</v>
      </c>
      <c r="V16" s="47">
        <f ca="1"/>
        <v>43930</v>
      </c>
      <c r="W16" s="47">
        <f ca="1"/>
        <v>43931</v>
      </c>
      <c r="X16" s="47">
        <f ca="1"/>
        <v>43932</v>
      </c>
      <c r="Z16" s="47">
        <f t="array" aca="1" ref="Z16:AF16" ca="1">Días+DATE(CalYear,MONTH($Z$9),1)-WEEKDAY(DATE(CalYear,MONTH($Z$9),1),(InicioDeLaSemana="Lunes")+1)+$A16*7-6</f>
        <v>43954</v>
      </c>
      <c r="AA16" s="47">
        <f ca="1"/>
        <v>43955</v>
      </c>
      <c r="AB16" s="47">
        <f ca="1"/>
        <v>43956</v>
      </c>
      <c r="AC16" s="47">
        <f ca="1"/>
        <v>43957</v>
      </c>
      <c r="AD16" s="47">
        <f ca="1"/>
        <v>43958</v>
      </c>
      <c r="AE16" s="47">
        <f ca="1"/>
        <v>43959</v>
      </c>
      <c r="AF16" s="47">
        <f ca="1"/>
        <v>43960</v>
      </c>
    </row>
    <row r="18" spans="1:32" x14ac:dyDescent="0.3">
      <c r="B18" s="50">
        <f ca="1">DATE(CalYear,5,1)</f>
        <v>43952</v>
      </c>
      <c r="C18" s="50"/>
      <c r="D18" s="50"/>
      <c r="E18" s="50"/>
      <c r="F18" s="50"/>
      <c r="G18" s="50"/>
      <c r="H18" s="50"/>
      <c r="J18" s="50">
        <f ca="1">DATE(CalYear,6,1)</f>
        <v>43983</v>
      </c>
      <c r="K18" s="50"/>
      <c r="L18" s="50"/>
      <c r="M18" s="50"/>
      <c r="N18" s="50"/>
      <c r="O18" s="50"/>
      <c r="P18" s="50"/>
      <c r="R18" s="50">
        <f ca="1">DATE(CalYear,7,1)</f>
        <v>44013</v>
      </c>
      <c r="S18" s="50"/>
      <c r="T18" s="50"/>
      <c r="U18" s="50"/>
      <c r="V18" s="50"/>
      <c r="W18" s="50"/>
      <c r="X18" s="50"/>
      <c r="Z18" s="50">
        <f ca="1">DATE(CalYear,8,1)</f>
        <v>44044</v>
      </c>
      <c r="AA18" s="50"/>
      <c r="AB18" s="50"/>
      <c r="AC18" s="50"/>
      <c r="AD18" s="50"/>
      <c r="AE18" s="50"/>
      <c r="AF18" s="50"/>
    </row>
    <row r="19" spans="1:32" s="43" customFormat="1" ht="24" customHeight="1" thickBot="1" x14ac:dyDescent="0.35">
      <c r="A19" s="42"/>
      <c r="B19" s="49" t="str">
        <f ca="1">UPPER(TEXT(B18,"MMMM"))</f>
        <v>MAYO</v>
      </c>
      <c r="C19" s="49"/>
      <c r="D19" s="49"/>
      <c r="E19" s="49"/>
      <c r="F19" s="49"/>
      <c r="G19" s="49"/>
      <c r="H19" s="49"/>
      <c r="J19" s="49" t="str">
        <f ca="1">UPPER(TEXT(J18,"MMMM"))</f>
        <v>JUNIO</v>
      </c>
      <c r="K19" s="49"/>
      <c r="L19" s="49"/>
      <c r="M19" s="49"/>
      <c r="N19" s="49"/>
      <c r="O19" s="49"/>
      <c r="P19" s="49"/>
      <c r="R19" s="49" t="str">
        <f ca="1">UPPER(TEXT(R18,"MMMM"))</f>
        <v>JULIO</v>
      </c>
      <c r="S19" s="49"/>
      <c r="T19" s="49"/>
      <c r="U19" s="49"/>
      <c r="V19" s="49"/>
      <c r="W19" s="49"/>
      <c r="X19" s="49"/>
      <c r="Z19" s="49" t="str">
        <f ca="1">UPPER(TEXT(Z18,"MMMM"))</f>
        <v>AGOSTO</v>
      </c>
      <c r="AA19" s="49"/>
      <c r="AB19" s="49"/>
      <c r="AC19" s="49"/>
      <c r="AD19" s="49"/>
      <c r="AE19" s="49"/>
      <c r="AF19" s="49"/>
    </row>
    <row r="20" spans="1:32" s="45" customFormat="1" ht="21" customHeight="1" thickTop="1" x14ac:dyDescent="0.3">
      <c r="A20" s="44">
        <v>1</v>
      </c>
      <c r="B20" s="46">
        <f t="array" aca="1" ref="B20:H20" ca="1">Días+DATE(CalYear,MONTH($B$18),1)-WEEKDAY(DATE(CalYear,MONTH($B$18),1),(InicioDeLaSemana="Lunes")+1)+$A20*7-6</f>
        <v>43947</v>
      </c>
      <c r="C20" s="46">
        <f ca="1"/>
        <v>43948</v>
      </c>
      <c r="D20" s="46">
        <f ca="1"/>
        <v>43949</v>
      </c>
      <c r="E20" s="46">
        <f ca="1"/>
        <v>43950</v>
      </c>
      <c r="F20" s="46">
        <f ca="1"/>
        <v>43951</v>
      </c>
      <c r="G20" s="46">
        <f ca="1"/>
        <v>43952</v>
      </c>
      <c r="H20" s="46">
        <f ca="1"/>
        <v>43953</v>
      </c>
      <c r="J20" s="46">
        <f t="array" aca="1" ref="J20:P20" ca="1">Días+DATE(CalYear,MONTH($J$18),1)-WEEKDAY(DATE(CalYear,MONTH($J$18),1),(InicioDeLaSemana="Lunes")+1)+$A20*7-6</f>
        <v>43982</v>
      </c>
      <c r="K20" s="46">
        <f ca="1"/>
        <v>43983</v>
      </c>
      <c r="L20" s="46">
        <f ca="1"/>
        <v>43984</v>
      </c>
      <c r="M20" s="46">
        <f ca="1"/>
        <v>43985</v>
      </c>
      <c r="N20" s="46">
        <f ca="1"/>
        <v>43986</v>
      </c>
      <c r="O20" s="46">
        <f ca="1"/>
        <v>43987</v>
      </c>
      <c r="P20" s="46">
        <f ca="1"/>
        <v>43988</v>
      </c>
      <c r="R20" s="46">
        <f t="array" aca="1" ref="R20:X20" ca="1">Días+DATE(CalYear,MONTH($R$18),1)-WEEKDAY(DATE(CalYear,MONTH($R$18),1),(InicioDeLaSemana="Lunes")+1)+$A20*7-6</f>
        <v>44010</v>
      </c>
      <c r="S20" s="46">
        <f ca="1"/>
        <v>44011</v>
      </c>
      <c r="T20" s="46">
        <f ca="1"/>
        <v>44012</v>
      </c>
      <c r="U20" s="46">
        <f ca="1"/>
        <v>44013</v>
      </c>
      <c r="V20" s="46">
        <f ca="1"/>
        <v>44014</v>
      </c>
      <c r="W20" s="46">
        <f ca="1"/>
        <v>44015</v>
      </c>
      <c r="X20" s="46">
        <f ca="1"/>
        <v>44016</v>
      </c>
      <c r="Z20" s="46">
        <f t="array" aca="1" ref="Z20:AF20" ca="1">Días+DATE(CalYear,MONTH($Z$18),1)-WEEKDAY(DATE(CalYear,MONTH($Z$18),1),(InicioDeLaSemana="Lunes")+1)+$A20*7-6</f>
        <v>44038</v>
      </c>
      <c r="AA20" s="46">
        <f ca="1"/>
        <v>44039</v>
      </c>
      <c r="AB20" s="46">
        <f ca="1"/>
        <v>44040</v>
      </c>
      <c r="AC20" s="46">
        <f ca="1"/>
        <v>44041</v>
      </c>
      <c r="AD20" s="46">
        <f ca="1"/>
        <v>44042</v>
      </c>
      <c r="AE20" s="46">
        <f ca="1"/>
        <v>44043</v>
      </c>
      <c r="AF20" s="46">
        <f ca="1"/>
        <v>44044</v>
      </c>
    </row>
    <row r="21" spans="1:32" x14ac:dyDescent="0.3">
      <c r="A21" s="36">
        <v>2</v>
      </c>
      <c r="B21" s="47">
        <f t="array" aca="1" ref="B21:H21" ca="1">Días+DATE(CalYear,MONTH($B$18),1)-WEEKDAY(DATE(CalYear,MONTH($B$18),1),(InicioDeLaSemana="Lunes")+1)+$A21*7-6</f>
        <v>43954</v>
      </c>
      <c r="C21" s="47">
        <f ca="1"/>
        <v>43955</v>
      </c>
      <c r="D21" s="47">
        <f ca="1"/>
        <v>43956</v>
      </c>
      <c r="E21" s="47">
        <f ca="1"/>
        <v>43957</v>
      </c>
      <c r="F21" s="47">
        <f ca="1"/>
        <v>43958</v>
      </c>
      <c r="G21" s="47">
        <f ca="1"/>
        <v>43959</v>
      </c>
      <c r="H21" s="47">
        <f ca="1"/>
        <v>43960</v>
      </c>
      <c r="J21" s="47">
        <f t="array" aca="1" ref="J21:P21" ca="1">Días+DATE(CalYear,MONTH($J$18),1)-WEEKDAY(DATE(CalYear,MONTH($J$18),1),(InicioDeLaSemana="Lunes")+1)+$A21*7-6</f>
        <v>43989</v>
      </c>
      <c r="K21" s="47">
        <f ca="1"/>
        <v>43990</v>
      </c>
      <c r="L21" s="47">
        <f ca="1"/>
        <v>43991</v>
      </c>
      <c r="M21" s="47">
        <f ca="1"/>
        <v>43992</v>
      </c>
      <c r="N21" s="47">
        <f ca="1"/>
        <v>43993</v>
      </c>
      <c r="O21" s="47">
        <f ca="1"/>
        <v>43994</v>
      </c>
      <c r="P21" s="47">
        <f ca="1"/>
        <v>43995</v>
      </c>
      <c r="R21" s="47">
        <f t="array" aca="1" ref="R21:X21" ca="1">Días+DATE(CalYear,MONTH($R$18),1)-WEEKDAY(DATE(CalYear,MONTH($R$18),1),(InicioDeLaSemana="Lunes")+1)+$A21*7-6</f>
        <v>44017</v>
      </c>
      <c r="S21" s="47">
        <f ca="1"/>
        <v>44018</v>
      </c>
      <c r="T21" s="47">
        <f ca="1"/>
        <v>44019</v>
      </c>
      <c r="U21" s="47">
        <f ca="1"/>
        <v>44020</v>
      </c>
      <c r="V21" s="47">
        <f ca="1"/>
        <v>44021</v>
      </c>
      <c r="W21" s="47">
        <f ca="1"/>
        <v>44022</v>
      </c>
      <c r="X21" s="47">
        <f ca="1"/>
        <v>44023</v>
      </c>
      <c r="Z21" s="47">
        <f t="array" aca="1" ref="Z21:AF21" ca="1">Días+DATE(CalYear,MONTH($Z$18),1)-WEEKDAY(DATE(CalYear,MONTH($Z$18),1),(InicioDeLaSemana="Lunes")+1)+$A21*7-6</f>
        <v>44045</v>
      </c>
      <c r="AA21" s="47">
        <f ca="1"/>
        <v>44046</v>
      </c>
      <c r="AB21" s="47">
        <f ca="1"/>
        <v>44047</v>
      </c>
      <c r="AC21" s="47">
        <f ca="1"/>
        <v>44048</v>
      </c>
      <c r="AD21" s="47">
        <f ca="1"/>
        <v>44049</v>
      </c>
      <c r="AE21" s="47">
        <f ca="1"/>
        <v>44050</v>
      </c>
      <c r="AF21" s="47">
        <f ca="1"/>
        <v>44051</v>
      </c>
    </row>
    <row r="22" spans="1:32" x14ac:dyDescent="0.3">
      <c r="A22" s="36">
        <v>3</v>
      </c>
      <c r="B22" s="48">
        <f t="array" aca="1" ref="B22:H22" ca="1">Días+DATE(CalYear,MONTH($B$18),1)-WEEKDAY(DATE(CalYear,MONTH($B$18),1),(InicioDeLaSemana="Lunes")+1)+$A22*7-6</f>
        <v>43961</v>
      </c>
      <c r="C22" s="48">
        <f ca="1"/>
        <v>43962</v>
      </c>
      <c r="D22" s="48">
        <f ca="1"/>
        <v>43963</v>
      </c>
      <c r="E22" s="48">
        <f ca="1"/>
        <v>43964</v>
      </c>
      <c r="F22" s="48">
        <f ca="1"/>
        <v>43965</v>
      </c>
      <c r="G22" s="48">
        <f ca="1"/>
        <v>43966</v>
      </c>
      <c r="H22" s="48">
        <f ca="1"/>
        <v>43967</v>
      </c>
      <c r="J22" s="48">
        <f t="array" aca="1" ref="J22:P22" ca="1">Días+DATE(CalYear,MONTH($J$18),1)-WEEKDAY(DATE(CalYear,MONTH($J$18),1),(InicioDeLaSemana="Lunes")+1)+$A22*7-6</f>
        <v>43996</v>
      </c>
      <c r="K22" s="48">
        <f ca="1"/>
        <v>43997</v>
      </c>
      <c r="L22" s="48">
        <f ca="1"/>
        <v>43998</v>
      </c>
      <c r="M22" s="48">
        <f ca="1"/>
        <v>43999</v>
      </c>
      <c r="N22" s="48">
        <f ca="1"/>
        <v>44000</v>
      </c>
      <c r="O22" s="48">
        <f ca="1"/>
        <v>44001</v>
      </c>
      <c r="P22" s="48">
        <f ca="1"/>
        <v>44002</v>
      </c>
      <c r="R22" s="48">
        <f t="array" aca="1" ref="R22:X22" ca="1">Días+DATE(CalYear,MONTH($R$18),1)-WEEKDAY(DATE(CalYear,MONTH($R$18),1),(InicioDeLaSemana="Lunes")+1)+$A22*7-6</f>
        <v>44024</v>
      </c>
      <c r="S22" s="48">
        <f ca="1"/>
        <v>44025</v>
      </c>
      <c r="T22" s="48">
        <f ca="1"/>
        <v>44026</v>
      </c>
      <c r="U22" s="48">
        <f ca="1"/>
        <v>44027</v>
      </c>
      <c r="V22" s="48">
        <f ca="1"/>
        <v>44028</v>
      </c>
      <c r="W22" s="48">
        <f ca="1"/>
        <v>44029</v>
      </c>
      <c r="X22" s="48">
        <f ca="1"/>
        <v>44030</v>
      </c>
      <c r="Z22" s="48">
        <f t="array" aca="1" ref="Z22:AF22" ca="1">Días+DATE(CalYear,MONTH($Z$18),1)-WEEKDAY(DATE(CalYear,MONTH($Z$18),1),(InicioDeLaSemana="Lunes")+1)+$A22*7-6</f>
        <v>44052</v>
      </c>
      <c r="AA22" s="48">
        <f ca="1"/>
        <v>44053</v>
      </c>
      <c r="AB22" s="48">
        <f ca="1"/>
        <v>44054</v>
      </c>
      <c r="AC22" s="48">
        <f ca="1"/>
        <v>44055</v>
      </c>
      <c r="AD22" s="48">
        <f ca="1"/>
        <v>44056</v>
      </c>
      <c r="AE22" s="48">
        <f ca="1"/>
        <v>44057</v>
      </c>
      <c r="AF22" s="48">
        <f ca="1"/>
        <v>44058</v>
      </c>
    </row>
    <row r="23" spans="1:32" x14ac:dyDescent="0.3">
      <c r="A23" s="36">
        <v>4</v>
      </c>
      <c r="B23" s="47">
        <f t="array" aca="1" ref="B23:H23" ca="1">Días+DATE(CalYear,MONTH($B$18),1)-WEEKDAY(DATE(CalYear,MONTH($B$18),1),(InicioDeLaSemana="Lunes")+1)+$A23*7-6</f>
        <v>43968</v>
      </c>
      <c r="C23" s="47">
        <f ca="1"/>
        <v>43969</v>
      </c>
      <c r="D23" s="47">
        <f ca="1"/>
        <v>43970</v>
      </c>
      <c r="E23" s="47">
        <f ca="1"/>
        <v>43971</v>
      </c>
      <c r="F23" s="47">
        <f ca="1"/>
        <v>43972</v>
      </c>
      <c r="G23" s="47">
        <f ca="1"/>
        <v>43973</v>
      </c>
      <c r="H23" s="47">
        <f ca="1"/>
        <v>43974</v>
      </c>
      <c r="J23" s="47">
        <f t="array" aca="1" ref="J23:P23" ca="1">Días+DATE(CalYear,MONTH($J$18),1)-WEEKDAY(DATE(CalYear,MONTH($J$18),1),(InicioDeLaSemana="Lunes")+1)+$A23*7-6</f>
        <v>44003</v>
      </c>
      <c r="K23" s="47">
        <f ca="1"/>
        <v>44004</v>
      </c>
      <c r="L23" s="47">
        <f ca="1"/>
        <v>44005</v>
      </c>
      <c r="M23" s="47">
        <f ca="1"/>
        <v>44006</v>
      </c>
      <c r="N23" s="47">
        <f ca="1"/>
        <v>44007</v>
      </c>
      <c r="O23" s="47">
        <f ca="1"/>
        <v>44008</v>
      </c>
      <c r="P23" s="47">
        <f ca="1"/>
        <v>44009</v>
      </c>
      <c r="R23" s="47">
        <f t="array" aca="1" ref="R23:X23" ca="1">Días+DATE(CalYear,MONTH($R$18),1)-WEEKDAY(DATE(CalYear,MONTH($R$18),1),(InicioDeLaSemana="Lunes")+1)+$A23*7-6</f>
        <v>44031</v>
      </c>
      <c r="S23" s="47">
        <f ca="1"/>
        <v>44032</v>
      </c>
      <c r="T23" s="47">
        <f ca="1"/>
        <v>44033</v>
      </c>
      <c r="U23" s="47">
        <f ca="1"/>
        <v>44034</v>
      </c>
      <c r="V23" s="47">
        <f ca="1"/>
        <v>44035</v>
      </c>
      <c r="W23" s="47">
        <f ca="1"/>
        <v>44036</v>
      </c>
      <c r="X23" s="47">
        <f ca="1"/>
        <v>44037</v>
      </c>
      <c r="Z23" s="47">
        <f t="array" aca="1" ref="Z23:AF23" ca="1">Días+DATE(CalYear,MONTH($Z$18),1)-WEEKDAY(DATE(CalYear,MONTH($Z$18),1),(InicioDeLaSemana="Lunes")+1)+$A23*7-6</f>
        <v>44059</v>
      </c>
      <c r="AA23" s="47">
        <f ca="1"/>
        <v>44060</v>
      </c>
      <c r="AB23" s="47">
        <f ca="1"/>
        <v>44061</v>
      </c>
      <c r="AC23" s="47">
        <f ca="1"/>
        <v>44062</v>
      </c>
      <c r="AD23" s="47">
        <f ca="1"/>
        <v>44063</v>
      </c>
      <c r="AE23" s="47">
        <f ca="1"/>
        <v>44064</v>
      </c>
      <c r="AF23" s="47">
        <f ca="1"/>
        <v>44065</v>
      </c>
    </row>
    <row r="24" spans="1:32" x14ac:dyDescent="0.3">
      <c r="A24" s="36">
        <v>5</v>
      </c>
      <c r="B24" s="48">
        <f t="array" aca="1" ref="B24:H24" ca="1">Días+DATE(CalYear,MONTH($B$18),1)-WEEKDAY(DATE(CalYear,MONTH($B$18),1),(InicioDeLaSemana="Lunes")+1)+$A24*7-6</f>
        <v>43975</v>
      </c>
      <c r="C24" s="48">
        <f ca="1"/>
        <v>43976</v>
      </c>
      <c r="D24" s="48">
        <f ca="1"/>
        <v>43977</v>
      </c>
      <c r="E24" s="48">
        <f ca="1"/>
        <v>43978</v>
      </c>
      <c r="F24" s="48">
        <f ca="1"/>
        <v>43979</v>
      </c>
      <c r="G24" s="48">
        <f ca="1"/>
        <v>43980</v>
      </c>
      <c r="H24" s="48">
        <f ca="1"/>
        <v>43981</v>
      </c>
      <c r="J24" s="48">
        <f t="array" aca="1" ref="J24:P24" ca="1">Días+DATE(CalYear,MONTH($J$18),1)-WEEKDAY(DATE(CalYear,MONTH($J$18),1),(InicioDeLaSemana="Lunes")+1)+$A24*7-6</f>
        <v>44010</v>
      </c>
      <c r="K24" s="48">
        <f ca="1"/>
        <v>44011</v>
      </c>
      <c r="L24" s="48">
        <f ca="1"/>
        <v>44012</v>
      </c>
      <c r="M24" s="48">
        <f ca="1"/>
        <v>44013</v>
      </c>
      <c r="N24" s="48">
        <f ca="1"/>
        <v>44014</v>
      </c>
      <c r="O24" s="48">
        <f ca="1"/>
        <v>44015</v>
      </c>
      <c r="P24" s="48">
        <f ca="1"/>
        <v>44016</v>
      </c>
      <c r="R24" s="48">
        <f t="array" aca="1" ref="R24:X24" ca="1">Días+DATE(CalYear,MONTH($R$18),1)-WEEKDAY(DATE(CalYear,MONTH($R$18),1),(InicioDeLaSemana="Lunes")+1)+$A24*7-6</f>
        <v>44038</v>
      </c>
      <c r="S24" s="48">
        <f ca="1"/>
        <v>44039</v>
      </c>
      <c r="T24" s="48">
        <f ca="1"/>
        <v>44040</v>
      </c>
      <c r="U24" s="48">
        <f ca="1"/>
        <v>44041</v>
      </c>
      <c r="V24" s="48">
        <f ca="1"/>
        <v>44042</v>
      </c>
      <c r="W24" s="48">
        <f ca="1"/>
        <v>44043</v>
      </c>
      <c r="X24" s="48">
        <f ca="1"/>
        <v>44044</v>
      </c>
      <c r="Z24" s="48">
        <f t="array" aca="1" ref="Z24:AF24" ca="1">Días+DATE(CalYear,MONTH($Z$18),1)-WEEKDAY(DATE(CalYear,MONTH($Z$18),1),(InicioDeLaSemana="Lunes")+1)+$A24*7-6</f>
        <v>44066</v>
      </c>
      <c r="AA24" s="48">
        <f ca="1"/>
        <v>44067</v>
      </c>
      <c r="AB24" s="48">
        <f ca="1"/>
        <v>44068</v>
      </c>
      <c r="AC24" s="48">
        <f ca="1"/>
        <v>44069</v>
      </c>
      <c r="AD24" s="48">
        <f ca="1"/>
        <v>44070</v>
      </c>
      <c r="AE24" s="48">
        <f ca="1"/>
        <v>44071</v>
      </c>
      <c r="AF24" s="48">
        <f ca="1"/>
        <v>44072</v>
      </c>
    </row>
    <row r="25" spans="1:32" x14ac:dyDescent="0.3">
      <c r="A25" s="36">
        <v>6</v>
      </c>
      <c r="B25" s="47">
        <f t="array" aca="1" ref="B25:H25" ca="1">Días+DATE(CalYear,MONTH($B$18),1)-WEEKDAY(DATE(CalYear,MONTH($B$18),1),(InicioDeLaSemana="Lunes")+1)+$A25*7-6</f>
        <v>43982</v>
      </c>
      <c r="C25" s="47">
        <f ca="1"/>
        <v>43983</v>
      </c>
      <c r="D25" s="47">
        <f ca="1"/>
        <v>43984</v>
      </c>
      <c r="E25" s="47">
        <f ca="1"/>
        <v>43985</v>
      </c>
      <c r="F25" s="47">
        <f ca="1"/>
        <v>43986</v>
      </c>
      <c r="G25" s="47">
        <f ca="1"/>
        <v>43987</v>
      </c>
      <c r="H25" s="47">
        <f ca="1"/>
        <v>43988</v>
      </c>
      <c r="J25" s="47">
        <f t="array" aca="1" ref="J25:P25" ca="1">Días+DATE(CalYear,MONTH($J$18),1)-WEEKDAY(DATE(CalYear,MONTH($J$18),1),(InicioDeLaSemana="Lunes")+1)+$A25*7-6</f>
        <v>44017</v>
      </c>
      <c r="K25" s="47">
        <f ca="1"/>
        <v>44018</v>
      </c>
      <c r="L25" s="47">
        <f ca="1"/>
        <v>44019</v>
      </c>
      <c r="M25" s="47">
        <f ca="1"/>
        <v>44020</v>
      </c>
      <c r="N25" s="47">
        <f ca="1"/>
        <v>44021</v>
      </c>
      <c r="O25" s="47">
        <f ca="1"/>
        <v>44022</v>
      </c>
      <c r="P25" s="47">
        <f ca="1"/>
        <v>44023</v>
      </c>
      <c r="R25" s="47">
        <f t="array" aca="1" ref="R25:X25" ca="1">Días+DATE(CalYear,MONTH($R$18),1)-WEEKDAY(DATE(CalYear,MONTH($R$18),1),(InicioDeLaSemana="Lunes")+1)+$A25*7-6</f>
        <v>44045</v>
      </c>
      <c r="S25" s="47">
        <f ca="1"/>
        <v>44046</v>
      </c>
      <c r="T25" s="47">
        <f ca="1"/>
        <v>44047</v>
      </c>
      <c r="U25" s="47">
        <f ca="1"/>
        <v>44048</v>
      </c>
      <c r="V25" s="47">
        <f ca="1"/>
        <v>44049</v>
      </c>
      <c r="W25" s="47">
        <f ca="1"/>
        <v>44050</v>
      </c>
      <c r="X25" s="47">
        <f ca="1"/>
        <v>44051</v>
      </c>
      <c r="Z25" s="47">
        <f t="array" aca="1" ref="Z25:AF25" ca="1">Días+DATE(CalYear,MONTH($Z$18),1)-WEEKDAY(DATE(CalYear,MONTH($Z$18),1),(InicioDeLaSemana="Lunes")+1)+$A25*7-6</f>
        <v>44073</v>
      </c>
      <c r="AA25" s="47">
        <f ca="1"/>
        <v>44074</v>
      </c>
      <c r="AB25" s="47">
        <f ca="1"/>
        <v>44075</v>
      </c>
      <c r="AC25" s="47">
        <f ca="1"/>
        <v>44076</v>
      </c>
      <c r="AD25" s="47">
        <f ca="1"/>
        <v>44077</v>
      </c>
      <c r="AE25" s="47">
        <f ca="1"/>
        <v>44078</v>
      </c>
      <c r="AF25" s="47">
        <f ca="1"/>
        <v>44079</v>
      </c>
    </row>
    <row r="27" spans="1:32" x14ac:dyDescent="0.3">
      <c r="B27" s="50">
        <f ca="1">DATE(CalYear,9,1)</f>
        <v>44075</v>
      </c>
      <c r="C27" s="50"/>
      <c r="D27" s="50"/>
      <c r="E27" s="50"/>
      <c r="F27" s="50"/>
      <c r="G27" s="50"/>
      <c r="H27" s="50"/>
      <c r="J27" s="50">
        <f ca="1">DATE(CalYear,10,1)</f>
        <v>44105</v>
      </c>
      <c r="K27" s="50"/>
      <c r="L27" s="50"/>
      <c r="M27" s="50"/>
      <c r="N27" s="50"/>
      <c r="O27" s="50"/>
      <c r="P27" s="50"/>
      <c r="R27" s="50">
        <f ca="1">DATE(CalYear,11,1)</f>
        <v>44136</v>
      </c>
      <c r="S27" s="50"/>
      <c r="T27" s="50"/>
      <c r="U27" s="50"/>
      <c r="V27" s="50"/>
      <c r="W27" s="50"/>
      <c r="X27" s="50"/>
      <c r="Z27" s="50">
        <f ca="1">DATE(CalYear,12,1)</f>
        <v>44166</v>
      </c>
      <c r="AA27" s="50"/>
      <c r="AB27" s="50"/>
      <c r="AC27" s="50"/>
      <c r="AD27" s="50"/>
      <c r="AE27" s="50"/>
      <c r="AF27" s="50"/>
    </row>
    <row r="28" spans="1:32" s="43" customFormat="1" ht="24" customHeight="1" thickBot="1" x14ac:dyDescent="0.35">
      <c r="A28" s="42"/>
      <c r="B28" s="49" t="str">
        <f ca="1">UPPER(TEXT(B27,"MMMM"))</f>
        <v>SEPTIEMBRE</v>
      </c>
      <c r="C28" s="49"/>
      <c r="D28" s="49"/>
      <c r="E28" s="49"/>
      <c r="F28" s="49"/>
      <c r="G28" s="49"/>
      <c r="H28" s="49"/>
      <c r="J28" s="49" t="str">
        <f ca="1">UPPER(TEXT(J27,"MMMM"))</f>
        <v>OCTUBRE</v>
      </c>
      <c r="K28" s="49"/>
      <c r="L28" s="49"/>
      <c r="M28" s="49"/>
      <c r="N28" s="49"/>
      <c r="O28" s="49"/>
      <c r="P28" s="49"/>
      <c r="R28" s="49" t="str">
        <f ca="1">UPPER(TEXT(R27,"MMMM"))</f>
        <v>NOVIEMBRE</v>
      </c>
      <c r="S28" s="49"/>
      <c r="T28" s="49"/>
      <c r="U28" s="49"/>
      <c r="V28" s="49"/>
      <c r="W28" s="49"/>
      <c r="X28" s="49"/>
      <c r="Z28" s="49" t="str">
        <f ca="1">UPPER(TEXT(Z27,"MMMM"))</f>
        <v>DICIEMBRE</v>
      </c>
      <c r="AA28" s="49"/>
      <c r="AB28" s="49"/>
      <c r="AC28" s="49"/>
      <c r="AD28" s="49"/>
      <c r="AE28" s="49"/>
      <c r="AF28" s="49"/>
    </row>
    <row r="29" spans="1:32" s="45" customFormat="1" ht="21" customHeight="1" thickTop="1" x14ac:dyDescent="0.3">
      <c r="A29" s="44">
        <v>1</v>
      </c>
      <c r="B29" s="46">
        <f t="array" aca="1" ref="B29:H29" ca="1">Días+DATE(CalYear,MONTH($B$27),1)-WEEKDAY(DATE(CalYear,MONTH($B$27),1),(InicioDeLaSemana="Lunes")+1)+$A29*7-6</f>
        <v>44073</v>
      </c>
      <c r="C29" s="46">
        <f ca="1"/>
        <v>44074</v>
      </c>
      <c r="D29" s="46">
        <f ca="1"/>
        <v>44075</v>
      </c>
      <c r="E29" s="46">
        <f ca="1"/>
        <v>44076</v>
      </c>
      <c r="F29" s="46">
        <f ca="1"/>
        <v>44077</v>
      </c>
      <c r="G29" s="46">
        <f ca="1"/>
        <v>44078</v>
      </c>
      <c r="H29" s="46">
        <f ca="1"/>
        <v>44079</v>
      </c>
      <c r="J29" s="46">
        <f t="array" aca="1" ref="J29:P29" ca="1">Días+DATE(CalYear,MONTH($J$27),1)-WEEKDAY(DATE(CalYear,MONTH($J$27),1),(InicioDeLaSemana="Lunes")+1)+$A29*7-6</f>
        <v>44101</v>
      </c>
      <c r="K29" s="46">
        <f ca="1"/>
        <v>44102</v>
      </c>
      <c r="L29" s="46">
        <f ca="1"/>
        <v>44103</v>
      </c>
      <c r="M29" s="46">
        <f ca="1"/>
        <v>44104</v>
      </c>
      <c r="N29" s="46">
        <f ca="1"/>
        <v>44105</v>
      </c>
      <c r="O29" s="46">
        <f ca="1"/>
        <v>44106</v>
      </c>
      <c r="P29" s="46">
        <f ca="1"/>
        <v>44107</v>
      </c>
      <c r="R29" s="46">
        <f t="array" aca="1" ref="R29:X29" ca="1">Días+DATE(CalYear,MONTH($R$27),1)-WEEKDAY(DATE(CalYear,MONTH($R$27),1),(InicioDeLaSemana="Lunes")+1)+$A29*7-6</f>
        <v>44136</v>
      </c>
      <c r="S29" s="46">
        <f ca="1"/>
        <v>44137</v>
      </c>
      <c r="T29" s="46">
        <f ca="1"/>
        <v>44138</v>
      </c>
      <c r="U29" s="46">
        <f ca="1"/>
        <v>44139</v>
      </c>
      <c r="V29" s="46">
        <f ca="1"/>
        <v>44140</v>
      </c>
      <c r="W29" s="46">
        <f ca="1"/>
        <v>44141</v>
      </c>
      <c r="X29" s="46">
        <f ca="1"/>
        <v>44142</v>
      </c>
      <c r="Z29" s="46">
        <f t="array" aca="1" ref="Z29:AF29" ca="1">Días+DATE(CalYear,MONTH($Z$27),1)-WEEKDAY(DATE(CalYear,MONTH($Z$27),1),(InicioDeLaSemana="Lunes")+1)+$A29*7-6</f>
        <v>44164</v>
      </c>
      <c r="AA29" s="46">
        <f ca="1"/>
        <v>44165</v>
      </c>
      <c r="AB29" s="46">
        <f ca="1"/>
        <v>44166</v>
      </c>
      <c r="AC29" s="46">
        <f ca="1"/>
        <v>44167</v>
      </c>
      <c r="AD29" s="46">
        <f ca="1"/>
        <v>44168</v>
      </c>
      <c r="AE29" s="46">
        <f ca="1"/>
        <v>44169</v>
      </c>
      <c r="AF29" s="46">
        <f ca="1"/>
        <v>44170</v>
      </c>
    </row>
    <row r="30" spans="1:32" x14ac:dyDescent="0.3">
      <c r="A30" s="36">
        <v>2</v>
      </c>
      <c r="B30" s="47">
        <f t="array" aca="1" ref="B30:H30" ca="1">Días+DATE(CalYear,MONTH($B$27),1)-WEEKDAY(DATE(CalYear,MONTH($B$27),1),(InicioDeLaSemana="Lunes")+1)+$A30*7-6</f>
        <v>44080</v>
      </c>
      <c r="C30" s="47">
        <f ca="1"/>
        <v>44081</v>
      </c>
      <c r="D30" s="47">
        <f ca="1"/>
        <v>44082</v>
      </c>
      <c r="E30" s="47">
        <f ca="1"/>
        <v>44083</v>
      </c>
      <c r="F30" s="47">
        <f ca="1"/>
        <v>44084</v>
      </c>
      <c r="G30" s="47">
        <f ca="1"/>
        <v>44085</v>
      </c>
      <c r="H30" s="47">
        <f ca="1"/>
        <v>44086</v>
      </c>
      <c r="J30" s="47">
        <f t="array" aca="1" ref="J30:P30" ca="1">Días+DATE(CalYear,MONTH($J$27),1)-WEEKDAY(DATE(CalYear,MONTH($J$27),1),(InicioDeLaSemana="Lunes")+1)+$A30*7-6</f>
        <v>44108</v>
      </c>
      <c r="K30" s="47">
        <f ca="1"/>
        <v>44109</v>
      </c>
      <c r="L30" s="47">
        <f ca="1"/>
        <v>44110</v>
      </c>
      <c r="M30" s="47">
        <f ca="1"/>
        <v>44111</v>
      </c>
      <c r="N30" s="47">
        <f ca="1"/>
        <v>44112</v>
      </c>
      <c r="O30" s="47">
        <f ca="1"/>
        <v>44113</v>
      </c>
      <c r="P30" s="47">
        <f ca="1"/>
        <v>44114</v>
      </c>
      <c r="R30" s="47">
        <f t="array" aca="1" ref="R30:X30" ca="1">Días+DATE(CalYear,MONTH($R$27),1)-WEEKDAY(DATE(CalYear,MONTH($R$27),1),(InicioDeLaSemana="Lunes")+1)+$A30*7-6</f>
        <v>44143</v>
      </c>
      <c r="S30" s="47">
        <f ca="1"/>
        <v>44144</v>
      </c>
      <c r="T30" s="47">
        <f ca="1"/>
        <v>44145</v>
      </c>
      <c r="U30" s="47">
        <f ca="1"/>
        <v>44146</v>
      </c>
      <c r="V30" s="47">
        <f ca="1"/>
        <v>44147</v>
      </c>
      <c r="W30" s="47">
        <f ca="1"/>
        <v>44148</v>
      </c>
      <c r="X30" s="47">
        <f ca="1"/>
        <v>44149</v>
      </c>
      <c r="Z30" s="47">
        <f t="array" aca="1" ref="Z30:AF30" ca="1">Días+DATE(CalYear,MONTH($Z$27),1)-WEEKDAY(DATE(CalYear,MONTH($Z$27),1),(InicioDeLaSemana="Lunes")+1)+$A30*7-6</f>
        <v>44171</v>
      </c>
      <c r="AA30" s="47">
        <f ca="1"/>
        <v>44172</v>
      </c>
      <c r="AB30" s="47">
        <f ca="1"/>
        <v>44173</v>
      </c>
      <c r="AC30" s="47">
        <f ca="1"/>
        <v>44174</v>
      </c>
      <c r="AD30" s="47">
        <f ca="1"/>
        <v>44175</v>
      </c>
      <c r="AE30" s="47">
        <f ca="1"/>
        <v>44176</v>
      </c>
      <c r="AF30" s="47">
        <f ca="1"/>
        <v>44177</v>
      </c>
    </row>
    <row r="31" spans="1:32" x14ac:dyDescent="0.3">
      <c r="A31" s="36">
        <v>3</v>
      </c>
      <c r="B31" s="48">
        <f t="array" aca="1" ref="B31:H31" ca="1">Días+DATE(CalYear,MONTH($B$27),1)-WEEKDAY(DATE(CalYear,MONTH($B$27),1),(InicioDeLaSemana="Lunes")+1)+$A31*7-6</f>
        <v>44087</v>
      </c>
      <c r="C31" s="48">
        <f ca="1"/>
        <v>44088</v>
      </c>
      <c r="D31" s="48">
        <f ca="1"/>
        <v>44089</v>
      </c>
      <c r="E31" s="48">
        <f ca="1"/>
        <v>44090</v>
      </c>
      <c r="F31" s="48">
        <f ca="1"/>
        <v>44091</v>
      </c>
      <c r="G31" s="48">
        <f ca="1"/>
        <v>44092</v>
      </c>
      <c r="H31" s="48">
        <f ca="1"/>
        <v>44093</v>
      </c>
      <c r="J31" s="48">
        <f t="array" aca="1" ref="J31:P31" ca="1">Días+DATE(CalYear,MONTH($J$27),1)-WEEKDAY(DATE(CalYear,MONTH($J$27),1),(InicioDeLaSemana="Lunes")+1)+$A31*7-6</f>
        <v>44115</v>
      </c>
      <c r="K31" s="48">
        <f ca="1"/>
        <v>44116</v>
      </c>
      <c r="L31" s="48">
        <f ca="1"/>
        <v>44117</v>
      </c>
      <c r="M31" s="48">
        <f ca="1"/>
        <v>44118</v>
      </c>
      <c r="N31" s="48">
        <f ca="1"/>
        <v>44119</v>
      </c>
      <c r="O31" s="48">
        <f ca="1"/>
        <v>44120</v>
      </c>
      <c r="P31" s="48">
        <f ca="1"/>
        <v>44121</v>
      </c>
      <c r="R31" s="48">
        <f t="array" aca="1" ref="R31:X31" ca="1">Días+DATE(CalYear,MONTH($R$27),1)-WEEKDAY(DATE(CalYear,MONTH($R$27),1),(InicioDeLaSemana="Lunes")+1)+$A31*7-6</f>
        <v>44150</v>
      </c>
      <c r="S31" s="48">
        <f ca="1"/>
        <v>44151</v>
      </c>
      <c r="T31" s="48">
        <f ca="1"/>
        <v>44152</v>
      </c>
      <c r="U31" s="48">
        <f ca="1"/>
        <v>44153</v>
      </c>
      <c r="V31" s="48">
        <f ca="1"/>
        <v>44154</v>
      </c>
      <c r="W31" s="48">
        <f ca="1"/>
        <v>44155</v>
      </c>
      <c r="X31" s="48">
        <f ca="1"/>
        <v>44156</v>
      </c>
      <c r="Z31" s="48">
        <f t="array" aca="1" ref="Z31:AF31" ca="1">Días+DATE(CalYear,MONTH($Z$27),1)-WEEKDAY(DATE(CalYear,MONTH($Z$27),1),(InicioDeLaSemana="Lunes")+1)+$A31*7-6</f>
        <v>44178</v>
      </c>
      <c r="AA31" s="48">
        <f ca="1"/>
        <v>44179</v>
      </c>
      <c r="AB31" s="48">
        <f ca="1"/>
        <v>44180</v>
      </c>
      <c r="AC31" s="48">
        <f ca="1"/>
        <v>44181</v>
      </c>
      <c r="AD31" s="48">
        <f ca="1"/>
        <v>44182</v>
      </c>
      <c r="AE31" s="48">
        <f ca="1"/>
        <v>44183</v>
      </c>
      <c r="AF31" s="48">
        <f ca="1"/>
        <v>44184</v>
      </c>
    </row>
    <row r="32" spans="1:32" x14ac:dyDescent="0.3">
      <c r="A32" s="36">
        <v>4</v>
      </c>
      <c r="B32" s="47">
        <f t="array" aca="1" ref="B32:H32" ca="1">Días+DATE(CalYear,MONTH($B$27),1)-WEEKDAY(DATE(CalYear,MONTH($B$27),1),(InicioDeLaSemana="Lunes")+1)+$A32*7-6</f>
        <v>44094</v>
      </c>
      <c r="C32" s="47">
        <f ca="1"/>
        <v>44095</v>
      </c>
      <c r="D32" s="47">
        <f ca="1"/>
        <v>44096</v>
      </c>
      <c r="E32" s="47">
        <f ca="1"/>
        <v>44097</v>
      </c>
      <c r="F32" s="47">
        <f ca="1"/>
        <v>44098</v>
      </c>
      <c r="G32" s="47">
        <f ca="1"/>
        <v>44099</v>
      </c>
      <c r="H32" s="47">
        <f ca="1"/>
        <v>44100</v>
      </c>
      <c r="J32" s="47">
        <f t="array" aca="1" ref="J32:P32" ca="1">Días+DATE(CalYear,MONTH($J$27),1)-WEEKDAY(DATE(CalYear,MONTH($J$27),1),(InicioDeLaSemana="Lunes")+1)+$A32*7-6</f>
        <v>44122</v>
      </c>
      <c r="K32" s="47">
        <f ca="1"/>
        <v>44123</v>
      </c>
      <c r="L32" s="47">
        <f ca="1"/>
        <v>44124</v>
      </c>
      <c r="M32" s="47">
        <f ca="1"/>
        <v>44125</v>
      </c>
      <c r="N32" s="47">
        <f ca="1"/>
        <v>44126</v>
      </c>
      <c r="O32" s="47">
        <f ca="1"/>
        <v>44127</v>
      </c>
      <c r="P32" s="47">
        <f ca="1"/>
        <v>44128</v>
      </c>
      <c r="R32" s="47">
        <f t="array" aca="1" ref="R32:X32" ca="1">Días+DATE(CalYear,MONTH($R$27),1)-WEEKDAY(DATE(CalYear,MONTH($R$27),1),(InicioDeLaSemana="Lunes")+1)+$A32*7-6</f>
        <v>44157</v>
      </c>
      <c r="S32" s="47">
        <f ca="1"/>
        <v>44158</v>
      </c>
      <c r="T32" s="47">
        <f ca="1"/>
        <v>44159</v>
      </c>
      <c r="U32" s="47">
        <f ca="1"/>
        <v>44160</v>
      </c>
      <c r="V32" s="47">
        <f ca="1"/>
        <v>44161</v>
      </c>
      <c r="W32" s="47">
        <f ca="1"/>
        <v>44162</v>
      </c>
      <c r="X32" s="47">
        <f ca="1"/>
        <v>44163</v>
      </c>
      <c r="Z32" s="47">
        <f t="array" aca="1" ref="Z32:AF32" ca="1">Días+DATE(CalYear,MONTH($Z$27),1)-WEEKDAY(DATE(CalYear,MONTH($Z$27),1),(InicioDeLaSemana="Lunes")+1)+$A32*7-6</f>
        <v>44185</v>
      </c>
      <c r="AA32" s="47">
        <f ca="1"/>
        <v>44186</v>
      </c>
      <c r="AB32" s="47">
        <f ca="1"/>
        <v>44187</v>
      </c>
      <c r="AC32" s="47">
        <f ca="1"/>
        <v>44188</v>
      </c>
      <c r="AD32" s="47">
        <f ca="1"/>
        <v>44189</v>
      </c>
      <c r="AE32" s="47">
        <f ca="1"/>
        <v>44190</v>
      </c>
      <c r="AF32" s="47">
        <f ca="1"/>
        <v>44191</v>
      </c>
    </row>
    <row r="33" spans="1:32" x14ac:dyDescent="0.3">
      <c r="A33" s="36">
        <v>5</v>
      </c>
      <c r="B33" s="48">
        <f t="array" aca="1" ref="B33:H33" ca="1">Días+DATE(CalYear,MONTH($B$27),1)-WEEKDAY(DATE(CalYear,MONTH($B$27),1),(InicioDeLaSemana="Lunes")+1)+$A33*7-6</f>
        <v>44101</v>
      </c>
      <c r="C33" s="48">
        <f ca="1"/>
        <v>44102</v>
      </c>
      <c r="D33" s="48">
        <f ca="1"/>
        <v>44103</v>
      </c>
      <c r="E33" s="48">
        <f ca="1"/>
        <v>44104</v>
      </c>
      <c r="F33" s="48">
        <f ca="1"/>
        <v>44105</v>
      </c>
      <c r="G33" s="48">
        <f ca="1"/>
        <v>44106</v>
      </c>
      <c r="H33" s="48">
        <f ca="1"/>
        <v>44107</v>
      </c>
      <c r="J33" s="48">
        <f t="array" aca="1" ref="J33:P33" ca="1">Días+DATE(CalYear,MONTH($J$27),1)-WEEKDAY(DATE(CalYear,MONTH($J$27),1),(InicioDeLaSemana="Lunes")+1)+$A33*7-6</f>
        <v>44129</v>
      </c>
      <c r="K33" s="48">
        <f ca="1"/>
        <v>44130</v>
      </c>
      <c r="L33" s="48">
        <f ca="1"/>
        <v>44131</v>
      </c>
      <c r="M33" s="48">
        <f ca="1"/>
        <v>44132</v>
      </c>
      <c r="N33" s="48">
        <f ca="1"/>
        <v>44133</v>
      </c>
      <c r="O33" s="48">
        <f ca="1"/>
        <v>44134</v>
      </c>
      <c r="P33" s="48">
        <f ca="1"/>
        <v>44135</v>
      </c>
      <c r="R33" s="48">
        <f t="array" aca="1" ref="R33:X33" ca="1">Días+DATE(CalYear,MONTH($R$27),1)-WEEKDAY(DATE(CalYear,MONTH($R$27),1),(InicioDeLaSemana="Lunes")+1)+$A33*7-6</f>
        <v>44164</v>
      </c>
      <c r="S33" s="48">
        <f ca="1"/>
        <v>44165</v>
      </c>
      <c r="T33" s="48">
        <f ca="1"/>
        <v>44166</v>
      </c>
      <c r="U33" s="48">
        <f ca="1"/>
        <v>44167</v>
      </c>
      <c r="V33" s="48">
        <f ca="1"/>
        <v>44168</v>
      </c>
      <c r="W33" s="48">
        <f ca="1"/>
        <v>44169</v>
      </c>
      <c r="X33" s="48">
        <f ca="1"/>
        <v>44170</v>
      </c>
      <c r="Z33" s="48">
        <f t="array" aca="1" ref="Z33:AF33" ca="1">Días+DATE(CalYear,MONTH($Z$27),1)-WEEKDAY(DATE(CalYear,MONTH($Z$27),1),(InicioDeLaSemana="Lunes")+1)+$A33*7-6</f>
        <v>44192</v>
      </c>
      <c r="AA33" s="48">
        <f ca="1"/>
        <v>44193</v>
      </c>
      <c r="AB33" s="48">
        <f ca="1"/>
        <v>44194</v>
      </c>
      <c r="AC33" s="48">
        <f ca="1"/>
        <v>44195</v>
      </c>
      <c r="AD33" s="48">
        <f ca="1"/>
        <v>44196</v>
      </c>
      <c r="AE33" s="48">
        <f ca="1"/>
        <v>44197</v>
      </c>
      <c r="AF33" s="48">
        <f ca="1"/>
        <v>44198</v>
      </c>
    </row>
    <row r="34" spans="1:32" x14ac:dyDescent="0.3">
      <c r="A34" s="36">
        <v>6</v>
      </c>
      <c r="B34" s="47">
        <f t="array" aca="1" ref="B34:H34" ca="1">Días+DATE(CalYear,MONTH($B$27),1)-WEEKDAY(DATE(CalYear,MONTH($B$27),1),(InicioDeLaSemana="Lunes")+1)+$A34*7-6</f>
        <v>44108</v>
      </c>
      <c r="C34" s="47">
        <f ca="1"/>
        <v>44109</v>
      </c>
      <c r="D34" s="47">
        <f ca="1"/>
        <v>44110</v>
      </c>
      <c r="E34" s="47">
        <f ca="1"/>
        <v>44111</v>
      </c>
      <c r="F34" s="47">
        <f ca="1"/>
        <v>44112</v>
      </c>
      <c r="G34" s="47">
        <f ca="1"/>
        <v>44113</v>
      </c>
      <c r="H34" s="47">
        <f ca="1"/>
        <v>44114</v>
      </c>
      <c r="J34" s="47">
        <f t="array" aca="1" ref="J34:P34" ca="1">Días+DATE(CalYear,MONTH($J$27),1)-WEEKDAY(DATE(CalYear,MONTH($J$27),1),(InicioDeLaSemana="Lunes")+1)+$A34*7-6</f>
        <v>44136</v>
      </c>
      <c r="K34" s="47">
        <f ca="1"/>
        <v>44137</v>
      </c>
      <c r="L34" s="47">
        <f ca="1"/>
        <v>44138</v>
      </c>
      <c r="M34" s="47">
        <f ca="1"/>
        <v>44139</v>
      </c>
      <c r="N34" s="47">
        <f ca="1"/>
        <v>44140</v>
      </c>
      <c r="O34" s="47">
        <f ca="1"/>
        <v>44141</v>
      </c>
      <c r="P34" s="47">
        <f ca="1"/>
        <v>44142</v>
      </c>
      <c r="R34" s="47">
        <f t="array" aca="1" ref="R34:X34" ca="1">Días+DATE(CalYear,MONTH($R$27),1)-WEEKDAY(DATE(CalYear,MONTH($R$27),1),(InicioDeLaSemana="Lunes")+1)+$A34*7-6</f>
        <v>44171</v>
      </c>
      <c r="S34" s="47">
        <f ca="1"/>
        <v>44172</v>
      </c>
      <c r="T34" s="47">
        <f ca="1"/>
        <v>44173</v>
      </c>
      <c r="U34" s="47">
        <f ca="1"/>
        <v>44174</v>
      </c>
      <c r="V34" s="47">
        <f ca="1"/>
        <v>44175</v>
      </c>
      <c r="W34" s="47">
        <f ca="1"/>
        <v>44176</v>
      </c>
      <c r="X34" s="47">
        <f ca="1"/>
        <v>44177</v>
      </c>
      <c r="Z34" s="47">
        <f t="array" aca="1" ref="Z34:AF34" ca="1">Días+DATE(CalYear,MONTH($Z$27),1)-WEEKDAY(DATE(CalYear,MONTH($Z$27),1),(InicioDeLaSemana="Lunes")+1)+$A34*7-6</f>
        <v>44199</v>
      </c>
      <c r="AA34" s="47">
        <f ca="1"/>
        <v>44200</v>
      </c>
      <c r="AB34" s="47">
        <f ca="1"/>
        <v>44201</v>
      </c>
      <c r="AC34" s="47">
        <f ca="1"/>
        <v>44202</v>
      </c>
      <c r="AD34" s="47">
        <f ca="1"/>
        <v>44203</v>
      </c>
      <c r="AE34" s="47">
        <f ca="1"/>
        <v>44204</v>
      </c>
      <c r="AF34" s="47">
        <f ca="1"/>
        <v>44205</v>
      </c>
    </row>
  </sheetData>
  <mergeCells count="31">
    <mergeCell ref="W2:Z3"/>
    <mergeCell ref="J27:P27"/>
    <mergeCell ref="R27:X27"/>
    <mergeCell ref="Z27:AF27"/>
    <mergeCell ref="B4:H4"/>
    <mergeCell ref="B5:H5"/>
    <mergeCell ref="R4:AF8"/>
    <mergeCell ref="B10:H10"/>
    <mergeCell ref="I4:K4"/>
    <mergeCell ref="Z9:AF9"/>
    <mergeCell ref="B9:H9"/>
    <mergeCell ref="J9:P9"/>
    <mergeCell ref="R9:X9"/>
    <mergeCell ref="B2:P2"/>
    <mergeCell ref="B6:H6"/>
    <mergeCell ref="Z28:AF28"/>
    <mergeCell ref="R28:X28"/>
    <mergeCell ref="J28:P28"/>
    <mergeCell ref="B28:H28"/>
    <mergeCell ref="J10:P10"/>
    <mergeCell ref="R10:X10"/>
    <mergeCell ref="Z10:AF10"/>
    <mergeCell ref="B19:H19"/>
    <mergeCell ref="J19:P19"/>
    <mergeCell ref="R19:X19"/>
    <mergeCell ref="Z19:AF19"/>
    <mergeCell ref="Z18:AF18"/>
    <mergeCell ref="R18:X18"/>
    <mergeCell ref="J18:P18"/>
    <mergeCell ref="B18:H18"/>
    <mergeCell ref="B27:H27"/>
  </mergeCells>
  <conditionalFormatting sqref="B11:H11">
    <cfRule type="expression" dxfId="47" priority="38">
      <formula>DAY(B11)&gt;7</formula>
    </cfRule>
  </conditionalFormatting>
  <conditionalFormatting sqref="J11:P11">
    <cfRule type="expression" dxfId="46" priority="36">
      <formula>DAY(J11)&gt;7</formula>
    </cfRule>
  </conditionalFormatting>
  <conditionalFormatting sqref="R11:X11">
    <cfRule type="expression" dxfId="45" priority="35">
      <formula>DAY(R11)&gt;7</formula>
    </cfRule>
  </conditionalFormatting>
  <conditionalFormatting sqref="Z11:AF11">
    <cfRule type="expression" dxfId="44" priority="34">
      <formula>DAY(Z11)&gt;7</formula>
    </cfRule>
  </conditionalFormatting>
  <conditionalFormatting sqref="Z20:AF20">
    <cfRule type="expression" dxfId="43" priority="33">
      <formula>DAY(Z20)&gt;7</formula>
    </cfRule>
  </conditionalFormatting>
  <conditionalFormatting sqref="R20:X20">
    <cfRule type="expression" dxfId="42" priority="32">
      <formula>DAY(R20)&gt;7</formula>
    </cfRule>
  </conditionalFormatting>
  <conditionalFormatting sqref="J20:P20">
    <cfRule type="expression" dxfId="41" priority="31">
      <formula>DAY(J20)&gt;7</formula>
    </cfRule>
  </conditionalFormatting>
  <conditionalFormatting sqref="B20:H20">
    <cfRule type="expression" dxfId="40" priority="30">
      <formula>DAY(B20)&gt;7</formula>
    </cfRule>
  </conditionalFormatting>
  <conditionalFormatting sqref="B29:H29">
    <cfRule type="expression" dxfId="39" priority="29">
      <formula>DAY(B29)&gt;7</formula>
    </cfRule>
  </conditionalFormatting>
  <conditionalFormatting sqref="J29:P29">
    <cfRule type="expression" dxfId="38" priority="28">
      <formula>DAY(J29)&gt;7</formula>
    </cfRule>
  </conditionalFormatting>
  <conditionalFormatting sqref="R29:X29">
    <cfRule type="expression" dxfId="37" priority="27">
      <formula>DAY(R29)&gt;7</formula>
    </cfRule>
  </conditionalFormatting>
  <conditionalFormatting sqref="Z29:AF29">
    <cfRule type="expression" dxfId="36" priority="26">
      <formula>DAY(Z29)&gt;7</formula>
    </cfRule>
  </conditionalFormatting>
  <conditionalFormatting sqref="B15:H16">
    <cfRule type="expression" dxfId="35" priority="12">
      <formula>DAY(B15)&lt;15</formula>
    </cfRule>
  </conditionalFormatting>
  <conditionalFormatting sqref="J15:P16">
    <cfRule type="expression" dxfId="34" priority="11">
      <formula>DAY(J15)&lt;15</formula>
    </cfRule>
  </conditionalFormatting>
  <conditionalFormatting sqref="R15:X16">
    <cfRule type="expression" dxfId="33" priority="10">
      <formula>DAY(R15)&lt;15</formula>
    </cfRule>
  </conditionalFormatting>
  <conditionalFormatting sqref="Z15:AF16">
    <cfRule type="expression" dxfId="32" priority="9">
      <formula>DAY(Z15)&lt;15</formula>
    </cfRule>
  </conditionalFormatting>
  <conditionalFormatting sqref="Z24:AF25">
    <cfRule type="expression" dxfId="31" priority="8">
      <formula>DAY(Z24)&lt;15</formula>
    </cfRule>
  </conditionalFormatting>
  <conditionalFormatting sqref="R24:X25">
    <cfRule type="expression" dxfId="30" priority="7">
      <formula>DAY(R24)&lt;15</formula>
    </cfRule>
  </conditionalFormatting>
  <conditionalFormatting sqref="J24:P25">
    <cfRule type="expression" dxfId="29" priority="6">
      <formula>DAY(J24)&lt;15</formula>
    </cfRule>
  </conditionalFormatting>
  <conditionalFormatting sqref="B24:H25">
    <cfRule type="expression" dxfId="28" priority="5">
      <formula>DAY(B24)&lt;15</formula>
    </cfRule>
  </conditionalFormatting>
  <conditionalFormatting sqref="B33:H34">
    <cfRule type="expression" dxfId="27" priority="4">
      <formula>DAY(B33)&lt;15</formula>
    </cfRule>
  </conditionalFormatting>
  <conditionalFormatting sqref="J33:P34">
    <cfRule type="expression" dxfId="26" priority="3">
      <formula>DAY(J33)&lt;15</formula>
    </cfRule>
  </conditionalFormatting>
  <conditionalFormatting sqref="R33:X34">
    <cfRule type="expression" dxfId="25" priority="2">
      <formula>DAY(R33)&lt;15</formula>
    </cfRule>
  </conditionalFormatting>
  <conditionalFormatting sqref="Z33:AF34">
    <cfRule type="expression" dxfId="24" priority="1">
      <formula>DAY(Z33)&lt;15</formula>
    </cfRule>
  </conditionalFormatting>
  <dataValidations count="1">
    <dataValidation type="list" allowBlank="1" showInputMessage="1" showErrorMessage="1" errorTitle="¡Vaya!" error="Para que este calendario funcione correctamente, debe seleccionar un día laborable de la lista desplegable o escribir uno en la celda I4." sqref="I4:K4" xr:uid="{00000000-0002-0000-0000-000000000000}">
      <formula1>"DOMINGO,LUNES"</formula1>
    </dataValidation>
  </dataValidations>
  <printOptions horizontalCentered="1"/>
  <pageMargins left="0.4" right="0.4" top="0.4" bottom="0.4" header="0.3" footer="0.3"/>
  <pageSetup paperSize="9" fitToHeight="0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337" r:id="rId4" name="Control numérico 1">
              <controlPr defaultSize="0" print="0" autoPict="0" altText="Click the spinner to change the calendar year.">
                <anchor moveWithCells="1" sizeWithCells="1">
                  <from>
                    <xdr:col>31</xdr:col>
                    <xdr:colOff>0</xdr:colOff>
                    <xdr:row>6</xdr:row>
                    <xdr:rowOff>66675</xdr:rowOff>
                  </from>
                  <to>
                    <xdr:col>31</xdr:col>
                    <xdr:colOff>152400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38" r:id="rId5" name="ShowHolidaysCtrl">
              <controlPr defaultSize="0" autoFill="0" autoLine="0" autoPict="0" altText="Check to show holidays on the month sheets and uncheck to not show any.">
                <anchor moveWithCells="1">
                  <from>
                    <xdr:col>8</xdr:col>
                    <xdr:colOff>19050</xdr:colOff>
                    <xdr:row>4</xdr:row>
                    <xdr:rowOff>85725</xdr:rowOff>
                  </from>
                  <to>
                    <xdr:col>8</xdr:col>
                    <xdr:colOff>304800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39" r:id="rId6" name="ShowObservedCtrl">
              <controlPr defaultSize="0" autoFill="0" autoLine="0" autoPict="0" altText="Check to show the observed calendar dates on the month sheets, or leave unchecked to show the actual holiday dates.">
                <anchor moveWithCells="1">
                  <from>
                    <xdr:col>8</xdr:col>
                    <xdr:colOff>19050</xdr:colOff>
                    <xdr:row>5</xdr:row>
                    <xdr:rowOff>85725</xdr:rowOff>
                  </from>
                  <to>
                    <xdr:col>8</xdr:col>
                    <xdr:colOff>304800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4"/>
    <pageSetUpPr autoPageBreaks="0" fitToPage="1"/>
  </sheetPr>
  <dimension ref="B2:H17"/>
  <sheetViews>
    <sheetView showGridLines="0" zoomScaleNormal="100" workbookViewId="0"/>
  </sheetViews>
  <sheetFormatPr baseColWidth="10" defaultColWidth="8.85546875" defaultRowHeight="15" x14ac:dyDescent="0.3"/>
  <cols>
    <col min="1" max="1" width="3.5703125" customWidth="1"/>
    <col min="2" max="2" width="18.28515625" customWidth="1"/>
    <col min="3" max="8" width="17.7109375" customWidth="1"/>
    <col min="9" max="9" width="3.5703125" customWidth="1"/>
  </cols>
  <sheetData>
    <row r="2" spans="2:8" ht="30" customHeight="1" thickBot="1" x14ac:dyDescent="0.35">
      <c r="B2" s="58">
        <f ca="1">B9</f>
        <v>43842</v>
      </c>
      <c r="C2" s="58"/>
      <c r="D2" s="58"/>
      <c r="E2" s="34"/>
      <c r="F2" s="34"/>
      <c r="G2" s="34"/>
      <c r="H2" s="35"/>
    </row>
    <row r="3" spans="2:8" ht="18" customHeight="1" thickTop="1" x14ac:dyDescent="0.3"/>
    <row r="4" spans="2:8" ht="24" customHeight="1" thickBot="1" x14ac:dyDescent="0.35">
      <c r="B4" s="2" t="str">
        <f>InicioDeLaSemana</f>
        <v>DOMINGO</v>
      </c>
      <c r="C4" s="3" t="str">
        <f ca="1">UPPER(TEXT(C5,"dddd"))</f>
        <v>LUNES</v>
      </c>
      <c r="D4" s="3" t="str">
        <f t="shared" ref="D4:H4" ca="1" si="0">UPPER(TEXT(D5,"dddd"))</f>
        <v>MARTES</v>
      </c>
      <c r="E4" s="3" t="str">
        <f t="shared" ca="1" si="0"/>
        <v>MIÉRCOLES</v>
      </c>
      <c r="F4" s="3" t="str">
        <f t="shared" ca="1" si="0"/>
        <v>JUEVES</v>
      </c>
      <c r="G4" s="3" t="str">
        <f t="shared" ca="1" si="0"/>
        <v>VIERNES</v>
      </c>
      <c r="H4" s="4" t="str">
        <f t="shared" ca="1" si="0"/>
        <v>SÁBADO</v>
      </c>
    </row>
    <row r="5" spans="2:8" ht="19.5" customHeight="1" thickTop="1" x14ac:dyDescent="0.35">
      <c r="B5" s="5">
        <f t="array" aca="1" ref="B5:H5" ca="1">Días+DATE(CalYear,1,1)-WEEKDAY(DATE(CalYear,1,1),(InicioDeLaSemana="Lunes")+1)+1</f>
        <v>43828</v>
      </c>
      <c r="C5" s="6">
        <f ca="1"/>
        <v>43829</v>
      </c>
      <c r="D5" s="6">
        <f ca="1"/>
        <v>43830</v>
      </c>
      <c r="E5" s="6">
        <f ca="1"/>
        <v>43831</v>
      </c>
      <c r="F5" s="6">
        <f ca="1"/>
        <v>43832</v>
      </c>
      <c r="G5" s="6">
        <f ca="1"/>
        <v>43833</v>
      </c>
      <c r="H5" s="7">
        <f ca="1"/>
        <v>43834</v>
      </c>
    </row>
    <row r="6" spans="2:8" ht="57.95" customHeight="1" x14ac:dyDescent="0.3">
      <c r="B6" s="14" t="str">
        <f ca="1">IFERROR(IF(MostrarDíasFestivos,IF(INDEX(tblDíasfestivos[],MATCH(DATE(CalYear-(DAY(B5)&gt;15)+(ROW()&gt;6),MONTH(B5),DAY(B5)),IF(MostrarFestivosObservados,tblDíasfestivos[CORREGIDO],tblDíasfestivos[DÍA]),0),6),INDEX(tblDíasfestivos[],MATCH(DATE(CalYear-(DAY(B5)&gt;15)+(ROW()&gt;6),MONTH(B5),DAY(B5)),IF(MostrarFestivosObservados,tblDíasfestivos[CORREGIDO],tblDíasfestivos[DÍA]),0),2),""),""),"")</f>
        <v/>
      </c>
      <c r="C6" s="15" t="str">
        <f ca="1">IFERROR(IF(MostrarDíasFestivos,IF(INDEX(tblDíasfestivos[],MATCH(DATE(CalYear-(DAY(C5)&gt;15)+(ROW()&gt;6),MONTH(C5),DAY(C5)),IF(MostrarFestivosObservados,tblDíasfestivos[CORREGIDO],tblDíasfestivos[DÍA]),0),6),INDEX(tblDíasfestivos[],MATCH(DATE(CalYear-(DAY(C5)&gt;15)+(ROW()&gt;6),MONTH(C5),DAY(C5)),IF(MostrarFestivosObservados,tblDíasfestivos[CORREGIDO],tblDíasfestivos[DÍA]),0),2),""),""),"")</f>
        <v/>
      </c>
      <c r="D6" s="15" t="str">
        <f ca="1">IFERROR(IF(MostrarDíasFestivos,IF(INDEX(tblDíasfestivos[],MATCH(DATE(CalYear-(DAY(D5)&gt;15)+(ROW()&gt;6),MONTH(D5),DAY(D5)),IF(MostrarFestivosObservados,tblDíasfestivos[CORREGIDO],tblDíasfestivos[DÍA]),0),6),INDEX(tblDíasfestivos[],MATCH(DATE(CalYear-(DAY(D5)&gt;15)+(ROW()&gt;6),MONTH(D5),DAY(D5)),IF(MostrarFestivosObservados,tblDíasfestivos[CORREGIDO],tblDíasfestivos[DÍA]),0),2),""),""),"")</f>
        <v/>
      </c>
      <c r="E6" s="15" t="str">
        <f ca="1">IFERROR(IF(MostrarDíasFestivos,IF(INDEX(tblDíasfestivos[],MATCH(DATE(CalYear-(DAY(E5)&gt;15)+(ROW()&gt;6),MONTH(E5),DAY(E5)),IF(MostrarFestivosObservados,tblDíasfestivos[CORREGIDO],tblDíasfestivos[DÍA]),0),6),INDEX(tblDíasfestivos[],MATCH(DATE(CalYear-(DAY(E5)&gt;15)+(ROW()&gt;6),MONTH(E5),DAY(E5)),IF(MostrarFestivosObservados,tblDíasfestivos[CORREGIDO],tblDíasfestivos[DÍA]),0),2),""),""),"")</f>
        <v>Año nuevo</v>
      </c>
      <c r="F6" s="15" t="str">
        <f ca="1">IFERROR(IF(MostrarDíasFestivos,IF(INDEX(tblDíasfestivos[],MATCH(DATE(CalYear-(DAY(F5)&gt;15)+(ROW()&gt;6),MONTH(F5),DAY(F5)),IF(MostrarFestivosObservados,tblDíasfestivos[CORREGIDO],tblDíasfestivos[DÍA]),0),6),INDEX(tblDíasfestivos[],MATCH(DATE(CalYear-(DAY(F5)&gt;15)+(ROW()&gt;6),MONTH(F5),DAY(F5)),IF(MostrarFestivosObservados,tblDíasfestivos[CORREGIDO],tblDíasfestivos[DÍA]),0),2),""),""),"")</f>
        <v/>
      </c>
      <c r="G6" s="16" t="str">
        <f ca="1">IFERROR(IF(MostrarDíasFestivos,IF(INDEX(tblDíasfestivos[],MATCH(DATE(CalYear-(DAY(G5)&gt;15)+(ROW()&gt;6),MONTH(G5),DAY(G5)),IF(MostrarFestivosObservados,tblDíasfestivos[CORREGIDO],tblDíasfestivos[DÍA]),0),6),INDEX(tblDíasfestivos[],MATCH(DATE(CalYear-(DAY(G5)&gt;15)+(ROW()&gt;6),MONTH(G5),DAY(G5)),IF(MostrarFestivosObservados,tblDíasfestivos[CORREGIDO],tblDíasfestivos[DÍA]),0),2),""),""),"")</f>
        <v/>
      </c>
      <c r="H6" s="17" t="str">
        <f ca="1">IFERROR(IF(MostrarDíasFestivos,IF(INDEX(tblDíasfestivos[],MATCH(DATE(CalYear-(DAY(H5)&gt;15)+(ROW()&gt;6),MONTH(H5),DAY(H5)),IF(MostrarFestivosObservados,tblDíasfestivos[CORREGIDO],tblDíasfestivos[DÍA]),0),6),INDEX(tblDíasfestivos[],MATCH(DATE(CalYear-(DAY(H5)&gt;15)+(ROW()&gt;6),MONTH(H5),DAY(H5)),IF(MostrarFestivosObservados,tblDíasfestivos[CORREGIDO],tblDíasfestivos[DÍA]),0),2),""),""),"")</f>
        <v/>
      </c>
    </row>
    <row r="7" spans="2:8" ht="19.5" customHeight="1" x14ac:dyDescent="0.3">
      <c r="B7" s="8">
        <f t="array" aca="1" ref="B7:H7" ca="1">Días+DATE(CalYear,1,1)-WEEKDAY(DATE(CalYear,1,1),(InicioDeLaSemana="Lunes")+1)+8</f>
        <v>43835</v>
      </c>
      <c r="C7" s="9">
        <f ca="1"/>
        <v>43836</v>
      </c>
      <c r="D7" s="9">
        <f ca="1"/>
        <v>43837</v>
      </c>
      <c r="E7" s="9">
        <f ca="1"/>
        <v>43838</v>
      </c>
      <c r="F7" s="9">
        <f ca="1"/>
        <v>43839</v>
      </c>
      <c r="G7" s="9">
        <f ca="1"/>
        <v>43840</v>
      </c>
      <c r="H7" s="10">
        <f ca="1"/>
        <v>43841</v>
      </c>
    </row>
    <row r="8" spans="2:8" ht="57.95" customHeight="1" x14ac:dyDescent="0.3">
      <c r="B8" s="18" t="str">
        <f ca="1">IFERROR(IF(MostrarDíasFestivos,IF(INDEX(tblDíasfestivos[],MATCH(DATE(CalYear,MONTH(B7),DAY(B7)),IF(MostrarFestivosObservados,tblDíasfestivos[CORREGIDO],tblDíasfestivos[DÍA]),0),6),INDEX(tblDíasfestivos[],MATCH(DATE(CalYear,MONTH(B7),DAY(B7)),IF(MostrarFestivosObservados,tblDíasfestivos[CORREGIDO],tblDíasfestivos[DÍA]),0),2),""),""),"")</f>
        <v/>
      </c>
      <c r="C8" s="19" t="str">
        <f ca="1">IFERROR(IF(MostrarDíasFestivos,IF(INDEX(tblDíasfestivos[],MATCH(DATE(CalYear,MONTH(C7),DAY(C7)),IF(MostrarFestivosObservados,tblDíasfestivos[CORREGIDO],tblDíasfestivos[DÍA]),0),6),INDEX(tblDíasfestivos[],MATCH(DATE(CalYear,MONTH(C7),DAY(C7)),IF(MostrarFestivosObservados,tblDíasfestivos[CORREGIDO],tblDíasfestivos[DÍA]),0),2),""),""),"")</f>
        <v/>
      </c>
      <c r="D8" s="19" t="str">
        <f ca="1">IFERROR(IF(MostrarDíasFestivos,IF(INDEX(tblDíasfestivos[],MATCH(DATE(CalYear,MONTH(D7),DAY(D7)),IF(MostrarFestivosObservados,tblDíasfestivos[CORREGIDO],tblDíasfestivos[DÍA]),0),6),INDEX(tblDíasfestivos[],MATCH(DATE(CalYear,MONTH(D7),DAY(D7)),IF(MostrarFestivosObservados,tblDíasfestivos[CORREGIDO],tblDíasfestivos[DÍA]),0),2),""),""),"")</f>
        <v/>
      </c>
      <c r="E8" s="19" t="str">
        <f ca="1">IFERROR(IF(MostrarDíasFestivos,IF(INDEX(tblDíasfestivos[],MATCH(DATE(CalYear,MONTH(E7),DAY(E7)),IF(MostrarFestivosObservados,tblDíasfestivos[CORREGIDO],tblDíasfestivos[DÍA]),0),6),INDEX(tblDíasfestivos[],MATCH(DATE(CalYear,MONTH(E7),DAY(E7)),IF(MostrarFestivosObservados,tblDíasfestivos[CORREGIDO],tblDíasfestivos[DÍA]),0),2),""),""),"")</f>
        <v/>
      </c>
      <c r="F8" s="19" t="str">
        <f ca="1">IFERROR(IF(MostrarDíasFestivos,IF(INDEX(tblDíasfestivos[],MATCH(DATE(CalYear,MONTH(F7),DAY(F7)),IF(MostrarFestivosObservados,tblDíasfestivos[CORREGIDO],tblDíasfestivos[DÍA]),0),6),INDEX(tblDíasfestivos[],MATCH(DATE(CalYear,MONTH(F7),DAY(F7)),IF(MostrarFestivosObservados,tblDíasfestivos[CORREGIDO],tblDíasfestivos[DÍA]),0),2),""),""),"")</f>
        <v/>
      </c>
      <c r="G8" s="20" t="str">
        <f ca="1">IFERROR(IF(MostrarDíasFestivos,IF(INDEX(tblDíasfestivos[],MATCH(DATE(CalYear,MONTH(G7),DAY(G7)),IF(MostrarFestivosObservados,tblDíasfestivos[CORREGIDO],tblDíasfestivos[DÍA]),0),6),INDEX(tblDíasfestivos[],MATCH(DATE(CalYear,MONTH(G7),DAY(G7)),IF(MostrarFestivosObservados,tblDíasfestivos[CORREGIDO],tblDíasfestivos[DÍA]),0),2),""),""),"")</f>
        <v/>
      </c>
      <c r="H8" s="21" t="str">
        <f ca="1">IFERROR(IF(MostrarDíasFestivos,IF(INDEX(tblDíasfestivos[],MATCH(DATE(CalYear,MONTH(H7),DAY(H7)),IF(MostrarFestivosObservados,tblDíasfestivos[CORREGIDO],tblDíasfestivos[DÍA]),0),6),INDEX(tblDíasfestivos[],MATCH(DATE(CalYear,MONTH(H7),DAY(H7)),IF(MostrarFestivosObservados,tblDíasfestivos[CORREGIDO],tblDíasfestivos[DÍA]),0),2),""),""),"")</f>
        <v/>
      </c>
    </row>
    <row r="9" spans="2:8" ht="19.5" customHeight="1" x14ac:dyDescent="0.3">
      <c r="B9" s="11">
        <f t="array" aca="1" ref="B9:H9" ca="1">Días+DATE(CalYear,1,1)-WEEKDAY(DATE(CalYear,1,1),(InicioDeLaSemana="Lunes")+1)+15</f>
        <v>43842</v>
      </c>
      <c r="C9" s="12">
        <f ca="1"/>
        <v>43843</v>
      </c>
      <c r="D9" s="12">
        <f ca="1"/>
        <v>43844</v>
      </c>
      <c r="E9" s="12">
        <f ca="1"/>
        <v>43845</v>
      </c>
      <c r="F9" s="12">
        <f ca="1"/>
        <v>43846</v>
      </c>
      <c r="G9" s="12">
        <f ca="1"/>
        <v>43847</v>
      </c>
      <c r="H9" s="13">
        <f ca="1"/>
        <v>43848</v>
      </c>
    </row>
    <row r="10" spans="2:8" ht="57.95" customHeight="1" x14ac:dyDescent="0.3">
      <c r="B10" s="22" t="str">
        <f ca="1">IFERROR(IF(MostrarDíasFestivos,IF(INDEX(tblDíasfestivos[],MATCH(DATE(CalYear,MONTH(B9),DAY(B9)),IF(MostrarFestivosObservados,tblDíasfestivos[CORREGIDO],tblDíasfestivos[DÍA]),0),6),INDEX(tblDíasfestivos[],MATCH(DATE(CalYear,MONTH(B9),DAY(B9)),IF(MostrarFestivosObservados,tblDíasfestivos[CORREGIDO],tblDíasfestivos[DÍA]),0),2),""),""),"")</f>
        <v/>
      </c>
      <c r="C10" s="23" t="str">
        <f ca="1">IFERROR(IF(MostrarDíasFestivos,IF(INDEX(tblDíasfestivos[],MATCH(DATE(CalYear,MONTH(C9),DAY(C9)),IF(MostrarFestivosObservados,tblDíasfestivos[CORREGIDO],tblDíasfestivos[DÍA]),0),6),INDEX(tblDíasfestivos[],MATCH(DATE(CalYear,MONTH(C9),DAY(C9)),IF(MostrarFestivosObservados,tblDíasfestivos[CORREGIDO],tblDíasfestivos[DÍA]),0),2),""),""),"")</f>
        <v/>
      </c>
      <c r="D10" s="23" t="str">
        <f ca="1">IFERROR(IF(MostrarDíasFestivos,IF(INDEX(tblDíasfestivos[],MATCH(DATE(CalYear,MONTH(D9),DAY(D9)),IF(MostrarFestivosObservados,tblDíasfestivos[CORREGIDO],tblDíasfestivos[DÍA]),0),6),INDEX(tblDíasfestivos[],MATCH(DATE(CalYear,MONTH(D9),DAY(D9)),IF(MostrarFestivosObservados,tblDíasfestivos[CORREGIDO],tblDíasfestivos[DÍA]),0),2),""),""),"")</f>
        <v/>
      </c>
      <c r="E10" s="23" t="str">
        <f ca="1">IFERROR(IF(MostrarDíasFestivos,IF(INDEX(tblDíasfestivos[],MATCH(DATE(CalYear,MONTH(E9),DAY(E9)),IF(MostrarFestivosObservados,tblDíasfestivos[CORREGIDO],tblDíasfestivos[DÍA]),0),6),INDEX(tblDíasfestivos[],MATCH(DATE(CalYear,MONTH(E9),DAY(E9)),IF(MostrarFestivosObservados,tblDíasfestivos[CORREGIDO],tblDíasfestivos[DÍA]),0),2),""),""),"")</f>
        <v/>
      </c>
      <c r="F10" s="23" t="str">
        <f ca="1">IFERROR(IF(MostrarDíasFestivos,IF(INDEX(tblDíasfestivos[],MATCH(DATE(CalYear,MONTH(F9),DAY(F9)),IF(MostrarFestivosObservados,tblDíasfestivos[CORREGIDO],tblDíasfestivos[DÍA]),0),6),INDEX(tblDíasfestivos[],MATCH(DATE(CalYear,MONTH(F9),DAY(F9)),IF(MostrarFestivosObservados,tblDíasfestivos[CORREGIDO],tblDíasfestivos[DÍA]),0),2),""),""),"")</f>
        <v/>
      </c>
      <c r="G10" s="24" t="str">
        <f ca="1">IFERROR(IF(MostrarDíasFestivos,IF(INDEX(tblDíasfestivos[],MATCH(DATE(CalYear,MONTH(G9),DAY(G9)),IF(MostrarFestivosObservados,tblDíasfestivos[CORREGIDO],tblDíasfestivos[DÍA]),0),6),INDEX(tblDíasfestivos[],MATCH(DATE(CalYear,MONTH(G9),DAY(G9)),IF(MostrarFestivosObservados,tblDíasfestivos[CORREGIDO],tblDíasfestivos[DÍA]),0),2),""),""),"")</f>
        <v/>
      </c>
      <c r="H10" s="25" t="str">
        <f ca="1">IFERROR(IF(MostrarDíasFestivos,IF(INDEX(tblDíasfestivos[],MATCH(DATE(CalYear,MONTH(H9),DAY(H9)),IF(MostrarFestivosObservados,tblDíasfestivos[CORREGIDO],tblDíasfestivos[DÍA]),0),6),INDEX(tblDíasfestivos[],MATCH(DATE(CalYear,MONTH(H9),DAY(H9)),IF(MostrarFestivosObservados,tblDíasfestivos[CORREGIDO],tblDíasfestivos[DÍA]),0),2),""),""),"")</f>
        <v/>
      </c>
    </row>
    <row r="11" spans="2:8" ht="19.5" customHeight="1" x14ac:dyDescent="0.3">
      <c r="B11" s="8">
        <f t="array" aca="1" ref="B11:H11" ca="1">Días+DATE(CalYear,1,1)-WEEKDAY(DATE(CalYear,1,1),(InicioDeLaSemana="Lunes")+1)+22</f>
        <v>43849</v>
      </c>
      <c r="C11" s="9">
        <f ca="1"/>
        <v>43850</v>
      </c>
      <c r="D11" s="9">
        <f ca="1"/>
        <v>43851</v>
      </c>
      <c r="E11" s="9">
        <f ca="1"/>
        <v>43852</v>
      </c>
      <c r="F11" s="9">
        <f ca="1"/>
        <v>43853</v>
      </c>
      <c r="G11" s="9">
        <f ca="1"/>
        <v>43854</v>
      </c>
      <c r="H11" s="10">
        <f ca="1"/>
        <v>43855</v>
      </c>
    </row>
    <row r="12" spans="2:8" ht="57.95" customHeight="1" x14ac:dyDescent="0.3">
      <c r="B12" s="18" t="str">
        <f ca="1">IFERROR(IF(MostrarDíasFestivos,IF(INDEX(tblDíasfestivos[],MATCH(DATE(CalYear,MONTH(B11),DAY(B11)),IF(MostrarFestivosObservados,tblDíasfestivos[CORREGIDO],tblDíasfestivos[DÍA]),0),6),INDEX(tblDíasfestivos[],MATCH(DATE(CalYear,MONTH(B11),DAY(B11)),IF(MostrarFestivosObservados,tblDíasfestivos[CORREGIDO],tblDíasfestivos[DÍA]),0),2),""),""),"")</f>
        <v/>
      </c>
      <c r="C12" s="19" t="str">
        <f ca="1">IFERROR(IF(MostrarDíasFestivos,IF(INDEX(tblDíasfestivos[],MATCH(DATE(CalYear,MONTH(C11),DAY(C11)),IF(MostrarFestivosObservados,tblDíasfestivos[CORREGIDO],tblDíasfestivos[DÍA]),0),6),INDEX(tblDíasfestivos[],MATCH(DATE(CalYear,MONTH(C11),DAY(C11)),IF(MostrarFestivosObservados,tblDíasfestivos[CORREGIDO],tblDíasfestivos[DÍA]),0),2),""),""),"")</f>
        <v/>
      </c>
      <c r="D12" s="19" t="str">
        <f ca="1">IFERROR(IF(MostrarDíasFestivos,IF(INDEX(tblDíasfestivos[],MATCH(DATE(CalYear,MONTH(D11),DAY(D11)),IF(MostrarFestivosObservados,tblDíasfestivos[CORREGIDO],tblDíasfestivos[DÍA]),0),6),INDEX(tblDíasfestivos[],MATCH(DATE(CalYear,MONTH(D11),DAY(D11)),IF(MostrarFestivosObservados,tblDíasfestivos[CORREGIDO],tblDíasfestivos[DÍA]),0),2),""),""),"")</f>
        <v/>
      </c>
      <c r="E12" s="19" t="str">
        <f ca="1">IFERROR(IF(MostrarDíasFestivos,IF(INDEX(tblDíasfestivos[],MATCH(DATE(CalYear,MONTH(E11),DAY(E11)),IF(MostrarFestivosObservados,tblDíasfestivos[CORREGIDO],tblDíasfestivos[DÍA]),0),6),INDEX(tblDíasfestivos[],MATCH(DATE(CalYear,MONTH(E11),DAY(E11)),IF(MostrarFestivosObservados,tblDíasfestivos[CORREGIDO],tblDíasfestivos[DÍA]),0),2),""),""),"")</f>
        <v/>
      </c>
      <c r="F12" s="19" t="str">
        <f ca="1">IFERROR(IF(MostrarDíasFestivos,IF(INDEX(tblDíasfestivos[],MATCH(DATE(CalYear,MONTH(F11),DAY(F11)),IF(MostrarFestivosObservados,tblDíasfestivos[CORREGIDO],tblDíasfestivos[DÍA]),0),6),INDEX(tblDíasfestivos[],MATCH(DATE(CalYear,MONTH(F11),DAY(F11)),IF(MostrarFestivosObservados,tblDíasfestivos[CORREGIDO],tblDíasfestivos[DÍA]),0),2),""),""),"")</f>
        <v/>
      </c>
      <c r="G12" s="20" t="str">
        <f ca="1">IFERROR(IF(MostrarDíasFestivos,IF(INDEX(tblDíasfestivos[],MATCH(DATE(CalYear,MONTH(G11),DAY(G11)),IF(MostrarFestivosObservados,tblDíasfestivos[CORREGIDO],tblDíasfestivos[DÍA]),0),6),INDEX(tblDíasfestivos[],MATCH(DATE(CalYear,MONTH(G11),DAY(G11)),IF(MostrarFestivosObservados,tblDíasfestivos[CORREGIDO],tblDíasfestivos[DÍA]),0),2),""),""),"")</f>
        <v/>
      </c>
      <c r="H12" s="21" t="str">
        <f ca="1">IFERROR(IF(MostrarDíasFestivos,IF(INDEX(tblDíasfestivos[],MATCH(DATE(CalYear,MONTH(H11),DAY(H11)),IF(MostrarFestivosObservados,tblDíasfestivos[CORREGIDO],tblDíasfestivos[DÍA]),0),6),INDEX(tblDíasfestivos[],MATCH(DATE(CalYear,MONTH(H11),DAY(H11)),IF(MostrarFestivosObservados,tblDíasfestivos[CORREGIDO],tblDíasfestivos[DÍA]),0),2),""),""),"")</f>
        <v/>
      </c>
    </row>
    <row r="13" spans="2:8" ht="19.5" customHeight="1" x14ac:dyDescent="0.3">
      <c r="B13" s="11">
        <f t="array" aca="1" ref="B13:H13" ca="1">Días+DATE(CalYear,1,1)-WEEKDAY(DATE(CalYear,1,1),(InicioDeLaSemana="Lunes")+1)+29</f>
        <v>43856</v>
      </c>
      <c r="C13" s="12">
        <f ca="1"/>
        <v>43857</v>
      </c>
      <c r="D13" s="12">
        <f ca="1"/>
        <v>43858</v>
      </c>
      <c r="E13" s="12">
        <f ca="1"/>
        <v>43859</v>
      </c>
      <c r="F13" s="12">
        <f ca="1"/>
        <v>43860</v>
      </c>
      <c r="G13" s="12">
        <f ca="1"/>
        <v>43861</v>
      </c>
      <c r="H13" s="13">
        <f ca="1"/>
        <v>43862</v>
      </c>
    </row>
    <row r="14" spans="2:8" ht="57.95" customHeight="1" x14ac:dyDescent="0.3">
      <c r="B14" s="22" t="str">
        <f ca="1">IFERROR(IF(MostrarDíasFestivos,IF(INDEX(tblDíasfestivos[],MATCH(DATE(CalYear,MONTH(B13),DAY(B13)),IF(MostrarFestivosObservados,tblDíasfestivos[CORREGIDO],tblDíasfestivos[DÍA]),0),6),INDEX(tblDíasfestivos[],MATCH(DATE(CalYear,MONTH(B13),DAY(B13)),IF(MostrarFestivosObservados,tblDíasfestivos[CORREGIDO],tblDíasfestivos[DÍA]),0),2),""),""),"")</f>
        <v/>
      </c>
      <c r="C14" s="23" t="str">
        <f ca="1">IFERROR(IF(MostrarDíasFestivos,IF(INDEX(tblDíasfestivos[],MATCH(DATE(CalYear,MONTH(C13),DAY(C13)),IF(MostrarFestivosObservados,tblDíasfestivos[CORREGIDO],tblDíasfestivos[DÍA]),0),6),INDEX(tblDíasfestivos[],MATCH(DATE(CalYear,MONTH(C13),DAY(C13)),IF(MostrarFestivosObservados,tblDíasfestivos[CORREGIDO],tblDíasfestivos[DÍA]),0),2),""),""),"")</f>
        <v/>
      </c>
      <c r="D14" s="23" t="str">
        <f ca="1">IFERROR(IF(MostrarDíasFestivos,IF(INDEX(tblDíasfestivos[],MATCH(DATE(CalYear,MONTH(D13),DAY(D13)),IF(MostrarFestivosObservados,tblDíasfestivos[CORREGIDO],tblDíasfestivos[DÍA]),0),6),INDEX(tblDíasfestivos[],MATCH(DATE(CalYear,MONTH(D13),DAY(D13)),IF(MostrarFestivosObservados,tblDíasfestivos[CORREGIDO],tblDíasfestivos[DÍA]),0),2),""),""),"")</f>
        <v/>
      </c>
      <c r="E14" s="23" t="str">
        <f ca="1">IFERROR(IF(MostrarDíasFestivos,IF(INDEX(tblDíasfestivos[],MATCH(DATE(CalYear,MONTH(E13),DAY(E13)),IF(MostrarFestivosObservados,tblDíasfestivos[CORREGIDO],tblDíasfestivos[DÍA]),0),6),INDEX(tblDíasfestivos[],MATCH(DATE(CalYear,MONTH(E13),DAY(E13)),IF(MostrarFestivosObservados,tblDíasfestivos[CORREGIDO],tblDíasfestivos[DÍA]),0),2),""),""),"")</f>
        <v/>
      </c>
      <c r="F14" s="23" t="str">
        <f ca="1">IFERROR(IF(MostrarDíasFestivos,IF(INDEX(tblDíasfestivos[],MATCH(DATE(CalYear,MONTH(F13),DAY(F13)),IF(MostrarFestivosObservados,tblDíasfestivos[CORREGIDO],tblDíasfestivos[DÍA]),0),6),INDEX(tblDíasfestivos[],MATCH(DATE(CalYear,MONTH(F13),DAY(F13)),IF(MostrarFestivosObservados,tblDíasfestivos[CORREGIDO],tblDíasfestivos[DÍA]),0),2),""),""),"")</f>
        <v/>
      </c>
      <c r="G14" s="24" t="str">
        <f ca="1">IFERROR(IF(MostrarDíasFestivos,IF(INDEX(tblDíasfestivos[],MATCH(DATE(CalYear,MONTH(G13),DAY(G13)),IF(MostrarFestivosObservados,tblDíasfestivos[CORREGIDO],tblDíasfestivos[DÍA]),0),6),INDEX(tblDíasfestivos[],MATCH(DATE(CalYear,MONTH(G13),DAY(G13)),IF(MostrarFestivosObservados,tblDíasfestivos[CORREGIDO],tblDíasfestivos[DÍA]),0),2),""),""),"")</f>
        <v/>
      </c>
      <c r="H14" s="25" t="str">
        <f ca="1">IFERROR(IF(MostrarDíasFestivos,IF(INDEX(tblDíasfestivos[],MATCH(DATE(CalYear,MONTH(H13),DAY(H13)),IF(MostrarFestivosObservados,tblDíasfestivos[CORREGIDO],tblDíasfestivos[DÍA]),0),6),INDEX(tblDíasfestivos[],MATCH(DATE(CalYear,MONTH(H13),DAY(H13)),IF(MostrarFestivosObservados,tblDíasfestivos[CORREGIDO],tblDíasfestivos[DÍA]),0),2),""),""),"")</f>
        <v/>
      </c>
    </row>
    <row r="15" spans="2:8" ht="19.5" customHeight="1" x14ac:dyDescent="0.35">
      <c r="B15" s="8">
        <f t="array" aca="1" ref="B15:C15" ca="1">Días+DATE(CalYear,1,1)-WEEKDAY(DATE(CalYear,1,1),(InicioDeLaSemana="Lunes")+1)+36</f>
        <v>43863</v>
      </c>
      <c r="C15" s="9">
        <f ca="1"/>
        <v>43864</v>
      </c>
      <c r="D15" s="61" t="s">
        <v>7</v>
      </c>
      <c r="E15" s="61"/>
      <c r="F15" s="61"/>
      <c r="G15" s="61"/>
      <c r="H15" s="62"/>
    </row>
    <row r="16" spans="2:8" ht="57.95" customHeight="1" x14ac:dyDescent="0.3">
      <c r="B16" s="18" t="str">
        <f ca="1">IFERROR(IF(MostrarDíasFestivos,IF(INDEX(tblDíasfestivos[],MATCH(DATE(CalYear,MONTH(B15),DAY(B15)),IF(MostrarFestivosObservados,tblDíasfestivos[CORREGIDO],tblDíasfestivos[DÍA]),0),6),INDEX(tblDíasfestivos[],MATCH(DATE(CalYear,MONTH(B15),DAY(B15)),IF(MostrarFestivosObservados,tblDíasfestivos[CORREGIDO],tblDíasfestivos[DÍA]),0),2),""),""),"")</f>
        <v/>
      </c>
      <c r="C16" s="19" t="str">
        <f ca="1">IFERROR(IF(MostrarDíasFestivos,IF(INDEX(tblDíasfestivos[],MATCH(DATE(CalYear,MONTH(C15),DAY(C15)),IF(MostrarFestivosObservados,tblDíasfestivos[CORREGIDO],tblDíasfestivos[DÍA]),0),6),INDEX(tblDíasfestivos[],MATCH(DATE(CalYear,MONTH(C15),DAY(C15)),IF(MostrarFestivosObservados,tblDíasfestivos[CORREGIDO],tblDíasfestivos[DÍA]),0),2),""),""),"")</f>
        <v/>
      </c>
      <c r="D16" s="59"/>
      <c r="E16" s="59"/>
      <c r="F16" s="59"/>
      <c r="G16" s="59"/>
      <c r="H16" s="60"/>
    </row>
    <row r="17" spans="2:8" x14ac:dyDescent="0.3">
      <c r="B17" s="63"/>
      <c r="C17" s="63"/>
      <c r="D17" s="63"/>
      <c r="E17" s="63"/>
      <c r="F17" s="63"/>
      <c r="G17" s="63"/>
      <c r="H17" s="63"/>
    </row>
  </sheetData>
  <mergeCells count="4">
    <mergeCell ref="B2:D2"/>
    <mergeCell ref="D16:H16"/>
    <mergeCell ref="D15:H15"/>
    <mergeCell ref="B17:H17"/>
  </mergeCells>
  <phoneticPr fontId="1" type="noConversion"/>
  <conditionalFormatting sqref="B13:H13 B15:C15">
    <cfRule type="expression" dxfId="23" priority="2">
      <formula>AND(DAY(B13)&gt;=1,DAY(B13)&lt;=15)</formula>
    </cfRule>
  </conditionalFormatting>
  <conditionalFormatting sqref="B5:G5">
    <cfRule type="expression" dxfId="22" priority="1">
      <formula>DAY(B5)&gt;8</formula>
    </cfRule>
  </conditionalFormatting>
  <printOptions horizontalCentered="1"/>
  <pageMargins left="0.4" right="0.4" top="0.4" bottom="0.4" header="0.3" footer="0.3"/>
  <pageSetup paperSize="9" fitToHeight="0" orientation="landscape" r:id="rId1"/>
  <customProperties>
    <customPr name="SheetChanged" r:id="rId2"/>
  </customProperties>
  <drawing r:id="rId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4"/>
    <pageSetUpPr fitToPage="1"/>
  </sheetPr>
  <dimension ref="B2:H17"/>
  <sheetViews>
    <sheetView showGridLines="0" workbookViewId="0"/>
  </sheetViews>
  <sheetFormatPr baseColWidth="10" defaultColWidth="8.85546875" defaultRowHeight="15" x14ac:dyDescent="0.3"/>
  <cols>
    <col min="1" max="1" width="3.5703125" customWidth="1"/>
    <col min="2" max="2" width="18.28515625" customWidth="1"/>
    <col min="3" max="8" width="17.7109375" customWidth="1"/>
    <col min="9" max="9" width="3.5703125" customWidth="1"/>
    <col min="10" max="10" width="13.7109375" customWidth="1"/>
  </cols>
  <sheetData>
    <row r="2" spans="2:8" ht="30" customHeight="1" thickBot="1" x14ac:dyDescent="0.35">
      <c r="B2" s="58">
        <f ca="1">B9</f>
        <v>43870</v>
      </c>
      <c r="C2" s="58"/>
      <c r="D2" s="58"/>
      <c r="E2" s="34"/>
      <c r="F2" s="34"/>
      <c r="G2" s="34"/>
      <c r="H2" s="35"/>
    </row>
    <row r="3" spans="2:8" ht="18" customHeight="1" thickTop="1" x14ac:dyDescent="0.3"/>
    <row r="4" spans="2:8" ht="24" customHeight="1" thickBot="1" x14ac:dyDescent="0.35">
      <c r="B4" s="2" t="str">
        <f>InicioDeLaSemana</f>
        <v>DOMINGO</v>
      </c>
      <c r="C4" s="3" t="str">
        <f t="shared" ref="C4:H4" ca="1" si="0">UPPER(TEXT(C5,"dddd"))</f>
        <v>LUNES</v>
      </c>
      <c r="D4" s="3" t="str">
        <f t="shared" ca="1" si="0"/>
        <v>MARTES</v>
      </c>
      <c r="E4" s="3" t="str">
        <f t="shared" ca="1" si="0"/>
        <v>MIÉRCOLES</v>
      </c>
      <c r="F4" s="3" t="str">
        <f t="shared" ca="1" si="0"/>
        <v>JUEVES</v>
      </c>
      <c r="G4" s="3" t="str">
        <f t="shared" ca="1" si="0"/>
        <v>VIERNES</v>
      </c>
      <c r="H4" s="4" t="str">
        <f t="shared" ca="1" si="0"/>
        <v>SÁBADO</v>
      </c>
    </row>
    <row r="5" spans="2:8" ht="19.5" customHeight="1" thickTop="1" x14ac:dyDescent="0.35">
      <c r="B5" s="5">
        <f t="array" aca="1" ref="B5:H5" ca="1">Días+DATE(CalYear,2,1)-WEEKDAY(DATE(CalYear,2,1),(InicioDeLaSemana="Lunes")+1)+1</f>
        <v>43856</v>
      </c>
      <c r="C5" s="6">
        <f ca="1"/>
        <v>43857</v>
      </c>
      <c r="D5" s="6">
        <f ca="1"/>
        <v>43858</v>
      </c>
      <c r="E5" s="6">
        <f ca="1"/>
        <v>43859</v>
      </c>
      <c r="F5" s="6">
        <f ca="1"/>
        <v>43860</v>
      </c>
      <c r="G5" s="6">
        <f ca="1"/>
        <v>43861</v>
      </c>
      <c r="H5" s="7">
        <f ca="1"/>
        <v>43862</v>
      </c>
    </row>
    <row r="6" spans="2:8" ht="57.95" customHeight="1" x14ac:dyDescent="0.3">
      <c r="B6" s="14" t="str">
        <f ca="1">IFERROR(IF(MostrarDíasFestivos,IF(INDEX(tblDíasfestivos[],MATCH(DATE(CalYear-(DAY(B5)&gt;15)+(ROW()&gt;6),MONTH(B5),DAY(B5)),IF(MostrarFestivosObservados,tblDíasfestivos[CORREGIDO],tblDíasfestivos[DÍA]),0),6),INDEX(tblDíasfestivos[],MATCH(DATE(CalYear-(DAY(B5)&gt;15)+(ROW()&gt;6),MONTH(B5),DAY(B5)),IF(MostrarFestivosObservados,tblDíasfestivos[CORREGIDO],tblDíasfestivos[DÍA]),0),2),""),""),"")</f>
        <v/>
      </c>
      <c r="C6" s="15" t="str">
        <f ca="1">IFERROR(IF(MostrarDíasFestivos,IF(INDEX(tblDíasfestivos[],MATCH(DATE(CalYear-(DAY(C5)&gt;15)+(ROW()&gt;6),MONTH(C5),DAY(C5)),IF(MostrarFestivosObservados,tblDíasfestivos[CORREGIDO],tblDíasfestivos[DÍA]),0),6),INDEX(tblDíasfestivos[],MATCH(DATE(CalYear-(DAY(C5)&gt;15)+(ROW()&gt;6),MONTH(C5),DAY(C5)),IF(MostrarFestivosObservados,tblDíasfestivos[CORREGIDO],tblDíasfestivos[DÍA]),0),2),""),""),"")</f>
        <v/>
      </c>
      <c r="D6" s="15" t="str">
        <f ca="1">IFERROR(IF(MostrarDíasFestivos,IF(INDEX(tblDíasfestivos[],MATCH(DATE(CalYear-(DAY(D5)&gt;15)+(ROW()&gt;6),MONTH(D5),DAY(D5)),IF(MostrarFestivosObservados,tblDíasfestivos[CORREGIDO],tblDíasfestivos[DÍA]),0),6),INDEX(tblDíasfestivos[],MATCH(DATE(CalYear-(DAY(D5)&gt;15)+(ROW()&gt;6),MONTH(D5),DAY(D5)),IF(MostrarFestivosObservados,tblDíasfestivos[CORREGIDO],tblDíasfestivos[DÍA]),0),2),""),""),"")</f>
        <v/>
      </c>
      <c r="E6" s="15" t="str">
        <f ca="1">IFERROR(IF(MostrarDíasFestivos,IF(INDEX(tblDíasfestivos[],MATCH(DATE(CalYear-(DAY(E5)&gt;15)+(ROW()&gt;6),MONTH(E5),DAY(E5)),IF(MostrarFestivosObservados,tblDíasfestivos[CORREGIDO],tblDíasfestivos[DÍA]),0),6),INDEX(tblDíasfestivos[],MATCH(DATE(CalYear-(DAY(E5)&gt;15)+(ROW()&gt;6),MONTH(E5),DAY(E5)),IF(MostrarFestivosObservados,tblDíasfestivos[CORREGIDO],tblDíasfestivos[DÍA]),0),2),""),""),"")</f>
        <v/>
      </c>
      <c r="F6" s="15" t="str">
        <f ca="1">IFERROR(IF(MostrarDíasFestivos,IF(INDEX(tblDíasfestivos[],MATCH(DATE(CalYear-(DAY(F5)&gt;15)+(ROW()&gt;6),MONTH(F5),DAY(F5)),IF(MostrarFestivosObservados,tblDíasfestivos[CORREGIDO],tblDíasfestivos[DÍA]),0),6),INDEX(tblDíasfestivos[],MATCH(DATE(CalYear-(DAY(F5)&gt;15)+(ROW()&gt;6),MONTH(F5),DAY(F5)),IF(MostrarFestivosObservados,tblDíasfestivos[CORREGIDO],tblDíasfestivos[DÍA]),0),2),""),""),"")</f>
        <v/>
      </c>
      <c r="G6" s="16" t="str">
        <f ca="1">IFERROR(IF(MostrarDíasFestivos,IF(INDEX(tblDíasfestivos[],MATCH(DATE(CalYear-(DAY(G5)&gt;15)+(ROW()&gt;6),MONTH(G5),DAY(G5)),IF(MostrarFestivosObservados,tblDíasfestivos[CORREGIDO],tblDíasfestivos[DÍA]),0),6),INDEX(tblDíasfestivos[],MATCH(DATE(CalYear-(DAY(G5)&gt;15)+(ROW()&gt;6),MONTH(G5),DAY(G5)),IF(MostrarFestivosObservados,tblDíasfestivos[CORREGIDO],tblDíasfestivos[DÍA]),0),2),""),""),"")</f>
        <v/>
      </c>
      <c r="H6" s="17" t="str">
        <f ca="1">IFERROR(IF(MostrarDíasFestivos,IF(INDEX(tblDíasfestivos[],MATCH(DATE(CalYear-(DAY(H5)&gt;15)+(ROW()&gt;6),MONTH(H5),DAY(H5)),IF(MostrarFestivosObservados,tblDíasfestivos[CORREGIDO],tblDíasfestivos[DÍA]),0),6),INDEX(tblDíasfestivos[],MATCH(DATE(CalYear-(DAY(H5)&gt;15)+(ROW()&gt;6),MONTH(H5),DAY(H5)),IF(MostrarFestivosObservados,tblDíasfestivos[CORREGIDO],tblDíasfestivos[DÍA]),0),2),""),""),"")</f>
        <v/>
      </c>
    </row>
    <row r="7" spans="2:8" ht="19.5" customHeight="1" x14ac:dyDescent="0.3">
      <c r="B7" s="8">
        <f t="array" aca="1" ref="B7:H7" ca="1">Días+DATE(CalYear,2,1)-WEEKDAY(DATE(CalYear,2,1),(InicioDeLaSemana="Lunes")+1)+8</f>
        <v>43863</v>
      </c>
      <c r="C7" s="9">
        <f ca="1"/>
        <v>43864</v>
      </c>
      <c r="D7" s="9">
        <f ca="1"/>
        <v>43865</v>
      </c>
      <c r="E7" s="9">
        <f ca="1"/>
        <v>43866</v>
      </c>
      <c r="F7" s="9">
        <f ca="1"/>
        <v>43867</v>
      </c>
      <c r="G7" s="9">
        <f ca="1"/>
        <v>43868</v>
      </c>
      <c r="H7" s="10">
        <f ca="1"/>
        <v>43869</v>
      </c>
    </row>
    <row r="8" spans="2:8" ht="57.95" customHeight="1" x14ac:dyDescent="0.3">
      <c r="B8" s="18" t="str">
        <f ca="1">IFERROR(IF(MostrarDíasFestivos,IF(INDEX(tblDíasfestivos[],MATCH(DATE(CalYear,MONTH(B7),DAY(B7)),IF(MostrarFestivosObservados,tblDíasfestivos[CORREGIDO],tblDíasfestivos[DÍA]),0),6),INDEX(tblDíasfestivos[],MATCH(DATE(CalYear,MONTH(B7),DAY(B7)),IF(MostrarFestivosObservados,tblDíasfestivos[CORREGIDO],tblDíasfestivos[DÍA]),0),2),""),""),"")</f>
        <v/>
      </c>
      <c r="C8" s="19" t="str">
        <f ca="1">IFERROR(IF(MostrarDíasFestivos,IF(INDEX(tblDíasfestivos[],MATCH(DATE(CalYear,MONTH(C7),DAY(C7)),IF(MostrarFestivosObservados,tblDíasfestivos[CORREGIDO],tblDíasfestivos[DÍA]),0),6),INDEX(tblDíasfestivos[],MATCH(DATE(CalYear,MONTH(C7),DAY(C7)),IF(MostrarFestivosObservados,tblDíasfestivos[CORREGIDO],tblDíasfestivos[DÍA]),0),2),""),""),"")</f>
        <v/>
      </c>
      <c r="D8" s="19" t="str">
        <f ca="1">IFERROR(IF(MostrarDíasFestivos,IF(INDEX(tblDíasfestivos[],MATCH(DATE(CalYear,MONTH(D7),DAY(D7)),IF(MostrarFestivosObservados,tblDíasfestivos[CORREGIDO],tblDíasfestivos[DÍA]),0),6),INDEX(tblDíasfestivos[],MATCH(DATE(CalYear,MONTH(D7),DAY(D7)),IF(MostrarFestivosObservados,tblDíasfestivos[CORREGIDO],tblDíasfestivos[DÍA]),0),2),""),""),"")</f>
        <v/>
      </c>
      <c r="E8" s="19" t="str">
        <f ca="1">IFERROR(IF(MostrarDíasFestivos,IF(INDEX(tblDíasfestivos[],MATCH(DATE(CalYear,MONTH(E7),DAY(E7)),IF(MostrarFestivosObservados,tblDíasfestivos[CORREGIDO],tblDíasfestivos[DÍA]),0),6),INDEX(tblDíasfestivos[],MATCH(DATE(CalYear,MONTH(E7),DAY(E7)),IF(MostrarFestivosObservados,tblDíasfestivos[CORREGIDO],tblDíasfestivos[DÍA]),0),2),""),""),"")</f>
        <v/>
      </c>
      <c r="F8" s="19" t="str">
        <f ca="1">IFERROR(IF(MostrarDíasFestivos,IF(INDEX(tblDíasfestivos[],MATCH(DATE(CalYear,MONTH(F7),DAY(F7)),IF(MostrarFestivosObservados,tblDíasfestivos[CORREGIDO],tblDíasfestivos[DÍA]),0),6),INDEX(tblDíasfestivos[],MATCH(DATE(CalYear,MONTH(F7),DAY(F7)),IF(MostrarFestivosObservados,tblDíasfestivos[CORREGIDO],tblDíasfestivos[DÍA]),0),2),""),""),"")</f>
        <v/>
      </c>
      <c r="G8" s="20" t="str">
        <f ca="1">IFERROR(IF(MostrarDíasFestivos,IF(INDEX(tblDíasfestivos[],MATCH(DATE(CalYear,MONTH(G7),DAY(G7)),IF(MostrarFestivosObservados,tblDíasfestivos[CORREGIDO],tblDíasfestivos[DÍA]),0),6),INDEX(tblDíasfestivos[],MATCH(DATE(CalYear,MONTH(G7),DAY(G7)),IF(MostrarFestivosObservados,tblDíasfestivos[CORREGIDO],tblDíasfestivos[DÍA]),0),2),""),""),"")</f>
        <v/>
      </c>
      <c r="H8" s="21" t="str">
        <f ca="1">IFERROR(IF(MostrarDíasFestivos,IF(INDEX(tblDíasfestivos[],MATCH(DATE(CalYear,MONTH(H7),DAY(H7)),IF(MostrarFestivosObservados,tblDíasfestivos[CORREGIDO],tblDíasfestivos[DÍA]),0),6),INDEX(tblDíasfestivos[],MATCH(DATE(CalYear,MONTH(H7),DAY(H7)),IF(MostrarFestivosObservados,tblDíasfestivos[CORREGIDO],tblDíasfestivos[DÍA]),0),2),""),""),"")</f>
        <v/>
      </c>
    </row>
    <row r="9" spans="2:8" ht="19.5" customHeight="1" x14ac:dyDescent="0.3">
      <c r="B9" s="11">
        <f t="array" aca="1" ref="B9:H9" ca="1">Días+DATE(CalYear,2,1)-WEEKDAY(DATE(CalYear,2,1),(InicioDeLaSemana="Lunes")+1)+15</f>
        <v>43870</v>
      </c>
      <c r="C9" s="12">
        <f ca="1"/>
        <v>43871</v>
      </c>
      <c r="D9" s="12">
        <f ca="1"/>
        <v>43872</v>
      </c>
      <c r="E9" s="12">
        <f ca="1"/>
        <v>43873</v>
      </c>
      <c r="F9" s="12">
        <f ca="1"/>
        <v>43874</v>
      </c>
      <c r="G9" s="12">
        <f ca="1"/>
        <v>43875</v>
      </c>
      <c r="H9" s="13">
        <f ca="1"/>
        <v>43876</v>
      </c>
    </row>
    <row r="10" spans="2:8" ht="57.95" customHeight="1" x14ac:dyDescent="0.3">
      <c r="B10" s="22" t="str">
        <f ca="1">IFERROR(IF(MostrarDíasFestivos,IF(INDEX(tblDíasfestivos[],MATCH(DATE(CalYear,MONTH(B9),DAY(B9)),IF(MostrarFestivosObservados,tblDíasfestivos[CORREGIDO],tblDíasfestivos[DÍA]),0),6),INDEX(tblDíasfestivos[],MATCH(DATE(CalYear,MONTH(B9),DAY(B9)),IF(MostrarFestivosObservados,tblDíasfestivos[CORREGIDO],tblDíasfestivos[DÍA]),0),2),""),""),"")</f>
        <v/>
      </c>
      <c r="C10" s="23" t="str">
        <f ca="1">IFERROR(IF(MostrarDíasFestivos,IF(INDEX(tblDíasfestivos[],MATCH(DATE(CalYear,MONTH(C9),DAY(C9)),IF(MostrarFestivosObservados,tblDíasfestivos[CORREGIDO],tblDíasfestivos[DÍA]),0),6),INDEX(tblDíasfestivos[],MATCH(DATE(CalYear,MONTH(C9),DAY(C9)),IF(MostrarFestivosObservados,tblDíasfestivos[CORREGIDO],tblDíasfestivos[DÍA]),0),2),""),""),"")</f>
        <v/>
      </c>
      <c r="D10" s="23" t="str">
        <f ca="1">IFERROR(IF(MostrarDíasFestivos,IF(INDEX(tblDíasfestivos[],MATCH(DATE(CalYear,MONTH(D9),DAY(D9)),IF(MostrarFestivosObservados,tblDíasfestivos[CORREGIDO],tblDíasfestivos[DÍA]),0),6),INDEX(tblDíasfestivos[],MATCH(DATE(CalYear,MONTH(D9),DAY(D9)),IF(MostrarFestivosObservados,tblDíasfestivos[CORREGIDO],tblDíasfestivos[DÍA]),0),2),""),""),"")</f>
        <v/>
      </c>
      <c r="E10" s="23" t="str">
        <f ca="1">IFERROR(IF(MostrarDíasFestivos,IF(INDEX(tblDíasfestivos[],MATCH(DATE(CalYear,MONTH(E9),DAY(E9)),IF(MostrarFestivosObservados,tblDíasfestivos[CORREGIDO],tblDíasfestivos[DÍA]),0),6),INDEX(tblDíasfestivos[],MATCH(DATE(CalYear,MONTH(E9),DAY(E9)),IF(MostrarFestivosObservados,tblDíasfestivos[CORREGIDO],tblDíasfestivos[DÍA]),0),2),""),""),"")</f>
        <v/>
      </c>
      <c r="F10" s="23" t="str">
        <f ca="1">IFERROR(IF(MostrarDíasFestivos,IF(INDEX(tblDíasfestivos[],MATCH(DATE(CalYear,MONTH(F9),DAY(F9)),IF(MostrarFestivosObservados,tblDíasfestivos[CORREGIDO],tblDíasfestivos[DÍA]),0),6),INDEX(tblDíasfestivos[],MATCH(DATE(CalYear,MONTH(F9),DAY(F9)),IF(MostrarFestivosObservados,tblDíasfestivos[CORREGIDO],tblDíasfestivos[DÍA]),0),2),""),""),"")</f>
        <v/>
      </c>
      <c r="G10" s="24" t="str">
        <f ca="1">IFERROR(IF(MostrarDíasFestivos,IF(INDEX(tblDíasfestivos[],MATCH(DATE(CalYear,MONTH(G9),DAY(G9)),IF(MostrarFestivosObservados,tblDíasfestivos[CORREGIDO],tblDíasfestivos[DÍA]),0),6),INDEX(tblDíasfestivos[],MATCH(DATE(CalYear,MONTH(G9),DAY(G9)),IF(MostrarFestivosObservados,tblDíasfestivos[CORREGIDO],tblDíasfestivos[DÍA]),0),2),""),""),"")</f>
        <v/>
      </c>
      <c r="H10" s="25" t="str">
        <f ca="1">IFERROR(IF(MostrarDíasFestivos,IF(INDEX(tblDíasfestivos[],MATCH(DATE(CalYear,MONTH(H9),DAY(H9)),IF(MostrarFestivosObservados,tblDíasfestivos[CORREGIDO],tblDíasfestivos[DÍA]),0),6),INDEX(tblDíasfestivos[],MATCH(DATE(CalYear,MONTH(H9),DAY(H9)),IF(MostrarFestivosObservados,tblDíasfestivos[CORREGIDO],tblDíasfestivos[DÍA]),0),2),""),""),"")</f>
        <v/>
      </c>
    </row>
    <row r="11" spans="2:8" ht="19.5" customHeight="1" x14ac:dyDescent="0.3">
      <c r="B11" s="8">
        <f t="array" aca="1" ref="B11:H11" ca="1">Días+DATE(CalYear,2,1)-WEEKDAY(DATE(CalYear,2,1),(InicioDeLaSemana="Lunes")+1)+22</f>
        <v>43877</v>
      </c>
      <c r="C11" s="9">
        <f ca="1"/>
        <v>43878</v>
      </c>
      <c r="D11" s="9">
        <f ca="1"/>
        <v>43879</v>
      </c>
      <c r="E11" s="9">
        <f ca="1"/>
        <v>43880</v>
      </c>
      <c r="F11" s="9">
        <f ca="1"/>
        <v>43881</v>
      </c>
      <c r="G11" s="9">
        <f ca="1"/>
        <v>43882</v>
      </c>
      <c r="H11" s="10">
        <f ca="1"/>
        <v>43883</v>
      </c>
    </row>
    <row r="12" spans="2:8" ht="57.95" customHeight="1" x14ac:dyDescent="0.3">
      <c r="B12" s="18" t="str">
        <f ca="1">IFERROR(IF(MostrarDíasFestivos,IF(INDEX(tblDíasfestivos[],MATCH(DATE(CalYear,MONTH(B11),DAY(B11)),IF(MostrarFestivosObservados,tblDíasfestivos[CORREGIDO],tblDíasfestivos[DÍA]),0),6),INDEX(tblDíasfestivos[],MATCH(DATE(CalYear,MONTH(B11),DAY(B11)),IF(MostrarFestivosObservados,tblDíasfestivos[CORREGIDO],tblDíasfestivos[DÍA]),0),2),""),""),"")</f>
        <v/>
      </c>
      <c r="C12" s="19" t="str">
        <f ca="1">IFERROR(IF(MostrarDíasFestivos,IF(INDEX(tblDíasfestivos[],MATCH(DATE(CalYear,MONTH(C11),DAY(C11)),IF(MostrarFestivosObservados,tblDíasfestivos[CORREGIDO],tblDíasfestivos[DÍA]),0),6),INDEX(tblDíasfestivos[],MATCH(DATE(CalYear,MONTH(C11),DAY(C11)),IF(MostrarFestivosObservados,tblDíasfestivos[CORREGIDO],tblDíasfestivos[DÍA]),0),2),""),""),"")</f>
        <v>Día del Presidente</v>
      </c>
      <c r="D12" s="19" t="str">
        <f ca="1">IFERROR(IF(MostrarDíasFestivos,IF(INDEX(tblDíasfestivos[],MATCH(DATE(CalYear,MONTH(D11),DAY(D11)),IF(MostrarFestivosObservados,tblDíasfestivos[CORREGIDO],tblDíasfestivos[DÍA]),0),6),INDEX(tblDíasfestivos[],MATCH(DATE(CalYear,MONTH(D11),DAY(D11)),IF(MostrarFestivosObservados,tblDíasfestivos[CORREGIDO],tblDíasfestivos[DÍA]),0),2),""),""),"")</f>
        <v/>
      </c>
      <c r="E12" s="19" t="str">
        <f ca="1">IFERROR(IF(MostrarDíasFestivos,IF(INDEX(tblDíasfestivos[],MATCH(DATE(CalYear,MONTH(E11),DAY(E11)),IF(MostrarFestivosObservados,tblDíasfestivos[CORREGIDO],tblDíasfestivos[DÍA]),0),6),INDEX(tblDíasfestivos[],MATCH(DATE(CalYear,MONTH(E11),DAY(E11)),IF(MostrarFestivosObservados,tblDíasfestivos[CORREGIDO],tblDíasfestivos[DÍA]),0),2),""),""),"")</f>
        <v/>
      </c>
      <c r="F12" s="19" t="str">
        <f ca="1">IFERROR(IF(MostrarDíasFestivos,IF(INDEX(tblDíasfestivos[],MATCH(DATE(CalYear,MONTH(F11),DAY(F11)),IF(MostrarFestivosObservados,tblDíasfestivos[CORREGIDO],tblDíasfestivos[DÍA]),0),6),INDEX(tblDíasfestivos[],MATCH(DATE(CalYear,MONTH(F11),DAY(F11)),IF(MostrarFestivosObservados,tblDíasfestivos[CORREGIDO],tblDíasfestivos[DÍA]),0),2),""),""),"")</f>
        <v/>
      </c>
      <c r="G12" s="20" t="str">
        <f ca="1">IFERROR(IF(MostrarDíasFestivos,IF(INDEX(tblDíasfestivos[],MATCH(DATE(CalYear,MONTH(G11),DAY(G11)),IF(MostrarFestivosObservados,tblDíasfestivos[CORREGIDO],tblDíasfestivos[DÍA]),0),6),INDEX(tblDíasfestivos[],MATCH(DATE(CalYear,MONTH(G11),DAY(G11)),IF(MostrarFestivosObservados,tblDíasfestivos[CORREGIDO],tblDíasfestivos[DÍA]),0),2),""),""),"")</f>
        <v/>
      </c>
      <c r="H12" s="21" t="str">
        <f ca="1">IFERROR(IF(MostrarDíasFestivos,IF(INDEX(tblDíasfestivos[],MATCH(DATE(CalYear,MONTH(H11),DAY(H11)),IF(MostrarFestivosObservados,tblDíasfestivos[CORREGIDO],tblDíasfestivos[DÍA]),0),6),INDEX(tblDíasfestivos[],MATCH(DATE(CalYear,MONTH(H11),DAY(H11)),IF(MostrarFestivosObservados,tblDíasfestivos[CORREGIDO],tblDíasfestivos[DÍA]),0),2),""),""),"")</f>
        <v/>
      </c>
    </row>
    <row r="13" spans="2:8" ht="19.5" customHeight="1" x14ac:dyDescent="0.3">
      <c r="B13" s="11">
        <f t="array" aca="1" ref="B13:H13" ca="1">Días+DATE(CalYear,2,1)-WEEKDAY(DATE(CalYear,2,1),(InicioDeLaSemana="Lunes")+1)+29</f>
        <v>43884</v>
      </c>
      <c r="C13" s="12">
        <f ca="1"/>
        <v>43885</v>
      </c>
      <c r="D13" s="12">
        <f ca="1"/>
        <v>43886</v>
      </c>
      <c r="E13" s="12">
        <f ca="1"/>
        <v>43887</v>
      </c>
      <c r="F13" s="12">
        <f ca="1"/>
        <v>43888</v>
      </c>
      <c r="G13" s="12">
        <f ca="1"/>
        <v>43889</v>
      </c>
      <c r="H13" s="13">
        <f ca="1"/>
        <v>43890</v>
      </c>
    </row>
    <row r="14" spans="2:8" ht="57.95" customHeight="1" x14ac:dyDescent="0.3">
      <c r="B14" s="22" t="str">
        <f ca="1">IFERROR(IF(MostrarDíasFestivos,IF(INDEX(tblDíasfestivos[],MATCH(DATE(CalYear,MONTH(B13),DAY(B13)),IF(MostrarFestivosObservados,tblDíasfestivos[CORREGIDO],tblDíasfestivos[DÍA]),0),6),INDEX(tblDíasfestivos[],MATCH(DATE(CalYear,MONTH(B13),DAY(B13)),IF(MostrarFestivosObservados,tblDíasfestivos[CORREGIDO],tblDíasfestivos[DÍA]),0),2),""),""),"")</f>
        <v/>
      </c>
      <c r="C14" s="23" t="str">
        <f ca="1">IFERROR(IF(MostrarDíasFestivos,IF(INDEX(tblDíasfestivos[],MATCH(DATE(CalYear,MONTH(C13),DAY(C13)),IF(MostrarFestivosObservados,tblDíasfestivos[CORREGIDO],tblDíasfestivos[DÍA]),0),6),INDEX(tblDíasfestivos[],MATCH(DATE(CalYear,MONTH(C13),DAY(C13)),IF(MostrarFestivosObservados,tblDíasfestivos[CORREGIDO],tblDíasfestivos[DÍA]),0),2),""),""),"")</f>
        <v/>
      </c>
      <c r="D14" s="23" t="str">
        <f ca="1">IFERROR(IF(MostrarDíasFestivos,IF(INDEX(tblDíasfestivos[],MATCH(DATE(CalYear,MONTH(D13),DAY(D13)),IF(MostrarFestivosObservados,tblDíasfestivos[CORREGIDO],tblDíasfestivos[DÍA]),0),6),INDEX(tblDíasfestivos[],MATCH(DATE(CalYear,MONTH(D13),DAY(D13)),IF(MostrarFestivosObservados,tblDíasfestivos[CORREGIDO],tblDíasfestivos[DÍA]),0),2),""),""),"")</f>
        <v/>
      </c>
      <c r="E14" s="23" t="str">
        <f ca="1">IFERROR(IF(MostrarDíasFestivos,IF(INDEX(tblDíasfestivos[],MATCH(DATE(CalYear,MONTH(E13),DAY(E13)),IF(MostrarFestivosObservados,tblDíasfestivos[CORREGIDO],tblDíasfestivos[DÍA]),0),6),INDEX(tblDíasfestivos[],MATCH(DATE(CalYear,MONTH(E13),DAY(E13)),IF(MostrarFestivosObservados,tblDíasfestivos[CORREGIDO],tblDíasfestivos[DÍA]),0),2),""),""),"")</f>
        <v/>
      </c>
      <c r="F14" s="23" t="str">
        <f ca="1">IFERROR(IF(MostrarDíasFestivos,IF(INDEX(tblDíasfestivos[],MATCH(DATE(CalYear,MONTH(F13),DAY(F13)),IF(MostrarFestivosObservados,tblDíasfestivos[CORREGIDO],tblDíasfestivos[DÍA]),0),6),INDEX(tblDíasfestivos[],MATCH(DATE(CalYear,MONTH(F13),DAY(F13)),IF(MostrarFestivosObservados,tblDíasfestivos[CORREGIDO],tblDíasfestivos[DÍA]),0),2),""),""),"")</f>
        <v/>
      </c>
      <c r="G14" s="24" t="str">
        <f ca="1">IFERROR(IF(MostrarDíasFestivos,IF(INDEX(tblDíasfestivos[],MATCH(DATE(CalYear,MONTH(G13),DAY(G13)),IF(MostrarFestivosObservados,tblDíasfestivos[CORREGIDO],tblDíasfestivos[DÍA]),0),6),INDEX(tblDíasfestivos[],MATCH(DATE(CalYear,MONTH(G13),DAY(G13)),IF(MostrarFestivosObservados,tblDíasfestivos[CORREGIDO],tblDíasfestivos[DÍA]),0),2),""),""),"")</f>
        <v/>
      </c>
      <c r="H14" s="25" t="str">
        <f ca="1">IFERROR(IF(MostrarDíasFestivos,IF(INDEX(tblDíasfestivos[],MATCH(DATE(CalYear,MONTH(H13),DAY(H13)),IF(MostrarFestivosObservados,tblDíasfestivos[CORREGIDO],tblDíasfestivos[DÍA]),0),6),INDEX(tblDíasfestivos[],MATCH(DATE(CalYear,MONTH(H13),DAY(H13)),IF(MostrarFestivosObservados,tblDíasfestivos[CORREGIDO],tblDíasfestivos[DÍA]),0),2),""),""),"")</f>
        <v/>
      </c>
    </row>
    <row r="15" spans="2:8" ht="19.5" customHeight="1" x14ac:dyDescent="0.35">
      <c r="B15" s="8">
        <f t="array" aca="1" ref="B15:C15" ca="1">Días+DATE(CalYear,2,1)-WEEKDAY(DATE(CalYear,2,1),(InicioDeLaSemana="Lunes")+1)+36</f>
        <v>43891</v>
      </c>
      <c r="C15" s="9">
        <f ca="1"/>
        <v>43892</v>
      </c>
      <c r="D15" s="61" t="s">
        <v>7</v>
      </c>
      <c r="E15" s="61"/>
      <c r="F15" s="61"/>
      <c r="G15" s="61"/>
      <c r="H15" s="62"/>
    </row>
    <row r="16" spans="2:8" ht="57.95" customHeight="1" x14ac:dyDescent="0.3">
      <c r="B16" s="18" t="str">
        <f ca="1">IFERROR(IF(MostrarDíasFestivos,IF(INDEX(tblDíasfestivos[],MATCH(DATE(CalYear,MONTH(B15),DAY(B15)),IF(MostrarFestivosObservados,tblDíasfestivos[CORREGIDO],tblDíasfestivos[DÍA]),0),6),INDEX(tblDíasfestivos[],MATCH(DATE(CalYear,MONTH(B15),DAY(B15)),IF(MostrarFestivosObservados,tblDíasfestivos[CORREGIDO],tblDíasfestivos[DÍA]),0),2),""),""),"")</f>
        <v/>
      </c>
      <c r="C16" s="19" t="str">
        <f ca="1">IFERROR(IF(MostrarDíasFestivos,IF(INDEX(tblDíasfestivos[],MATCH(DATE(CalYear,MONTH(C15),DAY(C15)),IF(MostrarFestivosObservados,tblDíasfestivos[CORREGIDO],tblDíasfestivos[DÍA]),0),6),INDEX(tblDíasfestivos[],MATCH(DATE(CalYear,MONTH(C15),DAY(C15)),IF(MostrarFestivosObservados,tblDíasfestivos[CORREGIDO],tblDíasfestivos[DÍA]),0),2),""),""),"")</f>
        <v/>
      </c>
      <c r="D16" s="59"/>
      <c r="E16" s="59"/>
      <c r="F16" s="59"/>
      <c r="G16" s="59"/>
      <c r="H16" s="60"/>
    </row>
    <row r="17" spans="2:8" x14ac:dyDescent="0.3">
      <c r="B17" s="64"/>
      <c r="C17" s="64"/>
      <c r="D17" s="64"/>
      <c r="E17" s="64"/>
      <c r="F17" s="64"/>
      <c r="G17" s="64"/>
      <c r="H17" s="64"/>
    </row>
  </sheetData>
  <mergeCells count="4">
    <mergeCell ref="B2:D2"/>
    <mergeCell ref="D15:H15"/>
    <mergeCell ref="D16:H16"/>
    <mergeCell ref="B17:H17"/>
  </mergeCells>
  <conditionalFormatting sqref="B13:H13 B15:C15">
    <cfRule type="expression" dxfId="21" priority="2">
      <formula>AND(DAY(B13)&gt;=1,DAY(B13)&lt;=15)</formula>
    </cfRule>
  </conditionalFormatting>
  <conditionalFormatting sqref="B5:G5">
    <cfRule type="expression" dxfId="20" priority="1">
      <formula>DAY(B5)&gt;8</formula>
    </cfRule>
  </conditionalFormatting>
  <printOptions horizontalCentered="1"/>
  <pageMargins left="0.4" right="0.4" top="0.4" bottom="0.4" header="0.3" footer="0.3"/>
  <pageSetup paperSize="9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theme="4"/>
    <pageSetUpPr fitToPage="1"/>
  </sheetPr>
  <dimension ref="B2:H17"/>
  <sheetViews>
    <sheetView showGridLines="0" workbookViewId="0"/>
  </sheetViews>
  <sheetFormatPr baseColWidth="10" defaultColWidth="8.85546875" defaultRowHeight="15" x14ac:dyDescent="0.3"/>
  <cols>
    <col min="1" max="1" width="3.5703125" customWidth="1"/>
    <col min="2" max="2" width="18.28515625" customWidth="1"/>
    <col min="3" max="8" width="17.7109375" customWidth="1"/>
    <col min="9" max="9" width="3.5703125" customWidth="1"/>
    <col min="10" max="10" width="13.7109375" customWidth="1"/>
  </cols>
  <sheetData>
    <row r="2" spans="2:8" ht="30" customHeight="1" thickBot="1" x14ac:dyDescent="0.35">
      <c r="B2" s="58">
        <f ca="1">B9</f>
        <v>43905</v>
      </c>
      <c r="C2" s="58"/>
      <c r="D2" s="58"/>
      <c r="E2" s="34"/>
      <c r="F2" s="34"/>
      <c r="G2" s="34"/>
      <c r="H2" s="35"/>
    </row>
    <row r="3" spans="2:8" ht="18" customHeight="1" thickTop="1" x14ac:dyDescent="0.3"/>
    <row r="4" spans="2:8" ht="24" customHeight="1" thickBot="1" x14ac:dyDescent="0.35">
      <c r="B4" s="2" t="str">
        <f>InicioDeLaSemana</f>
        <v>DOMINGO</v>
      </c>
      <c r="C4" s="3" t="str">
        <f t="shared" ref="C4:H4" ca="1" si="0">UPPER(TEXT(C5,"dddd"))</f>
        <v>LUNES</v>
      </c>
      <c r="D4" s="3" t="str">
        <f t="shared" ca="1" si="0"/>
        <v>MARTES</v>
      </c>
      <c r="E4" s="3" t="str">
        <f t="shared" ca="1" si="0"/>
        <v>MIÉRCOLES</v>
      </c>
      <c r="F4" s="3" t="str">
        <f t="shared" ca="1" si="0"/>
        <v>JUEVES</v>
      </c>
      <c r="G4" s="3" t="str">
        <f t="shared" ca="1" si="0"/>
        <v>VIERNES</v>
      </c>
      <c r="H4" s="4" t="str">
        <f t="shared" ca="1" si="0"/>
        <v>SÁBADO</v>
      </c>
    </row>
    <row r="5" spans="2:8" ht="19.5" customHeight="1" thickTop="1" x14ac:dyDescent="0.35">
      <c r="B5" s="5">
        <f t="array" aca="1" ref="B5:H5" ca="1">Días+DATE(CalYear,3,1)-WEEKDAY(DATE(CalYear,3,1),(InicioDeLaSemana="Lunes")+1)+1</f>
        <v>43891</v>
      </c>
      <c r="C5" s="6">
        <f ca="1"/>
        <v>43892</v>
      </c>
      <c r="D5" s="6">
        <f ca="1"/>
        <v>43893</v>
      </c>
      <c r="E5" s="6">
        <f ca="1"/>
        <v>43894</v>
      </c>
      <c r="F5" s="6">
        <f ca="1"/>
        <v>43895</v>
      </c>
      <c r="G5" s="6">
        <f ca="1"/>
        <v>43896</v>
      </c>
      <c r="H5" s="7">
        <f ca="1"/>
        <v>43897</v>
      </c>
    </row>
    <row r="6" spans="2:8" ht="57.95" customHeight="1" x14ac:dyDescent="0.3">
      <c r="B6" s="14" t="str">
        <f ca="1">IFERROR(IF(MostrarDíasFestivos,IF(INDEX(tblDíasfestivos[],MATCH(DATE(CalYear-(DAY(B5)&gt;15)+(ROW()&gt;6),MONTH(B5),DAY(B5)),IF(MostrarFestivosObservados,tblDíasfestivos[CORREGIDO],tblDíasfestivos[DÍA]),0),6),INDEX(tblDíasfestivos[],MATCH(DATE(CalYear-(DAY(B5)&gt;15)+(ROW()&gt;6),MONTH(B5),DAY(B5)),IF(MostrarFestivosObservados,tblDíasfestivos[CORREGIDO],tblDíasfestivos[DÍA]),0),2),""),""),"")</f>
        <v/>
      </c>
      <c r="C6" s="15" t="str">
        <f ca="1">IFERROR(IF(MostrarDíasFestivos,IF(INDEX(tblDíasfestivos[],MATCH(DATE(CalYear-(DAY(C5)&gt;15)+(ROW()&gt;6),MONTH(C5),DAY(C5)),IF(MostrarFestivosObservados,tblDíasfestivos[CORREGIDO],tblDíasfestivos[DÍA]),0),6),INDEX(tblDíasfestivos[],MATCH(DATE(CalYear-(DAY(C5)&gt;15)+(ROW()&gt;6),MONTH(C5),DAY(C5)),IF(MostrarFestivosObservados,tblDíasfestivos[CORREGIDO],tblDíasfestivos[DÍA]),0),2),""),""),"")</f>
        <v/>
      </c>
      <c r="D6" s="15" t="str">
        <f ca="1">IFERROR(IF(MostrarDíasFestivos,IF(INDEX(tblDíasfestivos[],MATCH(DATE(CalYear-(DAY(D5)&gt;15)+(ROW()&gt;6),MONTH(D5),DAY(D5)),IF(MostrarFestivosObservados,tblDíasfestivos[CORREGIDO],tblDíasfestivos[DÍA]),0),6),INDEX(tblDíasfestivos[],MATCH(DATE(CalYear-(DAY(D5)&gt;15)+(ROW()&gt;6),MONTH(D5),DAY(D5)),IF(MostrarFestivosObservados,tblDíasfestivos[CORREGIDO],tblDíasfestivos[DÍA]),0),2),""),""),"")</f>
        <v/>
      </c>
      <c r="E6" s="15" t="str">
        <f ca="1">IFERROR(IF(MostrarDíasFestivos,IF(INDEX(tblDíasfestivos[],MATCH(DATE(CalYear-(DAY(E5)&gt;15)+(ROW()&gt;6),MONTH(E5),DAY(E5)),IF(MostrarFestivosObservados,tblDíasfestivos[CORREGIDO],tblDíasfestivos[DÍA]),0),6),INDEX(tblDíasfestivos[],MATCH(DATE(CalYear-(DAY(E5)&gt;15)+(ROW()&gt;6),MONTH(E5),DAY(E5)),IF(MostrarFestivosObservados,tblDíasfestivos[CORREGIDO],tblDíasfestivos[DÍA]),0),2),""),""),"")</f>
        <v/>
      </c>
      <c r="F6" s="15" t="str">
        <f ca="1">IFERROR(IF(MostrarDíasFestivos,IF(INDEX(tblDíasfestivos[],MATCH(DATE(CalYear-(DAY(F5)&gt;15)+(ROW()&gt;6),MONTH(F5),DAY(F5)),IF(MostrarFestivosObservados,tblDíasfestivos[CORREGIDO],tblDíasfestivos[DÍA]),0),6),INDEX(tblDíasfestivos[],MATCH(DATE(CalYear-(DAY(F5)&gt;15)+(ROW()&gt;6),MONTH(F5),DAY(F5)),IF(MostrarFestivosObservados,tblDíasfestivos[CORREGIDO],tblDíasfestivos[DÍA]),0),2),""),""),"")</f>
        <v/>
      </c>
      <c r="G6" s="16" t="str">
        <f ca="1">IFERROR(IF(MostrarDíasFestivos,IF(INDEX(tblDíasfestivos[],MATCH(DATE(CalYear-(DAY(G5)&gt;15)+(ROW()&gt;6),MONTH(G5),DAY(G5)),IF(MostrarFestivosObservados,tblDíasfestivos[CORREGIDO],tblDíasfestivos[DÍA]),0),6),INDEX(tblDíasfestivos[],MATCH(DATE(CalYear-(DAY(G5)&gt;15)+(ROW()&gt;6),MONTH(G5),DAY(G5)),IF(MostrarFestivosObservados,tblDíasfestivos[CORREGIDO],tblDíasfestivos[DÍA]),0),2),""),""),"")</f>
        <v/>
      </c>
      <c r="H6" s="17" t="str">
        <f ca="1">IFERROR(IF(MostrarDíasFestivos,IF(INDEX(tblDíasfestivos[],MATCH(DATE(CalYear-(DAY(H5)&gt;15)+(ROW()&gt;6),MONTH(H5),DAY(H5)),IF(MostrarFestivosObservados,tblDíasfestivos[CORREGIDO],tblDíasfestivos[DÍA]),0),6),INDEX(tblDíasfestivos[],MATCH(DATE(CalYear-(DAY(H5)&gt;15)+(ROW()&gt;6),MONTH(H5),DAY(H5)),IF(MostrarFestivosObservados,tblDíasfestivos[CORREGIDO],tblDíasfestivos[DÍA]),0),2),""),""),"")</f>
        <v/>
      </c>
    </row>
    <row r="7" spans="2:8" ht="19.5" customHeight="1" x14ac:dyDescent="0.3">
      <c r="B7" s="8">
        <f t="array" aca="1" ref="B7:H7" ca="1">Días+DATE(CalYear,3,1)-WEEKDAY(DATE(CalYear,3,1),(InicioDeLaSemana="Lunes")+1)+8</f>
        <v>43898</v>
      </c>
      <c r="C7" s="9">
        <f ca="1"/>
        <v>43899</v>
      </c>
      <c r="D7" s="9">
        <f ca="1"/>
        <v>43900</v>
      </c>
      <c r="E7" s="9">
        <f ca="1"/>
        <v>43901</v>
      </c>
      <c r="F7" s="9">
        <f ca="1"/>
        <v>43902</v>
      </c>
      <c r="G7" s="9">
        <f ca="1"/>
        <v>43903</v>
      </c>
      <c r="H7" s="10">
        <f ca="1"/>
        <v>43904</v>
      </c>
    </row>
    <row r="8" spans="2:8" ht="57.95" customHeight="1" x14ac:dyDescent="0.3">
      <c r="B8" s="18" t="str">
        <f ca="1">IFERROR(IF(MostrarDíasFestivos,IF(INDEX(tblDíasfestivos[],MATCH(DATE(CalYear,MONTH(B7),DAY(B7)),IF(MostrarFestivosObservados,tblDíasfestivos[CORREGIDO],tblDíasfestivos[DÍA]),0),6),INDEX(tblDíasfestivos[],MATCH(DATE(CalYear,MONTH(B7),DAY(B7)),IF(MostrarFestivosObservados,tblDíasfestivos[CORREGIDO],tblDíasfestivos[DÍA]),0),2),""),""),"")</f>
        <v/>
      </c>
      <c r="C8" s="19" t="str">
        <f ca="1">IFERROR(IF(MostrarDíasFestivos,IF(INDEX(tblDíasfestivos[],MATCH(DATE(CalYear,MONTH(C7),DAY(C7)),IF(MostrarFestivosObservados,tblDíasfestivos[CORREGIDO],tblDíasfestivos[DÍA]),0),6),INDEX(tblDíasfestivos[],MATCH(DATE(CalYear,MONTH(C7),DAY(C7)),IF(MostrarFestivosObservados,tblDíasfestivos[CORREGIDO],tblDíasfestivos[DÍA]),0),2),""),""),"")</f>
        <v/>
      </c>
      <c r="D8" s="19" t="str">
        <f ca="1">IFERROR(IF(MostrarDíasFestivos,IF(INDEX(tblDíasfestivos[],MATCH(DATE(CalYear,MONTH(D7),DAY(D7)),IF(MostrarFestivosObservados,tblDíasfestivos[CORREGIDO],tblDíasfestivos[DÍA]),0),6),INDEX(tblDíasfestivos[],MATCH(DATE(CalYear,MONTH(D7),DAY(D7)),IF(MostrarFestivosObservados,tblDíasfestivos[CORREGIDO],tblDíasfestivos[DÍA]),0),2),""),""),"")</f>
        <v/>
      </c>
      <c r="E8" s="19" t="str">
        <f ca="1">IFERROR(IF(MostrarDíasFestivos,IF(INDEX(tblDíasfestivos[],MATCH(DATE(CalYear,MONTH(E7),DAY(E7)),IF(MostrarFestivosObservados,tblDíasfestivos[CORREGIDO],tblDíasfestivos[DÍA]),0),6),INDEX(tblDíasfestivos[],MATCH(DATE(CalYear,MONTH(E7),DAY(E7)),IF(MostrarFestivosObservados,tblDíasfestivos[CORREGIDO],tblDíasfestivos[DÍA]),0),2),""),""),"")</f>
        <v/>
      </c>
      <c r="F8" s="19" t="str">
        <f ca="1">IFERROR(IF(MostrarDíasFestivos,IF(INDEX(tblDíasfestivos[],MATCH(DATE(CalYear,MONTH(F7),DAY(F7)),IF(MostrarFestivosObservados,tblDíasfestivos[CORREGIDO],tblDíasfestivos[DÍA]),0),6),INDEX(tblDíasfestivos[],MATCH(DATE(CalYear,MONTH(F7),DAY(F7)),IF(MostrarFestivosObservados,tblDíasfestivos[CORREGIDO],tblDíasfestivos[DÍA]),0),2),""),""),"")</f>
        <v/>
      </c>
      <c r="G8" s="20" t="str">
        <f ca="1">IFERROR(IF(MostrarDíasFestivos,IF(INDEX(tblDíasfestivos[],MATCH(DATE(CalYear,MONTH(G7),DAY(G7)),IF(MostrarFestivosObservados,tblDíasfestivos[CORREGIDO],tblDíasfestivos[DÍA]),0),6),INDEX(tblDíasfestivos[],MATCH(DATE(CalYear,MONTH(G7),DAY(G7)),IF(MostrarFestivosObservados,tblDíasfestivos[CORREGIDO],tblDíasfestivos[DÍA]),0),2),""),""),"")</f>
        <v/>
      </c>
      <c r="H8" s="21" t="str">
        <f ca="1">IFERROR(IF(MostrarDíasFestivos,IF(INDEX(tblDíasfestivos[],MATCH(DATE(CalYear,MONTH(H7),DAY(H7)),IF(MostrarFestivosObservados,tblDíasfestivos[CORREGIDO],tblDíasfestivos[DÍA]),0),6),INDEX(tblDíasfestivos[],MATCH(DATE(CalYear,MONTH(H7),DAY(H7)),IF(MostrarFestivosObservados,tblDíasfestivos[CORREGIDO],tblDíasfestivos[DÍA]),0),2),""),""),"")</f>
        <v/>
      </c>
    </row>
    <row r="9" spans="2:8" ht="19.5" customHeight="1" x14ac:dyDescent="0.3">
      <c r="B9" s="11">
        <f t="array" aca="1" ref="B9:H9" ca="1">Días+DATE(CalYear,3,1)-WEEKDAY(DATE(CalYear,3,1),(InicioDeLaSemana="Lunes")+1)+15</f>
        <v>43905</v>
      </c>
      <c r="C9" s="12">
        <f ca="1"/>
        <v>43906</v>
      </c>
      <c r="D9" s="12">
        <f ca="1"/>
        <v>43907</v>
      </c>
      <c r="E9" s="12">
        <f ca="1"/>
        <v>43908</v>
      </c>
      <c r="F9" s="12">
        <f ca="1"/>
        <v>43909</v>
      </c>
      <c r="G9" s="12">
        <f ca="1"/>
        <v>43910</v>
      </c>
      <c r="H9" s="13">
        <f ca="1"/>
        <v>43911</v>
      </c>
    </row>
    <row r="10" spans="2:8" ht="57.95" customHeight="1" x14ac:dyDescent="0.3">
      <c r="B10" s="22" t="str">
        <f ca="1">IFERROR(IF(MostrarDíasFestivos,IF(INDEX(tblDíasfestivos[],MATCH(DATE(CalYear,MONTH(B9),DAY(B9)),IF(MostrarFestivosObservados,tblDíasfestivos[CORREGIDO],tblDíasfestivos[DÍA]),0),6),INDEX(tblDíasfestivos[],MATCH(DATE(CalYear,MONTH(B9),DAY(B9)),IF(MostrarFestivosObservados,tblDíasfestivos[CORREGIDO],tblDíasfestivos[DÍA]),0),2),""),""),"")</f>
        <v/>
      </c>
      <c r="C10" s="23" t="str">
        <f ca="1">IFERROR(IF(MostrarDíasFestivos,IF(INDEX(tblDíasfestivos[],MATCH(DATE(CalYear,MONTH(C9),DAY(C9)),IF(MostrarFestivosObservados,tblDíasfestivos[CORREGIDO],tblDíasfestivos[DÍA]),0),6),INDEX(tblDíasfestivos[],MATCH(DATE(CalYear,MONTH(C9),DAY(C9)),IF(MostrarFestivosObservados,tblDíasfestivos[CORREGIDO],tblDíasfestivos[DÍA]),0),2),""),""),"")</f>
        <v/>
      </c>
      <c r="D10" s="23" t="str">
        <f ca="1">IFERROR(IF(MostrarDíasFestivos,IF(INDEX(tblDíasfestivos[],MATCH(DATE(CalYear,MONTH(D9),DAY(D9)),IF(MostrarFestivosObservados,tblDíasfestivos[CORREGIDO],tblDíasfestivos[DÍA]),0),6),INDEX(tblDíasfestivos[],MATCH(DATE(CalYear,MONTH(D9),DAY(D9)),IF(MostrarFestivosObservados,tblDíasfestivos[CORREGIDO],tblDíasfestivos[DÍA]),0),2),""),""),"")</f>
        <v/>
      </c>
      <c r="E10" s="23" t="str">
        <f ca="1">IFERROR(IF(MostrarDíasFestivos,IF(INDEX(tblDíasfestivos[],MATCH(DATE(CalYear,MONTH(E9),DAY(E9)),IF(MostrarFestivosObservados,tblDíasfestivos[CORREGIDO],tblDíasfestivos[DÍA]),0),6),INDEX(tblDíasfestivos[],MATCH(DATE(CalYear,MONTH(E9),DAY(E9)),IF(MostrarFestivosObservados,tblDíasfestivos[CORREGIDO],tblDíasfestivos[DÍA]),0),2),""),""),"")</f>
        <v/>
      </c>
      <c r="F10" s="23" t="str">
        <f ca="1">IFERROR(IF(MostrarDíasFestivos,IF(INDEX(tblDíasfestivos[],MATCH(DATE(CalYear,MONTH(F9),DAY(F9)),IF(MostrarFestivosObservados,tblDíasfestivos[CORREGIDO],tblDíasfestivos[DÍA]),0),6),INDEX(tblDíasfestivos[],MATCH(DATE(CalYear,MONTH(F9),DAY(F9)),IF(MostrarFestivosObservados,tblDíasfestivos[CORREGIDO],tblDíasfestivos[DÍA]),0),2),""),""),"")</f>
        <v/>
      </c>
      <c r="G10" s="24" t="str">
        <f ca="1">IFERROR(IF(MostrarDíasFestivos,IF(INDEX(tblDíasfestivos[],MATCH(DATE(CalYear,MONTH(G9),DAY(G9)),IF(MostrarFestivosObservados,tblDíasfestivos[CORREGIDO],tblDíasfestivos[DÍA]),0),6),INDEX(tblDíasfestivos[],MATCH(DATE(CalYear,MONTH(G9),DAY(G9)),IF(MostrarFestivosObservados,tblDíasfestivos[CORREGIDO],tblDíasfestivos[DÍA]),0),2),""),""),"")</f>
        <v/>
      </c>
      <c r="H10" s="25" t="str">
        <f ca="1">IFERROR(IF(MostrarDíasFestivos,IF(INDEX(tblDíasfestivos[],MATCH(DATE(CalYear,MONTH(H9),DAY(H9)),IF(MostrarFestivosObservados,tblDíasfestivos[CORREGIDO],tblDíasfestivos[DÍA]),0),6),INDEX(tblDíasfestivos[],MATCH(DATE(CalYear,MONTH(H9),DAY(H9)),IF(MostrarFestivosObservados,tblDíasfestivos[CORREGIDO],tblDíasfestivos[DÍA]),0),2),""),""),"")</f>
        <v/>
      </c>
    </row>
    <row r="11" spans="2:8" ht="19.5" customHeight="1" x14ac:dyDescent="0.3">
      <c r="B11" s="8">
        <f t="array" aca="1" ref="B11:H11" ca="1">Días+DATE(CalYear,3,1)-WEEKDAY(DATE(CalYear,3,1),(InicioDeLaSemana="Lunes")+1)+22</f>
        <v>43912</v>
      </c>
      <c r="C11" s="9">
        <f ca="1"/>
        <v>43913</v>
      </c>
      <c r="D11" s="9">
        <f ca="1"/>
        <v>43914</v>
      </c>
      <c r="E11" s="9">
        <f ca="1"/>
        <v>43915</v>
      </c>
      <c r="F11" s="9">
        <f ca="1"/>
        <v>43916</v>
      </c>
      <c r="G11" s="9">
        <f ca="1"/>
        <v>43917</v>
      </c>
      <c r="H11" s="10">
        <f ca="1"/>
        <v>43918</v>
      </c>
    </row>
    <row r="12" spans="2:8" ht="57.95" customHeight="1" x14ac:dyDescent="0.3">
      <c r="B12" s="18" t="str">
        <f ca="1">IFERROR(IF(MostrarDíasFestivos,IF(INDEX(tblDíasfestivos[],MATCH(DATE(CalYear,MONTH(B11),DAY(B11)),IF(MostrarFestivosObservados,tblDíasfestivos[CORREGIDO],tblDíasfestivos[DÍA]),0),6),INDEX(tblDíasfestivos[],MATCH(DATE(CalYear,MONTH(B11),DAY(B11)),IF(MostrarFestivosObservados,tblDíasfestivos[CORREGIDO],tblDíasfestivos[DÍA]),0),2),""),""),"")</f>
        <v/>
      </c>
      <c r="C12" s="19" t="str">
        <f ca="1">IFERROR(IF(MostrarDíasFestivos,IF(INDEX(tblDíasfestivos[],MATCH(DATE(CalYear,MONTH(C11),DAY(C11)),IF(MostrarFestivosObservados,tblDíasfestivos[CORREGIDO],tblDíasfestivos[DÍA]),0),6),INDEX(tblDíasfestivos[],MATCH(DATE(CalYear,MONTH(C11),DAY(C11)),IF(MostrarFestivosObservados,tblDíasfestivos[CORREGIDO],tblDíasfestivos[DÍA]),0),2),""),""),"")</f>
        <v/>
      </c>
      <c r="D12" s="19" t="str">
        <f ca="1">IFERROR(IF(MostrarDíasFestivos,IF(INDEX(tblDíasfestivos[],MATCH(DATE(CalYear,MONTH(D11),DAY(D11)),IF(MostrarFestivosObservados,tblDíasfestivos[CORREGIDO],tblDíasfestivos[DÍA]),0),6),INDEX(tblDíasfestivos[],MATCH(DATE(CalYear,MONTH(D11),DAY(D11)),IF(MostrarFestivosObservados,tblDíasfestivos[CORREGIDO],tblDíasfestivos[DÍA]),0),2),""),""),"")</f>
        <v/>
      </c>
      <c r="E12" s="19" t="str">
        <f ca="1">IFERROR(IF(MostrarDíasFestivos,IF(INDEX(tblDíasfestivos[],MATCH(DATE(CalYear,MONTH(E11),DAY(E11)),IF(MostrarFestivosObservados,tblDíasfestivos[CORREGIDO],tblDíasfestivos[DÍA]),0),6),INDEX(tblDíasfestivos[],MATCH(DATE(CalYear,MONTH(E11),DAY(E11)),IF(MostrarFestivosObservados,tblDíasfestivos[CORREGIDO],tblDíasfestivos[DÍA]),0),2),""),""),"")</f>
        <v/>
      </c>
      <c r="F12" s="19" t="str">
        <f ca="1">IFERROR(IF(MostrarDíasFestivos,IF(INDEX(tblDíasfestivos[],MATCH(DATE(CalYear,MONTH(F11),DAY(F11)),IF(MostrarFestivosObservados,tblDíasfestivos[CORREGIDO],tblDíasfestivos[DÍA]),0),6),INDEX(tblDíasfestivos[],MATCH(DATE(CalYear,MONTH(F11),DAY(F11)),IF(MostrarFestivosObservados,tblDíasfestivos[CORREGIDO],tblDíasfestivos[DÍA]),0),2),""),""),"")</f>
        <v/>
      </c>
      <c r="G12" s="20" t="str">
        <f ca="1">IFERROR(IF(MostrarDíasFestivos,IF(INDEX(tblDíasfestivos[],MATCH(DATE(CalYear,MONTH(G11),DAY(G11)),IF(MostrarFestivosObservados,tblDíasfestivos[CORREGIDO],tblDíasfestivos[DÍA]),0),6),INDEX(tblDíasfestivos[],MATCH(DATE(CalYear,MONTH(G11),DAY(G11)),IF(MostrarFestivosObservados,tblDíasfestivos[CORREGIDO],tblDíasfestivos[DÍA]),0),2),""),""),"")</f>
        <v/>
      </c>
      <c r="H12" s="21" t="str">
        <f ca="1">IFERROR(IF(MostrarDíasFestivos,IF(INDEX(tblDíasfestivos[],MATCH(DATE(CalYear,MONTH(H11),DAY(H11)),IF(MostrarFestivosObservados,tblDíasfestivos[CORREGIDO],tblDíasfestivos[DÍA]),0),6),INDEX(tblDíasfestivos[],MATCH(DATE(CalYear,MONTH(H11),DAY(H11)),IF(MostrarFestivosObservados,tblDíasfestivos[CORREGIDO],tblDíasfestivos[DÍA]),0),2),""),""),"")</f>
        <v/>
      </c>
    </row>
    <row r="13" spans="2:8" ht="19.5" customHeight="1" x14ac:dyDescent="0.3">
      <c r="B13" s="11">
        <f t="array" aca="1" ref="B13:H13" ca="1">Días+DATE(CalYear,3,1)-WEEKDAY(DATE(CalYear,3,1),(InicioDeLaSemana="Lunes")+1)+29</f>
        <v>43919</v>
      </c>
      <c r="C13" s="12">
        <f ca="1"/>
        <v>43920</v>
      </c>
      <c r="D13" s="12">
        <f ca="1"/>
        <v>43921</v>
      </c>
      <c r="E13" s="12">
        <f ca="1"/>
        <v>43922</v>
      </c>
      <c r="F13" s="12">
        <f ca="1"/>
        <v>43923</v>
      </c>
      <c r="G13" s="12">
        <f ca="1"/>
        <v>43924</v>
      </c>
      <c r="H13" s="13">
        <f ca="1"/>
        <v>43925</v>
      </c>
    </row>
    <row r="14" spans="2:8" ht="57.95" customHeight="1" x14ac:dyDescent="0.3">
      <c r="B14" s="22" t="str">
        <f ca="1">IFERROR(IF(MostrarDíasFestivos,IF(INDEX(tblDíasfestivos[],MATCH(DATE(CalYear,MONTH(B13),DAY(B13)),IF(MostrarFestivosObservados,tblDíasfestivos[CORREGIDO],tblDíasfestivos[DÍA]),0),6),INDEX(tblDíasfestivos[],MATCH(DATE(CalYear,MONTH(B13),DAY(B13)),IF(MostrarFestivosObservados,tblDíasfestivos[CORREGIDO],tblDíasfestivos[DÍA]),0),2),""),""),"")</f>
        <v/>
      </c>
      <c r="C14" s="23" t="str">
        <f ca="1">IFERROR(IF(MostrarDíasFestivos,IF(INDEX(tblDíasfestivos[],MATCH(DATE(CalYear,MONTH(C13),DAY(C13)),IF(MostrarFestivosObservados,tblDíasfestivos[CORREGIDO],tblDíasfestivos[DÍA]),0),6),INDEX(tblDíasfestivos[],MATCH(DATE(CalYear,MONTH(C13),DAY(C13)),IF(MostrarFestivosObservados,tblDíasfestivos[CORREGIDO],tblDíasfestivos[DÍA]),0),2),""),""),"")</f>
        <v/>
      </c>
      <c r="D14" s="23" t="str">
        <f ca="1">IFERROR(IF(MostrarDíasFestivos,IF(INDEX(tblDíasfestivos[],MATCH(DATE(CalYear,MONTH(D13),DAY(D13)),IF(MostrarFestivosObservados,tblDíasfestivos[CORREGIDO],tblDíasfestivos[DÍA]),0),6),INDEX(tblDíasfestivos[],MATCH(DATE(CalYear,MONTH(D13),DAY(D13)),IF(MostrarFestivosObservados,tblDíasfestivos[CORREGIDO],tblDíasfestivos[DÍA]),0),2),""),""),"")</f>
        <v/>
      </c>
      <c r="E14" s="23" t="str">
        <f ca="1">IFERROR(IF(MostrarDíasFestivos,IF(INDEX(tblDíasfestivos[],MATCH(DATE(CalYear,MONTH(E13),DAY(E13)),IF(MostrarFestivosObservados,tblDíasfestivos[CORREGIDO],tblDíasfestivos[DÍA]),0),6),INDEX(tblDíasfestivos[],MATCH(DATE(CalYear,MONTH(E13),DAY(E13)),IF(MostrarFestivosObservados,tblDíasfestivos[CORREGIDO],tblDíasfestivos[DÍA]),0),2),""),""),"")</f>
        <v/>
      </c>
      <c r="F14" s="23" t="str">
        <f ca="1">IFERROR(IF(MostrarDíasFestivos,IF(INDEX(tblDíasfestivos[],MATCH(DATE(CalYear,MONTH(F13),DAY(F13)),IF(MostrarFestivosObservados,tblDíasfestivos[CORREGIDO],tblDíasfestivos[DÍA]),0),6),INDEX(tblDíasfestivos[],MATCH(DATE(CalYear,MONTH(F13),DAY(F13)),IF(MostrarFestivosObservados,tblDíasfestivos[CORREGIDO],tblDíasfestivos[DÍA]),0),2),""),""),"")</f>
        <v/>
      </c>
      <c r="G14" s="24" t="str">
        <f ca="1">IFERROR(IF(MostrarDíasFestivos,IF(INDEX(tblDíasfestivos[],MATCH(DATE(CalYear,MONTH(G13),DAY(G13)),IF(MostrarFestivosObservados,tblDíasfestivos[CORREGIDO],tblDíasfestivos[DÍA]),0),6),INDEX(tblDíasfestivos[],MATCH(DATE(CalYear,MONTH(G13),DAY(G13)),IF(MostrarFestivosObservados,tblDíasfestivos[CORREGIDO],tblDíasfestivos[DÍA]),0),2),""),""),"")</f>
        <v/>
      </c>
      <c r="H14" s="25" t="str">
        <f ca="1">IFERROR(IF(MostrarDíasFestivos,IF(INDEX(tblDíasfestivos[],MATCH(DATE(CalYear,MONTH(H13),DAY(H13)),IF(MostrarFestivosObservados,tblDíasfestivos[CORREGIDO],tblDíasfestivos[DÍA]),0),6),INDEX(tblDíasfestivos[],MATCH(DATE(CalYear,MONTH(H13),DAY(H13)),IF(MostrarFestivosObservados,tblDíasfestivos[CORREGIDO],tblDíasfestivos[DÍA]),0),2),""),""),"")</f>
        <v/>
      </c>
    </row>
    <row r="15" spans="2:8" ht="19.5" customHeight="1" x14ac:dyDescent="0.35">
      <c r="B15" s="8">
        <f t="array" aca="1" ref="B15:C15" ca="1">Días+DATE(CalYear,3,1)-WEEKDAY(DATE(CalYear,3,1),(InicioDeLaSemana="Lunes")+1)+36</f>
        <v>43926</v>
      </c>
      <c r="C15" s="9">
        <f ca="1"/>
        <v>43927</v>
      </c>
      <c r="D15" s="61" t="s">
        <v>7</v>
      </c>
      <c r="E15" s="61"/>
      <c r="F15" s="61"/>
      <c r="G15" s="61"/>
      <c r="H15" s="62"/>
    </row>
    <row r="16" spans="2:8" ht="57.95" customHeight="1" x14ac:dyDescent="0.3">
      <c r="B16" s="18" t="str">
        <f ca="1">IFERROR(IF(MostrarDíasFestivos,IF(INDEX(tblDíasfestivos[],MATCH(DATE(CalYear,MONTH(B15),DAY(B15)),IF(MostrarFestivosObservados,tblDíasfestivos[CORREGIDO],tblDíasfestivos[DÍA]),0),6),INDEX(tblDíasfestivos[],MATCH(DATE(CalYear,MONTH(B15),DAY(B15)),IF(MostrarFestivosObservados,tblDíasfestivos[CORREGIDO],tblDíasfestivos[DÍA]),0),2),""),""),"")</f>
        <v/>
      </c>
      <c r="C16" s="19" t="str">
        <f ca="1">IFERROR(IF(MostrarDíasFestivos,IF(INDEX(tblDíasfestivos[],MATCH(DATE(CalYear,MONTH(C15),DAY(C15)),IF(MostrarFestivosObservados,tblDíasfestivos[CORREGIDO],tblDíasfestivos[DÍA]),0),6),INDEX(tblDíasfestivos[],MATCH(DATE(CalYear,MONTH(C15),DAY(C15)),IF(MostrarFestivosObservados,tblDíasfestivos[CORREGIDO],tblDíasfestivos[DÍA]),0),2),""),""),"")</f>
        <v/>
      </c>
      <c r="D16" s="59"/>
      <c r="E16" s="59"/>
      <c r="F16" s="59"/>
      <c r="G16" s="59"/>
      <c r="H16" s="60"/>
    </row>
    <row r="17" spans="2:8" x14ac:dyDescent="0.3">
      <c r="B17" s="64"/>
      <c r="C17" s="64"/>
      <c r="D17" s="64"/>
      <c r="E17" s="64"/>
      <c r="F17" s="64"/>
      <c r="G17" s="64"/>
      <c r="H17" s="64"/>
    </row>
  </sheetData>
  <mergeCells count="4">
    <mergeCell ref="B2:D2"/>
    <mergeCell ref="D15:H15"/>
    <mergeCell ref="D16:H16"/>
    <mergeCell ref="B17:H17"/>
  </mergeCells>
  <conditionalFormatting sqref="B13:H13 B15:C15">
    <cfRule type="expression" dxfId="19" priority="2">
      <formula>AND(DAY(B13)&gt;=1,DAY(B13)&lt;=15)</formula>
    </cfRule>
  </conditionalFormatting>
  <conditionalFormatting sqref="B5:G5">
    <cfRule type="expression" dxfId="18" priority="1">
      <formula>DAY(B5)&gt;8</formula>
    </cfRule>
  </conditionalFormatting>
  <printOptions horizontalCentered="1"/>
  <pageMargins left="0.4" right="0.4" top="0.4" bottom="0.4" header="0.3" footer="0.3"/>
  <pageSetup paperSize="9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>
    <tabColor theme="4"/>
    <pageSetUpPr fitToPage="1"/>
  </sheetPr>
  <dimension ref="B2:H17"/>
  <sheetViews>
    <sheetView showGridLines="0" workbookViewId="0"/>
  </sheetViews>
  <sheetFormatPr baseColWidth="10" defaultColWidth="8.85546875" defaultRowHeight="15" x14ac:dyDescent="0.3"/>
  <cols>
    <col min="1" max="1" width="3.5703125" customWidth="1"/>
    <col min="2" max="2" width="18.28515625" customWidth="1"/>
    <col min="3" max="8" width="17.7109375" customWidth="1"/>
    <col min="9" max="9" width="3.5703125" customWidth="1"/>
    <col min="10" max="10" width="13.7109375" customWidth="1"/>
  </cols>
  <sheetData>
    <row r="2" spans="2:8" ht="30" customHeight="1" thickBot="1" x14ac:dyDescent="0.35">
      <c r="B2" s="58">
        <f ca="1">B9</f>
        <v>43933</v>
      </c>
      <c r="C2" s="58"/>
      <c r="D2" s="58"/>
      <c r="E2" s="34"/>
      <c r="F2" s="34"/>
      <c r="G2" s="34"/>
      <c r="H2" s="35"/>
    </row>
    <row r="3" spans="2:8" ht="18" customHeight="1" thickTop="1" x14ac:dyDescent="0.3"/>
    <row r="4" spans="2:8" ht="24" customHeight="1" thickBot="1" x14ac:dyDescent="0.35">
      <c r="B4" s="2" t="str">
        <f>InicioDeLaSemana</f>
        <v>DOMINGO</v>
      </c>
      <c r="C4" s="3" t="str">
        <f t="shared" ref="C4:H4" ca="1" si="0">UPPER(TEXT(C5,"dddd"))</f>
        <v>LUNES</v>
      </c>
      <c r="D4" s="3" t="str">
        <f t="shared" ca="1" si="0"/>
        <v>MARTES</v>
      </c>
      <c r="E4" s="3" t="str">
        <f t="shared" ca="1" si="0"/>
        <v>MIÉRCOLES</v>
      </c>
      <c r="F4" s="3" t="str">
        <f t="shared" ca="1" si="0"/>
        <v>JUEVES</v>
      </c>
      <c r="G4" s="3" t="str">
        <f t="shared" ca="1" si="0"/>
        <v>VIERNES</v>
      </c>
      <c r="H4" s="4" t="str">
        <f t="shared" ca="1" si="0"/>
        <v>SÁBADO</v>
      </c>
    </row>
    <row r="5" spans="2:8" ht="19.5" customHeight="1" thickTop="1" x14ac:dyDescent="0.35">
      <c r="B5" s="5">
        <f t="array" aca="1" ref="B5:H5" ca="1">Días+DATE(CalYear,4,1)-WEEKDAY(DATE(CalYear,4,1),(InicioDeLaSemana="Lunes")+1)+1</f>
        <v>43919</v>
      </c>
      <c r="C5" s="6">
        <f ca="1"/>
        <v>43920</v>
      </c>
      <c r="D5" s="6">
        <f ca="1"/>
        <v>43921</v>
      </c>
      <c r="E5" s="6">
        <f ca="1"/>
        <v>43922</v>
      </c>
      <c r="F5" s="6">
        <f ca="1"/>
        <v>43923</v>
      </c>
      <c r="G5" s="6">
        <f ca="1"/>
        <v>43924</v>
      </c>
      <c r="H5" s="7">
        <f ca="1"/>
        <v>43925</v>
      </c>
    </row>
    <row r="6" spans="2:8" ht="57.95" customHeight="1" x14ac:dyDescent="0.3">
      <c r="B6" s="14" t="str">
        <f ca="1">IFERROR(IF(MostrarDíasFestivos,IF(INDEX(tblDíasfestivos[],MATCH(DATE(CalYear-(DAY(B5)&gt;15)+(ROW()&gt;6),MONTH(B5),DAY(B5)),IF(MostrarFestivosObservados,tblDíasfestivos[CORREGIDO],tblDíasfestivos[DÍA]),0),6),INDEX(tblDíasfestivos[],MATCH(DATE(CalYear-(DAY(B5)&gt;15)+(ROW()&gt;6),MONTH(B5),DAY(B5)),IF(MostrarFestivosObservados,tblDíasfestivos[CORREGIDO],tblDíasfestivos[DÍA]),0),2),""),""),"")</f>
        <v/>
      </c>
      <c r="C6" s="15" t="str">
        <f ca="1">IFERROR(IF(MostrarDíasFestivos,IF(INDEX(tblDíasfestivos[],MATCH(DATE(CalYear-(DAY(C5)&gt;15)+(ROW()&gt;6),MONTH(C5),DAY(C5)),IF(MostrarFestivosObservados,tblDíasfestivos[CORREGIDO],tblDíasfestivos[DÍA]),0),6),INDEX(tblDíasfestivos[],MATCH(DATE(CalYear-(DAY(C5)&gt;15)+(ROW()&gt;6),MONTH(C5),DAY(C5)),IF(MostrarFestivosObservados,tblDíasfestivos[CORREGIDO],tblDíasfestivos[DÍA]),0),2),""),""),"")</f>
        <v/>
      </c>
      <c r="D6" s="15" t="str">
        <f ca="1">IFERROR(IF(MostrarDíasFestivos,IF(INDEX(tblDíasfestivos[],MATCH(DATE(CalYear-(DAY(D5)&gt;15)+(ROW()&gt;6),MONTH(D5),DAY(D5)),IF(MostrarFestivosObservados,tblDíasfestivos[CORREGIDO],tblDíasfestivos[DÍA]),0),6),INDEX(tblDíasfestivos[],MATCH(DATE(CalYear-(DAY(D5)&gt;15)+(ROW()&gt;6),MONTH(D5),DAY(D5)),IF(MostrarFestivosObservados,tblDíasfestivos[CORREGIDO],tblDíasfestivos[DÍA]),0),2),""),""),"")</f>
        <v/>
      </c>
      <c r="E6" s="15" t="str">
        <f ca="1">IFERROR(IF(MostrarDíasFestivos,IF(INDEX(tblDíasfestivos[],MATCH(DATE(CalYear-(DAY(E5)&gt;15)+(ROW()&gt;6),MONTH(E5),DAY(E5)),IF(MostrarFestivosObservados,tblDíasfestivos[CORREGIDO],tblDíasfestivos[DÍA]),0),6),INDEX(tblDíasfestivos[],MATCH(DATE(CalYear-(DAY(E5)&gt;15)+(ROW()&gt;6),MONTH(E5),DAY(E5)),IF(MostrarFestivosObservados,tblDíasfestivos[CORREGIDO],tblDíasfestivos[DÍA]),0),2),""),""),"")</f>
        <v/>
      </c>
      <c r="F6" s="15" t="str">
        <f ca="1">IFERROR(IF(MostrarDíasFestivos,IF(INDEX(tblDíasfestivos[],MATCH(DATE(CalYear-(DAY(F5)&gt;15)+(ROW()&gt;6),MONTH(F5),DAY(F5)),IF(MostrarFestivosObservados,tblDíasfestivos[CORREGIDO],tblDíasfestivos[DÍA]),0),6),INDEX(tblDíasfestivos[],MATCH(DATE(CalYear-(DAY(F5)&gt;15)+(ROW()&gt;6),MONTH(F5),DAY(F5)),IF(MostrarFestivosObservados,tblDíasfestivos[CORREGIDO],tblDíasfestivos[DÍA]),0),2),""),""),"")</f>
        <v/>
      </c>
      <c r="G6" s="16" t="str">
        <f ca="1">IFERROR(IF(MostrarDíasFestivos,IF(INDEX(tblDíasfestivos[],MATCH(DATE(CalYear-(DAY(G5)&gt;15)+(ROW()&gt;6),MONTH(G5),DAY(G5)),IF(MostrarFestivosObservados,tblDíasfestivos[CORREGIDO],tblDíasfestivos[DÍA]),0),6),INDEX(tblDíasfestivos[],MATCH(DATE(CalYear-(DAY(G5)&gt;15)+(ROW()&gt;6),MONTH(G5),DAY(G5)),IF(MostrarFestivosObservados,tblDíasfestivos[CORREGIDO],tblDíasfestivos[DÍA]),0),2),""),""),"")</f>
        <v/>
      </c>
      <c r="H6" s="17" t="str">
        <f ca="1">IFERROR(IF(MostrarDíasFestivos,IF(INDEX(tblDíasfestivos[],MATCH(DATE(CalYear-(DAY(H5)&gt;15)+(ROW()&gt;6),MONTH(H5),DAY(H5)),IF(MostrarFestivosObservados,tblDíasfestivos[CORREGIDO],tblDíasfestivos[DÍA]),0),6),INDEX(tblDíasfestivos[],MATCH(DATE(CalYear-(DAY(H5)&gt;15)+(ROW()&gt;6),MONTH(H5),DAY(H5)),IF(MostrarFestivosObservados,tblDíasfestivos[CORREGIDO],tblDíasfestivos[DÍA]),0),2),""),""),"")</f>
        <v/>
      </c>
    </row>
    <row r="7" spans="2:8" ht="19.5" customHeight="1" x14ac:dyDescent="0.3">
      <c r="B7" s="8">
        <f t="array" aca="1" ref="B7:H7" ca="1">Días+DATE(CalYear,4,1)-WEEKDAY(DATE(CalYear,4,1),(InicioDeLaSemana="Lunes")+1)+8</f>
        <v>43926</v>
      </c>
      <c r="C7" s="9">
        <f ca="1"/>
        <v>43927</v>
      </c>
      <c r="D7" s="9">
        <f ca="1"/>
        <v>43928</v>
      </c>
      <c r="E7" s="9">
        <f ca="1"/>
        <v>43929</v>
      </c>
      <c r="F7" s="9">
        <f ca="1"/>
        <v>43930</v>
      </c>
      <c r="G7" s="9">
        <f ca="1"/>
        <v>43931</v>
      </c>
      <c r="H7" s="10">
        <f ca="1"/>
        <v>43932</v>
      </c>
    </row>
    <row r="8" spans="2:8" ht="57.95" customHeight="1" x14ac:dyDescent="0.3">
      <c r="B8" s="18" t="str">
        <f ca="1">IFERROR(IF(MostrarDíasFestivos,IF(INDEX(tblDíasfestivos[],MATCH(DATE(CalYear,MONTH(B7),DAY(B7)),IF(MostrarFestivosObservados,tblDíasfestivos[CORREGIDO],tblDíasfestivos[DÍA]),0),6),INDEX(tblDíasfestivos[],MATCH(DATE(CalYear,MONTH(B7),DAY(B7)),IF(MostrarFestivosObservados,tblDíasfestivos[CORREGIDO],tblDíasfestivos[DÍA]),0),2),""),""),"")</f>
        <v/>
      </c>
      <c r="C8" s="19" t="str">
        <f ca="1">IFERROR(IF(MostrarDíasFestivos,IF(INDEX(tblDíasfestivos[],MATCH(DATE(CalYear,MONTH(C7),DAY(C7)),IF(MostrarFestivosObservados,tblDíasfestivos[CORREGIDO],tblDíasfestivos[DÍA]),0),6),INDEX(tblDíasfestivos[],MATCH(DATE(CalYear,MONTH(C7),DAY(C7)),IF(MostrarFestivosObservados,tblDíasfestivos[CORREGIDO],tblDíasfestivos[DÍA]),0),2),""),""),"")</f>
        <v/>
      </c>
      <c r="D8" s="19" t="str">
        <f ca="1">IFERROR(IF(MostrarDíasFestivos,IF(INDEX(tblDíasfestivos[],MATCH(DATE(CalYear,MONTH(D7),DAY(D7)),IF(MostrarFestivosObservados,tblDíasfestivos[CORREGIDO],tblDíasfestivos[DÍA]),0),6),INDEX(tblDíasfestivos[],MATCH(DATE(CalYear,MONTH(D7),DAY(D7)),IF(MostrarFestivosObservados,tblDíasfestivos[CORREGIDO],tblDíasfestivos[DÍA]),0),2),""),""),"")</f>
        <v/>
      </c>
      <c r="E8" s="19" t="str">
        <f ca="1">IFERROR(IF(MostrarDíasFestivos,IF(INDEX(tblDíasfestivos[],MATCH(DATE(CalYear,MONTH(E7),DAY(E7)),IF(MostrarFestivosObservados,tblDíasfestivos[CORREGIDO],tblDíasfestivos[DÍA]),0),6),INDEX(tblDíasfestivos[],MATCH(DATE(CalYear,MONTH(E7),DAY(E7)),IF(MostrarFestivosObservados,tblDíasfestivos[CORREGIDO],tblDíasfestivos[DÍA]),0),2),""),""),"")</f>
        <v/>
      </c>
      <c r="F8" s="19" t="str">
        <f ca="1">IFERROR(IF(MostrarDíasFestivos,IF(INDEX(tblDíasfestivos[],MATCH(DATE(CalYear,MONTH(F7),DAY(F7)),IF(MostrarFestivosObservados,tblDíasfestivos[CORREGIDO],tblDíasfestivos[DÍA]),0),6),INDEX(tblDíasfestivos[],MATCH(DATE(CalYear,MONTH(F7),DAY(F7)),IF(MostrarFestivosObservados,tblDíasfestivos[CORREGIDO],tblDíasfestivos[DÍA]),0),2),""),""),"")</f>
        <v/>
      </c>
      <c r="G8" s="20" t="str">
        <f ca="1">IFERROR(IF(MostrarDíasFestivos,IF(INDEX(tblDíasfestivos[],MATCH(DATE(CalYear,MONTH(G7),DAY(G7)),IF(MostrarFestivosObservados,tblDíasfestivos[CORREGIDO],tblDíasfestivos[DÍA]),0),6),INDEX(tblDíasfestivos[],MATCH(DATE(CalYear,MONTH(G7),DAY(G7)),IF(MostrarFestivosObservados,tblDíasfestivos[CORREGIDO],tblDíasfestivos[DÍA]),0),2),""),""),"")</f>
        <v/>
      </c>
      <c r="H8" s="21" t="str">
        <f ca="1">IFERROR(IF(MostrarDíasFestivos,IF(INDEX(tblDíasfestivos[],MATCH(DATE(CalYear,MONTH(H7),DAY(H7)),IF(MostrarFestivosObservados,tblDíasfestivos[CORREGIDO],tblDíasfestivos[DÍA]),0),6),INDEX(tblDíasfestivos[],MATCH(DATE(CalYear,MONTH(H7),DAY(H7)),IF(MostrarFestivosObservados,tblDíasfestivos[CORREGIDO],tblDíasfestivos[DÍA]),0),2),""),""),"")</f>
        <v/>
      </c>
    </row>
    <row r="9" spans="2:8" ht="19.5" customHeight="1" x14ac:dyDescent="0.3">
      <c r="B9" s="11">
        <f t="array" aca="1" ref="B9:H9" ca="1">Días+DATE(CalYear,4,1)-WEEKDAY(DATE(CalYear,4,1),(InicioDeLaSemana="Lunes")+1)+15</f>
        <v>43933</v>
      </c>
      <c r="C9" s="12">
        <f ca="1"/>
        <v>43934</v>
      </c>
      <c r="D9" s="12">
        <f ca="1"/>
        <v>43935</v>
      </c>
      <c r="E9" s="12">
        <f ca="1"/>
        <v>43936</v>
      </c>
      <c r="F9" s="12">
        <f ca="1"/>
        <v>43937</v>
      </c>
      <c r="G9" s="12">
        <f ca="1"/>
        <v>43938</v>
      </c>
      <c r="H9" s="13">
        <f ca="1"/>
        <v>43939</v>
      </c>
    </row>
    <row r="10" spans="2:8" ht="57.95" customHeight="1" x14ac:dyDescent="0.3">
      <c r="B10" s="22" t="str">
        <f ca="1">IFERROR(IF(MostrarDíasFestivos,IF(INDEX(tblDíasfestivos[],MATCH(DATE(CalYear,MONTH(B9),DAY(B9)),IF(MostrarFestivosObservados,tblDíasfestivos[CORREGIDO],tblDíasfestivos[DÍA]),0),6),INDEX(tblDíasfestivos[],MATCH(DATE(CalYear,MONTH(B9),DAY(B9)),IF(MostrarFestivosObservados,tblDíasfestivos[CORREGIDO],tblDíasfestivos[DÍA]),0),2),""),""),"")</f>
        <v/>
      </c>
      <c r="C10" s="23" t="str">
        <f ca="1">IFERROR(IF(MostrarDíasFestivos,IF(INDEX(tblDíasfestivos[],MATCH(DATE(CalYear,MONTH(C9),DAY(C9)),IF(MostrarFestivosObservados,tblDíasfestivos[CORREGIDO],tblDíasfestivos[DÍA]),0),6),INDEX(tblDíasfestivos[],MATCH(DATE(CalYear,MONTH(C9),DAY(C9)),IF(MostrarFestivosObservados,tblDíasfestivos[CORREGIDO],tblDíasfestivos[DÍA]),0),2),""),""),"")</f>
        <v/>
      </c>
      <c r="D10" s="23" t="str">
        <f ca="1">IFERROR(IF(MostrarDíasFestivos,IF(INDEX(tblDíasfestivos[],MATCH(DATE(CalYear,MONTH(D9),DAY(D9)),IF(MostrarFestivosObservados,tblDíasfestivos[CORREGIDO],tblDíasfestivos[DÍA]),0),6),INDEX(tblDíasfestivos[],MATCH(DATE(CalYear,MONTH(D9),DAY(D9)),IF(MostrarFestivosObservados,tblDíasfestivos[CORREGIDO],tblDíasfestivos[DÍA]),0),2),""),""),"")</f>
        <v/>
      </c>
      <c r="E10" s="23" t="str">
        <f ca="1">IFERROR(IF(MostrarDíasFestivos,IF(INDEX(tblDíasfestivos[],MATCH(DATE(CalYear,MONTH(E9),DAY(E9)),IF(MostrarFestivosObservados,tblDíasfestivos[CORREGIDO],tblDíasfestivos[DÍA]),0),6),INDEX(tblDíasfestivos[],MATCH(DATE(CalYear,MONTH(E9),DAY(E9)),IF(MostrarFestivosObservados,tblDíasfestivos[CORREGIDO],tblDíasfestivos[DÍA]),0),2),""),""),"")</f>
        <v/>
      </c>
      <c r="F10" s="23" t="str">
        <f ca="1">IFERROR(IF(MostrarDíasFestivos,IF(INDEX(tblDíasfestivos[],MATCH(DATE(CalYear,MONTH(F9),DAY(F9)),IF(MostrarFestivosObservados,tblDíasfestivos[CORREGIDO],tblDíasfestivos[DÍA]),0),6),INDEX(tblDíasfestivos[],MATCH(DATE(CalYear,MONTH(F9),DAY(F9)),IF(MostrarFestivosObservados,tblDíasfestivos[CORREGIDO],tblDíasfestivos[DÍA]),0),2),""),""),"")</f>
        <v/>
      </c>
      <c r="G10" s="24" t="str">
        <f ca="1">IFERROR(IF(MostrarDíasFestivos,IF(INDEX(tblDíasfestivos[],MATCH(DATE(CalYear,MONTH(G9),DAY(G9)),IF(MostrarFestivosObservados,tblDíasfestivos[CORREGIDO],tblDíasfestivos[DÍA]),0),6),INDEX(tblDíasfestivos[],MATCH(DATE(CalYear,MONTH(G9),DAY(G9)),IF(MostrarFestivosObservados,tblDíasfestivos[CORREGIDO],tblDíasfestivos[DÍA]),0),2),""),""),"")</f>
        <v/>
      </c>
      <c r="H10" s="25" t="str">
        <f ca="1">IFERROR(IF(MostrarDíasFestivos,IF(INDEX(tblDíasfestivos[],MATCH(DATE(CalYear,MONTH(H9),DAY(H9)),IF(MostrarFestivosObservados,tblDíasfestivos[CORREGIDO],tblDíasfestivos[DÍA]),0),6),INDEX(tblDíasfestivos[],MATCH(DATE(CalYear,MONTH(H9),DAY(H9)),IF(MostrarFestivosObservados,tblDíasfestivos[CORREGIDO],tblDíasfestivos[DÍA]),0),2),""),""),"")</f>
        <v/>
      </c>
    </row>
    <row r="11" spans="2:8" ht="19.5" customHeight="1" x14ac:dyDescent="0.3">
      <c r="B11" s="8">
        <f t="array" aca="1" ref="B11:H11" ca="1">Días+DATE(CalYear,4,1)-WEEKDAY(DATE(CalYear,4,1),(InicioDeLaSemana="Lunes")+1)+22</f>
        <v>43940</v>
      </c>
      <c r="C11" s="9">
        <f ca="1"/>
        <v>43941</v>
      </c>
      <c r="D11" s="9">
        <f ca="1"/>
        <v>43942</v>
      </c>
      <c r="E11" s="9">
        <f ca="1"/>
        <v>43943</v>
      </c>
      <c r="F11" s="9">
        <f ca="1"/>
        <v>43944</v>
      </c>
      <c r="G11" s="9">
        <f ca="1"/>
        <v>43945</v>
      </c>
      <c r="H11" s="10">
        <f ca="1"/>
        <v>43946</v>
      </c>
    </row>
    <row r="12" spans="2:8" ht="57.95" customHeight="1" x14ac:dyDescent="0.3">
      <c r="B12" s="18" t="str">
        <f ca="1">IFERROR(IF(MostrarDíasFestivos,IF(INDEX(tblDíasfestivos[],MATCH(DATE(CalYear,MONTH(B11),DAY(B11)),IF(MostrarFestivosObservados,tblDíasfestivos[CORREGIDO],tblDíasfestivos[DÍA]),0),6),INDEX(tblDíasfestivos[],MATCH(DATE(CalYear,MONTH(B11),DAY(B11)),IF(MostrarFestivosObservados,tblDíasfestivos[CORREGIDO],tblDíasfestivos[DÍA]),0),2),""),""),"")</f>
        <v/>
      </c>
      <c r="C12" s="19" t="str">
        <f ca="1">IFERROR(IF(MostrarDíasFestivos,IF(INDEX(tblDíasfestivos[],MATCH(DATE(CalYear,MONTH(C11),DAY(C11)),IF(MostrarFestivosObservados,tblDíasfestivos[CORREGIDO],tblDíasfestivos[DÍA]),0),6),INDEX(tblDíasfestivos[],MATCH(DATE(CalYear,MONTH(C11),DAY(C11)),IF(MostrarFestivosObservados,tblDíasfestivos[CORREGIDO],tblDíasfestivos[DÍA]),0),2),""),""),"")</f>
        <v/>
      </c>
      <c r="D12" s="19" t="str">
        <f ca="1">IFERROR(IF(MostrarDíasFestivos,IF(INDEX(tblDíasfestivos[],MATCH(DATE(CalYear,MONTH(D11),DAY(D11)),IF(MostrarFestivosObservados,tblDíasfestivos[CORREGIDO],tblDíasfestivos[DÍA]),0),6),INDEX(tblDíasfestivos[],MATCH(DATE(CalYear,MONTH(D11),DAY(D11)),IF(MostrarFestivosObservados,tblDíasfestivos[CORREGIDO],tblDíasfestivos[DÍA]),0),2),""),""),"")</f>
        <v/>
      </c>
      <c r="E12" s="19" t="str">
        <f ca="1">IFERROR(IF(MostrarDíasFestivos,IF(INDEX(tblDíasfestivos[],MATCH(DATE(CalYear,MONTH(E11),DAY(E11)),IF(MostrarFestivosObservados,tblDíasfestivos[CORREGIDO],tblDíasfestivos[DÍA]),0),6),INDEX(tblDíasfestivos[],MATCH(DATE(CalYear,MONTH(E11),DAY(E11)),IF(MostrarFestivosObservados,tblDíasfestivos[CORREGIDO],tblDíasfestivos[DÍA]),0),2),""),""),"")</f>
        <v/>
      </c>
      <c r="F12" s="19" t="str">
        <f ca="1">IFERROR(IF(MostrarDíasFestivos,IF(INDEX(tblDíasfestivos[],MATCH(DATE(CalYear,MONTH(F11),DAY(F11)),IF(MostrarFestivosObservados,tblDíasfestivos[CORREGIDO],tblDíasfestivos[DÍA]),0),6),INDEX(tblDíasfestivos[],MATCH(DATE(CalYear,MONTH(F11),DAY(F11)),IF(MostrarFestivosObservados,tblDíasfestivos[CORREGIDO],tblDíasfestivos[DÍA]),0),2),""),""),"")</f>
        <v/>
      </c>
      <c r="G12" s="20" t="str">
        <f ca="1">IFERROR(IF(MostrarDíasFestivos,IF(INDEX(tblDíasfestivos[],MATCH(DATE(CalYear,MONTH(G11),DAY(G11)),IF(MostrarFestivosObservados,tblDíasfestivos[CORREGIDO],tblDíasfestivos[DÍA]),0),6),INDEX(tblDíasfestivos[],MATCH(DATE(CalYear,MONTH(G11),DAY(G11)),IF(MostrarFestivosObservados,tblDíasfestivos[CORREGIDO],tblDíasfestivos[DÍA]),0),2),""),""),"")</f>
        <v/>
      </c>
      <c r="H12" s="21" t="str">
        <f ca="1">IFERROR(IF(MostrarDíasFestivos,IF(INDEX(tblDíasfestivos[],MATCH(DATE(CalYear,MONTH(H11),DAY(H11)),IF(MostrarFestivosObservados,tblDíasfestivos[CORREGIDO],tblDíasfestivos[DÍA]),0),6),INDEX(tblDíasfestivos[],MATCH(DATE(CalYear,MONTH(H11),DAY(H11)),IF(MostrarFestivosObservados,tblDíasfestivos[CORREGIDO],tblDíasfestivos[DÍA]),0),2),""),""),"")</f>
        <v/>
      </c>
    </row>
    <row r="13" spans="2:8" ht="19.5" customHeight="1" x14ac:dyDescent="0.3">
      <c r="B13" s="11">
        <f t="array" aca="1" ref="B13:H13" ca="1">Días+DATE(CalYear,4,1)-WEEKDAY(DATE(CalYear,4,1),(InicioDeLaSemana="Lunes")+1)+29</f>
        <v>43947</v>
      </c>
      <c r="C13" s="12">
        <f ca="1"/>
        <v>43948</v>
      </c>
      <c r="D13" s="12">
        <f ca="1"/>
        <v>43949</v>
      </c>
      <c r="E13" s="12">
        <f ca="1"/>
        <v>43950</v>
      </c>
      <c r="F13" s="12">
        <f ca="1"/>
        <v>43951</v>
      </c>
      <c r="G13" s="12">
        <f ca="1"/>
        <v>43952</v>
      </c>
      <c r="H13" s="13">
        <f ca="1"/>
        <v>43953</v>
      </c>
    </row>
    <row r="14" spans="2:8" ht="57.95" customHeight="1" x14ac:dyDescent="0.3">
      <c r="B14" s="22" t="str">
        <f ca="1">IFERROR(IF(MostrarDíasFestivos,IF(INDEX(tblDíasfestivos[],MATCH(DATE(CalYear,MONTH(B13),DAY(B13)),IF(MostrarFestivosObservados,tblDíasfestivos[CORREGIDO],tblDíasfestivos[DÍA]),0),6),INDEX(tblDíasfestivos[],MATCH(DATE(CalYear,MONTH(B13),DAY(B13)),IF(MostrarFestivosObservados,tblDíasfestivos[CORREGIDO],tblDíasfestivos[DÍA]),0),2),""),""),"")</f>
        <v/>
      </c>
      <c r="C14" s="23" t="str">
        <f ca="1">IFERROR(IF(MostrarDíasFestivos,IF(INDEX(tblDíasfestivos[],MATCH(DATE(CalYear,MONTH(C13),DAY(C13)),IF(MostrarFestivosObservados,tblDíasfestivos[CORREGIDO],tblDíasfestivos[DÍA]),0),6),INDEX(tblDíasfestivos[],MATCH(DATE(CalYear,MONTH(C13),DAY(C13)),IF(MostrarFestivosObservados,tblDíasfestivos[CORREGIDO],tblDíasfestivos[DÍA]),0),2),""),""),"")</f>
        <v/>
      </c>
      <c r="D14" s="23" t="str">
        <f ca="1">IFERROR(IF(MostrarDíasFestivos,IF(INDEX(tblDíasfestivos[],MATCH(DATE(CalYear,MONTH(D13),DAY(D13)),IF(MostrarFestivosObservados,tblDíasfestivos[CORREGIDO],tblDíasfestivos[DÍA]),0),6),INDEX(tblDíasfestivos[],MATCH(DATE(CalYear,MONTH(D13),DAY(D13)),IF(MostrarFestivosObservados,tblDíasfestivos[CORREGIDO],tblDíasfestivos[DÍA]),0),2),""),""),"")</f>
        <v/>
      </c>
      <c r="E14" s="23" t="str">
        <f ca="1">IFERROR(IF(MostrarDíasFestivos,IF(INDEX(tblDíasfestivos[],MATCH(DATE(CalYear,MONTH(E13),DAY(E13)),IF(MostrarFestivosObservados,tblDíasfestivos[CORREGIDO],tblDíasfestivos[DÍA]),0),6),INDEX(tblDíasfestivos[],MATCH(DATE(CalYear,MONTH(E13),DAY(E13)),IF(MostrarFestivosObservados,tblDíasfestivos[CORREGIDO],tblDíasfestivos[DÍA]),0),2),""),""),"")</f>
        <v/>
      </c>
      <c r="F14" s="23" t="str">
        <f ca="1">IFERROR(IF(MostrarDíasFestivos,IF(INDEX(tblDíasfestivos[],MATCH(DATE(CalYear,MONTH(F13),DAY(F13)),IF(MostrarFestivosObservados,tblDíasfestivos[CORREGIDO],tblDíasfestivos[DÍA]),0),6),INDEX(tblDíasfestivos[],MATCH(DATE(CalYear,MONTH(F13),DAY(F13)),IF(MostrarFestivosObservados,tblDíasfestivos[CORREGIDO],tblDíasfestivos[DÍA]),0),2),""),""),"")</f>
        <v/>
      </c>
      <c r="G14" s="24" t="str">
        <f ca="1">IFERROR(IF(MostrarDíasFestivos,IF(INDEX(tblDíasfestivos[],MATCH(DATE(CalYear,MONTH(G13),DAY(G13)),IF(MostrarFestivosObservados,tblDíasfestivos[CORREGIDO],tblDíasfestivos[DÍA]),0),6),INDEX(tblDíasfestivos[],MATCH(DATE(CalYear,MONTH(G13),DAY(G13)),IF(MostrarFestivosObservados,tblDíasfestivos[CORREGIDO],tblDíasfestivos[DÍA]),0),2),""),""),"")</f>
        <v/>
      </c>
      <c r="H14" s="25" t="str">
        <f ca="1">IFERROR(IF(MostrarDíasFestivos,IF(INDEX(tblDíasfestivos[],MATCH(DATE(CalYear,MONTH(H13),DAY(H13)),IF(MostrarFestivosObservados,tblDíasfestivos[CORREGIDO],tblDíasfestivos[DÍA]),0),6),INDEX(tblDíasfestivos[],MATCH(DATE(CalYear,MONTH(H13),DAY(H13)),IF(MostrarFestivosObservados,tblDíasfestivos[CORREGIDO],tblDíasfestivos[DÍA]),0),2),""),""),"")</f>
        <v/>
      </c>
    </row>
    <row r="15" spans="2:8" ht="19.5" customHeight="1" x14ac:dyDescent="0.35">
      <c r="B15" s="8">
        <f t="array" aca="1" ref="B15:C15" ca="1">Días+DATE(CalYear,4,1)-WEEKDAY(DATE(CalYear,4,1),(InicioDeLaSemana="Lunes")+1)+36</f>
        <v>43954</v>
      </c>
      <c r="C15" s="9">
        <f ca="1"/>
        <v>43955</v>
      </c>
      <c r="D15" s="61" t="s">
        <v>7</v>
      </c>
      <c r="E15" s="61"/>
      <c r="F15" s="61"/>
      <c r="G15" s="61"/>
      <c r="H15" s="62"/>
    </row>
    <row r="16" spans="2:8" ht="57.95" customHeight="1" x14ac:dyDescent="0.3">
      <c r="B16" s="18" t="str">
        <f ca="1">IFERROR(IF(MostrarDíasFestivos,IF(INDEX(tblDíasfestivos[],MATCH(DATE(CalYear,MONTH(B15),DAY(B15)),IF(MostrarFestivosObservados,tblDíasfestivos[CORREGIDO],tblDíasfestivos[DÍA]),0),6),INDEX(tblDíasfestivos[],MATCH(DATE(CalYear,MONTH(B15),DAY(B15)),IF(MostrarFestivosObservados,tblDíasfestivos[CORREGIDO],tblDíasfestivos[DÍA]),0),2),""),""),"")</f>
        <v/>
      </c>
      <c r="C16" s="19" t="str">
        <f ca="1">IFERROR(IF(MostrarDíasFestivos,IF(INDEX(tblDíasfestivos[],MATCH(DATE(CalYear,MONTH(C15),DAY(C15)),IF(MostrarFestivosObservados,tblDíasfestivos[CORREGIDO],tblDíasfestivos[DÍA]),0),6),INDEX(tblDíasfestivos[],MATCH(DATE(CalYear,MONTH(C15),DAY(C15)),IF(MostrarFestivosObservados,tblDíasfestivos[CORREGIDO],tblDíasfestivos[DÍA]),0),2),""),""),"")</f>
        <v/>
      </c>
      <c r="D16" s="59"/>
      <c r="E16" s="59"/>
      <c r="F16" s="59"/>
      <c r="G16" s="59"/>
      <c r="H16" s="60"/>
    </row>
    <row r="17" spans="2:8" x14ac:dyDescent="0.3">
      <c r="B17" s="64"/>
      <c r="C17" s="64"/>
      <c r="D17" s="64"/>
      <c r="E17" s="64"/>
      <c r="F17" s="64"/>
      <c r="G17" s="64"/>
      <c r="H17" s="64"/>
    </row>
  </sheetData>
  <mergeCells count="4">
    <mergeCell ref="B2:D2"/>
    <mergeCell ref="D15:H15"/>
    <mergeCell ref="D16:H16"/>
    <mergeCell ref="B17:H17"/>
  </mergeCells>
  <conditionalFormatting sqref="B13:H13 B15:C15">
    <cfRule type="expression" dxfId="17" priority="2">
      <formula>AND(DAY(B13)&gt;=1,DAY(B13)&lt;=15)</formula>
    </cfRule>
  </conditionalFormatting>
  <conditionalFormatting sqref="B5:G5">
    <cfRule type="expression" dxfId="16" priority="1">
      <formula>DAY(B5)&gt;8</formula>
    </cfRule>
  </conditionalFormatting>
  <printOptions horizontalCentered="1"/>
  <pageMargins left="0.4" right="0.4" top="0.4" bottom="0.4" header="0.3" footer="0.3"/>
  <pageSetup paperSize="9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tabColor theme="4"/>
    <pageSetUpPr fitToPage="1"/>
  </sheetPr>
  <dimension ref="B2:H17"/>
  <sheetViews>
    <sheetView showGridLines="0" workbookViewId="0"/>
  </sheetViews>
  <sheetFormatPr baseColWidth="10" defaultColWidth="8.85546875" defaultRowHeight="15" x14ac:dyDescent="0.3"/>
  <cols>
    <col min="1" max="1" width="3.5703125" customWidth="1"/>
    <col min="2" max="2" width="18.28515625" customWidth="1"/>
    <col min="3" max="8" width="17.7109375" customWidth="1"/>
    <col min="9" max="9" width="3.5703125" customWidth="1"/>
    <col min="10" max="10" width="13.7109375" customWidth="1"/>
  </cols>
  <sheetData>
    <row r="2" spans="2:8" ht="30" customHeight="1" thickBot="1" x14ac:dyDescent="0.35">
      <c r="B2" s="58">
        <f ca="1">B9</f>
        <v>43961</v>
      </c>
      <c r="C2" s="58"/>
      <c r="D2" s="58"/>
      <c r="E2" s="34"/>
      <c r="F2" s="34"/>
      <c r="G2" s="34"/>
      <c r="H2" s="35"/>
    </row>
    <row r="3" spans="2:8" ht="18" customHeight="1" thickTop="1" x14ac:dyDescent="0.3"/>
    <row r="4" spans="2:8" ht="24" customHeight="1" thickBot="1" x14ac:dyDescent="0.35">
      <c r="B4" s="2" t="str">
        <f>InicioDeLaSemana</f>
        <v>DOMINGO</v>
      </c>
      <c r="C4" s="3" t="str">
        <f t="shared" ref="C4:H4" ca="1" si="0">UPPER(TEXT(C5,"dddd"))</f>
        <v>LUNES</v>
      </c>
      <c r="D4" s="3" t="str">
        <f t="shared" ca="1" si="0"/>
        <v>MARTES</v>
      </c>
      <c r="E4" s="3" t="str">
        <f t="shared" ca="1" si="0"/>
        <v>MIÉRCOLES</v>
      </c>
      <c r="F4" s="3" t="str">
        <f t="shared" ca="1" si="0"/>
        <v>JUEVES</v>
      </c>
      <c r="G4" s="31" t="str">
        <f t="shared" ca="1" si="0"/>
        <v>VIERNES</v>
      </c>
      <c r="H4" s="4" t="str">
        <f t="shared" ca="1" si="0"/>
        <v>SÁBADO</v>
      </c>
    </row>
    <row r="5" spans="2:8" ht="19.5" customHeight="1" thickTop="1" x14ac:dyDescent="0.35">
      <c r="B5" s="5">
        <f t="array" aca="1" ref="B5:H5" ca="1">Días+DATE(CalYear,5,1)-WEEKDAY(DATE(CalYear,5,1),(InicioDeLaSemana="Lunes")+1)+1</f>
        <v>43947</v>
      </c>
      <c r="C5" s="6">
        <f ca="1"/>
        <v>43948</v>
      </c>
      <c r="D5" s="6">
        <f ca="1"/>
        <v>43949</v>
      </c>
      <c r="E5" s="6">
        <f ca="1"/>
        <v>43950</v>
      </c>
      <c r="F5" s="6">
        <f ca="1"/>
        <v>43951</v>
      </c>
      <c r="G5" s="6">
        <f ca="1"/>
        <v>43952</v>
      </c>
      <c r="H5" s="7">
        <f ca="1"/>
        <v>43953</v>
      </c>
    </row>
    <row r="6" spans="2:8" ht="57.95" customHeight="1" x14ac:dyDescent="0.3">
      <c r="B6" s="14" t="str">
        <f ca="1">IFERROR(IF(MostrarDíasFestivos,IF(INDEX(tblDíasfestivos[],MATCH(DATE(CalYear-(DAY(B5)&gt;15)+(ROW()&gt;6),MONTH(B5),DAY(B5)),IF(MostrarFestivosObservados,tblDíasfestivos[CORREGIDO],tblDíasfestivos[DÍA]),0),6),INDEX(tblDíasfestivos[],MATCH(DATE(CalYear-(DAY(B5)&gt;15)+(ROW()&gt;6),MONTH(B5),DAY(B5)),IF(MostrarFestivosObservados,tblDíasfestivos[CORREGIDO],tblDíasfestivos[DÍA]),0),2),""),""),"")</f>
        <v/>
      </c>
      <c r="C6" s="15" t="str">
        <f ca="1">IFERROR(IF(MostrarDíasFestivos,IF(INDEX(tblDíasfestivos[],MATCH(DATE(CalYear-(DAY(C5)&gt;15)+(ROW()&gt;6),MONTH(C5),DAY(C5)),IF(MostrarFestivosObservados,tblDíasfestivos[CORREGIDO],tblDíasfestivos[DÍA]),0),6),INDEX(tblDíasfestivos[],MATCH(DATE(CalYear-(DAY(C5)&gt;15)+(ROW()&gt;6),MONTH(C5),DAY(C5)),IF(MostrarFestivosObservados,tblDíasfestivos[CORREGIDO],tblDíasfestivos[DÍA]),0),2),""),""),"")</f>
        <v/>
      </c>
      <c r="D6" s="15" t="str">
        <f ca="1">IFERROR(IF(MostrarDíasFestivos,IF(INDEX(tblDíasfestivos[],MATCH(DATE(CalYear-(DAY(D5)&gt;15)+(ROW()&gt;6),MONTH(D5),DAY(D5)),IF(MostrarFestivosObservados,tblDíasfestivos[CORREGIDO],tblDíasfestivos[DÍA]),0),6),INDEX(tblDíasfestivos[],MATCH(DATE(CalYear-(DAY(D5)&gt;15)+(ROW()&gt;6),MONTH(D5),DAY(D5)),IF(MostrarFestivosObservados,tblDíasfestivos[CORREGIDO],tblDíasfestivos[DÍA]),0),2),""),""),"")</f>
        <v/>
      </c>
      <c r="E6" s="15" t="str">
        <f ca="1">IFERROR(IF(MostrarDíasFestivos,IF(INDEX(tblDíasfestivos[],MATCH(DATE(CalYear-(DAY(E5)&gt;15)+(ROW()&gt;6),MONTH(E5),DAY(E5)),IF(MostrarFestivosObservados,tblDíasfestivos[CORREGIDO],tblDíasfestivos[DÍA]),0),6),INDEX(tblDíasfestivos[],MATCH(DATE(CalYear-(DAY(E5)&gt;15)+(ROW()&gt;6),MONTH(E5),DAY(E5)),IF(MostrarFestivosObservados,tblDíasfestivos[CORREGIDO],tblDíasfestivos[DÍA]),0),2),""),""),"")</f>
        <v/>
      </c>
      <c r="F6" s="15" t="str">
        <f ca="1">IFERROR(IF(MostrarDíasFestivos,IF(INDEX(tblDíasfestivos[],MATCH(DATE(CalYear-(DAY(F5)&gt;15)+(ROW()&gt;6),MONTH(F5),DAY(F5)),IF(MostrarFestivosObservados,tblDíasfestivos[CORREGIDO],tblDíasfestivos[DÍA]),0),6),INDEX(tblDíasfestivos[],MATCH(DATE(CalYear-(DAY(F5)&gt;15)+(ROW()&gt;6),MONTH(F5),DAY(F5)),IF(MostrarFestivosObservados,tblDíasfestivos[CORREGIDO],tblDíasfestivos[DÍA]),0),2),""),""),"")</f>
        <v/>
      </c>
      <c r="G6" s="16" t="str">
        <f ca="1">IFERROR(IF(MostrarDíasFestivos,IF(INDEX(tblDíasfestivos[],MATCH(DATE(CalYear-(DAY(G5)&gt;15)+(ROW()&gt;6),MONTH(G5),DAY(G5)),IF(MostrarFestivosObservados,tblDíasfestivos[CORREGIDO],tblDíasfestivos[DÍA]),0),6),INDEX(tblDíasfestivos[],MATCH(DATE(CalYear-(DAY(G5)&gt;15)+(ROW()&gt;6),MONTH(G5),DAY(G5)),IF(MostrarFestivosObservados,tblDíasfestivos[CORREGIDO],tblDíasfestivos[DÍA]),0),2),""),""),"")</f>
        <v/>
      </c>
      <c r="H6" s="17" t="str">
        <f ca="1">IFERROR(IF(MostrarDíasFestivos,IF(INDEX(tblDíasfestivos[],MATCH(DATE(CalYear-(DAY(H5)&gt;15)+(ROW()&gt;6),MONTH(H5),DAY(H5)),IF(MostrarFestivosObservados,tblDíasfestivos[CORREGIDO],tblDíasfestivos[DÍA]),0),6),INDEX(tblDíasfestivos[],MATCH(DATE(CalYear-(DAY(H5)&gt;15)+(ROW()&gt;6),MONTH(H5),DAY(H5)),IF(MostrarFestivosObservados,tblDíasfestivos[CORREGIDO],tblDíasfestivos[DÍA]),0),2),""),""),"")</f>
        <v/>
      </c>
    </row>
    <row r="7" spans="2:8" ht="19.5" customHeight="1" x14ac:dyDescent="0.3">
      <c r="B7" s="8">
        <f t="array" aca="1" ref="B7:H7" ca="1">Días+DATE(CalYear,5,1)-WEEKDAY(DATE(CalYear,5,1),(InicioDeLaSemana="Lunes")+1)+8</f>
        <v>43954</v>
      </c>
      <c r="C7" s="9">
        <f ca="1"/>
        <v>43955</v>
      </c>
      <c r="D7" s="9">
        <f ca="1"/>
        <v>43956</v>
      </c>
      <c r="E7" s="9">
        <f ca="1"/>
        <v>43957</v>
      </c>
      <c r="F7" s="9">
        <f ca="1"/>
        <v>43958</v>
      </c>
      <c r="G7" s="9">
        <f ca="1"/>
        <v>43959</v>
      </c>
      <c r="H7" s="10">
        <f ca="1"/>
        <v>43960</v>
      </c>
    </row>
    <row r="8" spans="2:8" ht="57.95" customHeight="1" x14ac:dyDescent="0.3">
      <c r="B8" s="18" t="str">
        <f ca="1">IFERROR(IF(MostrarDíasFestivos,IF(INDEX(tblDíasfestivos[],MATCH(DATE(CalYear,MONTH(B7),DAY(B7)),IF(MostrarFestivosObservados,tblDíasfestivos[CORREGIDO],tblDíasfestivos[DÍA]),0),6),INDEX(tblDíasfestivos[],MATCH(DATE(CalYear,MONTH(B7),DAY(B7)),IF(MostrarFestivosObservados,tblDíasfestivos[CORREGIDO],tblDíasfestivos[DÍA]),0),2),""),""),"")</f>
        <v/>
      </c>
      <c r="C8" s="19" t="str">
        <f ca="1">IFERROR(IF(MostrarDíasFestivos,IF(INDEX(tblDíasfestivos[],MATCH(DATE(CalYear,MONTH(C7),DAY(C7)),IF(MostrarFestivosObservados,tblDíasfestivos[CORREGIDO],tblDíasfestivos[DÍA]),0),6),INDEX(tblDíasfestivos[],MATCH(DATE(CalYear,MONTH(C7),DAY(C7)),IF(MostrarFestivosObservados,tblDíasfestivos[CORREGIDO],tblDíasfestivos[DÍA]),0),2),""),""),"")</f>
        <v/>
      </c>
      <c r="D8" s="19" t="str">
        <f ca="1">IFERROR(IF(MostrarDíasFestivos,IF(INDEX(tblDíasfestivos[],MATCH(DATE(CalYear,MONTH(D7),DAY(D7)),IF(MostrarFestivosObservados,tblDíasfestivos[CORREGIDO],tblDíasfestivos[DÍA]),0),6),INDEX(tblDíasfestivos[],MATCH(DATE(CalYear,MONTH(D7),DAY(D7)),IF(MostrarFestivosObservados,tblDíasfestivos[CORREGIDO],tblDíasfestivos[DÍA]),0),2),""),""),"")</f>
        <v/>
      </c>
      <c r="E8" s="19" t="str">
        <f ca="1">IFERROR(IF(MostrarDíasFestivos,IF(INDEX(tblDíasfestivos[],MATCH(DATE(CalYear,MONTH(E7),DAY(E7)),IF(MostrarFestivosObservados,tblDíasfestivos[CORREGIDO],tblDíasfestivos[DÍA]),0),6),INDEX(tblDíasfestivos[],MATCH(DATE(CalYear,MONTH(E7),DAY(E7)),IF(MostrarFestivosObservados,tblDíasfestivos[CORREGIDO],tblDíasfestivos[DÍA]),0),2),""),""),"")</f>
        <v/>
      </c>
      <c r="F8" s="19" t="str">
        <f ca="1">IFERROR(IF(MostrarDíasFestivos,IF(INDEX(tblDíasfestivos[],MATCH(DATE(CalYear,MONTH(F7),DAY(F7)),IF(MostrarFestivosObservados,tblDíasfestivos[CORREGIDO],tblDíasfestivos[DÍA]),0),6),INDEX(tblDíasfestivos[],MATCH(DATE(CalYear,MONTH(F7),DAY(F7)),IF(MostrarFestivosObservados,tblDíasfestivos[CORREGIDO],tblDíasfestivos[DÍA]),0),2),""),""),"")</f>
        <v/>
      </c>
      <c r="G8" s="20" t="str">
        <f ca="1">IFERROR(IF(MostrarDíasFestivos,IF(INDEX(tblDíasfestivos[],MATCH(DATE(CalYear,MONTH(G7),DAY(G7)),IF(MostrarFestivosObservados,tblDíasfestivos[CORREGIDO],tblDíasfestivos[DÍA]),0),6),INDEX(tblDíasfestivos[],MATCH(DATE(CalYear,MONTH(G7),DAY(G7)),IF(MostrarFestivosObservados,tblDíasfestivos[CORREGIDO],tblDíasfestivos[DÍA]),0),2),""),""),"")</f>
        <v/>
      </c>
      <c r="H8" s="21" t="str">
        <f ca="1">IFERROR(IF(MostrarDíasFestivos,IF(INDEX(tblDíasfestivos[],MATCH(DATE(CalYear,MONTH(H7),DAY(H7)),IF(MostrarFestivosObservados,tblDíasfestivos[CORREGIDO],tblDíasfestivos[DÍA]),0),6),INDEX(tblDíasfestivos[],MATCH(DATE(CalYear,MONTH(H7),DAY(H7)),IF(MostrarFestivosObservados,tblDíasfestivos[CORREGIDO],tblDíasfestivos[DÍA]),0),2),""),""),"")</f>
        <v/>
      </c>
    </row>
    <row r="9" spans="2:8" ht="19.5" customHeight="1" x14ac:dyDescent="0.3">
      <c r="B9" s="11">
        <f t="array" aca="1" ref="B9:H9" ca="1">Días+DATE(CalYear,5,1)-WEEKDAY(DATE(CalYear,5,1),(InicioDeLaSemana="Lunes")+1)+15</f>
        <v>43961</v>
      </c>
      <c r="C9" s="12">
        <f ca="1"/>
        <v>43962</v>
      </c>
      <c r="D9" s="12">
        <f ca="1"/>
        <v>43963</v>
      </c>
      <c r="E9" s="12">
        <f ca="1"/>
        <v>43964</v>
      </c>
      <c r="F9" s="12">
        <f ca="1"/>
        <v>43965</v>
      </c>
      <c r="G9" s="12">
        <f ca="1"/>
        <v>43966</v>
      </c>
      <c r="H9" s="13">
        <f ca="1"/>
        <v>43967</v>
      </c>
    </row>
    <row r="10" spans="2:8" ht="57.95" customHeight="1" x14ac:dyDescent="0.3">
      <c r="B10" s="22" t="str">
        <f ca="1">IFERROR(IF(MostrarDíasFestivos,IF(INDEX(tblDíasfestivos[],MATCH(DATE(CalYear,MONTH(B9),DAY(B9)),IF(MostrarFestivosObservados,tblDíasfestivos[CORREGIDO],tblDíasfestivos[DÍA]),0),6),INDEX(tblDíasfestivos[],MATCH(DATE(CalYear,MONTH(B9),DAY(B9)),IF(MostrarFestivosObservados,tblDíasfestivos[CORREGIDO],tblDíasfestivos[DÍA]),0),2),""),""),"")</f>
        <v/>
      </c>
      <c r="C10" s="23" t="str">
        <f ca="1">IFERROR(IF(MostrarDíasFestivos,IF(INDEX(tblDíasfestivos[],MATCH(DATE(CalYear,MONTH(C9),DAY(C9)),IF(MostrarFestivosObservados,tblDíasfestivos[CORREGIDO],tblDíasfestivos[DÍA]),0),6),INDEX(tblDíasfestivos[],MATCH(DATE(CalYear,MONTH(C9),DAY(C9)),IF(MostrarFestivosObservados,tblDíasfestivos[CORREGIDO],tblDíasfestivos[DÍA]),0),2),""),""),"")</f>
        <v/>
      </c>
      <c r="D10" s="23" t="str">
        <f ca="1">IFERROR(IF(MostrarDíasFestivos,IF(INDEX(tblDíasfestivos[],MATCH(DATE(CalYear,MONTH(D9),DAY(D9)),IF(MostrarFestivosObservados,tblDíasfestivos[CORREGIDO],tblDíasfestivos[DÍA]),0),6),INDEX(tblDíasfestivos[],MATCH(DATE(CalYear,MONTH(D9),DAY(D9)),IF(MostrarFestivosObservados,tblDíasfestivos[CORREGIDO],tblDíasfestivos[DÍA]),0),2),""),""),"")</f>
        <v/>
      </c>
      <c r="E10" s="23" t="str">
        <f ca="1">IFERROR(IF(MostrarDíasFestivos,IF(INDEX(tblDíasfestivos[],MATCH(DATE(CalYear,MONTH(E9),DAY(E9)),IF(MostrarFestivosObservados,tblDíasfestivos[CORREGIDO],tblDíasfestivos[DÍA]),0),6),INDEX(tblDíasfestivos[],MATCH(DATE(CalYear,MONTH(E9),DAY(E9)),IF(MostrarFestivosObservados,tblDíasfestivos[CORREGIDO],tblDíasfestivos[DÍA]),0),2),""),""),"")</f>
        <v/>
      </c>
      <c r="F10" s="23" t="str">
        <f ca="1">IFERROR(IF(MostrarDíasFestivos,IF(INDEX(tblDíasfestivos[],MATCH(DATE(CalYear,MONTH(F9),DAY(F9)),IF(MostrarFestivosObservados,tblDíasfestivos[CORREGIDO],tblDíasfestivos[DÍA]),0),6),INDEX(tblDíasfestivos[],MATCH(DATE(CalYear,MONTH(F9),DAY(F9)),IF(MostrarFestivosObservados,tblDíasfestivos[CORREGIDO],tblDíasfestivos[DÍA]),0),2),""),""),"")</f>
        <v/>
      </c>
      <c r="G10" s="24" t="str">
        <f ca="1">IFERROR(IF(MostrarDíasFestivos,IF(INDEX(tblDíasfestivos[],MATCH(DATE(CalYear,MONTH(G9),DAY(G9)),IF(MostrarFestivosObservados,tblDíasfestivos[CORREGIDO],tblDíasfestivos[DÍA]),0),6),INDEX(tblDíasfestivos[],MATCH(DATE(CalYear,MONTH(G9),DAY(G9)),IF(MostrarFestivosObservados,tblDíasfestivos[CORREGIDO],tblDíasfestivos[DÍA]),0),2),""),""),"")</f>
        <v/>
      </c>
      <c r="H10" s="25" t="str">
        <f ca="1">IFERROR(IF(MostrarDíasFestivos,IF(INDEX(tblDíasfestivos[],MATCH(DATE(CalYear,MONTH(H9),DAY(H9)),IF(MostrarFestivosObservados,tblDíasfestivos[CORREGIDO],tblDíasfestivos[DÍA]),0),6),INDEX(tblDíasfestivos[],MATCH(DATE(CalYear,MONTH(H9),DAY(H9)),IF(MostrarFestivosObservados,tblDíasfestivos[CORREGIDO],tblDíasfestivos[DÍA]),0),2),""),""),"")</f>
        <v/>
      </c>
    </row>
    <row r="11" spans="2:8" ht="19.5" customHeight="1" x14ac:dyDescent="0.3">
      <c r="B11" s="8">
        <f t="array" aca="1" ref="B11:H11" ca="1">Días+DATE(CalYear,5,1)-WEEKDAY(DATE(CalYear,5,1),(InicioDeLaSemana="Lunes")+1)+22</f>
        <v>43968</v>
      </c>
      <c r="C11" s="9">
        <f ca="1"/>
        <v>43969</v>
      </c>
      <c r="D11" s="9">
        <f ca="1"/>
        <v>43970</v>
      </c>
      <c r="E11" s="9">
        <f ca="1"/>
        <v>43971</v>
      </c>
      <c r="F11" s="9">
        <f ca="1"/>
        <v>43972</v>
      </c>
      <c r="G11" s="9">
        <f ca="1"/>
        <v>43973</v>
      </c>
      <c r="H11" s="10">
        <f ca="1"/>
        <v>43974</v>
      </c>
    </row>
    <row r="12" spans="2:8" ht="57.95" customHeight="1" x14ac:dyDescent="0.3">
      <c r="B12" s="18" t="str">
        <f ca="1">IFERROR(IF(MostrarDíasFestivos,IF(INDEX(tblDíasfestivos[],MATCH(DATE(CalYear,MONTH(B11),DAY(B11)),IF(MostrarFestivosObservados,tblDíasfestivos[CORREGIDO],tblDíasfestivos[DÍA]),0),6),INDEX(tblDíasfestivos[],MATCH(DATE(CalYear,MONTH(B11),DAY(B11)),IF(MostrarFestivosObservados,tblDíasfestivos[CORREGIDO],tblDíasfestivos[DÍA]),0),2),""),""),"")</f>
        <v/>
      </c>
      <c r="C12" s="19" t="str">
        <f ca="1">IFERROR(IF(MostrarDíasFestivos,IF(INDEX(tblDíasfestivos[],MATCH(DATE(CalYear,MONTH(C11),DAY(C11)),IF(MostrarFestivosObservados,tblDíasfestivos[CORREGIDO],tblDíasfestivos[DÍA]),0),6),INDEX(tblDíasfestivos[],MATCH(DATE(CalYear,MONTH(C11),DAY(C11)),IF(MostrarFestivosObservados,tblDíasfestivos[CORREGIDO],tblDíasfestivos[DÍA]),0),2),""),""),"")</f>
        <v/>
      </c>
      <c r="D12" s="19" t="str">
        <f ca="1">IFERROR(IF(MostrarDíasFestivos,IF(INDEX(tblDíasfestivos[],MATCH(DATE(CalYear,MONTH(D11),DAY(D11)),IF(MostrarFestivosObservados,tblDíasfestivos[CORREGIDO],tblDíasfestivos[DÍA]),0),6),INDEX(tblDíasfestivos[],MATCH(DATE(CalYear,MONTH(D11),DAY(D11)),IF(MostrarFestivosObservados,tblDíasfestivos[CORREGIDO],tblDíasfestivos[DÍA]),0),2),""),""),"")</f>
        <v/>
      </c>
      <c r="E12" s="19" t="str">
        <f ca="1">IFERROR(IF(MostrarDíasFestivos,IF(INDEX(tblDíasfestivos[],MATCH(DATE(CalYear,MONTH(E11),DAY(E11)),IF(MostrarFestivosObservados,tblDíasfestivos[CORREGIDO],tblDíasfestivos[DÍA]),0),6),INDEX(tblDíasfestivos[],MATCH(DATE(CalYear,MONTH(E11),DAY(E11)),IF(MostrarFestivosObservados,tblDíasfestivos[CORREGIDO],tblDíasfestivos[DÍA]),0),2),""),""),"")</f>
        <v/>
      </c>
      <c r="F12" s="19" t="str">
        <f ca="1">IFERROR(IF(MostrarDíasFestivos,IF(INDEX(tblDíasfestivos[],MATCH(DATE(CalYear,MONTH(F11),DAY(F11)),IF(MostrarFestivosObservados,tblDíasfestivos[CORREGIDO],tblDíasfestivos[DÍA]),0),6),INDEX(tblDíasfestivos[],MATCH(DATE(CalYear,MONTH(F11),DAY(F11)),IF(MostrarFestivosObservados,tblDíasfestivos[CORREGIDO],tblDíasfestivos[DÍA]),0),2),""),""),"")</f>
        <v/>
      </c>
      <c r="G12" s="20" t="str">
        <f ca="1">IFERROR(IF(MostrarDíasFestivos,IF(INDEX(tblDíasfestivos[],MATCH(DATE(CalYear,MONTH(G11),DAY(G11)),IF(MostrarFestivosObservados,tblDíasfestivos[CORREGIDO],tblDíasfestivos[DÍA]),0),6),INDEX(tblDíasfestivos[],MATCH(DATE(CalYear,MONTH(G11),DAY(G11)),IF(MostrarFestivosObservados,tblDíasfestivos[CORREGIDO],tblDíasfestivos[DÍA]),0),2),""),""),"")</f>
        <v/>
      </c>
      <c r="H12" s="21" t="str">
        <f ca="1">IFERROR(IF(MostrarDíasFestivos,IF(INDEX(tblDíasfestivos[],MATCH(DATE(CalYear,MONTH(H11),DAY(H11)),IF(MostrarFestivosObservados,tblDíasfestivos[CORREGIDO],tblDíasfestivos[DÍA]),0),6),INDEX(tblDíasfestivos[],MATCH(DATE(CalYear,MONTH(H11),DAY(H11)),IF(MostrarFestivosObservados,tblDíasfestivos[CORREGIDO],tblDíasfestivos[DÍA]),0),2),""),""),"")</f>
        <v/>
      </c>
    </row>
    <row r="13" spans="2:8" ht="19.5" customHeight="1" x14ac:dyDescent="0.3">
      <c r="B13" s="11">
        <f t="array" aca="1" ref="B13:H13" ca="1">Días+DATE(CalYear,5,1)-WEEKDAY(DATE(CalYear,5,1),(InicioDeLaSemana="Lunes")+1)+29</f>
        <v>43975</v>
      </c>
      <c r="C13" s="12">
        <f ca="1"/>
        <v>43976</v>
      </c>
      <c r="D13" s="12">
        <f ca="1"/>
        <v>43977</v>
      </c>
      <c r="E13" s="12">
        <f ca="1"/>
        <v>43978</v>
      </c>
      <c r="F13" s="12">
        <f ca="1"/>
        <v>43979</v>
      </c>
      <c r="G13" s="12">
        <f ca="1"/>
        <v>43980</v>
      </c>
      <c r="H13" s="13">
        <f ca="1"/>
        <v>43981</v>
      </c>
    </row>
    <row r="14" spans="2:8" ht="57.95" customHeight="1" x14ac:dyDescent="0.3">
      <c r="B14" s="22" t="str">
        <f ca="1">IFERROR(IF(MostrarDíasFestivos,IF(INDEX(tblDíasfestivos[],MATCH(DATE(CalYear,MONTH(B13),DAY(B13)),IF(MostrarFestivosObservados,tblDíasfestivos[CORREGIDO],tblDíasfestivos[DÍA]),0),6),INDEX(tblDíasfestivos[],MATCH(DATE(CalYear,MONTH(B13),DAY(B13)),IF(MostrarFestivosObservados,tblDíasfestivos[CORREGIDO],tblDíasfestivos[DÍA]),0),2),""),""),"")</f>
        <v/>
      </c>
      <c r="C14" s="23" t="str">
        <f ca="1">IFERROR(IF(MostrarDíasFestivos,IF(INDEX(tblDíasfestivos[],MATCH(DATE(CalYear,MONTH(C13),DAY(C13)),IF(MostrarFestivosObservados,tblDíasfestivos[CORREGIDO],tblDíasfestivos[DÍA]),0),6),INDEX(tblDíasfestivos[],MATCH(DATE(CalYear,MONTH(C13),DAY(C13)),IF(MostrarFestivosObservados,tblDíasfestivos[CORREGIDO],tblDíasfestivos[DÍA]),0),2),""),""),"")</f>
        <v>Día de los Caídos</v>
      </c>
      <c r="D14" s="23" t="str">
        <f ca="1">IFERROR(IF(MostrarDíasFestivos,IF(INDEX(tblDíasfestivos[],MATCH(DATE(CalYear,MONTH(D13),DAY(D13)),IF(MostrarFestivosObservados,tblDíasfestivos[CORREGIDO],tblDíasfestivos[DÍA]),0),6),INDEX(tblDíasfestivos[],MATCH(DATE(CalYear,MONTH(D13),DAY(D13)),IF(MostrarFestivosObservados,tblDíasfestivos[CORREGIDO],tblDíasfestivos[DÍA]),0),2),""),""),"")</f>
        <v/>
      </c>
      <c r="E14" s="23" t="str">
        <f ca="1">IFERROR(IF(MostrarDíasFestivos,IF(INDEX(tblDíasfestivos[],MATCH(DATE(CalYear,MONTH(E13),DAY(E13)),IF(MostrarFestivosObservados,tblDíasfestivos[CORREGIDO],tblDíasfestivos[DÍA]),0),6),INDEX(tblDíasfestivos[],MATCH(DATE(CalYear,MONTH(E13),DAY(E13)),IF(MostrarFestivosObservados,tblDíasfestivos[CORREGIDO],tblDíasfestivos[DÍA]),0),2),""),""),"")</f>
        <v/>
      </c>
      <c r="F14" s="23" t="str">
        <f ca="1">IFERROR(IF(MostrarDíasFestivos,IF(INDEX(tblDíasfestivos[],MATCH(DATE(CalYear,MONTH(F13),DAY(F13)),IF(MostrarFestivosObservados,tblDíasfestivos[CORREGIDO],tblDíasfestivos[DÍA]),0),6),INDEX(tblDíasfestivos[],MATCH(DATE(CalYear,MONTH(F13),DAY(F13)),IF(MostrarFestivosObservados,tblDíasfestivos[CORREGIDO],tblDíasfestivos[DÍA]),0),2),""),""),"")</f>
        <v/>
      </c>
      <c r="G14" s="24" t="str">
        <f ca="1">IFERROR(IF(MostrarDíasFestivos,IF(INDEX(tblDíasfestivos[],MATCH(DATE(CalYear,MONTH(G13),DAY(G13)),IF(MostrarFestivosObservados,tblDíasfestivos[CORREGIDO],tblDíasfestivos[DÍA]),0),6),INDEX(tblDíasfestivos[],MATCH(DATE(CalYear,MONTH(G13),DAY(G13)),IF(MostrarFestivosObservados,tblDíasfestivos[CORREGIDO],tblDíasfestivos[DÍA]),0),2),""),""),"")</f>
        <v/>
      </c>
      <c r="H14" s="25" t="str">
        <f ca="1">IFERROR(IF(MostrarDíasFestivos,IF(INDEX(tblDíasfestivos[],MATCH(DATE(CalYear,MONTH(H13),DAY(H13)),IF(MostrarFestivosObservados,tblDíasfestivos[CORREGIDO],tblDíasfestivos[DÍA]),0),6),INDEX(tblDíasfestivos[],MATCH(DATE(CalYear,MONTH(H13),DAY(H13)),IF(MostrarFestivosObservados,tblDíasfestivos[CORREGIDO],tblDíasfestivos[DÍA]),0),2),""),""),"")</f>
        <v/>
      </c>
    </row>
    <row r="15" spans="2:8" ht="19.5" customHeight="1" x14ac:dyDescent="0.35">
      <c r="B15" s="8">
        <f t="array" aca="1" ref="B15:C15" ca="1">Días+DATE(CalYear,5,1)-WEEKDAY(DATE(CalYear,5,1),(InicioDeLaSemana="Lunes")+1)+36</f>
        <v>43982</v>
      </c>
      <c r="C15" s="9">
        <f ca="1"/>
        <v>43983</v>
      </c>
      <c r="D15" s="61" t="s">
        <v>7</v>
      </c>
      <c r="E15" s="61"/>
      <c r="F15" s="61"/>
      <c r="G15" s="61"/>
      <c r="H15" s="62"/>
    </row>
    <row r="16" spans="2:8" ht="57.95" customHeight="1" x14ac:dyDescent="0.3">
      <c r="B16" s="18" t="str">
        <f ca="1">IFERROR(IF(MostrarDíasFestivos,IF(INDEX(tblDíasfestivos[],MATCH(DATE(CalYear,MONTH(B15),DAY(B15)),IF(MostrarFestivosObservados,tblDíasfestivos[CORREGIDO],tblDíasfestivos[DÍA]),0),6),INDEX(tblDíasfestivos[],MATCH(DATE(CalYear,MONTH(B15),DAY(B15)),IF(MostrarFestivosObservados,tblDíasfestivos[CORREGIDO],tblDíasfestivos[DÍA]),0),2),""),""),"")</f>
        <v/>
      </c>
      <c r="C16" s="19" t="str">
        <f ca="1">IFERROR(IF(MostrarDíasFestivos,IF(INDEX(tblDíasfestivos[],MATCH(DATE(CalYear,MONTH(C15),DAY(C15)),IF(MostrarFestivosObservados,tblDíasfestivos[CORREGIDO],tblDíasfestivos[DÍA]),0),6),INDEX(tblDíasfestivos[],MATCH(DATE(CalYear,MONTH(C15),DAY(C15)),IF(MostrarFestivosObservados,tblDíasfestivos[CORREGIDO],tblDíasfestivos[DÍA]),0),2),""),""),"")</f>
        <v/>
      </c>
      <c r="D16" s="59"/>
      <c r="E16" s="59"/>
      <c r="F16" s="59"/>
      <c r="G16" s="59"/>
      <c r="H16" s="60"/>
    </row>
    <row r="17" spans="2:8" x14ac:dyDescent="0.3">
      <c r="B17" s="64"/>
      <c r="C17" s="64"/>
      <c r="D17" s="64"/>
      <c r="E17" s="64"/>
      <c r="F17" s="64"/>
      <c r="G17" s="64"/>
      <c r="H17" s="64"/>
    </row>
  </sheetData>
  <mergeCells count="4">
    <mergeCell ref="B2:D2"/>
    <mergeCell ref="D15:H15"/>
    <mergeCell ref="D16:H16"/>
    <mergeCell ref="B17:H17"/>
  </mergeCells>
  <conditionalFormatting sqref="B13:H13 B15:C15">
    <cfRule type="expression" dxfId="15" priority="2">
      <formula>AND(DAY(B13)&gt;=1,DAY(B13)&lt;=15)</formula>
    </cfRule>
  </conditionalFormatting>
  <conditionalFormatting sqref="B5:G5">
    <cfRule type="expression" dxfId="14" priority="1">
      <formula>DAY(B5)&gt;8</formula>
    </cfRule>
  </conditionalFormatting>
  <printOptions horizontalCentered="1"/>
  <pageMargins left="0.4" right="0.4" top="0.4" bottom="0.4" header="0.3" footer="0.3"/>
  <pageSetup paperSize="9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>
    <tabColor theme="4"/>
    <pageSetUpPr fitToPage="1"/>
  </sheetPr>
  <dimension ref="B2:H17"/>
  <sheetViews>
    <sheetView showGridLines="0" workbookViewId="0"/>
  </sheetViews>
  <sheetFormatPr baseColWidth="10" defaultColWidth="8.85546875" defaultRowHeight="15" x14ac:dyDescent="0.3"/>
  <cols>
    <col min="1" max="1" width="3.5703125" customWidth="1"/>
    <col min="2" max="2" width="18.28515625" customWidth="1"/>
    <col min="3" max="8" width="17.7109375" customWidth="1"/>
    <col min="9" max="9" width="3.5703125" customWidth="1"/>
    <col min="10" max="10" width="13.7109375" customWidth="1"/>
  </cols>
  <sheetData>
    <row r="2" spans="2:8" ht="30" customHeight="1" thickBot="1" x14ac:dyDescent="0.35">
      <c r="B2" s="58">
        <f ca="1">B9</f>
        <v>43996</v>
      </c>
      <c r="C2" s="58"/>
      <c r="D2" s="58"/>
      <c r="E2" s="34"/>
      <c r="F2" s="34"/>
      <c r="G2" s="34"/>
      <c r="H2" s="35"/>
    </row>
    <row r="3" spans="2:8" ht="18" customHeight="1" thickTop="1" x14ac:dyDescent="0.3"/>
    <row r="4" spans="2:8" ht="24" customHeight="1" thickBot="1" x14ac:dyDescent="0.35">
      <c r="B4" s="2" t="str">
        <f>InicioDeLaSemana</f>
        <v>DOMINGO</v>
      </c>
      <c r="C4" s="3" t="str">
        <f t="shared" ref="C4:H4" ca="1" si="0">UPPER(TEXT(C5,"dddd"))</f>
        <v>LUNES</v>
      </c>
      <c r="D4" s="3" t="str">
        <f t="shared" ca="1" si="0"/>
        <v>MARTES</v>
      </c>
      <c r="E4" s="3" t="str">
        <f t="shared" ca="1" si="0"/>
        <v>MIÉRCOLES</v>
      </c>
      <c r="F4" s="3" t="str">
        <f t="shared" ca="1" si="0"/>
        <v>JUEVES</v>
      </c>
      <c r="G4" s="3" t="str">
        <f t="shared" ca="1" si="0"/>
        <v>VIERNES</v>
      </c>
      <c r="H4" s="4" t="str">
        <f t="shared" ca="1" si="0"/>
        <v>SÁBADO</v>
      </c>
    </row>
    <row r="5" spans="2:8" ht="19.5" customHeight="1" thickTop="1" x14ac:dyDescent="0.35">
      <c r="B5" s="5">
        <f t="array" aca="1" ref="B5:H5" ca="1">Días+DATE(CalYear,6,1)-WEEKDAY(DATE(CalYear,6,1),(InicioDeLaSemana="Lunes")+1)+1</f>
        <v>43982</v>
      </c>
      <c r="C5" s="6">
        <f ca="1"/>
        <v>43983</v>
      </c>
      <c r="D5" s="6">
        <f ca="1"/>
        <v>43984</v>
      </c>
      <c r="E5" s="6">
        <f ca="1"/>
        <v>43985</v>
      </c>
      <c r="F5" s="6">
        <f ca="1"/>
        <v>43986</v>
      </c>
      <c r="G5" s="6">
        <f ca="1"/>
        <v>43987</v>
      </c>
      <c r="H5" s="7">
        <f ca="1"/>
        <v>43988</v>
      </c>
    </row>
    <row r="6" spans="2:8" ht="57.95" customHeight="1" x14ac:dyDescent="0.3">
      <c r="B6" s="14" t="str">
        <f ca="1">IFERROR(IF(MostrarDíasFestivos,IF(INDEX(tblDíasfestivos[],MATCH(DATE(CalYear-(DAY(B5)&gt;15)+(ROW()&gt;6),MONTH(B5),DAY(B5)),IF(MostrarFestivosObservados,tblDíasfestivos[CORREGIDO],tblDíasfestivos[DÍA]),0),6),INDEX(tblDíasfestivos[],MATCH(DATE(CalYear-(DAY(B5)&gt;15)+(ROW()&gt;6),MONTH(B5),DAY(B5)),IF(MostrarFestivosObservados,tblDíasfestivos[CORREGIDO],tblDíasfestivos[DÍA]),0),2),""),""),"")</f>
        <v/>
      </c>
      <c r="C6" s="15" t="str">
        <f ca="1">IFERROR(IF(MostrarDíasFestivos,IF(INDEX(tblDíasfestivos[],MATCH(DATE(CalYear-(DAY(C5)&gt;15)+(ROW()&gt;6),MONTH(C5),DAY(C5)),IF(MostrarFestivosObservados,tblDíasfestivos[CORREGIDO],tblDíasfestivos[DÍA]),0),6),INDEX(tblDíasfestivos[],MATCH(DATE(CalYear-(DAY(C5)&gt;15)+(ROW()&gt;6),MONTH(C5),DAY(C5)),IF(MostrarFestivosObservados,tblDíasfestivos[CORREGIDO],tblDíasfestivos[DÍA]),0),2),""),""),"")</f>
        <v/>
      </c>
      <c r="D6" s="15" t="str">
        <f ca="1">IFERROR(IF(MostrarDíasFestivos,IF(INDEX(tblDíasfestivos[],MATCH(DATE(CalYear-(DAY(D5)&gt;15)+(ROW()&gt;6),MONTH(D5),DAY(D5)),IF(MostrarFestivosObservados,tblDíasfestivos[CORREGIDO],tblDíasfestivos[DÍA]),0),6),INDEX(tblDíasfestivos[],MATCH(DATE(CalYear-(DAY(D5)&gt;15)+(ROW()&gt;6),MONTH(D5),DAY(D5)),IF(MostrarFestivosObservados,tblDíasfestivos[CORREGIDO],tblDíasfestivos[DÍA]),0),2),""),""),"")</f>
        <v/>
      </c>
      <c r="E6" s="15" t="str">
        <f ca="1">IFERROR(IF(MostrarDíasFestivos,IF(INDEX(tblDíasfestivos[],MATCH(DATE(CalYear-(DAY(E5)&gt;15)+(ROW()&gt;6),MONTH(E5),DAY(E5)),IF(MostrarFestivosObservados,tblDíasfestivos[CORREGIDO],tblDíasfestivos[DÍA]),0),6),INDEX(tblDíasfestivos[],MATCH(DATE(CalYear-(DAY(E5)&gt;15)+(ROW()&gt;6),MONTH(E5),DAY(E5)),IF(MostrarFestivosObservados,tblDíasfestivos[CORREGIDO],tblDíasfestivos[DÍA]),0),2),""),""),"")</f>
        <v/>
      </c>
      <c r="F6" s="15" t="str">
        <f ca="1">IFERROR(IF(MostrarDíasFestivos,IF(INDEX(tblDíasfestivos[],MATCH(DATE(CalYear-(DAY(F5)&gt;15)+(ROW()&gt;6),MONTH(F5),DAY(F5)),IF(MostrarFestivosObservados,tblDíasfestivos[CORREGIDO],tblDíasfestivos[DÍA]),0),6),INDEX(tblDíasfestivos[],MATCH(DATE(CalYear-(DAY(F5)&gt;15)+(ROW()&gt;6),MONTH(F5),DAY(F5)),IF(MostrarFestivosObservados,tblDíasfestivos[CORREGIDO],tblDíasfestivos[DÍA]),0),2),""),""),"")</f>
        <v/>
      </c>
      <c r="G6" s="16" t="str">
        <f ca="1">IFERROR(IF(MostrarDíasFestivos,IF(INDEX(tblDíasfestivos[],MATCH(DATE(CalYear-(DAY(G5)&gt;15)+(ROW()&gt;6),MONTH(G5),DAY(G5)),IF(MostrarFestivosObservados,tblDíasfestivos[CORREGIDO],tblDíasfestivos[DÍA]),0),6),INDEX(tblDíasfestivos[],MATCH(DATE(CalYear-(DAY(G5)&gt;15)+(ROW()&gt;6),MONTH(G5),DAY(G5)),IF(MostrarFestivosObservados,tblDíasfestivos[CORREGIDO],tblDíasfestivos[DÍA]),0),2),""),""),"")</f>
        <v/>
      </c>
      <c r="H6" s="17" t="str">
        <f ca="1">IFERROR(IF(MostrarDíasFestivos,IF(INDEX(tblDíasfestivos[],MATCH(DATE(CalYear-(DAY(H5)&gt;15)+(ROW()&gt;6),MONTH(H5),DAY(H5)),IF(MostrarFestivosObservados,tblDíasfestivos[CORREGIDO],tblDíasfestivos[DÍA]),0),6),INDEX(tblDíasfestivos[],MATCH(DATE(CalYear-(DAY(H5)&gt;15)+(ROW()&gt;6),MONTH(H5),DAY(H5)),IF(MostrarFestivosObservados,tblDíasfestivos[CORREGIDO],tblDíasfestivos[DÍA]),0),2),""),""),"")</f>
        <v/>
      </c>
    </row>
    <row r="7" spans="2:8" ht="19.5" customHeight="1" x14ac:dyDescent="0.3">
      <c r="B7" s="8">
        <f t="array" aca="1" ref="B7:H7" ca="1">Días+DATE(CalYear,6,1)-WEEKDAY(DATE(CalYear,6,1),(InicioDeLaSemana="Lunes")+1)+8</f>
        <v>43989</v>
      </c>
      <c r="C7" s="9">
        <f ca="1"/>
        <v>43990</v>
      </c>
      <c r="D7" s="9">
        <f ca="1"/>
        <v>43991</v>
      </c>
      <c r="E7" s="9">
        <f ca="1"/>
        <v>43992</v>
      </c>
      <c r="F7" s="9">
        <f ca="1"/>
        <v>43993</v>
      </c>
      <c r="G7" s="9">
        <f ca="1"/>
        <v>43994</v>
      </c>
      <c r="H7" s="10">
        <f ca="1"/>
        <v>43995</v>
      </c>
    </row>
    <row r="8" spans="2:8" ht="57.95" customHeight="1" x14ac:dyDescent="0.3">
      <c r="B8" s="18" t="str">
        <f ca="1">IFERROR(IF(MostrarDíasFestivos,IF(INDEX(tblDíasfestivos[],MATCH(DATE(CalYear,MONTH(B7),DAY(B7)),IF(MostrarFestivosObservados,tblDíasfestivos[CORREGIDO],tblDíasfestivos[DÍA]),0),6),INDEX(tblDíasfestivos[],MATCH(DATE(CalYear,MONTH(B7),DAY(B7)),IF(MostrarFestivosObservados,tblDíasfestivos[CORREGIDO],tblDíasfestivos[DÍA]),0),2),""),""),"")</f>
        <v/>
      </c>
      <c r="C8" s="19" t="str">
        <f ca="1">IFERROR(IF(MostrarDíasFestivos,IF(INDEX(tblDíasfestivos[],MATCH(DATE(CalYear,MONTH(C7),DAY(C7)),IF(MostrarFestivosObservados,tblDíasfestivos[CORREGIDO],tblDíasfestivos[DÍA]),0),6),INDEX(tblDíasfestivos[],MATCH(DATE(CalYear,MONTH(C7),DAY(C7)),IF(MostrarFestivosObservados,tblDíasfestivos[CORREGIDO],tblDíasfestivos[DÍA]),0),2),""),""),"")</f>
        <v/>
      </c>
      <c r="D8" s="19" t="str">
        <f ca="1">IFERROR(IF(MostrarDíasFestivos,IF(INDEX(tblDíasfestivos[],MATCH(DATE(CalYear,MONTH(D7),DAY(D7)),IF(MostrarFestivosObservados,tblDíasfestivos[CORREGIDO],tblDíasfestivos[DÍA]),0),6),INDEX(tblDíasfestivos[],MATCH(DATE(CalYear,MONTH(D7),DAY(D7)),IF(MostrarFestivosObservados,tblDíasfestivos[CORREGIDO],tblDíasfestivos[DÍA]),0),2),""),""),"")</f>
        <v/>
      </c>
      <c r="E8" s="19" t="str">
        <f ca="1">IFERROR(IF(MostrarDíasFestivos,IF(INDEX(tblDíasfestivos[],MATCH(DATE(CalYear,MONTH(E7),DAY(E7)),IF(MostrarFestivosObservados,tblDíasfestivos[CORREGIDO],tblDíasfestivos[DÍA]),0),6),INDEX(tblDíasfestivos[],MATCH(DATE(CalYear,MONTH(E7),DAY(E7)),IF(MostrarFestivosObservados,tblDíasfestivos[CORREGIDO],tblDíasfestivos[DÍA]),0),2),""),""),"")</f>
        <v/>
      </c>
      <c r="F8" s="19" t="str">
        <f ca="1">IFERROR(IF(MostrarDíasFestivos,IF(INDEX(tblDíasfestivos[],MATCH(DATE(CalYear,MONTH(F7),DAY(F7)),IF(MostrarFestivosObservados,tblDíasfestivos[CORREGIDO],tblDíasfestivos[DÍA]),0),6),INDEX(tblDíasfestivos[],MATCH(DATE(CalYear,MONTH(F7),DAY(F7)),IF(MostrarFestivosObservados,tblDíasfestivos[CORREGIDO],tblDíasfestivos[DÍA]),0),2),""),""),"")</f>
        <v/>
      </c>
      <c r="G8" s="20" t="str">
        <f ca="1">IFERROR(IF(MostrarDíasFestivos,IF(INDEX(tblDíasfestivos[],MATCH(DATE(CalYear,MONTH(G7),DAY(G7)),IF(MostrarFestivosObservados,tblDíasfestivos[CORREGIDO],tblDíasfestivos[DÍA]),0),6),INDEX(tblDíasfestivos[],MATCH(DATE(CalYear,MONTH(G7),DAY(G7)),IF(MostrarFestivosObservados,tblDíasfestivos[CORREGIDO],tblDíasfestivos[DÍA]),0),2),""),""),"")</f>
        <v/>
      </c>
      <c r="H8" s="21" t="str">
        <f ca="1">IFERROR(IF(MostrarDíasFestivos,IF(INDEX(tblDíasfestivos[],MATCH(DATE(CalYear,MONTH(H7),DAY(H7)),IF(MostrarFestivosObservados,tblDíasfestivos[CORREGIDO],tblDíasfestivos[DÍA]),0),6),INDEX(tblDíasfestivos[],MATCH(DATE(CalYear,MONTH(H7),DAY(H7)),IF(MostrarFestivosObservados,tblDíasfestivos[CORREGIDO],tblDíasfestivos[DÍA]),0),2),""),""),"")</f>
        <v/>
      </c>
    </row>
    <row r="9" spans="2:8" ht="19.5" customHeight="1" x14ac:dyDescent="0.3">
      <c r="B9" s="11">
        <f t="array" aca="1" ref="B9:H9" ca="1">Días+DATE(CalYear,6,1)-WEEKDAY(DATE(CalYear,6,1),(InicioDeLaSemana="Lunes")+1)+15</f>
        <v>43996</v>
      </c>
      <c r="C9" s="12">
        <f ca="1"/>
        <v>43997</v>
      </c>
      <c r="D9" s="12">
        <f ca="1"/>
        <v>43998</v>
      </c>
      <c r="E9" s="12">
        <f ca="1"/>
        <v>43999</v>
      </c>
      <c r="F9" s="12">
        <f ca="1"/>
        <v>44000</v>
      </c>
      <c r="G9" s="12">
        <f ca="1"/>
        <v>44001</v>
      </c>
      <c r="H9" s="13">
        <f ca="1"/>
        <v>44002</v>
      </c>
    </row>
    <row r="10" spans="2:8" ht="57.95" customHeight="1" x14ac:dyDescent="0.3">
      <c r="B10" s="22" t="str">
        <f ca="1">IFERROR(IF(MostrarDíasFestivos,IF(INDEX(tblDíasfestivos[],MATCH(DATE(CalYear,MONTH(B9),DAY(B9)),IF(MostrarFestivosObservados,tblDíasfestivos[CORREGIDO],tblDíasfestivos[DÍA]),0),6),INDEX(tblDíasfestivos[],MATCH(DATE(CalYear,MONTH(B9),DAY(B9)),IF(MostrarFestivosObservados,tblDíasfestivos[CORREGIDO],tblDíasfestivos[DÍA]),0),2),""),""),"")</f>
        <v/>
      </c>
      <c r="C10" s="23" t="str">
        <f ca="1">IFERROR(IF(MostrarDíasFestivos,IF(INDEX(tblDíasfestivos[],MATCH(DATE(CalYear,MONTH(C9),DAY(C9)),IF(MostrarFestivosObservados,tblDíasfestivos[CORREGIDO],tblDíasfestivos[DÍA]),0),6),INDEX(tblDíasfestivos[],MATCH(DATE(CalYear,MONTH(C9),DAY(C9)),IF(MostrarFestivosObservados,tblDíasfestivos[CORREGIDO],tblDíasfestivos[DÍA]),0),2),""),""),"")</f>
        <v/>
      </c>
      <c r="D10" s="23" t="str">
        <f ca="1">IFERROR(IF(MostrarDíasFestivos,IF(INDEX(tblDíasfestivos[],MATCH(DATE(CalYear,MONTH(D9),DAY(D9)),IF(MostrarFestivosObservados,tblDíasfestivos[CORREGIDO],tblDíasfestivos[DÍA]),0),6),INDEX(tblDíasfestivos[],MATCH(DATE(CalYear,MONTH(D9),DAY(D9)),IF(MostrarFestivosObservados,tblDíasfestivos[CORREGIDO],tblDíasfestivos[DÍA]),0),2),""),""),"")</f>
        <v/>
      </c>
      <c r="E10" s="23" t="str">
        <f ca="1">IFERROR(IF(MostrarDíasFestivos,IF(INDEX(tblDíasfestivos[],MATCH(DATE(CalYear,MONTH(E9),DAY(E9)),IF(MostrarFestivosObservados,tblDíasfestivos[CORREGIDO],tblDíasfestivos[DÍA]),0),6),INDEX(tblDíasfestivos[],MATCH(DATE(CalYear,MONTH(E9),DAY(E9)),IF(MostrarFestivosObservados,tblDíasfestivos[CORREGIDO],tblDíasfestivos[DÍA]),0),2),""),""),"")</f>
        <v/>
      </c>
      <c r="F10" s="23" t="str">
        <f ca="1">IFERROR(IF(MostrarDíasFestivos,IF(INDEX(tblDíasfestivos[],MATCH(DATE(CalYear,MONTH(F9),DAY(F9)),IF(MostrarFestivosObservados,tblDíasfestivos[CORREGIDO],tblDíasfestivos[DÍA]),0),6),INDEX(tblDíasfestivos[],MATCH(DATE(CalYear,MONTH(F9),DAY(F9)),IF(MostrarFestivosObservados,tblDíasfestivos[CORREGIDO],tblDíasfestivos[DÍA]),0),2),""),""),"")</f>
        <v/>
      </c>
      <c r="G10" s="24" t="str">
        <f ca="1">IFERROR(IF(MostrarDíasFestivos,IF(INDEX(tblDíasfestivos[],MATCH(DATE(CalYear,MONTH(G9),DAY(G9)),IF(MostrarFestivosObservados,tblDíasfestivos[CORREGIDO],tblDíasfestivos[DÍA]),0),6),INDEX(tblDíasfestivos[],MATCH(DATE(CalYear,MONTH(G9),DAY(G9)),IF(MostrarFestivosObservados,tblDíasfestivos[CORREGIDO],tblDíasfestivos[DÍA]),0),2),""),""),"")</f>
        <v/>
      </c>
      <c r="H10" s="25" t="str">
        <f ca="1">IFERROR(IF(MostrarDíasFestivos,IF(INDEX(tblDíasfestivos[],MATCH(DATE(CalYear,MONTH(H9),DAY(H9)),IF(MostrarFestivosObservados,tblDíasfestivos[CORREGIDO],tblDíasfestivos[DÍA]),0),6),INDEX(tblDíasfestivos[],MATCH(DATE(CalYear,MONTH(H9),DAY(H9)),IF(MostrarFestivosObservados,tblDíasfestivos[CORREGIDO],tblDíasfestivos[DÍA]),0),2),""),""),"")</f>
        <v/>
      </c>
    </row>
    <row r="11" spans="2:8" ht="19.5" customHeight="1" x14ac:dyDescent="0.3">
      <c r="B11" s="8">
        <f t="array" aca="1" ref="B11:H11" ca="1">Días+DATE(CalYear,6,1)-WEEKDAY(DATE(CalYear,6,1),(InicioDeLaSemana="Lunes")+1)+22</f>
        <v>44003</v>
      </c>
      <c r="C11" s="9">
        <f ca="1"/>
        <v>44004</v>
      </c>
      <c r="D11" s="9">
        <f ca="1"/>
        <v>44005</v>
      </c>
      <c r="E11" s="9">
        <f ca="1"/>
        <v>44006</v>
      </c>
      <c r="F11" s="9">
        <f ca="1"/>
        <v>44007</v>
      </c>
      <c r="G11" s="9">
        <f ca="1"/>
        <v>44008</v>
      </c>
      <c r="H11" s="10">
        <f ca="1"/>
        <v>44009</v>
      </c>
    </row>
    <row r="12" spans="2:8" ht="57.95" customHeight="1" x14ac:dyDescent="0.3">
      <c r="B12" s="18" t="str">
        <f ca="1">IFERROR(IF(MostrarDíasFestivos,IF(INDEX(tblDíasfestivos[],MATCH(DATE(CalYear,MONTH(B11),DAY(B11)),IF(MostrarFestivosObservados,tblDíasfestivos[CORREGIDO],tblDíasfestivos[DÍA]),0),6),INDEX(tblDíasfestivos[],MATCH(DATE(CalYear,MONTH(B11),DAY(B11)),IF(MostrarFestivosObservados,tblDíasfestivos[CORREGIDO],tblDíasfestivos[DÍA]),0),2),""),""),"")</f>
        <v/>
      </c>
      <c r="C12" s="19" t="str">
        <f ca="1">IFERROR(IF(MostrarDíasFestivos,IF(INDEX(tblDíasfestivos[],MATCH(DATE(CalYear,MONTH(C11),DAY(C11)),IF(MostrarFestivosObservados,tblDíasfestivos[CORREGIDO],tblDíasfestivos[DÍA]),0),6),INDEX(tblDíasfestivos[],MATCH(DATE(CalYear,MONTH(C11),DAY(C11)),IF(MostrarFestivosObservados,tblDíasfestivos[CORREGIDO],tblDíasfestivos[DÍA]),0),2),""),""),"")</f>
        <v/>
      </c>
      <c r="D12" s="19" t="str">
        <f ca="1">IFERROR(IF(MostrarDíasFestivos,IF(INDEX(tblDíasfestivos[],MATCH(DATE(CalYear,MONTH(D11),DAY(D11)),IF(MostrarFestivosObservados,tblDíasfestivos[CORREGIDO],tblDíasfestivos[DÍA]),0),6),INDEX(tblDíasfestivos[],MATCH(DATE(CalYear,MONTH(D11),DAY(D11)),IF(MostrarFestivosObservados,tblDíasfestivos[CORREGIDO],tblDíasfestivos[DÍA]),0),2),""),""),"")</f>
        <v/>
      </c>
      <c r="E12" s="19" t="str">
        <f ca="1">IFERROR(IF(MostrarDíasFestivos,IF(INDEX(tblDíasfestivos[],MATCH(DATE(CalYear,MONTH(E11),DAY(E11)),IF(MostrarFestivosObservados,tblDíasfestivos[CORREGIDO],tblDíasfestivos[DÍA]),0),6),INDEX(tblDíasfestivos[],MATCH(DATE(CalYear,MONTH(E11),DAY(E11)),IF(MostrarFestivosObservados,tblDíasfestivos[CORREGIDO],tblDíasfestivos[DÍA]),0),2),""),""),"")</f>
        <v/>
      </c>
      <c r="F12" s="19" t="str">
        <f ca="1">IFERROR(IF(MostrarDíasFestivos,IF(INDEX(tblDíasfestivos[],MATCH(DATE(CalYear,MONTH(F11),DAY(F11)),IF(MostrarFestivosObservados,tblDíasfestivos[CORREGIDO],tblDíasfestivos[DÍA]),0),6),INDEX(tblDíasfestivos[],MATCH(DATE(CalYear,MONTH(F11),DAY(F11)),IF(MostrarFestivosObservados,tblDíasfestivos[CORREGIDO],tblDíasfestivos[DÍA]),0),2),""),""),"")</f>
        <v/>
      </c>
      <c r="G12" s="20" t="str">
        <f ca="1">IFERROR(IF(MostrarDíasFestivos,IF(INDEX(tblDíasfestivos[],MATCH(DATE(CalYear,MONTH(G11),DAY(G11)),IF(MostrarFestivosObservados,tblDíasfestivos[CORREGIDO],tblDíasfestivos[DÍA]),0),6),INDEX(tblDíasfestivos[],MATCH(DATE(CalYear,MONTH(G11),DAY(G11)),IF(MostrarFestivosObservados,tblDíasfestivos[CORREGIDO],tblDíasfestivos[DÍA]),0),2),""),""),"")</f>
        <v/>
      </c>
      <c r="H12" s="21" t="str">
        <f ca="1">IFERROR(IF(MostrarDíasFestivos,IF(INDEX(tblDíasfestivos[],MATCH(DATE(CalYear,MONTH(H11),DAY(H11)),IF(MostrarFestivosObservados,tblDíasfestivos[CORREGIDO],tblDíasfestivos[DÍA]),0),6),INDEX(tblDíasfestivos[],MATCH(DATE(CalYear,MONTH(H11),DAY(H11)),IF(MostrarFestivosObservados,tblDíasfestivos[CORREGIDO],tblDíasfestivos[DÍA]),0),2),""),""),"")</f>
        <v/>
      </c>
    </row>
    <row r="13" spans="2:8" ht="19.5" customHeight="1" x14ac:dyDescent="0.3">
      <c r="B13" s="11">
        <f t="array" aca="1" ref="B13:H13" ca="1">Días+DATE(CalYear,6,1)-WEEKDAY(DATE(CalYear,6,1),(InicioDeLaSemana="Lunes")+1)+29</f>
        <v>44010</v>
      </c>
      <c r="C13" s="12">
        <f ca="1"/>
        <v>44011</v>
      </c>
      <c r="D13" s="12">
        <f ca="1"/>
        <v>44012</v>
      </c>
      <c r="E13" s="12">
        <f ca="1"/>
        <v>44013</v>
      </c>
      <c r="F13" s="12">
        <f ca="1"/>
        <v>44014</v>
      </c>
      <c r="G13" s="12">
        <f ca="1"/>
        <v>44015</v>
      </c>
      <c r="H13" s="13">
        <f ca="1"/>
        <v>44016</v>
      </c>
    </row>
    <row r="14" spans="2:8" ht="57.95" customHeight="1" x14ac:dyDescent="0.3">
      <c r="B14" s="22" t="str">
        <f ca="1">IFERROR(IF(MostrarDíasFestivos,IF(INDEX(tblDíasfestivos[],MATCH(DATE(CalYear,MONTH(B13),DAY(B13)),IF(MostrarFestivosObservados,tblDíasfestivos[CORREGIDO],tblDíasfestivos[DÍA]),0),6),INDEX(tblDíasfestivos[],MATCH(DATE(CalYear,MONTH(B13),DAY(B13)),IF(MostrarFestivosObservados,tblDíasfestivos[CORREGIDO],tblDíasfestivos[DÍA]),0),2),""),""),"")</f>
        <v/>
      </c>
      <c r="C14" s="23" t="str">
        <f ca="1">IFERROR(IF(MostrarDíasFestivos,IF(INDEX(tblDíasfestivos[],MATCH(DATE(CalYear,MONTH(C13),DAY(C13)),IF(MostrarFestivosObservados,tblDíasfestivos[CORREGIDO],tblDíasfestivos[DÍA]),0),6),INDEX(tblDíasfestivos[],MATCH(DATE(CalYear,MONTH(C13),DAY(C13)),IF(MostrarFestivosObservados,tblDíasfestivos[CORREGIDO],tblDíasfestivos[DÍA]),0),2),""),""),"")</f>
        <v/>
      </c>
      <c r="D14" s="23" t="str">
        <f ca="1">IFERROR(IF(MostrarDíasFestivos,IF(INDEX(tblDíasfestivos[],MATCH(DATE(CalYear,MONTH(D13),DAY(D13)),IF(MostrarFestivosObservados,tblDíasfestivos[CORREGIDO],tblDíasfestivos[DÍA]),0),6),INDEX(tblDíasfestivos[],MATCH(DATE(CalYear,MONTH(D13),DAY(D13)),IF(MostrarFestivosObservados,tblDíasfestivos[CORREGIDO],tblDíasfestivos[DÍA]),0),2),""),""),"")</f>
        <v/>
      </c>
      <c r="E14" s="23" t="str">
        <f ca="1">IFERROR(IF(MostrarDíasFestivos,IF(INDEX(tblDíasfestivos[],MATCH(DATE(CalYear,MONTH(E13),DAY(E13)),IF(MostrarFestivosObservados,tblDíasfestivos[CORREGIDO],tblDíasfestivos[DÍA]),0),6),INDEX(tblDíasfestivos[],MATCH(DATE(CalYear,MONTH(E13),DAY(E13)),IF(MostrarFestivosObservados,tblDíasfestivos[CORREGIDO],tblDíasfestivos[DÍA]),0),2),""),""),"")</f>
        <v/>
      </c>
      <c r="F14" s="23" t="str">
        <f ca="1">IFERROR(IF(MostrarDíasFestivos,IF(INDEX(tblDíasfestivos[],MATCH(DATE(CalYear,MONTH(F13),DAY(F13)),IF(MostrarFestivosObservados,tblDíasfestivos[CORREGIDO],tblDíasfestivos[DÍA]),0),6),INDEX(tblDíasfestivos[],MATCH(DATE(CalYear,MONTH(F13),DAY(F13)),IF(MostrarFestivosObservados,tblDíasfestivos[CORREGIDO],tblDíasfestivos[DÍA]),0),2),""),""),"")</f>
        <v/>
      </c>
      <c r="G14" s="24" t="str">
        <f ca="1">IFERROR(IF(MostrarDíasFestivos,IF(INDEX(tblDíasfestivos[],MATCH(DATE(CalYear,MONTH(G13),DAY(G13)),IF(MostrarFestivosObservados,tblDíasfestivos[CORREGIDO],tblDíasfestivos[DÍA]),0),6),INDEX(tblDíasfestivos[],MATCH(DATE(CalYear,MONTH(G13),DAY(G13)),IF(MostrarFestivosObservados,tblDíasfestivos[CORREGIDO],tblDíasfestivos[DÍA]),0),2),""),""),"")</f>
        <v>Día de la Independencia</v>
      </c>
      <c r="H14" s="25" t="str">
        <f ca="1">IFERROR(IF(MostrarDíasFestivos,IF(INDEX(tblDíasfestivos[],MATCH(DATE(CalYear,MONTH(H13),DAY(H13)),IF(MostrarFestivosObservados,tblDíasfestivos[CORREGIDO],tblDíasfestivos[DÍA]),0),6),INDEX(tblDíasfestivos[],MATCH(DATE(CalYear,MONTH(H13),DAY(H13)),IF(MostrarFestivosObservados,tblDíasfestivos[CORREGIDO],tblDíasfestivos[DÍA]),0),2),""),""),"")</f>
        <v/>
      </c>
    </row>
    <row r="15" spans="2:8" ht="19.5" customHeight="1" x14ac:dyDescent="0.35">
      <c r="B15" s="8">
        <f t="array" aca="1" ref="B15:C15" ca="1">Días+DATE(CalYear,6,1)-WEEKDAY(DATE(CalYear,6,1),(InicioDeLaSemana="Lunes")+1)+36</f>
        <v>44017</v>
      </c>
      <c r="C15" s="9">
        <f ca="1"/>
        <v>44018</v>
      </c>
      <c r="D15" s="61" t="s">
        <v>7</v>
      </c>
      <c r="E15" s="61"/>
      <c r="F15" s="61"/>
      <c r="G15" s="61"/>
      <c r="H15" s="62"/>
    </row>
    <row r="16" spans="2:8" ht="57.95" customHeight="1" x14ac:dyDescent="0.3">
      <c r="B16" s="18" t="str">
        <f ca="1">IFERROR(IF(MostrarDíasFestivos,IF(INDEX(tblDíasfestivos[],MATCH(DATE(CalYear,MONTH(B15),DAY(B15)),IF(MostrarFestivosObservados,tblDíasfestivos[CORREGIDO],tblDíasfestivos[DÍA]),0),6),INDEX(tblDíasfestivos[],MATCH(DATE(CalYear,MONTH(B15),DAY(B15)),IF(MostrarFestivosObservados,tblDíasfestivos[CORREGIDO],tblDíasfestivos[DÍA]),0),2),""),""),"")</f>
        <v/>
      </c>
      <c r="C16" s="19" t="str">
        <f ca="1">IFERROR(IF(MostrarDíasFestivos,IF(INDEX(tblDíasfestivos[],MATCH(DATE(CalYear,MONTH(C15),DAY(C15)),IF(MostrarFestivosObservados,tblDíasfestivos[CORREGIDO],tblDíasfestivos[DÍA]),0),6),INDEX(tblDíasfestivos[],MATCH(DATE(CalYear,MONTH(C15),DAY(C15)),IF(MostrarFestivosObservados,tblDíasfestivos[CORREGIDO],tblDíasfestivos[DÍA]),0),2),""),""),"")</f>
        <v/>
      </c>
      <c r="D16" s="59"/>
      <c r="E16" s="59"/>
      <c r="F16" s="59"/>
      <c r="G16" s="59"/>
      <c r="H16" s="60"/>
    </row>
    <row r="17" spans="2:8" x14ac:dyDescent="0.3">
      <c r="B17" s="64"/>
      <c r="C17" s="64"/>
      <c r="D17" s="64"/>
      <c r="E17" s="64"/>
      <c r="F17" s="64"/>
      <c r="G17" s="64"/>
      <c r="H17" s="64"/>
    </row>
  </sheetData>
  <mergeCells count="4">
    <mergeCell ref="B2:D2"/>
    <mergeCell ref="D15:H15"/>
    <mergeCell ref="D16:H16"/>
    <mergeCell ref="B17:H17"/>
  </mergeCells>
  <conditionalFormatting sqref="B13:H13 B15:C15">
    <cfRule type="expression" dxfId="13" priority="2">
      <formula>AND(DAY(B13)&gt;=1,DAY(B13)&lt;=15)</formula>
    </cfRule>
  </conditionalFormatting>
  <conditionalFormatting sqref="B5:G5">
    <cfRule type="expression" dxfId="12" priority="1">
      <formula>DAY(B5)&gt;8</formula>
    </cfRule>
  </conditionalFormatting>
  <printOptions horizontalCentered="1"/>
  <pageMargins left="0.4" right="0.4" top="0.4" bottom="0.4" header="0.3" footer="0.3"/>
  <pageSetup paperSize="9" fitToHeight="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>
    <tabColor theme="4"/>
    <pageSetUpPr fitToPage="1"/>
  </sheetPr>
  <dimension ref="B2:H17"/>
  <sheetViews>
    <sheetView showGridLines="0" zoomScaleNormal="100" workbookViewId="0"/>
  </sheetViews>
  <sheetFormatPr baseColWidth="10" defaultColWidth="8.85546875" defaultRowHeight="15" x14ac:dyDescent="0.3"/>
  <cols>
    <col min="1" max="1" width="3.5703125" customWidth="1"/>
    <col min="2" max="2" width="18.28515625" customWidth="1"/>
    <col min="3" max="8" width="17.7109375" customWidth="1"/>
    <col min="9" max="9" width="3.5703125" customWidth="1"/>
    <col min="10" max="10" width="13.7109375" customWidth="1"/>
  </cols>
  <sheetData>
    <row r="2" spans="2:8" ht="30" customHeight="1" thickBot="1" x14ac:dyDescent="0.35">
      <c r="B2" s="58">
        <f ca="1">B9</f>
        <v>44024</v>
      </c>
      <c r="C2" s="58"/>
      <c r="D2" s="58"/>
      <c r="E2" s="34"/>
      <c r="F2" s="34"/>
      <c r="G2" s="34"/>
      <c r="H2" s="35"/>
    </row>
    <row r="3" spans="2:8" ht="18" customHeight="1" thickTop="1" x14ac:dyDescent="0.3"/>
    <row r="4" spans="2:8" ht="24" customHeight="1" thickBot="1" x14ac:dyDescent="0.35">
      <c r="B4" s="2" t="str">
        <f>InicioDeLaSemana</f>
        <v>DOMINGO</v>
      </c>
      <c r="C4" s="3" t="str">
        <f t="shared" ref="C4:H4" ca="1" si="0">UPPER(TEXT(C5,"dddd"))</f>
        <v>LUNES</v>
      </c>
      <c r="D4" s="3" t="str">
        <f t="shared" ca="1" si="0"/>
        <v>MARTES</v>
      </c>
      <c r="E4" s="3" t="str">
        <f t="shared" ca="1" si="0"/>
        <v>MIÉRCOLES</v>
      </c>
      <c r="F4" s="3" t="str">
        <f t="shared" ca="1" si="0"/>
        <v>JUEVES</v>
      </c>
      <c r="G4" s="3" t="str">
        <f t="shared" ca="1" si="0"/>
        <v>VIERNES</v>
      </c>
      <c r="H4" s="4" t="str">
        <f t="shared" ca="1" si="0"/>
        <v>SÁBADO</v>
      </c>
    </row>
    <row r="5" spans="2:8" ht="19.5" customHeight="1" thickTop="1" x14ac:dyDescent="0.35">
      <c r="B5" s="5">
        <f t="array" aca="1" ref="B5:H5" ca="1">Días+DATE(CalYear,7,1)-WEEKDAY(DATE(CalYear,7,1),(InicioDeLaSemana="Lunes")+1)+1</f>
        <v>44010</v>
      </c>
      <c r="C5" s="6">
        <f ca="1"/>
        <v>44011</v>
      </c>
      <c r="D5" s="6">
        <f ca="1"/>
        <v>44012</v>
      </c>
      <c r="E5" s="6">
        <f ca="1"/>
        <v>44013</v>
      </c>
      <c r="F5" s="6">
        <f ca="1"/>
        <v>44014</v>
      </c>
      <c r="G5" s="6">
        <f ca="1"/>
        <v>44015</v>
      </c>
      <c r="H5" s="7">
        <f ca="1"/>
        <v>44016</v>
      </c>
    </row>
    <row r="6" spans="2:8" ht="57.95" customHeight="1" x14ac:dyDescent="0.3">
      <c r="B6" s="14" t="str">
        <f ca="1">IFERROR(IF(MostrarDíasFestivos,IF(INDEX(tblDíasfestivos[],MATCH(DATE(CalYear-(DAY(B5)&gt;15)+(ROW()&gt;6),MONTH(B5),DAY(B5)),IF(MostrarFestivosObservados,tblDíasfestivos[CORREGIDO],tblDíasfestivos[DÍA]),0),6),INDEX(tblDíasfestivos[],MATCH(DATE(CalYear-(DAY(B5)&gt;15)+(ROW()&gt;6),MONTH(B5),DAY(B5)),IF(MostrarFestivosObservados,tblDíasfestivos[CORREGIDO],tblDíasfestivos[DÍA]),0),2),""),""),"")</f>
        <v/>
      </c>
      <c r="C6" s="15" t="str">
        <f ca="1">IFERROR(IF(MostrarDíasFestivos,IF(INDEX(tblDíasfestivos[],MATCH(DATE(CalYear-(DAY(C5)&gt;15)+(ROW()&gt;6),MONTH(C5),DAY(C5)),IF(MostrarFestivosObservados,tblDíasfestivos[CORREGIDO],tblDíasfestivos[DÍA]),0),6),INDEX(tblDíasfestivos[],MATCH(DATE(CalYear-(DAY(C5)&gt;15)+(ROW()&gt;6),MONTH(C5),DAY(C5)),IF(MostrarFestivosObservados,tblDíasfestivos[CORREGIDO],tblDíasfestivos[DÍA]),0),2),""),""),"")</f>
        <v/>
      </c>
      <c r="D6" s="15" t="str">
        <f ca="1">IFERROR(IF(MostrarDíasFestivos,IF(INDEX(tblDíasfestivos[],MATCH(DATE(CalYear-(DAY(D5)&gt;15)+(ROW()&gt;6),MONTH(D5),DAY(D5)),IF(MostrarFestivosObservados,tblDíasfestivos[CORREGIDO],tblDíasfestivos[DÍA]),0),6),INDEX(tblDíasfestivos[],MATCH(DATE(CalYear-(DAY(D5)&gt;15)+(ROW()&gt;6),MONTH(D5),DAY(D5)),IF(MostrarFestivosObservados,tblDíasfestivos[CORREGIDO],tblDíasfestivos[DÍA]),0),2),""),""),"")</f>
        <v/>
      </c>
      <c r="E6" s="15" t="str">
        <f ca="1">IFERROR(IF(MostrarDíasFestivos,IF(INDEX(tblDíasfestivos[],MATCH(DATE(CalYear-(DAY(E5)&gt;15)+(ROW()&gt;6),MONTH(E5),DAY(E5)),IF(MostrarFestivosObservados,tblDíasfestivos[CORREGIDO],tblDíasfestivos[DÍA]),0),6),INDEX(tblDíasfestivos[],MATCH(DATE(CalYear-(DAY(E5)&gt;15)+(ROW()&gt;6),MONTH(E5),DAY(E5)),IF(MostrarFestivosObservados,tblDíasfestivos[CORREGIDO],tblDíasfestivos[DÍA]),0),2),""),""),"")</f>
        <v/>
      </c>
      <c r="F6" s="15" t="str">
        <f ca="1">IFERROR(IF(MostrarDíasFestivos,IF(INDEX(tblDíasfestivos[],MATCH(DATE(CalYear-(DAY(F5)&gt;15)+(ROW()&gt;6),MONTH(F5),DAY(F5)),IF(MostrarFestivosObservados,tblDíasfestivos[CORREGIDO],tblDíasfestivos[DÍA]),0),6),INDEX(tblDíasfestivos[],MATCH(DATE(CalYear-(DAY(F5)&gt;15)+(ROW()&gt;6),MONTH(F5),DAY(F5)),IF(MostrarFestivosObservados,tblDíasfestivos[CORREGIDO],tblDíasfestivos[DÍA]),0),2),""),""),"")</f>
        <v/>
      </c>
      <c r="G6" s="16" t="str">
        <f ca="1">IFERROR(IF(MostrarDíasFestivos,IF(INDEX(tblDíasfestivos[],MATCH(DATE(CalYear-(DAY(G5)&gt;15)+(ROW()&gt;6),MONTH(G5),DAY(G5)),IF(MostrarFestivosObservados,tblDíasfestivos[CORREGIDO],tblDíasfestivos[DÍA]),0),6),INDEX(tblDíasfestivos[],MATCH(DATE(CalYear-(DAY(G5)&gt;15)+(ROW()&gt;6),MONTH(G5),DAY(G5)),IF(MostrarFestivosObservados,tblDíasfestivos[CORREGIDO],tblDíasfestivos[DÍA]),0),2),""),""),"")</f>
        <v>Día de la Independencia</v>
      </c>
      <c r="H6" s="17" t="str">
        <f ca="1">IFERROR(IF(MostrarDíasFestivos,IF(INDEX(tblDíasfestivos[],MATCH(DATE(CalYear-(DAY(H5)&gt;15)+(ROW()&gt;6),MONTH(H5),DAY(H5)),IF(MostrarFestivosObservados,tblDíasfestivos[CORREGIDO],tblDíasfestivos[DÍA]),0),6),INDEX(tblDíasfestivos[],MATCH(DATE(CalYear-(DAY(H5)&gt;15)+(ROW()&gt;6),MONTH(H5),DAY(H5)),IF(MostrarFestivosObservados,tblDíasfestivos[CORREGIDO],tblDíasfestivos[DÍA]),0),2),""),""),"")</f>
        <v/>
      </c>
    </row>
    <row r="7" spans="2:8" ht="19.5" customHeight="1" x14ac:dyDescent="0.3">
      <c r="B7" s="8">
        <f t="array" aca="1" ref="B7:H7" ca="1">Días+DATE(CalYear,7,1)-WEEKDAY(DATE(CalYear,7,1),(InicioDeLaSemana="Lunes")+1)+8</f>
        <v>44017</v>
      </c>
      <c r="C7" s="9">
        <f ca="1"/>
        <v>44018</v>
      </c>
      <c r="D7" s="9">
        <f ca="1"/>
        <v>44019</v>
      </c>
      <c r="E7" s="9">
        <f ca="1"/>
        <v>44020</v>
      </c>
      <c r="F7" s="9">
        <f ca="1"/>
        <v>44021</v>
      </c>
      <c r="G7" s="9">
        <f ca="1"/>
        <v>44022</v>
      </c>
      <c r="H7" s="10">
        <f ca="1"/>
        <v>44023</v>
      </c>
    </row>
    <row r="8" spans="2:8" ht="57.95" customHeight="1" x14ac:dyDescent="0.3">
      <c r="B8" s="18" t="str">
        <f ca="1">IFERROR(IF(MostrarDíasFestivos,IF(INDEX(tblDíasfestivos[],MATCH(DATE(CalYear,MONTH(B7),DAY(B7)),IF(MostrarFestivosObservados,tblDíasfestivos[CORREGIDO],tblDíasfestivos[DÍA]),0),6),INDEX(tblDíasfestivos[],MATCH(DATE(CalYear,MONTH(B7),DAY(B7)),IF(MostrarFestivosObservados,tblDíasfestivos[CORREGIDO],tblDíasfestivos[DÍA]),0),2),""),""),"")</f>
        <v/>
      </c>
      <c r="C8" s="19" t="str">
        <f ca="1">IFERROR(IF(MostrarDíasFestivos,IF(INDEX(tblDíasfestivos[],MATCH(DATE(CalYear,MONTH(C7),DAY(C7)),IF(MostrarFestivosObservados,tblDíasfestivos[CORREGIDO],tblDíasfestivos[DÍA]),0),6),INDEX(tblDíasfestivos[],MATCH(DATE(CalYear,MONTH(C7),DAY(C7)),IF(MostrarFestivosObservados,tblDíasfestivos[CORREGIDO],tblDíasfestivos[DÍA]),0),2),""),""),"")</f>
        <v/>
      </c>
      <c r="D8" s="19" t="str">
        <f ca="1">IFERROR(IF(MostrarDíasFestivos,IF(INDEX(tblDíasfestivos[],MATCH(DATE(CalYear,MONTH(D7),DAY(D7)),IF(MostrarFestivosObservados,tblDíasfestivos[CORREGIDO],tblDíasfestivos[DÍA]),0),6),INDEX(tblDíasfestivos[],MATCH(DATE(CalYear,MONTH(D7),DAY(D7)),IF(MostrarFestivosObservados,tblDíasfestivos[CORREGIDO],tblDíasfestivos[DÍA]),0),2),""),""),"")</f>
        <v/>
      </c>
      <c r="E8" s="19" t="str">
        <f ca="1">IFERROR(IF(MostrarDíasFestivos,IF(INDEX(tblDíasfestivos[],MATCH(DATE(CalYear,MONTH(E7),DAY(E7)),IF(MostrarFestivosObservados,tblDíasfestivos[CORREGIDO],tblDíasfestivos[DÍA]),0),6),INDEX(tblDíasfestivos[],MATCH(DATE(CalYear,MONTH(E7),DAY(E7)),IF(MostrarFestivosObservados,tblDíasfestivos[CORREGIDO],tblDíasfestivos[DÍA]),0),2),""),""),"")</f>
        <v/>
      </c>
      <c r="F8" s="19" t="str">
        <f ca="1">IFERROR(IF(MostrarDíasFestivos,IF(INDEX(tblDíasfestivos[],MATCH(DATE(CalYear,MONTH(F7),DAY(F7)),IF(MostrarFestivosObservados,tblDíasfestivos[CORREGIDO],tblDíasfestivos[DÍA]),0),6),INDEX(tblDíasfestivos[],MATCH(DATE(CalYear,MONTH(F7),DAY(F7)),IF(MostrarFestivosObservados,tblDíasfestivos[CORREGIDO],tblDíasfestivos[DÍA]),0),2),""),""),"")</f>
        <v/>
      </c>
      <c r="G8" s="20" t="str">
        <f ca="1">IFERROR(IF(MostrarDíasFestivos,IF(INDEX(tblDíasfestivos[],MATCH(DATE(CalYear,MONTH(G7),DAY(G7)),IF(MostrarFestivosObservados,tblDíasfestivos[CORREGIDO],tblDíasfestivos[DÍA]),0),6),INDEX(tblDíasfestivos[],MATCH(DATE(CalYear,MONTH(G7),DAY(G7)),IF(MostrarFestivosObservados,tblDíasfestivos[CORREGIDO],tblDíasfestivos[DÍA]),0),2),""),""),"")</f>
        <v/>
      </c>
      <c r="H8" s="21" t="str">
        <f ca="1">IFERROR(IF(MostrarDíasFestivos,IF(INDEX(tblDíasfestivos[],MATCH(DATE(CalYear,MONTH(H7),DAY(H7)),IF(MostrarFestivosObservados,tblDíasfestivos[CORREGIDO],tblDíasfestivos[DÍA]),0),6),INDEX(tblDíasfestivos[],MATCH(DATE(CalYear,MONTH(H7),DAY(H7)),IF(MostrarFestivosObservados,tblDíasfestivos[CORREGIDO],tblDíasfestivos[DÍA]),0),2),""),""),"")</f>
        <v/>
      </c>
    </row>
    <row r="9" spans="2:8" ht="19.5" customHeight="1" x14ac:dyDescent="0.3">
      <c r="B9" s="11">
        <f t="array" aca="1" ref="B9:H9" ca="1">Días+DATE(CalYear,7,1)-WEEKDAY(DATE(CalYear,7,1),(InicioDeLaSemana="Lunes")+1)+15</f>
        <v>44024</v>
      </c>
      <c r="C9" s="12">
        <f ca="1"/>
        <v>44025</v>
      </c>
      <c r="D9" s="12">
        <f ca="1"/>
        <v>44026</v>
      </c>
      <c r="E9" s="12">
        <f ca="1"/>
        <v>44027</v>
      </c>
      <c r="F9" s="12">
        <f ca="1"/>
        <v>44028</v>
      </c>
      <c r="G9" s="12">
        <f ca="1"/>
        <v>44029</v>
      </c>
      <c r="H9" s="13">
        <f ca="1"/>
        <v>44030</v>
      </c>
    </row>
    <row r="10" spans="2:8" ht="57.95" customHeight="1" x14ac:dyDescent="0.3">
      <c r="B10" s="22" t="str">
        <f ca="1">IFERROR(IF(MostrarDíasFestivos,IF(INDEX(tblDíasfestivos[],MATCH(DATE(CalYear,MONTH(B9),DAY(B9)),IF(MostrarFestivosObservados,tblDíasfestivos[CORREGIDO],tblDíasfestivos[DÍA]),0),6),INDEX(tblDíasfestivos[],MATCH(DATE(CalYear,MONTH(B9),DAY(B9)),IF(MostrarFestivosObservados,tblDíasfestivos[CORREGIDO],tblDíasfestivos[DÍA]),0),2),""),""),"")</f>
        <v/>
      </c>
      <c r="C10" s="23" t="str">
        <f ca="1">IFERROR(IF(MostrarDíasFestivos,IF(INDEX(tblDíasfestivos[],MATCH(DATE(CalYear,MONTH(C9),DAY(C9)),IF(MostrarFestivosObservados,tblDíasfestivos[CORREGIDO],tblDíasfestivos[DÍA]),0),6),INDEX(tblDíasfestivos[],MATCH(DATE(CalYear,MONTH(C9),DAY(C9)),IF(MostrarFestivosObservados,tblDíasfestivos[CORREGIDO],tblDíasfestivos[DÍA]),0),2),""),""),"")</f>
        <v/>
      </c>
      <c r="D10" s="23" t="str">
        <f ca="1">IFERROR(IF(MostrarDíasFestivos,IF(INDEX(tblDíasfestivos[],MATCH(DATE(CalYear,MONTH(D9),DAY(D9)),IF(MostrarFestivosObservados,tblDíasfestivos[CORREGIDO],tblDíasfestivos[DÍA]),0),6),INDEX(tblDíasfestivos[],MATCH(DATE(CalYear,MONTH(D9),DAY(D9)),IF(MostrarFestivosObservados,tblDíasfestivos[CORREGIDO],tblDíasfestivos[DÍA]),0),2),""),""),"")</f>
        <v/>
      </c>
      <c r="E10" s="23" t="str">
        <f ca="1">IFERROR(IF(MostrarDíasFestivos,IF(INDEX(tblDíasfestivos[],MATCH(DATE(CalYear,MONTH(E9),DAY(E9)),IF(MostrarFestivosObservados,tblDíasfestivos[CORREGIDO],tblDíasfestivos[DÍA]),0),6),INDEX(tblDíasfestivos[],MATCH(DATE(CalYear,MONTH(E9),DAY(E9)),IF(MostrarFestivosObservados,tblDíasfestivos[CORREGIDO],tblDíasfestivos[DÍA]),0),2),""),""),"")</f>
        <v/>
      </c>
      <c r="F10" s="23" t="str">
        <f ca="1">IFERROR(IF(MostrarDíasFestivos,IF(INDEX(tblDíasfestivos[],MATCH(DATE(CalYear,MONTH(F9),DAY(F9)),IF(MostrarFestivosObservados,tblDíasfestivos[CORREGIDO],tblDíasfestivos[DÍA]),0),6),INDEX(tblDíasfestivos[],MATCH(DATE(CalYear,MONTH(F9),DAY(F9)),IF(MostrarFestivosObservados,tblDíasfestivos[CORREGIDO],tblDíasfestivos[DÍA]),0),2),""),""),"")</f>
        <v/>
      </c>
      <c r="G10" s="24" t="str">
        <f ca="1">IFERROR(IF(MostrarDíasFestivos,IF(INDEX(tblDíasfestivos[],MATCH(DATE(CalYear,MONTH(G9),DAY(G9)),IF(MostrarFestivosObservados,tblDíasfestivos[CORREGIDO],tblDíasfestivos[DÍA]),0),6),INDEX(tblDíasfestivos[],MATCH(DATE(CalYear,MONTH(G9),DAY(G9)),IF(MostrarFestivosObservados,tblDíasfestivos[CORREGIDO],tblDíasfestivos[DÍA]),0),2),""),""),"")</f>
        <v/>
      </c>
      <c r="H10" s="25" t="str">
        <f ca="1">IFERROR(IF(MostrarDíasFestivos,IF(INDEX(tblDíasfestivos[],MATCH(DATE(CalYear,MONTH(H9),DAY(H9)),IF(MostrarFestivosObservados,tblDíasfestivos[CORREGIDO],tblDíasfestivos[DÍA]),0),6),INDEX(tblDíasfestivos[],MATCH(DATE(CalYear,MONTH(H9),DAY(H9)),IF(MostrarFestivosObservados,tblDíasfestivos[CORREGIDO],tblDíasfestivos[DÍA]),0),2),""),""),"")</f>
        <v/>
      </c>
    </row>
    <row r="11" spans="2:8" ht="19.5" customHeight="1" x14ac:dyDescent="0.3">
      <c r="B11" s="8">
        <f t="array" aca="1" ref="B11:H11" ca="1">Días+DATE(CalYear,7,1)-WEEKDAY(DATE(CalYear,7,1),(InicioDeLaSemana="Lunes")+1)+22</f>
        <v>44031</v>
      </c>
      <c r="C11" s="9">
        <f ca="1"/>
        <v>44032</v>
      </c>
      <c r="D11" s="9">
        <f ca="1"/>
        <v>44033</v>
      </c>
      <c r="E11" s="9">
        <f ca="1"/>
        <v>44034</v>
      </c>
      <c r="F11" s="9">
        <f ca="1"/>
        <v>44035</v>
      </c>
      <c r="G11" s="9">
        <f ca="1"/>
        <v>44036</v>
      </c>
      <c r="H11" s="10">
        <f ca="1"/>
        <v>44037</v>
      </c>
    </row>
    <row r="12" spans="2:8" ht="57.95" customHeight="1" x14ac:dyDescent="0.3">
      <c r="B12" s="18" t="str">
        <f ca="1">IFERROR(IF(MostrarDíasFestivos,IF(INDEX(tblDíasfestivos[],MATCH(DATE(CalYear,MONTH(B11),DAY(B11)),IF(MostrarFestivosObservados,tblDíasfestivos[CORREGIDO],tblDíasfestivos[DÍA]),0),6),INDEX(tblDíasfestivos[],MATCH(DATE(CalYear,MONTH(B11),DAY(B11)),IF(MostrarFestivosObservados,tblDíasfestivos[CORREGIDO],tblDíasfestivos[DÍA]),0),2),""),""),"")</f>
        <v/>
      </c>
      <c r="C12" s="19" t="str">
        <f ca="1">IFERROR(IF(MostrarDíasFestivos,IF(INDEX(tblDíasfestivos[],MATCH(DATE(CalYear,MONTH(C11),DAY(C11)),IF(MostrarFestivosObservados,tblDíasfestivos[CORREGIDO],tblDíasfestivos[DÍA]),0),6),INDEX(tblDíasfestivos[],MATCH(DATE(CalYear,MONTH(C11),DAY(C11)),IF(MostrarFestivosObservados,tblDíasfestivos[CORREGIDO],tblDíasfestivos[DÍA]),0),2),""),""),"")</f>
        <v/>
      </c>
      <c r="D12" s="19" t="str">
        <f ca="1">IFERROR(IF(MostrarDíasFestivos,IF(INDEX(tblDíasfestivos[],MATCH(DATE(CalYear,MONTH(D11),DAY(D11)),IF(MostrarFestivosObservados,tblDíasfestivos[CORREGIDO],tblDíasfestivos[DÍA]),0),6),INDEX(tblDíasfestivos[],MATCH(DATE(CalYear,MONTH(D11),DAY(D11)),IF(MostrarFestivosObservados,tblDíasfestivos[CORREGIDO],tblDíasfestivos[DÍA]),0),2),""),""),"")</f>
        <v/>
      </c>
      <c r="E12" s="19" t="str">
        <f ca="1">IFERROR(IF(MostrarDíasFestivos,IF(INDEX(tblDíasfestivos[],MATCH(DATE(CalYear,MONTH(E11),DAY(E11)),IF(MostrarFestivosObservados,tblDíasfestivos[CORREGIDO],tblDíasfestivos[DÍA]),0),6),INDEX(tblDíasfestivos[],MATCH(DATE(CalYear,MONTH(E11),DAY(E11)),IF(MostrarFestivosObservados,tblDíasfestivos[CORREGIDO],tblDíasfestivos[DÍA]),0),2),""),""),"")</f>
        <v/>
      </c>
      <c r="F12" s="19" t="str">
        <f ca="1">IFERROR(IF(MostrarDíasFestivos,IF(INDEX(tblDíasfestivos[],MATCH(DATE(CalYear,MONTH(F11),DAY(F11)),IF(MostrarFestivosObservados,tblDíasfestivos[CORREGIDO],tblDíasfestivos[DÍA]),0),6),INDEX(tblDíasfestivos[],MATCH(DATE(CalYear,MONTH(F11),DAY(F11)),IF(MostrarFestivosObservados,tblDíasfestivos[CORREGIDO],tblDíasfestivos[DÍA]),0),2),""),""),"")</f>
        <v/>
      </c>
      <c r="G12" s="20" t="str">
        <f ca="1">IFERROR(IF(MostrarDíasFestivos,IF(INDEX(tblDíasfestivos[],MATCH(DATE(CalYear,MONTH(G11),DAY(G11)),IF(MostrarFestivosObservados,tblDíasfestivos[CORREGIDO],tblDíasfestivos[DÍA]),0),6),INDEX(tblDíasfestivos[],MATCH(DATE(CalYear,MONTH(G11),DAY(G11)),IF(MostrarFestivosObservados,tblDíasfestivos[CORREGIDO],tblDíasfestivos[DÍA]),0),2),""),""),"")</f>
        <v/>
      </c>
      <c r="H12" s="21" t="str">
        <f ca="1">IFERROR(IF(MostrarDíasFestivos,IF(INDEX(tblDíasfestivos[],MATCH(DATE(CalYear,MONTH(H11),DAY(H11)),IF(MostrarFestivosObservados,tblDíasfestivos[CORREGIDO],tblDíasfestivos[DÍA]),0),6),INDEX(tblDíasfestivos[],MATCH(DATE(CalYear,MONTH(H11),DAY(H11)),IF(MostrarFestivosObservados,tblDíasfestivos[CORREGIDO],tblDíasfestivos[DÍA]),0),2),""),""),"")</f>
        <v/>
      </c>
    </row>
    <row r="13" spans="2:8" ht="19.5" customHeight="1" x14ac:dyDescent="0.3">
      <c r="B13" s="11">
        <f t="array" aca="1" ref="B13:H13" ca="1">Días+DATE(CalYear,7,1)-WEEKDAY(DATE(CalYear,7,1),(InicioDeLaSemana="Lunes")+1)+29</f>
        <v>44038</v>
      </c>
      <c r="C13" s="12">
        <f ca="1"/>
        <v>44039</v>
      </c>
      <c r="D13" s="12">
        <f ca="1"/>
        <v>44040</v>
      </c>
      <c r="E13" s="12">
        <f ca="1"/>
        <v>44041</v>
      </c>
      <c r="F13" s="12">
        <f ca="1"/>
        <v>44042</v>
      </c>
      <c r="G13" s="12">
        <f ca="1"/>
        <v>44043</v>
      </c>
      <c r="H13" s="13">
        <f ca="1"/>
        <v>44044</v>
      </c>
    </row>
    <row r="14" spans="2:8" ht="57.95" customHeight="1" x14ac:dyDescent="0.3">
      <c r="B14" s="22" t="str">
        <f ca="1">IFERROR(IF(MostrarDíasFestivos,IF(INDEX(tblDíasfestivos[],MATCH(DATE(CalYear,MONTH(B13),DAY(B13)),IF(MostrarFestivosObservados,tblDíasfestivos[CORREGIDO],tblDíasfestivos[DÍA]),0),6),INDEX(tblDíasfestivos[],MATCH(DATE(CalYear,MONTH(B13),DAY(B13)),IF(MostrarFestivosObservados,tblDíasfestivos[CORREGIDO],tblDíasfestivos[DÍA]),0),2),""),""),"")</f>
        <v/>
      </c>
      <c r="C14" s="23" t="str">
        <f ca="1">IFERROR(IF(MostrarDíasFestivos,IF(INDEX(tblDíasfestivos[],MATCH(DATE(CalYear,MONTH(C13),DAY(C13)),IF(MostrarFestivosObservados,tblDíasfestivos[CORREGIDO],tblDíasfestivos[DÍA]),0),6),INDEX(tblDíasfestivos[],MATCH(DATE(CalYear,MONTH(C13),DAY(C13)),IF(MostrarFestivosObservados,tblDíasfestivos[CORREGIDO],tblDíasfestivos[DÍA]),0),2),""),""),"")</f>
        <v/>
      </c>
      <c r="D14" s="23" t="str">
        <f ca="1">IFERROR(IF(MostrarDíasFestivos,IF(INDEX(tblDíasfestivos[],MATCH(DATE(CalYear,MONTH(D13),DAY(D13)),IF(MostrarFestivosObservados,tblDíasfestivos[CORREGIDO],tblDíasfestivos[DÍA]),0),6),INDEX(tblDíasfestivos[],MATCH(DATE(CalYear,MONTH(D13),DAY(D13)),IF(MostrarFestivosObservados,tblDíasfestivos[CORREGIDO],tblDíasfestivos[DÍA]),0),2),""),""),"")</f>
        <v/>
      </c>
      <c r="E14" s="23" t="str">
        <f ca="1">IFERROR(IF(MostrarDíasFestivos,IF(INDEX(tblDíasfestivos[],MATCH(DATE(CalYear,MONTH(E13),DAY(E13)),IF(MostrarFestivosObservados,tblDíasfestivos[CORREGIDO],tblDíasfestivos[DÍA]),0),6),INDEX(tblDíasfestivos[],MATCH(DATE(CalYear,MONTH(E13),DAY(E13)),IF(MostrarFestivosObservados,tblDíasfestivos[CORREGIDO],tblDíasfestivos[DÍA]),0),2),""),""),"")</f>
        <v/>
      </c>
      <c r="F14" s="23" t="str">
        <f ca="1">IFERROR(IF(MostrarDíasFestivos,IF(INDEX(tblDíasfestivos[],MATCH(DATE(CalYear,MONTH(F13),DAY(F13)),IF(MostrarFestivosObservados,tblDíasfestivos[CORREGIDO],tblDíasfestivos[DÍA]),0),6),INDEX(tblDíasfestivos[],MATCH(DATE(CalYear,MONTH(F13),DAY(F13)),IF(MostrarFestivosObservados,tblDíasfestivos[CORREGIDO],tblDíasfestivos[DÍA]),0),2),""),""),"")</f>
        <v/>
      </c>
      <c r="G14" s="24" t="str">
        <f ca="1">IFERROR(IF(MostrarDíasFestivos,IF(INDEX(tblDíasfestivos[],MATCH(DATE(CalYear,MONTH(G13),DAY(G13)),IF(MostrarFestivosObservados,tblDíasfestivos[CORREGIDO],tblDíasfestivos[DÍA]),0),6),INDEX(tblDíasfestivos[],MATCH(DATE(CalYear,MONTH(G13),DAY(G13)),IF(MostrarFestivosObservados,tblDíasfestivos[CORREGIDO],tblDíasfestivos[DÍA]),0),2),""),""),"")</f>
        <v/>
      </c>
      <c r="H14" s="25" t="str">
        <f ca="1">IFERROR(IF(MostrarDíasFestivos,IF(INDEX(tblDíasfestivos[],MATCH(DATE(CalYear,MONTH(H13),DAY(H13)),IF(MostrarFestivosObservados,tblDíasfestivos[CORREGIDO],tblDíasfestivos[DÍA]),0),6),INDEX(tblDíasfestivos[],MATCH(DATE(CalYear,MONTH(H13),DAY(H13)),IF(MostrarFestivosObservados,tblDíasfestivos[CORREGIDO],tblDíasfestivos[DÍA]),0),2),""),""),"")</f>
        <v/>
      </c>
    </row>
    <row r="15" spans="2:8" ht="19.5" customHeight="1" x14ac:dyDescent="0.35">
      <c r="B15" s="8">
        <f t="array" aca="1" ref="B15:C15" ca="1">Días+DATE(CalYear,7,1)-WEEKDAY(DATE(CalYear,7,1),(InicioDeLaSemana="Lunes")+1)+36</f>
        <v>44045</v>
      </c>
      <c r="C15" s="9">
        <f ca="1"/>
        <v>44046</v>
      </c>
      <c r="D15" s="61" t="s">
        <v>7</v>
      </c>
      <c r="E15" s="61"/>
      <c r="F15" s="61"/>
      <c r="G15" s="61"/>
      <c r="H15" s="62"/>
    </row>
    <row r="16" spans="2:8" ht="57.95" customHeight="1" x14ac:dyDescent="0.3">
      <c r="B16" s="18" t="str">
        <f ca="1">IFERROR(IF(MostrarDíasFestivos,IF(INDEX(tblDíasfestivos[],MATCH(DATE(CalYear,MONTH(B15),DAY(B15)),IF(MostrarFestivosObservados,tblDíasfestivos[CORREGIDO],tblDíasfestivos[DÍA]),0),6),INDEX(tblDíasfestivos[],MATCH(DATE(CalYear,MONTH(B15),DAY(B15)),IF(MostrarFestivosObservados,tblDíasfestivos[CORREGIDO],tblDíasfestivos[DÍA]),0),2),""),""),"")</f>
        <v/>
      </c>
      <c r="C16" s="19" t="str">
        <f ca="1">IFERROR(IF(MostrarDíasFestivos,IF(INDEX(tblDíasfestivos[],MATCH(DATE(CalYear,MONTH(C15),DAY(C15)),IF(MostrarFestivosObservados,tblDíasfestivos[CORREGIDO],tblDíasfestivos[DÍA]),0),6),INDEX(tblDíasfestivos[],MATCH(DATE(CalYear,MONTH(C15),DAY(C15)),IF(MostrarFestivosObservados,tblDíasfestivos[CORREGIDO],tblDíasfestivos[DÍA]),0),2),""),""),"")</f>
        <v/>
      </c>
      <c r="D16" s="59"/>
      <c r="E16" s="59"/>
      <c r="F16" s="59"/>
      <c r="G16" s="59"/>
      <c r="H16" s="60"/>
    </row>
    <row r="17" spans="2:8" x14ac:dyDescent="0.3">
      <c r="B17" s="64"/>
      <c r="C17" s="64"/>
      <c r="D17" s="64"/>
      <c r="E17" s="64"/>
      <c r="F17" s="64"/>
      <c r="G17" s="64"/>
      <c r="H17" s="64"/>
    </row>
  </sheetData>
  <mergeCells count="4">
    <mergeCell ref="B2:D2"/>
    <mergeCell ref="D15:H15"/>
    <mergeCell ref="D16:H16"/>
    <mergeCell ref="B17:H17"/>
  </mergeCells>
  <conditionalFormatting sqref="B13:H13 B15:C15">
    <cfRule type="expression" dxfId="11" priority="2">
      <formula>AND(DAY(B13)&gt;=1,DAY(B13)&lt;=15)</formula>
    </cfRule>
  </conditionalFormatting>
  <conditionalFormatting sqref="B5:G5">
    <cfRule type="expression" dxfId="10" priority="1">
      <formula>DAY(B5)&gt;8</formula>
    </cfRule>
  </conditionalFormatting>
  <printOptions horizontalCentered="1"/>
  <pageMargins left="0.4" right="0.4" top="0.4" bottom="0.4" header="0.3" footer="0.3"/>
  <pageSetup paperSize="9" fitToHeight="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>
    <tabColor theme="4"/>
    <pageSetUpPr fitToPage="1"/>
  </sheetPr>
  <dimension ref="B2:H17"/>
  <sheetViews>
    <sheetView showGridLines="0" workbookViewId="0"/>
  </sheetViews>
  <sheetFormatPr baseColWidth="10" defaultColWidth="8.85546875" defaultRowHeight="15" x14ac:dyDescent="0.3"/>
  <cols>
    <col min="1" max="1" width="3.5703125" customWidth="1"/>
    <col min="2" max="2" width="18.28515625" customWidth="1"/>
    <col min="3" max="8" width="17.7109375" customWidth="1"/>
    <col min="9" max="9" width="3.5703125" customWidth="1"/>
    <col min="10" max="10" width="13.7109375" customWidth="1"/>
  </cols>
  <sheetData>
    <row r="2" spans="2:8" ht="30" customHeight="1" thickBot="1" x14ac:dyDescent="0.35">
      <c r="B2" s="58">
        <f ca="1">B9</f>
        <v>44052</v>
      </c>
      <c r="C2" s="58"/>
      <c r="D2" s="58"/>
      <c r="E2" s="34"/>
      <c r="F2" s="34"/>
      <c r="G2" s="34"/>
      <c r="H2" s="35"/>
    </row>
    <row r="3" spans="2:8" ht="18" customHeight="1" thickTop="1" x14ac:dyDescent="0.3"/>
    <row r="4" spans="2:8" ht="24" customHeight="1" thickBot="1" x14ac:dyDescent="0.35">
      <c r="B4" s="2" t="str">
        <f>InicioDeLaSemana</f>
        <v>DOMINGO</v>
      </c>
      <c r="C4" s="3" t="str">
        <f t="shared" ref="C4:H4" ca="1" si="0">UPPER(TEXT(C5,"dddd"))</f>
        <v>LUNES</v>
      </c>
      <c r="D4" s="3" t="str">
        <f t="shared" ca="1" si="0"/>
        <v>MARTES</v>
      </c>
      <c r="E4" s="3" t="str">
        <f t="shared" ca="1" si="0"/>
        <v>MIÉRCOLES</v>
      </c>
      <c r="F4" s="3" t="str">
        <f t="shared" ca="1" si="0"/>
        <v>JUEVES</v>
      </c>
      <c r="G4" s="3" t="str">
        <f t="shared" ca="1" si="0"/>
        <v>VIERNES</v>
      </c>
      <c r="H4" s="4" t="str">
        <f t="shared" ca="1" si="0"/>
        <v>SÁBADO</v>
      </c>
    </row>
    <row r="5" spans="2:8" ht="19.5" customHeight="1" thickTop="1" x14ac:dyDescent="0.35">
      <c r="B5" s="5">
        <f t="array" aca="1" ref="B5:H5" ca="1">Días+DATE(CalYear,8,1)-WEEKDAY(DATE(CalYear,8,1),(InicioDeLaSemana="Lunes")+1)+1</f>
        <v>44038</v>
      </c>
      <c r="C5" s="6">
        <f ca="1"/>
        <v>44039</v>
      </c>
      <c r="D5" s="6">
        <f ca="1"/>
        <v>44040</v>
      </c>
      <c r="E5" s="6">
        <f ca="1"/>
        <v>44041</v>
      </c>
      <c r="F5" s="6">
        <f ca="1"/>
        <v>44042</v>
      </c>
      <c r="G5" s="6">
        <f ca="1"/>
        <v>44043</v>
      </c>
      <c r="H5" s="7">
        <f ca="1"/>
        <v>44044</v>
      </c>
    </row>
    <row r="6" spans="2:8" ht="57.95" customHeight="1" x14ac:dyDescent="0.3">
      <c r="B6" s="14" t="str">
        <f ca="1">IFERROR(IF(MostrarDíasFestivos,IF(INDEX(tblDíasfestivos[],MATCH(DATE(CalYear-(DAY(B5)&gt;15)+(ROW()&gt;6),MONTH(B5),DAY(B5)),IF(MostrarFestivosObservados,tblDíasfestivos[CORREGIDO],tblDíasfestivos[DÍA]),0),6),INDEX(tblDíasfestivos[],MATCH(DATE(CalYear-(DAY(B5)&gt;15)+(ROW()&gt;6),MONTH(B5),DAY(B5)),IF(MostrarFestivosObservados,tblDíasfestivos[CORREGIDO],tblDíasfestivos[DÍA]),0),2),""),""),"")</f>
        <v/>
      </c>
      <c r="C6" s="15" t="str">
        <f ca="1">IFERROR(IF(MostrarDíasFestivos,IF(INDEX(tblDíasfestivos[],MATCH(DATE(CalYear-(DAY(C5)&gt;15)+(ROW()&gt;6),MONTH(C5),DAY(C5)),IF(MostrarFestivosObservados,tblDíasfestivos[CORREGIDO],tblDíasfestivos[DÍA]),0),6),INDEX(tblDíasfestivos[],MATCH(DATE(CalYear-(DAY(C5)&gt;15)+(ROW()&gt;6),MONTH(C5),DAY(C5)),IF(MostrarFestivosObservados,tblDíasfestivos[CORREGIDO],tblDíasfestivos[DÍA]),0),2),""),""),"")</f>
        <v/>
      </c>
      <c r="D6" s="15" t="str">
        <f ca="1">IFERROR(IF(MostrarDíasFestivos,IF(INDEX(tblDíasfestivos[],MATCH(DATE(CalYear-(DAY(D5)&gt;15)+(ROW()&gt;6),MONTH(D5),DAY(D5)),IF(MostrarFestivosObservados,tblDíasfestivos[CORREGIDO],tblDíasfestivos[DÍA]),0),6),INDEX(tblDíasfestivos[],MATCH(DATE(CalYear-(DAY(D5)&gt;15)+(ROW()&gt;6),MONTH(D5),DAY(D5)),IF(MostrarFestivosObservados,tblDíasfestivos[CORREGIDO],tblDíasfestivos[DÍA]),0),2),""),""),"")</f>
        <v/>
      </c>
      <c r="E6" s="15" t="str">
        <f ca="1">IFERROR(IF(MostrarDíasFestivos,IF(INDEX(tblDíasfestivos[],MATCH(DATE(CalYear-(DAY(E5)&gt;15)+(ROW()&gt;6),MONTH(E5),DAY(E5)),IF(MostrarFestivosObservados,tblDíasfestivos[CORREGIDO],tblDíasfestivos[DÍA]),0),6),INDEX(tblDíasfestivos[],MATCH(DATE(CalYear-(DAY(E5)&gt;15)+(ROW()&gt;6),MONTH(E5),DAY(E5)),IF(MostrarFestivosObservados,tblDíasfestivos[CORREGIDO],tblDíasfestivos[DÍA]),0),2),""),""),"")</f>
        <v/>
      </c>
      <c r="F6" s="15" t="str">
        <f ca="1">IFERROR(IF(MostrarDíasFestivos,IF(INDEX(tblDíasfestivos[],MATCH(DATE(CalYear-(DAY(F5)&gt;15)+(ROW()&gt;6),MONTH(F5),DAY(F5)),IF(MostrarFestivosObservados,tblDíasfestivos[CORREGIDO],tblDíasfestivos[DÍA]),0),6),INDEX(tblDíasfestivos[],MATCH(DATE(CalYear-(DAY(F5)&gt;15)+(ROW()&gt;6),MONTH(F5),DAY(F5)),IF(MostrarFestivosObservados,tblDíasfestivos[CORREGIDO],tblDíasfestivos[DÍA]),0),2),""),""),"")</f>
        <v/>
      </c>
      <c r="G6" s="16" t="str">
        <f ca="1">IFERROR(IF(MostrarDíasFestivos,IF(INDEX(tblDíasfestivos[],MATCH(DATE(CalYear-(DAY(G5)&gt;15)+(ROW()&gt;6),MONTH(G5),DAY(G5)),IF(MostrarFestivosObservados,tblDíasfestivos[CORREGIDO],tblDíasfestivos[DÍA]),0),6),INDEX(tblDíasfestivos[],MATCH(DATE(CalYear-(DAY(G5)&gt;15)+(ROW()&gt;6),MONTH(G5),DAY(G5)),IF(MostrarFestivosObservados,tblDíasfestivos[CORREGIDO],tblDíasfestivos[DÍA]),0),2),""),""),"")</f>
        <v/>
      </c>
      <c r="H6" s="17" t="str">
        <f ca="1">IFERROR(IF(MostrarDíasFestivos,IF(INDEX(tblDíasfestivos[],MATCH(DATE(CalYear-(DAY(H5)&gt;15)+(ROW()&gt;6),MONTH(H5),DAY(H5)),IF(MostrarFestivosObservados,tblDíasfestivos[CORREGIDO],tblDíasfestivos[DÍA]),0),6),INDEX(tblDíasfestivos[],MATCH(DATE(CalYear-(DAY(H5)&gt;15)+(ROW()&gt;6),MONTH(H5),DAY(H5)),IF(MostrarFestivosObservados,tblDíasfestivos[CORREGIDO],tblDíasfestivos[DÍA]),0),2),""),""),"")</f>
        <v/>
      </c>
    </row>
    <row r="7" spans="2:8" ht="19.5" customHeight="1" x14ac:dyDescent="0.3">
      <c r="B7" s="8">
        <f t="array" aca="1" ref="B7:H7" ca="1">Días+DATE(CalYear,8,1)-WEEKDAY(DATE(CalYear,8,1),(InicioDeLaSemana="Lunes")+1)+8</f>
        <v>44045</v>
      </c>
      <c r="C7" s="9">
        <f ca="1"/>
        <v>44046</v>
      </c>
      <c r="D7" s="9">
        <f ca="1"/>
        <v>44047</v>
      </c>
      <c r="E7" s="9">
        <f ca="1"/>
        <v>44048</v>
      </c>
      <c r="F7" s="9">
        <f ca="1"/>
        <v>44049</v>
      </c>
      <c r="G7" s="9">
        <f ca="1"/>
        <v>44050</v>
      </c>
      <c r="H7" s="10">
        <f ca="1"/>
        <v>44051</v>
      </c>
    </row>
    <row r="8" spans="2:8" ht="57.95" customHeight="1" x14ac:dyDescent="0.3">
      <c r="B8" s="18" t="str">
        <f ca="1">IFERROR(IF(MostrarDíasFestivos,IF(INDEX(tblDíasfestivos[],MATCH(DATE(CalYear,MONTH(B7),DAY(B7)),IF(MostrarFestivosObservados,tblDíasfestivos[CORREGIDO],tblDíasfestivos[DÍA]),0),6),INDEX(tblDíasfestivos[],MATCH(DATE(CalYear,MONTH(B7),DAY(B7)),IF(MostrarFestivosObservados,tblDíasfestivos[CORREGIDO],tblDíasfestivos[DÍA]),0),2),""),""),"")</f>
        <v/>
      </c>
      <c r="C8" s="19" t="str">
        <f ca="1">IFERROR(IF(MostrarDíasFestivos,IF(INDEX(tblDíasfestivos[],MATCH(DATE(CalYear,MONTH(C7),DAY(C7)),IF(MostrarFestivosObservados,tblDíasfestivos[CORREGIDO],tblDíasfestivos[DÍA]),0),6),INDEX(tblDíasfestivos[],MATCH(DATE(CalYear,MONTH(C7),DAY(C7)),IF(MostrarFestivosObservados,tblDíasfestivos[CORREGIDO],tblDíasfestivos[DÍA]),0),2),""),""),"")</f>
        <v/>
      </c>
      <c r="D8" s="19" t="str">
        <f ca="1">IFERROR(IF(MostrarDíasFestivos,IF(INDEX(tblDíasfestivos[],MATCH(DATE(CalYear,MONTH(D7),DAY(D7)),IF(MostrarFestivosObservados,tblDíasfestivos[CORREGIDO],tblDíasfestivos[DÍA]),0),6),INDEX(tblDíasfestivos[],MATCH(DATE(CalYear,MONTH(D7),DAY(D7)),IF(MostrarFestivosObservados,tblDíasfestivos[CORREGIDO],tblDíasfestivos[DÍA]),0),2),""),""),"")</f>
        <v/>
      </c>
      <c r="E8" s="19" t="str">
        <f ca="1">IFERROR(IF(MostrarDíasFestivos,IF(INDEX(tblDíasfestivos[],MATCH(DATE(CalYear,MONTH(E7),DAY(E7)),IF(MostrarFestivosObservados,tblDíasfestivos[CORREGIDO],tblDíasfestivos[DÍA]),0),6),INDEX(tblDíasfestivos[],MATCH(DATE(CalYear,MONTH(E7),DAY(E7)),IF(MostrarFestivosObservados,tblDíasfestivos[CORREGIDO],tblDíasfestivos[DÍA]),0),2),""),""),"")</f>
        <v/>
      </c>
      <c r="F8" s="19" t="str">
        <f ca="1">IFERROR(IF(MostrarDíasFestivos,IF(INDEX(tblDíasfestivos[],MATCH(DATE(CalYear,MONTH(F7),DAY(F7)),IF(MostrarFestivosObservados,tblDíasfestivos[CORREGIDO],tblDíasfestivos[DÍA]),0),6),INDEX(tblDíasfestivos[],MATCH(DATE(CalYear,MONTH(F7),DAY(F7)),IF(MostrarFestivosObservados,tblDíasfestivos[CORREGIDO],tblDíasfestivos[DÍA]),0),2),""),""),"")</f>
        <v/>
      </c>
      <c r="G8" s="20" t="str">
        <f ca="1">IFERROR(IF(MostrarDíasFestivos,IF(INDEX(tblDíasfestivos[],MATCH(DATE(CalYear,MONTH(G7),DAY(G7)),IF(MostrarFestivosObservados,tblDíasfestivos[CORREGIDO],tblDíasfestivos[DÍA]),0),6),INDEX(tblDíasfestivos[],MATCH(DATE(CalYear,MONTH(G7),DAY(G7)),IF(MostrarFestivosObservados,tblDíasfestivos[CORREGIDO],tblDíasfestivos[DÍA]),0),2),""),""),"")</f>
        <v/>
      </c>
      <c r="H8" s="21" t="str">
        <f ca="1">IFERROR(IF(MostrarDíasFestivos,IF(INDEX(tblDíasfestivos[],MATCH(DATE(CalYear,MONTH(H7),DAY(H7)),IF(MostrarFestivosObservados,tblDíasfestivos[CORREGIDO],tblDíasfestivos[DÍA]),0),6),INDEX(tblDíasfestivos[],MATCH(DATE(CalYear,MONTH(H7),DAY(H7)),IF(MostrarFestivosObservados,tblDíasfestivos[CORREGIDO],tblDíasfestivos[DÍA]),0),2),""),""),"")</f>
        <v/>
      </c>
    </row>
    <row r="9" spans="2:8" ht="19.5" customHeight="1" x14ac:dyDescent="0.3">
      <c r="B9" s="11">
        <f t="array" aca="1" ref="B9:H9" ca="1">Días+DATE(CalYear,8,1)-WEEKDAY(DATE(CalYear,8,1),(InicioDeLaSemana="Lunes")+1)+15</f>
        <v>44052</v>
      </c>
      <c r="C9" s="12">
        <f ca="1"/>
        <v>44053</v>
      </c>
      <c r="D9" s="12">
        <f ca="1"/>
        <v>44054</v>
      </c>
      <c r="E9" s="12">
        <f ca="1"/>
        <v>44055</v>
      </c>
      <c r="F9" s="12">
        <f ca="1"/>
        <v>44056</v>
      </c>
      <c r="G9" s="12">
        <f ca="1"/>
        <v>44057</v>
      </c>
      <c r="H9" s="13">
        <f ca="1"/>
        <v>44058</v>
      </c>
    </row>
    <row r="10" spans="2:8" ht="57.95" customHeight="1" x14ac:dyDescent="0.3">
      <c r="B10" s="22" t="str">
        <f ca="1">IFERROR(IF(MostrarDíasFestivos,IF(INDEX(tblDíasfestivos[],MATCH(DATE(CalYear,MONTH(B9),DAY(B9)),IF(MostrarFestivosObservados,tblDíasfestivos[CORREGIDO],tblDíasfestivos[DÍA]),0),6),INDEX(tblDíasfestivos[],MATCH(DATE(CalYear,MONTH(B9),DAY(B9)),IF(MostrarFestivosObservados,tblDíasfestivos[CORREGIDO],tblDíasfestivos[DÍA]),0),2),""),""),"")</f>
        <v/>
      </c>
      <c r="C10" s="23" t="str">
        <f ca="1">IFERROR(IF(MostrarDíasFestivos,IF(INDEX(tblDíasfestivos[],MATCH(DATE(CalYear,MONTH(C9),DAY(C9)),IF(MostrarFestivosObservados,tblDíasfestivos[CORREGIDO],tblDíasfestivos[DÍA]),0),6),INDEX(tblDíasfestivos[],MATCH(DATE(CalYear,MONTH(C9),DAY(C9)),IF(MostrarFestivosObservados,tblDíasfestivos[CORREGIDO],tblDíasfestivos[DÍA]),0),2),""),""),"")</f>
        <v/>
      </c>
      <c r="D10" s="23" t="str">
        <f ca="1">IFERROR(IF(MostrarDíasFestivos,IF(INDEX(tblDíasfestivos[],MATCH(DATE(CalYear,MONTH(D9),DAY(D9)),IF(MostrarFestivosObservados,tblDíasfestivos[CORREGIDO],tblDíasfestivos[DÍA]),0),6),INDEX(tblDíasfestivos[],MATCH(DATE(CalYear,MONTH(D9),DAY(D9)),IF(MostrarFestivosObservados,tblDíasfestivos[CORREGIDO],tblDíasfestivos[DÍA]),0),2),""),""),"")</f>
        <v/>
      </c>
      <c r="E10" s="23" t="str">
        <f ca="1">IFERROR(IF(MostrarDíasFestivos,IF(INDEX(tblDíasfestivos[],MATCH(DATE(CalYear,MONTH(E9),DAY(E9)),IF(MostrarFestivosObservados,tblDíasfestivos[CORREGIDO],tblDíasfestivos[DÍA]),0),6),INDEX(tblDíasfestivos[],MATCH(DATE(CalYear,MONTH(E9),DAY(E9)),IF(MostrarFestivosObservados,tblDíasfestivos[CORREGIDO],tblDíasfestivos[DÍA]),0),2),""),""),"")</f>
        <v/>
      </c>
      <c r="F10" s="23" t="str">
        <f ca="1">IFERROR(IF(MostrarDíasFestivos,IF(INDEX(tblDíasfestivos[],MATCH(DATE(CalYear,MONTH(F9),DAY(F9)),IF(MostrarFestivosObservados,tblDíasfestivos[CORREGIDO],tblDíasfestivos[DÍA]),0),6),INDEX(tblDíasfestivos[],MATCH(DATE(CalYear,MONTH(F9),DAY(F9)),IF(MostrarFestivosObservados,tblDíasfestivos[CORREGIDO],tblDíasfestivos[DÍA]),0),2),""),""),"")</f>
        <v/>
      </c>
      <c r="G10" s="24" t="str">
        <f ca="1">IFERROR(IF(MostrarDíasFestivos,IF(INDEX(tblDíasfestivos[],MATCH(DATE(CalYear,MONTH(G9),DAY(G9)),IF(MostrarFestivosObservados,tblDíasfestivos[CORREGIDO],tblDíasfestivos[DÍA]),0),6),INDEX(tblDíasfestivos[],MATCH(DATE(CalYear,MONTH(G9),DAY(G9)),IF(MostrarFestivosObservados,tblDíasfestivos[CORREGIDO],tblDíasfestivos[DÍA]),0),2),""),""),"")</f>
        <v/>
      </c>
      <c r="H10" s="25" t="str">
        <f ca="1">IFERROR(IF(MostrarDíasFestivos,IF(INDEX(tblDíasfestivos[],MATCH(DATE(CalYear,MONTH(H9),DAY(H9)),IF(MostrarFestivosObservados,tblDíasfestivos[CORREGIDO],tblDíasfestivos[DÍA]),0),6),INDEX(tblDíasfestivos[],MATCH(DATE(CalYear,MONTH(H9),DAY(H9)),IF(MostrarFestivosObservados,tblDíasfestivos[CORREGIDO],tblDíasfestivos[DÍA]),0),2),""),""),"")</f>
        <v/>
      </c>
    </row>
    <row r="11" spans="2:8" ht="19.5" customHeight="1" x14ac:dyDescent="0.3">
      <c r="B11" s="8">
        <f t="array" aca="1" ref="B11:H11" ca="1">Días+DATE(CalYear,8,1)-WEEKDAY(DATE(CalYear,8,1),(InicioDeLaSemana="Lunes")+1)+22</f>
        <v>44059</v>
      </c>
      <c r="C11" s="9">
        <f ca="1"/>
        <v>44060</v>
      </c>
      <c r="D11" s="9">
        <f ca="1"/>
        <v>44061</v>
      </c>
      <c r="E11" s="9">
        <f ca="1"/>
        <v>44062</v>
      </c>
      <c r="F11" s="9">
        <f ca="1"/>
        <v>44063</v>
      </c>
      <c r="G11" s="9">
        <f ca="1"/>
        <v>44064</v>
      </c>
      <c r="H11" s="10">
        <f ca="1"/>
        <v>44065</v>
      </c>
    </row>
    <row r="12" spans="2:8" ht="57.95" customHeight="1" x14ac:dyDescent="0.3">
      <c r="B12" s="18" t="str">
        <f ca="1">IFERROR(IF(MostrarDíasFestivos,IF(INDEX(tblDíasfestivos[],MATCH(DATE(CalYear,MONTH(B11),DAY(B11)),IF(MostrarFestivosObservados,tblDíasfestivos[CORREGIDO],tblDíasfestivos[DÍA]),0),6),INDEX(tblDíasfestivos[],MATCH(DATE(CalYear,MONTH(B11),DAY(B11)),IF(MostrarFestivosObservados,tblDíasfestivos[CORREGIDO],tblDíasfestivos[DÍA]),0),2),""),""),"")</f>
        <v/>
      </c>
      <c r="C12" s="19" t="str">
        <f ca="1">IFERROR(IF(MostrarDíasFestivos,IF(INDEX(tblDíasfestivos[],MATCH(DATE(CalYear,MONTH(C11),DAY(C11)),IF(MostrarFestivosObservados,tblDíasfestivos[CORREGIDO],tblDíasfestivos[DÍA]),0),6),INDEX(tblDíasfestivos[],MATCH(DATE(CalYear,MONTH(C11),DAY(C11)),IF(MostrarFestivosObservados,tblDíasfestivos[CORREGIDO],tblDíasfestivos[DÍA]),0),2),""),""),"")</f>
        <v/>
      </c>
      <c r="D12" s="19" t="str">
        <f ca="1">IFERROR(IF(MostrarDíasFestivos,IF(INDEX(tblDíasfestivos[],MATCH(DATE(CalYear,MONTH(D11),DAY(D11)),IF(MostrarFestivosObservados,tblDíasfestivos[CORREGIDO],tblDíasfestivos[DÍA]),0),6),INDEX(tblDíasfestivos[],MATCH(DATE(CalYear,MONTH(D11),DAY(D11)),IF(MostrarFestivosObservados,tblDíasfestivos[CORREGIDO],tblDíasfestivos[DÍA]),0),2),""),""),"")</f>
        <v/>
      </c>
      <c r="E12" s="19" t="str">
        <f ca="1">IFERROR(IF(MostrarDíasFestivos,IF(INDEX(tblDíasfestivos[],MATCH(DATE(CalYear,MONTH(E11),DAY(E11)),IF(MostrarFestivosObservados,tblDíasfestivos[CORREGIDO],tblDíasfestivos[DÍA]),0),6),INDEX(tblDíasfestivos[],MATCH(DATE(CalYear,MONTH(E11),DAY(E11)),IF(MostrarFestivosObservados,tblDíasfestivos[CORREGIDO],tblDíasfestivos[DÍA]),0),2),""),""),"")</f>
        <v/>
      </c>
      <c r="F12" s="19" t="str">
        <f ca="1">IFERROR(IF(MostrarDíasFestivos,IF(INDEX(tblDíasfestivos[],MATCH(DATE(CalYear,MONTH(F11),DAY(F11)),IF(MostrarFestivosObservados,tblDíasfestivos[CORREGIDO],tblDíasfestivos[DÍA]),0),6),INDEX(tblDíasfestivos[],MATCH(DATE(CalYear,MONTH(F11),DAY(F11)),IF(MostrarFestivosObservados,tblDíasfestivos[CORREGIDO],tblDíasfestivos[DÍA]),0),2),""),""),"")</f>
        <v/>
      </c>
      <c r="G12" s="20" t="str">
        <f ca="1">IFERROR(IF(MostrarDíasFestivos,IF(INDEX(tblDíasfestivos[],MATCH(DATE(CalYear,MONTH(G11),DAY(G11)),IF(MostrarFestivosObservados,tblDíasfestivos[CORREGIDO],tblDíasfestivos[DÍA]),0),6),INDEX(tblDíasfestivos[],MATCH(DATE(CalYear,MONTH(G11),DAY(G11)),IF(MostrarFestivosObservados,tblDíasfestivos[CORREGIDO],tblDíasfestivos[DÍA]),0),2),""),""),"")</f>
        <v/>
      </c>
      <c r="H12" s="21" t="str">
        <f ca="1">IFERROR(IF(MostrarDíasFestivos,IF(INDEX(tblDíasfestivos[],MATCH(DATE(CalYear,MONTH(H11),DAY(H11)),IF(MostrarFestivosObservados,tblDíasfestivos[CORREGIDO],tblDíasfestivos[DÍA]),0),6),INDEX(tblDíasfestivos[],MATCH(DATE(CalYear,MONTH(H11),DAY(H11)),IF(MostrarFestivosObservados,tblDíasfestivos[CORREGIDO],tblDíasfestivos[DÍA]),0),2),""),""),"")</f>
        <v/>
      </c>
    </row>
    <row r="13" spans="2:8" ht="19.5" customHeight="1" x14ac:dyDescent="0.3">
      <c r="B13" s="11">
        <f t="array" aca="1" ref="B13:H13" ca="1">Días+DATE(CalYear,8,1)-WEEKDAY(DATE(CalYear,8,1),(InicioDeLaSemana="Lunes")+1)+29</f>
        <v>44066</v>
      </c>
      <c r="C13" s="12">
        <f ca="1"/>
        <v>44067</v>
      </c>
      <c r="D13" s="12">
        <f ca="1"/>
        <v>44068</v>
      </c>
      <c r="E13" s="12">
        <f ca="1"/>
        <v>44069</v>
      </c>
      <c r="F13" s="12">
        <f ca="1"/>
        <v>44070</v>
      </c>
      <c r="G13" s="12">
        <f ca="1"/>
        <v>44071</v>
      </c>
      <c r="H13" s="13">
        <f ca="1"/>
        <v>44072</v>
      </c>
    </row>
    <row r="14" spans="2:8" ht="57.95" customHeight="1" x14ac:dyDescent="0.3">
      <c r="B14" s="22" t="str">
        <f ca="1">IFERROR(IF(MostrarDíasFestivos,IF(INDEX(tblDíasfestivos[],MATCH(DATE(CalYear,MONTH(B13),DAY(B13)),IF(MostrarFestivosObservados,tblDíasfestivos[CORREGIDO],tblDíasfestivos[DÍA]),0),6),INDEX(tblDíasfestivos[],MATCH(DATE(CalYear,MONTH(B13),DAY(B13)),IF(MostrarFestivosObservados,tblDíasfestivos[CORREGIDO],tblDíasfestivos[DÍA]),0),2),""),""),"")</f>
        <v/>
      </c>
      <c r="C14" s="23" t="str">
        <f ca="1">IFERROR(IF(MostrarDíasFestivos,IF(INDEX(tblDíasfestivos[],MATCH(DATE(CalYear,MONTH(C13),DAY(C13)),IF(MostrarFestivosObservados,tblDíasfestivos[CORREGIDO],tblDíasfestivos[DÍA]),0),6),INDEX(tblDíasfestivos[],MATCH(DATE(CalYear,MONTH(C13),DAY(C13)),IF(MostrarFestivosObservados,tblDíasfestivos[CORREGIDO],tblDíasfestivos[DÍA]),0),2),""),""),"")</f>
        <v/>
      </c>
      <c r="D14" s="23" t="str">
        <f ca="1">IFERROR(IF(MostrarDíasFestivos,IF(INDEX(tblDíasfestivos[],MATCH(DATE(CalYear,MONTH(D13),DAY(D13)),IF(MostrarFestivosObservados,tblDíasfestivos[CORREGIDO],tblDíasfestivos[DÍA]),0),6),INDEX(tblDíasfestivos[],MATCH(DATE(CalYear,MONTH(D13),DAY(D13)),IF(MostrarFestivosObservados,tblDíasfestivos[CORREGIDO],tblDíasfestivos[DÍA]),0),2),""),""),"")</f>
        <v/>
      </c>
      <c r="E14" s="23" t="str">
        <f ca="1">IFERROR(IF(MostrarDíasFestivos,IF(INDEX(tblDíasfestivos[],MATCH(DATE(CalYear,MONTH(E13),DAY(E13)),IF(MostrarFestivosObservados,tblDíasfestivos[CORREGIDO],tblDíasfestivos[DÍA]),0),6),INDEX(tblDíasfestivos[],MATCH(DATE(CalYear,MONTH(E13),DAY(E13)),IF(MostrarFestivosObservados,tblDíasfestivos[CORREGIDO],tblDíasfestivos[DÍA]),0),2),""),""),"")</f>
        <v/>
      </c>
      <c r="F14" s="23" t="str">
        <f ca="1">IFERROR(IF(MostrarDíasFestivos,IF(INDEX(tblDíasfestivos[],MATCH(DATE(CalYear,MONTH(F13),DAY(F13)),IF(MostrarFestivosObservados,tblDíasfestivos[CORREGIDO],tblDíasfestivos[DÍA]),0),6),INDEX(tblDíasfestivos[],MATCH(DATE(CalYear,MONTH(F13),DAY(F13)),IF(MostrarFestivosObservados,tblDíasfestivos[CORREGIDO],tblDíasfestivos[DÍA]),0),2),""),""),"")</f>
        <v/>
      </c>
      <c r="G14" s="24" t="str">
        <f ca="1">IFERROR(IF(MostrarDíasFestivos,IF(INDEX(tblDíasfestivos[],MATCH(DATE(CalYear,MONTH(G13),DAY(G13)),IF(MostrarFestivosObservados,tblDíasfestivos[CORREGIDO],tblDíasfestivos[DÍA]),0),6),INDEX(tblDíasfestivos[],MATCH(DATE(CalYear,MONTH(G13),DAY(G13)),IF(MostrarFestivosObservados,tblDíasfestivos[CORREGIDO],tblDíasfestivos[DÍA]),0),2),""),""),"")</f>
        <v/>
      </c>
      <c r="H14" s="25" t="str">
        <f ca="1">IFERROR(IF(MostrarDíasFestivos,IF(INDEX(tblDíasfestivos[],MATCH(DATE(CalYear,MONTH(H13),DAY(H13)),IF(MostrarFestivosObservados,tblDíasfestivos[CORREGIDO],tblDíasfestivos[DÍA]),0),6),INDEX(tblDíasfestivos[],MATCH(DATE(CalYear,MONTH(H13),DAY(H13)),IF(MostrarFestivosObservados,tblDíasfestivos[CORREGIDO],tblDíasfestivos[DÍA]),0),2),""),""),"")</f>
        <v/>
      </c>
    </row>
    <row r="15" spans="2:8" ht="19.5" customHeight="1" x14ac:dyDescent="0.35">
      <c r="B15" s="8">
        <f t="array" aca="1" ref="B15:C15" ca="1">Días+DATE(CalYear,8,1)-WEEKDAY(DATE(CalYear,8,1),(InicioDeLaSemana="Lunes")+1)+36</f>
        <v>44073</v>
      </c>
      <c r="C15" s="9">
        <f ca="1"/>
        <v>44074</v>
      </c>
      <c r="D15" s="61" t="s">
        <v>7</v>
      </c>
      <c r="E15" s="61"/>
      <c r="F15" s="61"/>
      <c r="G15" s="61"/>
      <c r="H15" s="62"/>
    </row>
    <row r="16" spans="2:8" ht="57.95" customHeight="1" x14ac:dyDescent="0.3">
      <c r="B16" s="18" t="str">
        <f ca="1">IFERROR(IF(MostrarDíasFestivos,IF(INDEX(tblDíasfestivos[],MATCH(DATE(CalYear,MONTH(B15),DAY(B15)),IF(MostrarFestivosObservados,tblDíasfestivos[CORREGIDO],tblDíasfestivos[DÍA]),0),6),INDEX(tblDíasfestivos[],MATCH(DATE(CalYear,MONTH(B15),DAY(B15)),IF(MostrarFestivosObservados,tblDíasfestivos[CORREGIDO],tblDíasfestivos[DÍA]),0),2),""),""),"")</f>
        <v/>
      </c>
      <c r="C16" s="19" t="str">
        <f ca="1">IFERROR(IF(MostrarDíasFestivos,IF(INDEX(tblDíasfestivos[],MATCH(DATE(CalYear,MONTH(C15),DAY(C15)),IF(MostrarFestivosObservados,tblDíasfestivos[CORREGIDO],tblDíasfestivos[DÍA]),0),6),INDEX(tblDíasfestivos[],MATCH(DATE(CalYear,MONTH(C15),DAY(C15)),IF(MostrarFestivosObservados,tblDíasfestivos[CORREGIDO],tblDíasfestivos[DÍA]),0),2),""),""),"")</f>
        <v/>
      </c>
      <c r="D16" s="59"/>
      <c r="E16" s="59"/>
      <c r="F16" s="59"/>
      <c r="G16" s="59"/>
      <c r="H16" s="60"/>
    </row>
    <row r="17" spans="2:8" x14ac:dyDescent="0.3">
      <c r="B17" s="64"/>
      <c r="C17" s="64"/>
      <c r="D17" s="64"/>
      <c r="E17" s="64"/>
      <c r="F17" s="64"/>
      <c r="G17" s="64"/>
      <c r="H17" s="64"/>
    </row>
  </sheetData>
  <mergeCells count="4">
    <mergeCell ref="B2:D2"/>
    <mergeCell ref="D15:H15"/>
    <mergeCell ref="D16:H16"/>
    <mergeCell ref="B17:H17"/>
  </mergeCells>
  <conditionalFormatting sqref="B13:H13 B15:C15">
    <cfRule type="expression" dxfId="9" priority="2">
      <formula>AND(DAY(B13)&gt;=1,DAY(B13)&lt;=15)</formula>
    </cfRule>
  </conditionalFormatting>
  <conditionalFormatting sqref="B5:G5">
    <cfRule type="expression" dxfId="8" priority="1">
      <formula>DAY(B5)&gt;8</formula>
    </cfRule>
  </conditionalFormatting>
  <printOptions horizontalCentered="1"/>
  <pageMargins left="0.4" right="0.4" top="0.4" bottom="0.4" header="0.3" footer="0.3"/>
  <pageSetup paperSize="9" fitToHeight="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>
    <tabColor theme="4"/>
    <pageSetUpPr fitToPage="1"/>
  </sheetPr>
  <dimension ref="B2:H17"/>
  <sheetViews>
    <sheetView showGridLines="0" workbookViewId="0"/>
  </sheetViews>
  <sheetFormatPr baseColWidth="10" defaultColWidth="8.85546875" defaultRowHeight="15" x14ac:dyDescent="0.3"/>
  <cols>
    <col min="1" max="1" width="3.5703125" customWidth="1"/>
    <col min="2" max="2" width="18.28515625" customWidth="1"/>
    <col min="3" max="8" width="17.7109375" customWidth="1"/>
    <col min="9" max="9" width="3.5703125" customWidth="1"/>
    <col min="10" max="10" width="13.7109375" customWidth="1"/>
  </cols>
  <sheetData>
    <row r="2" spans="2:8" ht="30" customHeight="1" thickBot="1" x14ac:dyDescent="0.35">
      <c r="B2" s="58">
        <f ca="1">B9</f>
        <v>44087</v>
      </c>
      <c r="C2" s="58"/>
      <c r="D2" s="58"/>
      <c r="E2" s="34"/>
      <c r="F2" s="34"/>
      <c r="G2" s="34"/>
      <c r="H2" s="35"/>
    </row>
    <row r="3" spans="2:8" ht="18" customHeight="1" thickTop="1" x14ac:dyDescent="0.3"/>
    <row r="4" spans="2:8" ht="24" customHeight="1" thickBot="1" x14ac:dyDescent="0.35">
      <c r="B4" s="2" t="str">
        <f>InicioDeLaSemana</f>
        <v>DOMINGO</v>
      </c>
      <c r="C4" s="3" t="str">
        <f t="shared" ref="C4:H4" ca="1" si="0">UPPER(TEXT(C5,"dddd"))</f>
        <v>LUNES</v>
      </c>
      <c r="D4" s="3" t="str">
        <f t="shared" ca="1" si="0"/>
        <v>MARTES</v>
      </c>
      <c r="E4" s="3" t="str">
        <f t="shared" ca="1" si="0"/>
        <v>MIÉRCOLES</v>
      </c>
      <c r="F4" s="3" t="str">
        <f t="shared" ca="1" si="0"/>
        <v>JUEVES</v>
      </c>
      <c r="G4" s="3" t="str">
        <f t="shared" ca="1" si="0"/>
        <v>VIERNES</v>
      </c>
      <c r="H4" s="4" t="str">
        <f t="shared" ca="1" si="0"/>
        <v>SÁBADO</v>
      </c>
    </row>
    <row r="5" spans="2:8" ht="19.5" customHeight="1" thickTop="1" x14ac:dyDescent="0.35">
      <c r="B5" s="5">
        <f t="array" aca="1" ref="B5:H5" ca="1">Días+DATE(CalYear,9,1)-WEEKDAY(DATE(CalYear,9,1),(InicioDeLaSemana="Lunes")+1)+1</f>
        <v>44073</v>
      </c>
      <c r="C5" s="6">
        <f ca="1"/>
        <v>44074</v>
      </c>
      <c r="D5" s="6">
        <f ca="1"/>
        <v>44075</v>
      </c>
      <c r="E5" s="6">
        <f ca="1"/>
        <v>44076</v>
      </c>
      <c r="F5" s="6">
        <f ca="1"/>
        <v>44077</v>
      </c>
      <c r="G5" s="6">
        <f ca="1"/>
        <v>44078</v>
      </c>
      <c r="H5" s="7">
        <f ca="1"/>
        <v>44079</v>
      </c>
    </row>
    <row r="6" spans="2:8" ht="57.95" customHeight="1" x14ac:dyDescent="0.3">
      <c r="B6" s="14" t="str">
        <f ca="1">IFERROR(IF(MostrarDíasFestivos,IF(INDEX(tblDíasfestivos[],MATCH(DATE(CalYear-(DAY(B5)&gt;15)+(ROW()&gt;6),MONTH(B5),DAY(B5)),IF(MostrarFestivosObservados,tblDíasfestivos[CORREGIDO],tblDíasfestivos[DÍA]),0),6),INDEX(tblDíasfestivos[],MATCH(DATE(CalYear-(DAY(B5)&gt;15)+(ROW()&gt;6),MONTH(B5),DAY(B5)),IF(MostrarFestivosObservados,tblDíasfestivos[CORREGIDO],tblDíasfestivos[DÍA]),0),2),""),""),"")</f>
        <v/>
      </c>
      <c r="C6" s="15" t="str">
        <f ca="1">IFERROR(IF(MostrarDíasFestivos,IF(INDEX(tblDíasfestivos[],MATCH(DATE(CalYear-(DAY(C5)&gt;15)+(ROW()&gt;6),MONTH(C5),DAY(C5)),IF(MostrarFestivosObservados,tblDíasfestivos[CORREGIDO],tblDíasfestivos[DÍA]),0),6),INDEX(tblDíasfestivos[],MATCH(DATE(CalYear-(DAY(C5)&gt;15)+(ROW()&gt;6),MONTH(C5),DAY(C5)),IF(MostrarFestivosObservados,tblDíasfestivos[CORREGIDO],tblDíasfestivos[DÍA]),0),2),""),""),"")</f>
        <v/>
      </c>
      <c r="D6" s="15" t="str">
        <f ca="1">IFERROR(IF(MostrarDíasFestivos,IF(INDEX(tblDíasfestivos[],MATCH(DATE(CalYear-(DAY(D5)&gt;15)+(ROW()&gt;6),MONTH(D5),DAY(D5)),IF(MostrarFestivosObservados,tblDíasfestivos[CORREGIDO],tblDíasfestivos[DÍA]),0),6),INDEX(tblDíasfestivos[],MATCH(DATE(CalYear-(DAY(D5)&gt;15)+(ROW()&gt;6),MONTH(D5),DAY(D5)),IF(MostrarFestivosObservados,tblDíasfestivos[CORREGIDO],tblDíasfestivos[DÍA]),0),2),""),""),"")</f>
        <v/>
      </c>
      <c r="E6" s="15" t="str">
        <f ca="1">IFERROR(IF(MostrarDíasFestivos,IF(INDEX(tblDíasfestivos[],MATCH(DATE(CalYear-(DAY(E5)&gt;15)+(ROW()&gt;6),MONTH(E5),DAY(E5)),IF(MostrarFestivosObservados,tblDíasfestivos[CORREGIDO],tblDíasfestivos[DÍA]),0),6),INDEX(tblDíasfestivos[],MATCH(DATE(CalYear-(DAY(E5)&gt;15)+(ROW()&gt;6),MONTH(E5),DAY(E5)),IF(MostrarFestivosObservados,tblDíasfestivos[CORREGIDO],tblDíasfestivos[DÍA]),0),2),""),""),"")</f>
        <v/>
      </c>
      <c r="F6" s="15" t="str">
        <f ca="1">IFERROR(IF(MostrarDíasFestivos,IF(INDEX(tblDíasfestivos[],MATCH(DATE(CalYear-(DAY(F5)&gt;15)+(ROW()&gt;6),MONTH(F5),DAY(F5)),IF(MostrarFestivosObservados,tblDíasfestivos[CORREGIDO],tblDíasfestivos[DÍA]),0),6),INDEX(tblDíasfestivos[],MATCH(DATE(CalYear-(DAY(F5)&gt;15)+(ROW()&gt;6),MONTH(F5),DAY(F5)),IF(MostrarFestivosObservados,tblDíasfestivos[CORREGIDO],tblDíasfestivos[DÍA]),0),2),""),""),"")</f>
        <v/>
      </c>
      <c r="G6" s="16" t="str">
        <f ca="1">IFERROR(IF(MostrarDíasFestivos,IF(INDEX(tblDíasfestivos[],MATCH(DATE(CalYear-(DAY(G5)&gt;15)+(ROW()&gt;6),MONTH(G5),DAY(G5)),IF(MostrarFestivosObservados,tblDíasfestivos[CORREGIDO],tblDíasfestivos[DÍA]),0),6),INDEX(tblDíasfestivos[],MATCH(DATE(CalYear-(DAY(G5)&gt;15)+(ROW()&gt;6),MONTH(G5),DAY(G5)),IF(MostrarFestivosObservados,tblDíasfestivos[CORREGIDO],tblDíasfestivos[DÍA]),0),2),""),""),"")</f>
        <v/>
      </c>
      <c r="H6" s="17" t="str">
        <f ca="1">IFERROR(IF(MostrarDíasFestivos,IF(INDEX(tblDíasfestivos[],MATCH(DATE(CalYear-(DAY(H5)&gt;15)+(ROW()&gt;6),MONTH(H5),DAY(H5)),IF(MostrarFestivosObservados,tblDíasfestivos[CORREGIDO],tblDíasfestivos[DÍA]),0),6),INDEX(tblDíasfestivos[],MATCH(DATE(CalYear-(DAY(H5)&gt;15)+(ROW()&gt;6),MONTH(H5),DAY(H5)),IF(MostrarFestivosObservados,tblDíasfestivos[CORREGIDO],tblDíasfestivos[DÍA]),0),2),""),""),"")</f>
        <v/>
      </c>
    </row>
    <row r="7" spans="2:8" ht="19.5" customHeight="1" x14ac:dyDescent="0.3">
      <c r="B7" s="8">
        <f t="array" aca="1" ref="B7:H7" ca="1">Días+DATE(CalYear,9,1)-WEEKDAY(DATE(CalYear,9,1),(InicioDeLaSemana="Lunes")+1)+8</f>
        <v>44080</v>
      </c>
      <c r="C7" s="9">
        <f ca="1"/>
        <v>44081</v>
      </c>
      <c r="D7" s="9">
        <f ca="1"/>
        <v>44082</v>
      </c>
      <c r="E7" s="9">
        <f ca="1"/>
        <v>44083</v>
      </c>
      <c r="F7" s="9">
        <f ca="1"/>
        <v>44084</v>
      </c>
      <c r="G7" s="9">
        <f ca="1"/>
        <v>44085</v>
      </c>
      <c r="H7" s="10">
        <f ca="1"/>
        <v>44086</v>
      </c>
    </row>
    <row r="8" spans="2:8" ht="57.95" customHeight="1" x14ac:dyDescent="0.3">
      <c r="B8" s="18" t="str">
        <f ca="1">IFERROR(IF(MostrarDíasFestivos,IF(INDEX(tblDíasfestivos[],MATCH(DATE(CalYear,MONTH(B7),DAY(B7)),IF(MostrarFestivosObservados,tblDíasfestivos[CORREGIDO],tblDíasfestivos[DÍA]),0),6),INDEX(tblDíasfestivos[],MATCH(DATE(CalYear,MONTH(B7),DAY(B7)),IF(MostrarFestivosObservados,tblDíasfestivos[CORREGIDO],tblDíasfestivos[DÍA]),0),2),""),""),"")</f>
        <v/>
      </c>
      <c r="C8" s="19" t="str">
        <f ca="1">IFERROR(IF(MostrarDíasFestivos,IF(INDEX(tblDíasfestivos[],MATCH(DATE(CalYear,MONTH(C7),DAY(C7)),IF(MostrarFestivosObservados,tblDíasfestivos[CORREGIDO],tblDíasfestivos[DÍA]),0),6),INDEX(tblDíasfestivos[],MATCH(DATE(CalYear,MONTH(C7),DAY(C7)),IF(MostrarFestivosObservados,tblDíasfestivos[CORREGIDO],tblDíasfestivos[DÍA]),0),2),""),""),"")</f>
        <v>Día del Trabajo</v>
      </c>
      <c r="D8" s="19" t="str">
        <f ca="1">IFERROR(IF(MostrarDíasFestivos,IF(INDEX(tblDíasfestivos[],MATCH(DATE(CalYear,MONTH(D7),DAY(D7)),IF(MostrarFestivosObservados,tblDíasfestivos[CORREGIDO],tblDíasfestivos[DÍA]),0),6),INDEX(tblDíasfestivos[],MATCH(DATE(CalYear,MONTH(D7),DAY(D7)),IF(MostrarFestivosObservados,tblDíasfestivos[CORREGIDO],tblDíasfestivos[DÍA]),0),2),""),""),"")</f>
        <v/>
      </c>
      <c r="E8" s="19" t="str">
        <f ca="1">IFERROR(IF(MostrarDíasFestivos,IF(INDEX(tblDíasfestivos[],MATCH(DATE(CalYear,MONTH(E7),DAY(E7)),IF(MostrarFestivosObservados,tblDíasfestivos[CORREGIDO],tblDíasfestivos[DÍA]),0),6),INDEX(tblDíasfestivos[],MATCH(DATE(CalYear,MONTH(E7),DAY(E7)),IF(MostrarFestivosObservados,tblDíasfestivos[CORREGIDO],tblDíasfestivos[DÍA]),0),2),""),""),"")</f>
        <v/>
      </c>
      <c r="F8" s="19" t="str">
        <f ca="1">IFERROR(IF(MostrarDíasFestivos,IF(INDEX(tblDíasfestivos[],MATCH(DATE(CalYear,MONTH(F7),DAY(F7)),IF(MostrarFestivosObservados,tblDíasfestivos[CORREGIDO],tblDíasfestivos[DÍA]),0),6),INDEX(tblDíasfestivos[],MATCH(DATE(CalYear,MONTH(F7),DAY(F7)),IF(MostrarFestivosObservados,tblDíasfestivos[CORREGIDO],tblDíasfestivos[DÍA]),0),2),""),""),"")</f>
        <v/>
      </c>
      <c r="G8" s="20" t="str">
        <f ca="1">IFERROR(IF(MostrarDíasFestivos,IF(INDEX(tblDíasfestivos[],MATCH(DATE(CalYear,MONTH(G7),DAY(G7)),IF(MostrarFestivosObservados,tblDíasfestivos[CORREGIDO],tblDíasfestivos[DÍA]),0),6),INDEX(tblDíasfestivos[],MATCH(DATE(CalYear,MONTH(G7),DAY(G7)),IF(MostrarFestivosObservados,tblDíasfestivos[CORREGIDO],tblDíasfestivos[DÍA]),0),2),""),""),"")</f>
        <v/>
      </c>
      <c r="H8" s="21" t="str">
        <f ca="1">IFERROR(IF(MostrarDíasFestivos,IF(INDEX(tblDíasfestivos[],MATCH(DATE(CalYear,MONTH(H7),DAY(H7)),IF(MostrarFestivosObservados,tblDíasfestivos[CORREGIDO],tblDíasfestivos[DÍA]),0),6),INDEX(tblDíasfestivos[],MATCH(DATE(CalYear,MONTH(H7),DAY(H7)),IF(MostrarFestivosObservados,tblDíasfestivos[CORREGIDO],tblDíasfestivos[DÍA]),0),2),""),""),"")</f>
        <v/>
      </c>
    </row>
    <row r="9" spans="2:8" ht="19.5" customHeight="1" x14ac:dyDescent="0.3">
      <c r="B9" s="11">
        <f t="array" aca="1" ref="B9:H9" ca="1">Días+DATE(CalYear,9,1)-WEEKDAY(DATE(CalYear,9,1),(InicioDeLaSemana="Lunes")+1)+15</f>
        <v>44087</v>
      </c>
      <c r="C9" s="12">
        <f ca="1"/>
        <v>44088</v>
      </c>
      <c r="D9" s="12">
        <f ca="1"/>
        <v>44089</v>
      </c>
      <c r="E9" s="12">
        <f ca="1"/>
        <v>44090</v>
      </c>
      <c r="F9" s="12">
        <f ca="1"/>
        <v>44091</v>
      </c>
      <c r="G9" s="12">
        <f ca="1"/>
        <v>44092</v>
      </c>
      <c r="H9" s="13">
        <f ca="1"/>
        <v>44093</v>
      </c>
    </row>
    <row r="10" spans="2:8" ht="57.95" customHeight="1" x14ac:dyDescent="0.3">
      <c r="B10" s="22" t="str">
        <f ca="1">IFERROR(IF(MostrarDíasFestivos,IF(INDEX(tblDíasfestivos[],MATCH(DATE(CalYear,MONTH(B9),DAY(B9)),IF(MostrarFestivosObservados,tblDíasfestivos[CORREGIDO],tblDíasfestivos[DÍA]),0),6),INDEX(tblDíasfestivos[],MATCH(DATE(CalYear,MONTH(B9),DAY(B9)),IF(MostrarFestivosObservados,tblDíasfestivos[CORREGIDO],tblDíasfestivos[DÍA]),0),2),""),""),"")</f>
        <v/>
      </c>
      <c r="C10" s="23" t="str">
        <f ca="1">IFERROR(IF(MostrarDíasFestivos,IF(INDEX(tblDíasfestivos[],MATCH(DATE(CalYear,MONTH(C9),DAY(C9)),IF(MostrarFestivosObservados,tblDíasfestivos[CORREGIDO],tblDíasfestivos[DÍA]),0),6),INDEX(tblDíasfestivos[],MATCH(DATE(CalYear,MONTH(C9),DAY(C9)),IF(MostrarFestivosObservados,tblDíasfestivos[CORREGIDO],tblDíasfestivos[DÍA]),0),2),""),""),"")</f>
        <v/>
      </c>
      <c r="D10" s="23" t="str">
        <f ca="1">IFERROR(IF(MostrarDíasFestivos,IF(INDEX(tblDíasfestivos[],MATCH(DATE(CalYear,MONTH(D9),DAY(D9)),IF(MostrarFestivosObservados,tblDíasfestivos[CORREGIDO],tblDíasfestivos[DÍA]),0),6),INDEX(tblDíasfestivos[],MATCH(DATE(CalYear,MONTH(D9),DAY(D9)),IF(MostrarFestivosObservados,tblDíasfestivos[CORREGIDO],tblDíasfestivos[DÍA]),0),2),""),""),"")</f>
        <v/>
      </c>
      <c r="E10" s="23" t="str">
        <f ca="1">IFERROR(IF(MostrarDíasFestivos,IF(INDEX(tblDíasfestivos[],MATCH(DATE(CalYear,MONTH(E9),DAY(E9)),IF(MostrarFestivosObservados,tblDíasfestivos[CORREGIDO],tblDíasfestivos[DÍA]),0),6),INDEX(tblDíasfestivos[],MATCH(DATE(CalYear,MONTH(E9),DAY(E9)),IF(MostrarFestivosObservados,tblDíasfestivos[CORREGIDO],tblDíasfestivos[DÍA]),0),2),""),""),"")</f>
        <v/>
      </c>
      <c r="F10" s="23" t="str">
        <f ca="1">IFERROR(IF(MostrarDíasFestivos,IF(INDEX(tblDíasfestivos[],MATCH(DATE(CalYear,MONTH(F9),DAY(F9)),IF(MostrarFestivosObservados,tblDíasfestivos[CORREGIDO],tblDíasfestivos[DÍA]),0),6),INDEX(tblDíasfestivos[],MATCH(DATE(CalYear,MONTH(F9),DAY(F9)),IF(MostrarFestivosObservados,tblDíasfestivos[CORREGIDO],tblDíasfestivos[DÍA]),0),2),""),""),"")</f>
        <v/>
      </c>
      <c r="G10" s="24" t="str">
        <f ca="1">IFERROR(IF(MostrarDíasFestivos,IF(INDEX(tblDíasfestivos[],MATCH(DATE(CalYear,MONTH(G9),DAY(G9)),IF(MostrarFestivosObservados,tblDíasfestivos[CORREGIDO],tblDíasfestivos[DÍA]),0),6),INDEX(tblDíasfestivos[],MATCH(DATE(CalYear,MONTH(G9),DAY(G9)),IF(MostrarFestivosObservados,tblDíasfestivos[CORREGIDO],tblDíasfestivos[DÍA]),0),2),""),""),"")</f>
        <v/>
      </c>
      <c r="H10" s="25" t="str">
        <f ca="1">IFERROR(IF(MostrarDíasFestivos,IF(INDEX(tblDíasfestivos[],MATCH(DATE(CalYear,MONTH(H9),DAY(H9)),IF(MostrarFestivosObservados,tblDíasfestivos[CORREGIDO],tblDíasfestivos[DÍA]),0),6),INDEX(tblDíasfestivos[],MATCH(DATE(CalYear,MONTH(H9),DAY(H9)),IF(MostrarFestivosObservados,tblDíasfestivos[CORREGIDO],tblDíasfestivos[DÍA]),0),2),""),""),"")</f>
        <v/>
      </c>
    </row>
    <row r="11" spans="2:8" ht="19.5" customHeight="1" x14ac:dyDescent="0.3">
      <c r="B11" s="8">
        <f t="array" aca="1" ref="B11:H11" ca="1">Días+DATE(CalYear,9,1)-WEEKDAY(DATE(CalYear,9,1),(InicioDeLaSemana="Lunes")+1)+22</f>
        <v>44094</v>
      </c>
      <c r="C11" s="9">
        <f ca="1"/>
        <v>44095</v>
      </c>
      <c r="D11" s="9">
        <f ca="1"/>
        <v>44096</v>
      </c>
      <c r="E11" s="9">
        <f ca="1"/>
        <v>44097</v>
      </c>
      <c r="F11" s="9">
        <f ca="1"/>
        <v>44098</v>
      </c>
      <c r="G11" s="9">
        <f ca="1"/>
        <v>44099</v>
      </c>
      <c r="H11" s="10">
        <f ca="1"/>
        <v>44100</v>
      </c>
    </row>
    <row r="12" spans="2:8" ht="57.95" customHeight="1" x14ac:dyDescent="0.3">
      <c r="B12" s="18" t="str">
        <f ca="1">IFERROR(IF(MostrarDíasFestivos,IF(INDEX(tblDíasfestivos[],MATCH(DATE(CalYear,MONTH(B11),DAY(B11)),IF(MostrarFestivosObservados,tblDíasfestivos[CORREGIDO],tblDíasfestivos[DÍA]),0),6),INDEX(tblDíasfestivos[],MATCH(DATE(CalYear,MONTH(B11),DAY(B11)),IF(MostrarFestivosObservados,tblDíasfestivos[CORREGIDO],tblDíasfestivos[DÍA]),0),2),""),""),"")</f>
        <v/>
      </c>
      <c r="C12" s="19" t="str">
        <f ca="1">IFERROR(IF(MostrarDíasFestivos,IF(INDEX(tblDíasfestivos[],MATCH(DATE(CalYear,MONTH(C11),DAY(C11)),IF(MostrarFestivosObservados,tblDíasfestivos[CORREGIDO],tblDíasfestivos[DÍA]),0),6),INDEX(tblDíasfestivos[],MATCH(DATE(CalYear,MONTH(C11),DAY(C11)),IF(MostrarFestivosObservados,tblDíasfestivos[CORREGIDO],tblDíasfestivos[DÍA]),0),2),""),""),"")</f>
        <v/>
      </c>
      <c r="D12" s="19" t="str">
        <f ca="1">IFERROR(IF(MostrarDíasFestivos,IF(INDEX(tblDíasfestivos[],MATCH(DATE(CalYear,MONTH(D11),DAY(D11)),IF(MostrarFestivosObservados,tblDíasfestivos[CORREGIDO],tblDíasfestivos[DÍA]),0),6),INDEX(tblDíasfestivos[],MATCH(DATE(CalYear,MONTH(D11),DAY(D11)),IF(MostrarFestivosObservados,tblDíasfestivos[CORREGIDO],tblDíasfestivos[DÍA]),0),2),""),""),"")</f>
        <v/>
      </c>
      <c r="E12" s="19" t="str">
        <f ca="1">IFERROR(IF(MostrarDíasFestivos,IF(INDEX(tblDíasfestivos[],MATCH(DATE(CalYear,MONTH(E11),DAY(E11)),IF(MostrarFestivosObservados,tblDíasfestivos[CORREGIDO],tblDíasfestivos[DÍA]),0),6),INDEX(tblDíasfestivos[],MATCH(DATE(CalYear,MONTH(E11),DAY(E11)),IF(MostrarFestivosObservados,tblDíasfestivos[CORREGIDO],tblDíasfestivos[DÍA]),0),2),""),""),"")</f>
        <v/>
      </c>
      <c r="F12" s="19" t="str">
        <f ca="1">IFERROR(IF(MostrarDíasFestivos,IF(INDEX(tblDíasfestivos[],MATCH(DATE(CalYear,MONTH(F11),DAY(F11)),IF(MostrarFestivosObservados,tblDíasfestivos[CORREGIDO],tblDíasfestivos[DÍA]),0),6),INDEX(tblDíasfestivos[],MATCH(DATE(CalYear,MONTH(F11),DAY(F11)),IF(MostrarFestivosObservados,tblDíasfestivos[CORREGIDO],tblDíasfestivos[DÍA]),0),2),""),""),"")</f>
        <v/>
      </c>
      <c r="G12" s="20" t="str">
        <f ca="1">IFERROR(IF(MostrarDíasFestivos,IF(INDEX(tblDíasfestivos[],MATCH(DATE(CalYear,MONTH(G11),DAY(G11)),IF(MostrarFestivosObservados,tblDíasfestivos[CORREGIDO],tblDíasfestivos[DÍA]),0),6),INDEX(tblDíasfestivos[],MATCH(DATE(CalYear,MONTH(G11),DAY(G11)),IF(MostrarFestivosObservados,tblDíasfestivos[CORREGIDO],tblDíasfestivos[DÍA]),0),2),""),""),"")</f>
        <v/>
      </c>
      <c r="H12" s="21" t="str">
        <f ca="1">IFERROR(IF(MostrarDíasFestivos,IF(INDEX(tblDíasfestivos[],MATCH(DATE(CalYear,MONTH(H11),DAY(H11)),IF(MostrarFestivosObservados,tblDíasfestivos[CORREGIDO],tblDíasfestivos[DÍA]),0),6),INDEX(tblDíasfestivos[],MATCH(DATE(CalYear,MONTH(H11),DAY(H11)),IF(MostrarFestivosObservados,tblDíasfestivos[CORREGIDO],tblDíasfestivos[DÍA]),0),2),""),""),"")</f>
        <v/>
      </c>
    </row>
    <row r="13" spans="2:8" ht="19.5" customHeight="1" x14ac:dyDescent="0.3">
      <c r="B13" s="11">
        <f t="array" aca="1" ref="B13:H13" ca="1">Días+DATE(CalYear,9,1)-WEEKDAY(DATE(CalYear,9,1),(InicioDeLaSemana="Lunes")+1)+29</f>
        <v>44101</v>
      </c>
      <c r="C13" s="12">
        <f ca="1"/>
        <v>44102</v>
      </c>
      <c r="D13" s="12">
        <f ca="1"/>
        <v>44103</v>
      </c>
      <c r="E13" s="12">
        <f ca="1"/>
        <v>44104</v>
      </c>
      <c r="F13" s="12">
        <f ca="1"/>
        <v>44105</v>
      </c>
      <c r="G13" s="12">
        <f ca="1"/>
        <v>44106</v>
      </c>
      <c r="H13" s="13">
        <f ca="1"/>
        <v>44107</v>
      </c>
    </row>
    <row r="14" spans="2:8" ht="57.95" customHeight="1" x14ac:dyDescent="0.3">
      <c r="B14" s="22" t="str">
        <f ca="1">IFERROR(IF(MostrarDíasFestivos,IF(INDEX(tblDíasfestivos[],MATCH(DATE(CalYear,MONTH(B13),DAY(B13)),IF(MostrarFestivosObservados,tblDíasfestivos[CORREGIDO],tblDíasfestivos[DÍA]),0),6),INDEX(tblDíasfestivos[],MATCH(DATE(CalYear,MONTH(B13),DAY(B13)),IF(MostrarFestivosObservados,tblDíasfestivos[CORREGIDO],tblDíasfestivos[DÍA]),0),2),""),""),"")</f>
        <v/>
      </c>
      <c r="C14" s="23" t="str">
        <f ca="1">IFERROR(IF(MostrarDíasFestivos,IF(INDEX(tblDíasfestivos[],MATCH(DATE(CalYear,MONTH(C13),DAY(C13)),IF(MostrarFestivosObservados,tblDíasfestivos[CORREGIDO],tblDíasfestivos[DÍA]),0),6),INDEX(tblDíasfestivos[],MATCH(DATE(CalYear,MONTH(C13),DAY(C13)),IF(MostrarFestivosObservados,tblDíasfestivos[CORREGIDO],tblDíasfestivos[DÍA]),0),2),""),""),"")</f>
        <v/>
      </c>
      <c r="D14" s="23" t="str">
        <f ca="1">IFERROR(IF(MostrarDíasFestivos,IF(INDEX(tblDíasfestivos[],MATCH(DATE(CalYear,MONTH(D13),DAY(D13)),IF(MostrarFestivosObservados,tblDíasfestivos[CORREGIDO],tblDíasfestivos[DÍA]),0),6),INDEX(tblDíasfestivos[],MATCH(DATE(CalYear,MONTH(D13),DAY(D13)),IF(MostrarFestivosObservados,tblDíasfestivos[CORREGIDO],tblDíasfestivos[DÍA]),0),2),""),""),"")</f>
        <v/>
      </c>
      <c r="E14" s="23" t="str">
        <f ca="1">IFERROR(IF(MostrarDíasFestivos,IF(INDEX(tblDíasfestivos[],MATCH(DATE(CalYear,MONTH(E13),DAY(E13)),IF(MostrarFestivosObservados,tblDíasfestivos[CORREGIDO],tblDíasfestivos[DÍA]),0),6),INDEX(tblDíasfestivos[],MATCH(DATE(CalYear,MONTH(E13),DAY(E13)),IF(MostrarFestivosObservados,tblDíasfestivos[CORREGIDO],tblDíasfestivos[DÍA]),0),2),""),""),"")</f>
        <v/>
      </c>
      <c r="F14" s="23" t="str">
        <f ca="1">IFERROR(IF(MostrarDíasFestivos,IF(INDEX(tblDíasfestivos[],MATCH(DATE(CalYear,MONTH(F13),DAY(F13)),IF(MostrarFestivosObservados,tblDíasfestivos[CORREGIDO],tblDíasfestivos[DÍA]),0),6),INDEX(tblDíasfestivos[],MATCH(DATE(CalYear,MONTH(F13),DAY(F13)),IF(MostrarFestivosObservados,tblDíasfestivos[CORREGIDO],tblDíasfestivos[DÍA]),0),2),""),""),"")</f>
        <v/>
      </c>
      <c r="G14" s="24" t="str">
        <f ca="1">IFERROR(IF(MostrarDíasFestivos,IF(INDEX(tblDíasfestivos[],MATCH(DATE(CalYear,MONTH(G13),DAY(G13)),IF(MostrarFestivosObservados,tblDíasfestivos[CORREGIDO],tblDíasfestivos[DÍA]),0),6),INDEX(tblDíasfestivos[],MATCH(DATE(CalYear,MONTH(G13),DAY(G13)),IF(MostrarFestivosObservados,tblDíasfestivos[CORREGIDO],tblDíasfestivos[DÍA]),0),2),""),""),"")</f>
        <v/>
      </c>
      <c r="H14" s="25" t="str">
        <f ca="1">IFERROR(IF(MostrarDíasFestivos,IF(INDEX(tblDíasfestivos[],MATCH(DATE(CalYear,MONTH(H13),DAY(H13)),IF(MostrarFestivosObservados,tblDíasfestivos[CORREGIDO],tblDíasfestivos[DÍA]),0),6),INDEX(tblDíasfestivos[],MATCH(DATE(CalYear,MONTH(H13),DAY(H13)),IF(MostrarFestivosObservados,tblDíasfestivos[CORREGIDO],tblDíasfestivos[DÍA]),0),2),""),""),"")</f>
        <v/>
      </c>
    </row>
    <row r="15" spans="2:8" ht="19.5" customHeight="1" x14ac:dyDescent="0.35">
      <c r="B15" s="8">
        <f t="array" aca="1" ref="B15:C15" ca="1">Días+DATE(CalYear,9,1)-WEEKDAY(DATE(CalYear,9,1),(InicioDeLaSemana="Lunes")+1)+36</f>
        <v>44108</v>
      </c>
      <c r="C15" s="9">
        <f ca="1"/>
        <v>44109</v>
      </c>
      <c r="D15" s="61" t="s">
        <v>7</v>
      </c>
      <c r="E15" s="61"/>
      <c r="F15" s="61"/>
      <c r="G15" s="61"/>
      <c r="H15" s="62"/>
    </row>
    <row r="16" spans="2:8" ht="57.95" customHeight="1" x14ac:dyDescent="0.3">
      <c r="B16" s="18" t="str">
        <f ca="1">IFERROR(IF(MostrarDíasFestivos,IF(INDEX(tblDíasfestivos[],MATCH(DATE(CalYear,MONTH(B15),DAY(B15)),IF(MostrarFestivosObservados,tblDíasfestivos[CORREGIDO],tblDíasfestivos[DÍA]),0),6),INDEX(tblDíasfestivos[],MATCH(DATE(CalYear,MONTH(B15),DAY(B15)),IF(MostrarFestivosObservados,tblDíasfestivos[CORREGIDO],tblDíasfestivos[DÍA]),0),2),""),""),"")</f>
        <v/>
      </c>
      <c r="C16" s="19" t="str">
        <f ca="1">IFERROR(IF(MostrarDíasFestivos,IF(INDEX(tblDíasfestivos[],MATCH(DATE(CalYear,MONTH(C15),DAY(C15)),IF(MostrarFestivosObservados,tblDíasfestivos[CORREGIDO],tblDíasfestivos[DÍA]),0),6),INDEX(tblDíasfestivos[],MATCH(DATE(CalYear,MONTH(C15),DAY(C15)),IF(MostrarFestivosObservados,tblDíasfestivos[CORREGIDO],tblDíasfestivos[DÍA]),0),2),""),""),"")</f>
        <v/>
      </c>
      <c r="D16" s="59"/>
      <c r="E16" s="59"/>
      <c r="F16" s="59"/>
      <c r="G16" s="59"/>
      <c r="H16" s="60"/>
    </row>
    <row r="17" spans="2:8" x14ac:dyDescent="0.3">
      <c r="B17" s="64"/>
      <c r="C17" s="64"/>
      <c r="D17" s="64"/>
      <c r="E17" s="64"/>
      <c r="F17" s="64"/>
      <c r="G17" s="64"/>
      <c r="H17" s="64"/>
    </row>
  </sheetData>
  <mergeCells count="4">
    <mergeCell ref="B2:D2"/>
    <mergeCell ref="D15:H15"/>
    <mergeCell ref="D16:H16"/>
    <mergeCell ref="B17:H17"/>
  </mergeCells>
  <conditionalFormatting sqref="B13:H13 B15:C15">
    <cfRule type="expression" dxfId="7" priority="2">
      <formula>AND(DAY(B13)&gt;=1,DAY(B13)&lt;=15)</formula>
    </cfRule>
  </conditionalFormatting>
  <conditionalFormatting sqref="B5:G5">
    <cfRule type="expression" dxfId="6" priority="1">
      <formula>DAY(B5)&gt;8</formula>
    </cfRule>
  </conditionalFormatting>
  <printOptions horizontalCentered="1"/>
  <pageMargins left="0.4" right="0.4" top="0.4" bottom="0.4" header="0.3" footer="0.3"/>
  <pageSetup paperSize="9" fitToHeight="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tabColor theme="4"/>
    <pageSetUpPr fitToPage="1"/>
  </sheetPr>
  <dimension ref="B2:H17"/>
  <sheetViews>
    <sheetView showGridLines="0" workbookViewId="0"/>
  </sheetViews>
  <sheetFormatPr baseColWidth="10" defaultColWidth="8.85546875" defaultRowHeight="15" x14ac:dyDescent="0.3"/>
  <cols>
    <col min="1" max="1" width="3.5703125" customWidth="1"/>
    <col min="2" max="2" width="18.28515625" customWidth="1"/>
    <col min="3" max="8" width="17.7109375" customWidth="1"/>
    <col min="9" max="9" width="3.5703125" customWidth="1"/>
    <col min="10" max="10" width="13.7109375" customWidth="1"/>
  </cols>
  <sheetData>
    <row r="2" spans="2:8" ht="30" customHeight="1" thickBot="1" x14ac:dyDescent="0.35">
      <c r="B2" s="58">
        <f ca="1">B9</f>
        <v>44115</v>
      </c>
      <c r="C2" s="58"/>
      <c r="D2" s="58"/>
      <c r="E2" s="34"/>
      <c r="F2" s="34"/>
      <c r="G2" s="34"/>
      <c r="H2" s="35"/>
    </row>
    <row r="3" spans="2:8" ht="18" customHeight="1" thickTop="1" x14ac:dyDescent="0.3"/>
    <row r="4" spans="2:8" ht="24" customHeight="1" thickBot="1" x14ac:dyDescent="0.35">
      <c r="B4" s="2" t="str">
        <f>InicioDeLaSemana</f>
        <v>DOMINGO</v>
      </c>
      <c r="C4" s="3" t="str">
        <f t="shared" ref="C4:H4" ca="1" si="0">UPPER(TEXT(C5,"dddd"))</f>
        <v>LUNES</v>
      </c>
      <c r="D4" s="3" t="str">
        <f t="shared" ca="1" si="0"/>
        <v>MARTES</v>
      </c>
      <c r="E4" s="3" t="str">
        <f t="shared" ca="1" si="0"/>
        <v>MIÉRCOLES</v>
      </c>
      <c r="F4" s="3" t="str">
        <f t="shared" ca="1" si="0"/>
        <v>JUEVES</v>
      </c>
      <c r="G4" s="3" t="str">
        <f t="shared" ca="1" si="0"/>
        <v>VIERNES</v>
      </c>
      <c r="H4" s="4" t="str">
        <f t="shared" ca="1" si="0"/>
        <v>SÁBADO</v>
      </c>
    </row>
    <row r="5" spans="2:8" ht="19.5" customHeight="1" thickTop="1" x14ac:dyDescent="0.35">
      <c r="B5" s="5">
        <f t="array" aca="1" ref="B5:H5" ca="1">Días+DATE(CalYear,10,1)-WEEKDAY(DATE(CalYear,10,1),(InicioDeLaSemana="Lunes")+1)+1</f>
        <v>44101</v>
      </c>
      <c r="C5" s="6">
        <f ca="1"/>
        <v>44102</v>
      </c>
      <c r="D5" s="6">
        <f ca="1"/>
        <v>44103</v>
      </c>
      <c r="E5" s="6">
        <f ca="1"/>
        <v>44104</v>
      </c>
      <c r="F5" s="6">
        <f ca="1"/>
        <v>44105</v>
      </c>
      <c r="G5" s="6">
        <f ca="1"/>
        <v>44106</v>
      </c>
      <c r="H5" s="7">
        <f ca="1"/>
        <v>44107</v>
      </c>
    </row>
    <row r="6" spans="2:8" ht="57.95" customHeight="1" x14ac:dyDescent="0.3">
      <c r="B6" s="14" t="str">
        <f ca="1">IFERROR(IF(MostrarDíasFestivos,IF(INDEX(tblDíasfestivos[],MATCH(DATE(CalYear-(DAY(B5)&gt;15)+(ROW()&gt;6),MONTH(B5),DAY(B5)),IF(MostrarFestivosObservados,tblDíasfestivos[CORREGIDO],tblDíasfestivos[DÍA]),0),6),INDEX(tblDíasfestivos[],MATCH(DATE(CalYear-(DAY(B5)&gt;15)+(ROW()&gt;6),MONTH(B5),DAY(B5)),IF(MostrarFestivosObservados,tblDíasfestivos[CORREGIDO],tblDíasfestivos[DÍA]),0),2),""),""),"")</f>
        <v/>
      </c>
      <c r="C6" s="15" t="str">
        <f ca="1">IFERROR(IF(MostrarDíasFestivos,IF(INDEX(tblDíasfestivos[],MATCH(DATE(CalYear-(DAY(C5)&gt;15)+(ROW()&gt;6),MONTH(C5),DAY(C5)),IF(MostrarFestivosObservados,tblDíasfestivos[CORREGIDO],tblDíasfestivos[DÍA]),0),6),INDEX(tblDíasfestivos[],MATCH(DATE(CalYear-(DAY(C5)&gt;15)+(ROW()&gt;6),MONTH(C5),DAY(C5)),IF(MostrarFestivosObservados,tblDíasfestivos[CORREGIDO],tblDíasfestivos[DÍA]),0),2),""),""),"")</f>
        <v/>
      </c>
      <c r="D6" s="15" t="str">
        <f ca="1">IFERROR(IF(MostrarDíasFestivos,IF(INDEX(tblDíasfestivos[],MATCH(DATE(CalYear-(DAY(D5)&gt;15)+(ROW()&gt;6),MONTH(D5),DAY(D5)),IF(MostrarFestivosObservados,tblDíasfestivos[CORREGIDO],tblDíasfestivos[DÍA]),0),6),INDEX(tblDíasfestivos[],MATCH(DATE(CalYear-(DAY(D5)&gt;15)+(ROW()&gt;6),MONTH(D5),DAY(D5)),IF(MostrarFestivosObservados,tblDíasfestivos[CORREGIDO],tblDíasfestivos[DÍA]),0),2),""),""),"")</f>
        <v/>
      </c>
      <c r="E6" s="15" t="str">
        <f ca="1">IFERROR(IF(MostrarDíasFestivos,IF(INDEX(tblDíasfestivos[],MATCH(DATE(CalYear-(DAY(E5)&gt;15)+(ROW()&gt;6),MONTH(E5),DAY(E5)),IF(MostrarFestivosObservados,tblDíasfestivos[CORREGIDO],tblDíasfestivos[DÍA]),0),6),INDEX(tblDíasfestivos[],MATCH(DATE(CalYear-(DAY(E5)&gt;15)+(ROW()&gt;6),MONTH(E5),DAY(E5)),IF(MostrarFestivosObservados,tblDíasfestivos[CORREGIDO],tblDíasfestivos[DÍA]),0),2),""),""),"")</f>
        <v/>
      </c>
      <c r="F6" s="15" t="str">
        <f ca="1">IFERROR(IF(MostrarDíasFestivos,IF(INDEX(tblDíasfestivos[],MATCH(DATE(CalYear-(DAY(F5)&gt;15)+(ROW()&gt;6),MONTH(F5),DAY(F5)),IF(MostrarFestivosObservados,tblDíasfestivos[CORREGIDO],tblDíasfestivos[DÍA]),0),6),INDEX(tblDíasfestivos[],MATCH(DATE(CalYear-(DAY(F5)&gt;15)+(ROW()&gt;6),MONTH(F5),DAY(F5)),IF(MostrarFestivosObservados,tblDíasfestivos[CORREGIDO],tblDíasfestivos[DÍA]),0),2),""),""),"")</f>
        <v/>
      </c>
      <c r="G6" s="16" t="str">
        <f ca="1">IFERROR(IF(MostrarDíasFestivos,IF(INDEX(tblDíasfestivos[],MATCH(DATE(CalYear-(DAY(G5)&gt;15)+(ROW()&gt;6),MONTH(G5),DAY(G5)),IF(MostrarFestivosObservados,tblDíasfestivos[CORREGIDO],tblDíasfestivos[DÍA]),0),6),INDEX(tblDíasfestivos[],MATCH(DATE(CalYear-(DAY(G5)&gt;15)+(ROW()&gt;6),MONTH(G5),DAY(G5)),IF(MostrarFestivosObservados,tblDíasfestivos[CORREGIDO],tblDíasfestivos[DÍA]),0),2),""),""),"")</f>
        <v/>
      </c>
      <c r="H6" s="17" t="str">
        <f ca="1">IFERROR(IF(MostrarDíasFestivos,IF(INDEX(tblDíasfestivos[],MATCH(DATE(CalYear-(DAY(H5)&gt;15)+(ROW()&gt;6),MONTH(H5),DAY(H5)),IF(MostrarFestivosObservados,tblDíasfestivos[CORREGIDO],tblDíasfestivos[DÍA]),0),6),INDEX(tblDíasfestivos[],MATCH(DATE(CalYear-(DAY(H5)&gt;15)+(ROW()&gt;6),MONTH(H5),DAY(H5)),IF(MostrarFestivosObservados,tblDíasfestivos[CORREGIDO],tblDíasfestivos[DÍA]),0),2),""),""),"")</f>
        <v/>
      </c>
    </row>
    <row r="7" spans="2:8" ht="19.5" customHeight="1" x14ac:dyDescent="0.3">
      <c r="B7" s="8">
        <f t="array" aca="1" ref="B7:H7" ca="1">Días+DATE(CalYear,10,1)-WEEKDAY(DATE(CalYear,10,1),(InicioDeLaSemana="Lunes")+1)+8</f>
        <v>44108</v>
      </c>
      <c r="C7" s="9">
        <f ca="1"/>
        <v>44109</v>
      </c>
      <c r="D7" s="9">
        <f ca="1"/>
        <v>44110</v>
      </c>
      <c r="E7" s="9">
        <f ca="1"/>
        <v>44111</v>
      </c>
      <c r="F7" s="9">
        <f ca="1"/>
        <v>44112</v>
      </c>
      <c r="G7" s="9">
        <f ca="1"/>
        <v>44113</v>
      </c>
      <c r="H7" s="10">
        <f ca="1"/>
        <v>44114</v>
      </c>
    </row>
    <row r="8" spans="2:8" ht="57.95" customHeight="1" x14ac:dyDescent="0.3">
      <c r="B8" s="18" t="str">
        <f ca="1">IFERROR(IF(MostrarDíasFestivos,IF(INDEX(tblDíasfestivos[],MATCH(DATE(CalYear,MONTH(B7),DAY(B7)),IF(MostrarFestivosObservados,tblDíasfestivos[CORREGIDO],tblDíasfestivos[DÍA]),0),6),INDEX(tblDíasfestivos[],MATCH(DATE(CalYear,MONTH(B7),DAY(B7)),IF(MostrarFestivosObservados,tblDíasfestivos[CORREGIDO],tblDíasfestivos[DÍA]),0),2),""),""),"")</f>
        <v/>
      </c>
      <c r="C8" s="19" t="str">
        <f ca="1">IFERROR(IF(MostrarDíasFestivos,IF(INDEX(tblDíasfestivos[],MATCH(DATE(CalYear,MONTH(C7),DAY(C7)),IF(MostrarFestivosObservados,tblDíasfestivos[CORREGIDO],tblDíasfestivos[DÍA]),0),6),INDEX(tblDíasfestivos[],MATCH(DATE(CalYear,MONTH(C7),DAY(C7)),IF(MostrarFestivosObservados,tblDíasfestivos[CORREGIDO],tblDíasfestivos[DÍA]),0),2),""),""),"")</f>
        <v/>
      </c>
      <c r="D8" s="19" t="str">
        <f ca="1">IFERROR(IF(MostrarDíasFestivos,IF(INDEX(tblDíasfestivos[],MATCH(DATE(CalYear,MONTH(D7),DAY(D7)),IF(MostrarFestivosObservados,tblDíasfestivos[CORREGIDO],tblDíasfestivos[DÍA]),0),6),INDEX(tblDíasfestivos[],MATCH(DATE(CalYear,MONTH(D7),DAY(D7)),IF(MostrarFestivosObservados,tblDíasfestivos[CORREGIDO],tblDíasfestivos[DÍA]),0),2),""),""),"")</f>
        <v/>
      </c>
      <c r="E8" s="19" t="str">
        <f ca="1">IFERROR(IF(MostrarDíasFestivos,IF(INDEX(tblDíasfestivos[],MATCH(DATE(CalYear,MONTH(E7),DAY(E7)),IF(MostrarFestivosObservados,tblDíasfestivos[CORREGIDO],tblDíasfestivos[DÍA]),0),6),INDEX(tblDíasfestivos[],MATCH(DATE(CalYear,MONTH(E7),DAY(E7)),IF(MostrarFestivosObservados,tblDíasfestivos[CORREGIDO],tblDíasfestivos[DÍA]),0),2),""),""),"")</f>
        <v/>
      </c>
      <c r="F8" s="19" t="str">
        <f ca="1">IFERROR(IF(MostrarDíasFestivos,IF(INDEX(tblDíasfestivos[],MATCH(DATE(CalYear,MONTH(F7),DAY(F7)),IF(MostrarFestivosObservados,tblDíasfestivos[CORREGIDO],tblDíasfestivos[DÍA]),0),6),INDEX(tblDíasfestivos[],MATCH(DATE(CalYear,MONTH(F7),DAY(F7)),IF(MostrarFestivosObservados,tblDíasfestivos[CORREGIDO],tblDíasfestivos[DÍA]),0),2),""),""),"")</f>
        <v/>
      </c>
      <c r="G8" s="20" t="str">
        <f ca="1">IFERROR(IF(MostrarDíasFestivos,IF(INDEX(tblDíasfestivos[],MATCH(DATE(CalYear,MONTH(G7),DAY(G7)),IF(MostrarFestivosObservados,tblDíasfestivos[CORREGIDO],tblDíasfestivos[DÍA]),0),6),INDEX(tblDíasfestivos[],MATCH(DATE(CalYear,MONTH(G7),DAY(G7)),IF(MostrarFestivosObservados,tblDíasfestivos[CORREGIDO],tblDíasfestivos[DÍA]),0),2),""),""),"")</f>
        <v/>
      </c>
      <c r="H8" s="21" t="str">
        <f ca="1">IFERROR(IF(MostrarDíasFestivos,IF(INDEX(tblDíasfestivos[],MATCH(DATE(CalYear,MONTH(H7),DAY(H7)),IF(MostrarFestivosObservados,tblDíasfestivos[CORREGIDO],tblDíasfestivos[DÍA]),0),6),INDEX(tblDíasfestivos[],MATCH(DATE(CalYear,MONTH(H7),DAY(H7)),IF(MostrarFestivosObservados,tblDíasfestivos[CORREGIDO],tblDíasfestivos[DÍA]),0),2),""),""),"")</f>
        <v/>
      </c>
    </row>
    <row r="9" spans="2:8" ht="19.5" customHeight="1" x14ac:dyDescent="0.3">
      <c r="B9" s="11">
        <f t="array" aca="1" ref="B9:H9" ca="1">Días+DATE(CalYear,10,1)-WEEKDAY(DATE(CalYear,10,1),(InicioDeLaSemana="Lunes")+1)+15</f>
        <v>44115</v>
      </c>
      <c r="C9" s="12">
        <f ca="1"/>
        <v>44116</v>
      </c>
      <c r="D9" s="12">
        <f ca="1"/>
        <v>44117</v>
      </c>
      <c r="E9" s="12">
        <f ca="1"/>
        <v>44118</v>
      </c>
      <c r="F9" s="12">
        <f ca="1"/>
        <v>44119</v>
      </c>
      <c r="G9" s="12">
        <f ca="1"/>
        <v>44120</v>
      </c>
      <c r="H9" s="13">
        <f ca="1"/>
        <v>44121</v>
      </c>
    </row>
    <row r="10" spans="2:8" ht="57.95" customHeight="1" x14ac:dyDescent="0.3">
      <c r="B10" s="22" t="str">
        <f ca="1">IFERROR(IF(MostrarDíasFestivos,IF(INDEX(tblDíasfestivos[],MATCH(DATE(CalYear,MONTH(B9),DAY(B9)),IF(MostrarFestivosObservados,tblDíasfestivos[CORREGIDO],tblDíasfestivos[DÍA]),0),6),INDEX(tblDíasfestivos[],MATCH(DATE(CalYear,MONTH(B9),DAY(B9)),IF(MostrarFestivosObservados,tblDíasfestivos[CORREGIDO],tblDíasfestivos[DÍA]),0),2),""),""),"")</f>
        <v/>
      </c>
      <c r="C10" s="23" t="str">
        <f ca="1">IFERROR(IF(MostrarDíasFestivos,IF(INDEX(tblDíasfestivos[],MATCH(DATE(CalYear,MONTH(C9),DAY(C9)),IF(MostrarFestivosObservados,tblDíasfestivos[CORREGIDO],tblDíasfestivos[DÍA]),0),6),INDEX(tblDíasfestivos[],MATCH(DATE(CalYear,MONTH(C9),DAY(C9)),IF(MostrarFestivosObservados,tblDíasfestivos[CORREGIDO],tblDíasfestivos[DÍA]),0),2),""),""),"")</f>
        <v>Día de la Raza</v>
      </c>
      <c r="D10" s="23" t="str">
        <f ca="1">IFERROR(IF(MostrarDíasFestivos,IF(INDEX(tblDíasfestivos[],MATCH(DATE(CalYear,MONTH(D9),DAY(D9)),IF(MostrarFestivosObservados,tblDíasfestivos[CORREGIDO],tblDíasfestivos[DÍA]),0),6),INDEX(tblDíasfestivos[],MATCH(DATE(CalYear,MONTH(D9),DAY(D9)),IF(MostrarFestivosObservados,tblDíasfestivos[CORREGIDO],tblDíasfestivos[DÍA]),0),2),""),""),"")</f>
        <v/>
      </c>
      <c r="E10" s="23" t="str">
        <f ca="1">IFERROR(IF(MostrarDíasFestivos,IF(INDEX(tblDíasfestivos[],MATCH(DATE(CalYear,MONTH(E9),DAY(E9)),IF(MostrarFestivosObservados,tblDíasfestivos[CORREGIDO],tblDíasfestivos[DÍA]),0),6),INDEX(tblDíasfestivos[],MATCH(DATE(CalYear,MONTH(E9),DAY(E9)),IF(MostrarFestivosObservados,tblDíasfestivos[CORREGIDO],tblDíasfestivos[DÍA]),0),2),""),""),"")</f>
        <v/>
      </c>
      <c r="F10" s="23" t="str">
        <f ca="1">IFERROR(IF(MostrarDíasFestivos,IF(INDEX(tblDíasfestivos[],MATCH(DATE(CalYear,MONTH(F9),DAY(F9)),IF(MostrarFestivosObservados,tblDíasfestivos[CORREGIDO],tblDíasfestivos[DÍA]),0),6),INDEX(tblDíasfestivos[],MATCH(DATE(CalYear,MONTH(F9),DAY(F9)),IF(MostrarFestivosObservados,tblDíasfestivos[CORREGIDO],tblDíasfestivos[DÍA]),0),2),""),""),"")</f>
        <v/>
      </c>
      <c r="G10" s="24" t="str">
        <f ca="1">IFERROR(IF(MostrarDíasFestivos,IF(INDEX(tblDíasfestivos[],MATCH(DATE(CalYear,MONTH(G9),DAY(G9)),IF(MostrarFestivosObservados,tblDíasfestivos[CORREGIDO],tblDíasfestivos[DÍA]),0),6),INDEX(tblDíasfestivos[],MATCH(DATE(CalYear,MONTH(G9),DAY(G9)),IF(MostrarFestivosObservados,tblDíasfestivos[CORREGIDO],tblDíasfestivos[DÍA]),0),2),""),""),"")</f>
        <v/>
      </c>
      <c r="H10" s="25" t="str">
        <f ca="1">IFERROR(IF(MostrarDíasFestivos,IF(INDEX(tblDíasfestivos[],MATCH(DATE(CalYear,MONTH(H9),DAY(H9)),IF(MostrarFestivosObservados,tblDíasfestivos[CORREGIDO],tblDíasfestivos[DÍA]),0),6),INDEX(tblDíasfestivos[],MATCH(DATE(CalYear,MONTH(H9),DAY(H9)),IF(MostrarFestivosObservados,tblDíasfestivos[CORREGIDO],tblDíasfestivos[DÍA]),0),2),""),""),"")</f>
        <v/>
      </c>
    </row>
    <row r="11" spans="2:8" ht="19.5" customHeight="1" x14ac:dyDescent="0.3">
      <c r="B11" s="8">
        <f t="array" aca="1" ref="B11:H11" ca="1">Días+DATE(CalYear,10,1)-WEEKDAY(DATE(CalYear,10,1),(InicioDeLaSemana="Lunes")+1)+22</f>
        <v>44122</v>
      </c>
      <c r="C11" s="9">
        <f ca="1"/>
        <v>44123</v>
      </c>
      <c r="D11" s="9">
        <f ca="1"/>
        <v>44124</v>
      </c>
      <c r="E11" s="9">
        <f ca="1"/>
        <v>44125</v>
      </c>
      <c r="F11" s="9">
        <f ca="1"/>
        <v>44126</v>
      </c>
      <c r="G11" s="9">
        <f ca="1"/>
        <v>44127</v>
      </c>
      <c r="H11" s="10">
        <f ca="1"/>
        <v>44128</v>
      </c>
    </row>
    <row r="12" spans="2:8" ht="57.95" customHeight="1" x14ac:dyDescent="0.3">
      <c r="B12" s="18" t="str">
        <f ca="1">IFERROR(IF(MostrarDíasFestivos,IF(INDEX(tblDíasfestivos[],MATCH(DATE(CalYear,MONTH(B11),DAY(B11)),IF(MostrarFestivosObservados,tblDíasfestivos[CORREGIDO],tblDíasfestivos[DÍA]),0),6),INDEX(tblDíasfestivos[],MATCH(DATE(CalYear,MONTH(B11),DAY(B11)),IF(MostrarFestivosObservados,tblDíasfestivos[CORREGIDO],tblDíasfestivos[DÍA]),0),2),""),""),"")</f>
        <v/>
      </c>
      <c r="C12" s="19" t="str">
        <f ca="1">IFERROR(IF(MostrarDíasFestivos,IF(INDEX(tblDíasfestivos[],MATCH(DATE(CalYear,MONTH(C11),DAY(C11)),IF(MostrarFestivosObservados,tblDíasfestivos[CORREGIDO],tblDíasfestivos[DÍA]),0),6),INDEX(tblDíasfestivos[],MATCH(DATE(CalYear,MONTH(C11),DAY(C11)),IF(MostrarFestivosObservados,tblDíasfestivos[CORREGIDO],tblDíasfestivos[DÍA]),0),2),""),""),"")</f>
        <v/>
      </c>
      <c r="D12" s="19" t="str">
        <f ca="1">IFERROR(IF(MostrarDíasFestivos,IF(INDEX(tblDíasfestivos[],MATCH(DATE(CalYear,MONTH(D11),DAY(D11)),IF(MostrarFestivosObservados,tblDíasfestivos[CORREGIDO],tblDíasfestivos[DÍA]),0),6),INDEX(tblDíasfestivos[],MATCH(DATE(CalYear,MONTH(D11),DAY(D11)),IF(MostrarFestivosObservados,tblDíasfestivos[CORREGIDO],tblDíasfestivos[DÍA]),0),2),""),""),"")</f>
        <v/>
      </c>
      <c r="E12" s="19" t="str">
        <f ca="1">IFERROR(IF(MostrarDíasFestivos,IF(INDEX(tblDíasfestivos[],MATCH(DATE(CalYear,MONTH(E11),DAY(E11)),IF(MostrarFestivosObservados,tblDíasfestivos[CORREGIDO],tblDíasfestivos[DÍA]),0),6),INDEX(tblDíasfestivos[],MATCH(DATE(CalYear,MONTH(E11),DAY(E11)),IF(MostrarFestivosObservados,tblDíasfestivos[CORREGIDO],tblDíasfestivos[DÍA]),0),2),""),""),"")</f>
        <v/>
      </c>
      <c r="F12" s="19" t="str">
        <f ca="1">IFERROR(IF(MostrarDíasFestivos,IF(INDEX(tblDíasfestivos[],MATCH(DATE(CalYear,MONTH(F11),DAY(F11)),IF(MostrarFestivosObservados,tblDíasfestivos[CORREGIDO],tblDíasfestivos[DÍA]),0),6),INDEX(tblDíasfestivos[],MATCH(DATE(CalYear,MONTH(F11),DAY(F11)),IF(MostrarFestivosObservados,tblDíasfestivos[CORREGIDO],tblDíasfestivos[DÍA]),0),2),""),""),"")</f>
        <v/>
      </c>
      <c r="G12" s="20" t="str">
        <f ca="1">IFERROR(IF(MostrarDíasFestivos,IF(INDEX(tblDíasfestivos[],MATCH(DATE(CalYear,MONTH(G11),DAY(G11)),IF(MostrarFestivosObservados,tblDíasfestivos[CORREGIDO],tblDíasfestivos[DÍA]),0),6),INDEX(tblDíasfestivos[],MATCH(DATE(CalYear,MONTH(G11),DAY(G11)),IF(MostrarFestivosObservados,tblDíasfestivos[CORREGIDO],tblDíasfestivos[DÍA]),0),2),""),""),"")</f>
        <v/>
      </c>
      <c r="H12" s="21" t="str">
        <f ca="1">IFERROR(IF(MostrarDíasFestivos,IF(INDEX(tblDíasfestivos[],MATCH(DATE(CalYear,MONTH(H11),DAY(H11)),IF(MostrarFestivosObservados,tblDíasfestivos[CORREGIDO],tblDíasfestivos[DÍA]),0),6),INDEX(tblDíasfestivos[],MATCH(DATE(CalYear,MONTH(H11),DAY(H11)),IF(MostrarFestivosObservados,tblDíasfestivos[CORREGIDO],tblDíasfestivos[DÍA]),0),2),""),""),"")</f>
        <v/>
      </c>
    </row>
    <row r="13" spans="2:8" ht="19.5" customHeight="1" x14ac:dyDescent="0.3">
      <c r="B13" s="11">
        <f t="array" aca="1" ref="B13:H13" ca="1">Días+DATE(CalYear,10,1)-WEEKDAY(DATE(CalYear,10,1),(InicioDeLaSemana="Lunes")+1)+29</f>
        <v>44129</v>
      </c>
      <c r="C13" s="12">
        <f ca="1"/>
        <v>44130</v>
      </c>
      <c r="D13" s="12">
        <f ca="1"/>
        <v>44131</v>
      </c>
      <c r="E13" s="12">
        <f ca="1"/>
        <v>44132</v>
      </c>
      <c r="F13" s="12">
        <f ca="1"/>
        <v>44133</v>
      </c>
      <c r="G13" s="12">
        <f ca="1"/>
        <v>44134</v>
      </c>
      <c r="H13" s="13">
        <f ca="1"/>
        <v>44135</v>
      </c>
    </row>
    <row r="14" spans="2:8" ht="57.95" customHeight="1" x14ac:dyDescent="0.3">
      <c r="B14" s="22" t="str">
        <f ca="1">IFERROR(IF(MostrarDíasFestivos,IF(INDEX(tblDíasfestivos[],MATCH(DATE(CalYear,MONTH(B13),DAY(B13)),IF(MostrarFestivosObservados,tblDíasfestivos[CORREGIDO],tblDíasfestivos[DÍA]),0),6),INDEX(tblDíasfestivos[],MATCH(DATE(CalYear,MONTH(B13),DAY(B13)),IF(MostrarFestivosObservados,tblDíasfestivos[CORREGIDO],tblDíasfestivos[DÍA]),0),2),""),""),"")</f>
        <v/>
      </c>
      <c r="C14" s="23" t="str">
        <f ca="1">IFERROR(IF(MostrarDíasFestivos,IF(INDEX(tblDíasfestivos[],MATCH(DATE(CalYear,MONTH(C13),DAY(C13)),IF(MostrarFestivosObservados,tblDíasfestivos[CORREGIDO],tblDíasfestivos[DÍA]),0),6),INDEX(tblDíasfestivos[],MATCH(DATE(CalYear,MONTH(C13),DAY(C13)),IF(MostrarFestivosObservados,tblDíasfestivos[CORREGIDO],tblDíasfestivos[DÍA]),0),2),""),""),"")</f>
        <v/>
      </c>
      <c r="D14" s="23" t="str">
        <f ca="1">IFERROR(IF(MostrarDíasFestivos,IF(INDEX(tblDíasfestivos[],MATCH(DATE(CalYear,MONTH(D13),DAY(D13)),IF(MostrarFestivosObservados,tblDíasfestivos[CORREGIDO],tblDíasfestivos[DÍA]),0),6),INDEX(tblDíasfestivos[],MATCH(DATE(CalYear,MONTH(D13),DAY(D13)),IF(MostrarFestivosObservados,tblDíasfestivos[CORREGIDO],tblDíasfestivos[DÍA]),0),2),""),""),"")</f>
        <v/>
      </c>
      <c r="E14" s="23" t="str">
        <f ca="1">IFERROR(IF(MostrarDíasFestivos,IF(INDEX(tblDíasfestivos[],MATCH(DATE(CalYear,MONTH(E13),DAY(E13)),IF(MostrarFestivosObservados,tblDíasfestivos[CORREGIDO],tblDíasfestivos[DÍA]),0),6),INDEX(tblDíasfestivos[],MATCH(DATE(CalYear,MONTH(E13),DAY(E13)),IF(MostrarFestivosObservados,tblDíasfestivos[CORREGIDO],tblDíasfestivos[DÍA]),0),2),""),""),"")</f>
        <v/>
      </c>
      <c r="F14" s="23" t="str">
        <f ca="1">IFERROR(IF(MostrarDíasFestivos,IF(INDEX(tblDíasfestivos[],MATCH(DATE(CalYear,MONTH(F13),DAY(F13)),IF(MostrarFestivosObservados,tblDíasfestivos[CORREGIDO],tblDíasfestivos[DÍA]),0),6),INDEX(tblDíasfestivos[],MATCH(DATE(CalYear,MONTH(F13),DAY(F13)),IF(MostrarFestivosObservados,tblDíasfestivos[CORREGIDO],tblDíasfestivos[DÍA]),0),2),""),""),"")</f>
        <v/>
      </c>
      <c r="G14" s="24" t="str">
        <f ca="1">IFERROR(IF(MostrarDíasFestivos,IF(INDEX(tblDíasfestivos[],MATCH(DATE(CalYear,MONTH(G13),DAY(G13)),IF(MostrarFestivosObservados,tblDíasfestivos[CORREGIDO],tblDíasfestivos[DÍA]),0),6),INDEX(tblDíasfestivos[],MATCH(DATE(CalYear,MONTH(G13),DAY(G13)),IF(MostrarFestivosObservados,tblDíasfestivos[CORREGIDO],tblDíasfestivos[DÍA]),0),2),""),""),"")</f>
        <v/>
      </c>
      <c r="H14" s="25" t="str">
        <f ca="1">IFERROR(IF(MostrarDíasFestivos,IF(INDEX(tblDíasfestivos[],MATCH(DATE(CalYear,MONTH(H13),DAY(H13)),IF(MostrarFestivosObservados,tblDíasfestivos[CORREGIDO],tblDíasfestivos[DÍA]),0),6),INDEX(tblDíasfestivos[],MATCH(DATE(CalYear,MONTH(H13),DAY(H13)),IF(MostrarFestivosObservados,tblDíasfestivos[CORREGIDO],tblDíasfestivos[DÍA]),0),2),""),""),"")</f>
        <v/>
      </c>
    </row>
    <row r="15" spans="2:8" ht="19.5" customHeight="1" x14ac:dyDescent="0.35">
      <c r="B15" s="8">
        <f t="array" aca="1" ref="B15:C15" ca="1">Días+DATE(CalYear,10,1)-WEEKDAY(DATE(CalYear,10,1),(InicioDeLaSemana="Lunes")+1)+36</f>
        <v>44136</v>
      </c>
      <c r="C15" s="9">
        <f ca="1"/>
        <v>44137</v>
      </c>
      <c r="D15" s="61" t="s">
        <v>7</v>
      </c>
      <c r="E15" s="61"/>
      <c r="F15" s="61"/>
      <c r="G15" s="61"/>
      <c r="H15" s="62"/>
    </row>
    <row r="16" spans="2:8" ht="57.95" customHeight="1" x14ac:dyDescent="0.3">
      <c r="B16" s="18" t="str">
        <f ca="1">IFERROR(IF(MostrarDíasFestivos,IF(INDEX(tblDíasfestivos[],MATCH(DATE(CalYear,MONTH(B15),DAY(B15)),IF(MostrarFestivosObservados,tblDíasfestivos[CORREGIDO],tblDíasfestivos[DÍA]),0),6),INDEX(tblDíasfestivos[],MATCH(DATE(CalYear,MONTH(B15),DAY(B15)),IF(MostrarFestivosObservados,tblDíasfestivos[CORREGIDO],tblDíasfestivos[DÍA]),0),2),""),""),"")</f>
        <v/>
      </c>
      <c r="C16" s="19" t="str">
        <f ca="1">IFERROR(IF(MostrarDíasFestivos,IF(INDEX(tblDíasfestivos[],MATCH(DATE(CalYear,MONTH(C15),DAY(C15)),IF(MostrarFestivosObservados,tblDíasfestivos[CORREGIDO],tblDíasfestivos[DÍA]),0),6),INDEX(tblDíasfestivos[],MATCH(DATE(CalYear,MONTH(C15),DAY(C15)),IF(MostrarFestivosObservados,tblDíasfestivos[CORREGIDO],tblDíasfestivos[DÍA]),0),2),""),""),"")</f>
        <v/>
      </c>
      <c r="D16" s="59"/>
      <c r="E16" s="59"/>
      <c r="F16" s="59"/>
      <c r="G16" s="59"/>
      <c r="H16" s="60"/>
    </row>
    <row r="17" spans="2:8" x14ac:dyDescent="0.3">
      <c r="B17" s="64"/>
      <c r="C17" s="64"/>
      <c r="D17" s="64"/>
      <c r="E17" s="64"/>
      <c r="F17" s="64"/>
      <c r="G17" s="64"/>
      <c r="H17" s="64"/>
    </row>
  </sheetData>
  <mergeCells count="4">
    <mergeCell ref="B2:D2"/>
    <mergeCell ref="D15:H15"/>
    <mergeCell ref="D16:H16"/>
    <mergeCell ref="B17:H17"/>
  </mergeCells>
  <conditionalFormatting sqref="B13:H13 B15:C15">
    <cfRule type="expression" dxfId="5" priority="2">
      <formula>AND(DAY(B13)&gt;=1,DAY(B13)&lt;=15)</formula>
    </cfRule>
  </conditionalFormatting>
  <conditionalFormatting sqref="B5:G5">
    <cfRule type="expression" dxfId="4" priority="1">
      <formula>DAY(B5)&gt;8</formula>
    </cfRule>
  </conditionalFormatting>
  <printOptions horizontalCentered="1"/>
  <pageMargins left="0.4" right="0.4" top="0.4" bottom="0.4" header="0.3" footer="0.3"/>
  <pageSetup paperSize="9" fitToHeight="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1">
    <tabColor theme="4"/>
    <pageSetUpPr fitToPage="1"/>
  </sheetPr>
  <dimension ref="B2:H17"/>
  <sheetViews>
    <sheetView showGridLines="0" workbookViewId="0"/>
  </sheetViews>
  <sheetFormatPr baseColWidth="10" defaultColWidth="8.85546875" defaultRowHeight="15" x14ac:dyDescent="0.3"/>
  <cols>
    <col min="1" max="1" width="3.5703125" customWidth="1"/>
    <col min="2" max="2" width="18.28515625" customWidth="1"/>
    <col min="3" max="8" width="17.7109375" customWidth="1"/>
    <col min="9" max="9" width="3.5703125" customWidth="1"/>
    <col min="10" max="10" width="13.7109375" customWidth="1"/>
  </cols>
  <sheetData>
    <row r="2" spans="2:8" ht="30" customHeight="1" thickBot="1" x14ac:dyDescent="0.35">
      <c r="B2" s="58">
        <f ca="1">B9</f>
        <v>44150</v>
      </c>
      <c r="C2" s="58"/>
      <c r="D2" s="58"/>
      <c r="E2" s="34"/>
      <c r="F2" s="34"/>
      <c r="G2" s="34"/>
      <c r="H2" s="35"/>
    </row>
    <row r="3" spans="2:8" ht="18" customHeight="1" thickTop="1" x14ac:dyDescent="0.3"/>
    <row r="4" spans="2:8" ht="24" customHeight="1" thickBot="1" x14ac:dyDescent="0.35">
      <c r="B4" s="2" t="str">
        <f>InicioDeLaSemana</f>
        <v>DOMINGO</v>
      </c>
      <c r="C4" s="3" t="str">
        <f t="shared" ref="C4:H4" ca="1" si="0">UPPER(TEXT(C5,"dddd"))</f>
        <v>LUNES</v>
      </c>
      <c r="D4" s="3" t="str">
        <f t="shared" ca="1" si="0"/>
        <v>MARTES</v>
      </c>
      <c r="E4" s="3" t="str">
        <f t="shared" ca="1" si="0"/>
        <v>MIÉRCOLES</v>
      </c>
      <c r="F4" s="3" t="str">
        <f t="shared" ca="1" si="0"/>
        <v>JUEVES</v>
      </c>
      <c r="G4" s="3" t="str">
        <f t="shared" ca="1" si="0"/>
        <v>VIERNES</v>
      </c>
      <c r="H4" s="4" t="str">
        <f t="shared" ca="1" si="0"/>
        <v>SÁBADO</v>
      </c>
    </row>
    <row r="5" spans="2:8" ht="19.5" customHeight="1" thickTop="1" x14ac:dyDescent="0.35">
      <c r="B5" s="5">
        <f t="array" aca="1" ref="B5:H5" ca="1">Días+DATE(CalYear,11,1)-WEEKDAY(DATE(CalYear,11,1),(InicioDeLaSemana="Lunes")+1)+1</f>
        <v>44136</v>
      </c>
      <c r="C5" s="6">
        <f ca="1"/>
        <v>44137</v>
      </c>
      <c r="D5" s="6">
        <f ca="1"/>
        <v>44138</v>
      </c>
      <c r="E5" s="6">
        <f ca="1"/>
        <v>44139</v>
      </c>
      <c r="F5" s="6">
        <f ca="1"/>
        <v>44140</v>
      </c>
      <c r="G5" s="6">
        <f ca="1"/>
        <v>44141</v>
      </c>
      <c r="H5" s="7">
        <f ca="1"/>
        <v>44142</v>
      </c>
    </row>
    <row r="6" spans="2:8" ht="57.95" customHeight="1" x14ac:dyDescent="0.3">
      <c r="B6" s="14" t="str">
        <f ca="1">IFERROR(IF(MostrarDíasFestivos,IF(INDEX(tblDíasfestivos[],MATCH(DATE(CalYear-(DAY(B5)&gt;15)+(ROW()&gt;6),MONTH(B5),DAY(B5)),IF(MostrarFestivosObservados,tblDíasfestivos[CORREGIDO],tblDíasfestivos[DÍA]),0),6),INDEX(tblDíasfestivos[],MATCH(DATE(CalYear-(DAY(B5)&gt;15)+(ROW()&gt;6),MONTH(B5),DAY(B5)),IF(MostrarFestivosObservados,tblDíasfestivos[CORREGIDO],tblDíasfestivos[DÍA]),0),2),""),""),"")</f>
        <v/>
      </c>
      <c r="C6" s="15" t="str">
        <f ca="1">IFERROR(IF(MostrarDíasFestivos,IF(INDEX(tblDíasfestivos[],MATCH(DATE(CalYear-(DAY(C5)&gt;15)+(ROW()&gt;6),MONTH(C5),DAY(C5)),IF(MostrarFestivosObservados,tblDíasfestivos[CORREGIDO],tblDíasfestivos[DÍA]),0),6),INDEX(tblDíasfestivos[],MATCH(DATE(CalYear-(DAY(C5)&gt;15)+(ROW()&gt;6),MONTH(C5),DAY(C5)),IF(MostrarFestivosObservados,tblDíasfestivos[CORREGIDO],tblDíasfestivos[DÍA]),0),2),""),""),"")</f>
        <v/>
      </c>
      <c r="D6" s="15" t="str">
        <f ca="1">IFERROR(IF(MostrarDíasFestivos,IF(INDEX(tblDíasfestivos[],MATCH(DATE(CalYear-(DAY(D5)&gt;15)+(ROW()&gt;6),MONTH(D5),DAY(D5)),IF(MostrarFestivosObservados,tblDíasfestivos[CORREGIDO],tblDíasfestivos[DÍA]),0),6),INDEX(tblDíasfestivos[],MATCH(DATE(CalYear-(DAY(D5)&gt;15)+(ROW()&gt;6),MONTH(D5),DAY(D5)),IF(MostrarFestivosObservados,tblDíasfestivos[CORREGIDO],tblDíasfestivos[DÍA]),0),2),""),""),"")</f>
        <v/>
      </c>
      <c r="E6" s="15" t="str">
        <f ca="1">IFERROR(IF(MostrarDíasFestivos,IF(INDEX(tblDíasfestivos[],MATCH(DATE(CalYear-(DAY(E5)&gt;15)+(ROW()&gt;6),MONTH(E5),DAY(E5)),IF(MostrarFestivosObservados,tblDíasfestivos[CORREGIDO],tblDíasfestivos[DÍA]),0),6),INDEX(tblDíasfestivos[],MATCH(DATE(CalYear-(DAY(E5)&gt;15)+(ROW()&gt;6),MONTH(E5),DAY(E5)),IF(MostrarFestivosObservados,tblDíasfestivos[CORREGIDO],tblDíasfestivos[DÍA]),0),2),""),""),"")</f>
        <v/>
      </c>
      <c r="F6" s="15" t="str">
        <f ca="1">IFERROR(IF(MostrarDíasFestivos,IF(INDEX(tblDíasfestivos[],MATCH(DATE(CalYear-(DAY(F5)&gt;15)+(ROW()&gt;6),MONTH(F5),DAY(F5)),IF(MostrarFestivosObservados,tblDíasfestivos[CORREGIDO],tblDíasfestivos[DÍA]),0),6),INDEX(tblDíasfestivos[],MATCH(DATE(CalYear-(DAY(F5)&gt;15)+(ROW()&gt;6),MONTH(F5),DAY(F5)),IF(MostrarFestivosObservados,tblDíasfestivos[CORREGIDO],tblDíasfestivos[DÍA]),0),2),""),""),"")</f>
        <v/>
      </c>
      <c r="G6" s="16" t="str">
        <f ca="1">IFERROR(IF(MostrarDíasFestivos,IF(INDEX(tblDíasfestivos[],MATCH(DATE(CalYear-(DAY(G5)&gt;15)+(ROW()&gt;6),MONTH(G5),DAY(G5)),IF(MostrarFestivosObservados,tblDíasfestivos[CORREGIDO],tblDíasfestivos[DÍA]),0),6),INDEX(tblDíasfestivos[],MATCH(DATE(CalYear-(DAY(G5)&gt;15)+(ROW()&gt;6),MONTH(G5),DAY(G5)),IF(MostrarFestivosObservados,tblDíasfestivos[CORREGIDO],tblDíasfestivos[DÍA]),0),2),""),""),"")</f>
        <v/>
      </c>
      <c r="H6" s="17" t="str">
        <f ca="1">IFERROR(IF(MostrarDíasFestivos,IF(INDEX(tblDíasfestivos[],MATCH(DATE(CalYear-(DAY(H5)&gt;15)+(ROW()&gt;6),MONTH(H5),DAY(H5)),IF(MostrarFestivosObservados,tblDíasfestivos[CORREGIDO],tblDíasfestivos[DÍA]),0),6),INDEX(tblDíasfestivos[],MATCH(DATE(CalYear-(DAY(H5)&gt;15)+(ROW()&gt;6),MONTH(H5),DAY(H5)),IF(MostrarFestivosObservados,tblDíasfestivos[CORREGIDO],tblDíasfestivos[DÍA]),0),2),""),""),"")</f>
        <v/>
      </c>
    </row>
    <row r="7" spans="2:8" ht="19.5" customHeight="1" x14ac:dyDescent="0.3">
      <c r="B7" s="8">
        <f t="array" aca="1" ref="B7:H7" ca="1">Días+DATE(CalYear,11,1)-WEEKDAY(DATE(CalYear,11,1),(InicioDeLaSemana="Lunes")+1)+8</f>
        <v>44143</v>
      </c>
      <c r="C7" s="9">
        <f ca="1"/>
        <v>44144</v>
      </c>
      <c r="D7" s="9">
        <f ca="1"/>
        <v>44145</v>
      </c>
      <c r="E7" s="9">
        <f ca="1"/>
        <v>44146</v>
      </c>
      <c r="F7" s="9">
        <f ca="1"/>
        <v>44147</v>
      </c>
      <c r="G7" s="9">
        <f ca="1"/>
        <v>44148</v>
      </c>
      <c r="H7" s="10">
        <f ca="1"/>
        <v>44149</v>
      </c>
    </row>
    <row r="8" spans="2:8" ht="57.95" customHeight="1" x14ac:dyDescent="0.3">
      <c r="B8" s="18" t="str">
        <f ca="1">IFERROR(IF(MostrarDíasFestivos,IF(INDEX(tblDíasfestivos[],MATCH(DATE(CalYear,MONTH(B7),DAY(B7)),IF(MostrarFestivosObservados,tblDíasfestivos[CORREGIDO],tblDíasfestivos[DÍA]),0),6),INDEX(tblDíasfestivos[],MATCH(DATE(CalYear,MONTH(B7),DAY(B7)),IF(MostrarFestivosObservados,tblDíasfestivos[CORREGIDO],tblDíasfestivos[DÍA]),0),2),""),""),"")</f>
        <v/>
      </c>
      <c r="C8" s="19" t="str">
        <f ca="1">IFERROR(IF(MostrarDíasFestivos,IF(INDEX(tblDíasfestivos[],MATCH(DATE(CalYear,MONTH(C7),DAY(C7)),IF(MostrarFestivosObservados,tblDíasfestivos[CORREGIDO],tblDíasfestivos[DÍA]),0),6),INDEX(tblDíasfestivos[],MATCH(DATE(CalYear,MONTH(C7),DAY(C7)),IF(MostrarFestivosObservados,tblDíasfestivos[CORREGIDO],tblDíasfestivos[DÍA]),0),2),""),""),"")</f>
        <v/>
      </c>
      <c r="D8" s="19" t="str">
        <f ca="1">IFERROR(IF(MostrarDíasFestivos,IF(INDEX(tblDíasfestivos[],MATCH(DATE(CalYear,MONTH(D7),DAY(D7)),IF(MostrarFestivosObservados,tblDíasfestivos[CORREGIDO],tblDíasfestivos[DÍA]),0),6),INDEX(tblDíasfestivos[],MATCH(DATE(CalYear,MONTH(D7),DAY(D7)),IF(MostrarFestivosObservados,tblDíasfestivos[CORREGIDO],tblDíasfestivos[DÍA]),0),2),""),""),"")</f>
        <v/>
      </c>
      <c r="E8" s="19" t="str">
        <f ca="1">IFERROR(IF(MostrarDíasFestivos,IF(INDEX(tblDíasfestivos[],MATCH(DATE(CalYear,MONTH(E7),DAY(E7)),IF(MostrarFestivosObservados,tblDíasfestivos[CORREGIDO],tblDíasfestivos[DÍA]),0),6),INDEX(tblDíasfestivos[],MATCH(DATE(CalYear,MONTH(E7),DAY(E7)),IF(MostrarFestivosObservados,tblDíasfestivos[CORREGIDO],tblDíasfestivos[DÍA]),0),2),""),""),"")</f>
        <v>Día de los Veteranos</v>
      </c>
      <c r="F8" s="19" t="str">
        <f ca="1">IFERROR(IF(MostrarDíasFestivos,IF(INDEX(tblDíasfestivos[],MATCH(DATE(CalYear,MONTH(F7),DAY(F7)),IF(MostrarFestivosObservados,tblDíasfestivos[CORREGIDO],tblDíasfestivos[DÍA]),0),6),INDEX(tblDíasfestivos[],MATCH(DATE(CalYear,MONTH(F7),DAY(F7)),IF(MostrarFestivosObservados,tblDíasfestivos[CORREGIDO],tblDíasfestivos[DÍA]),0),2),""),""),"")</f>
        <v/>
      </c>
      <c r="G8" s="20" t="str">
        <f ca="1">IFERROR(IF(MostrarDíasFestivos,IF(INDEX(tblDíasfestivos[],MATCH(DATE(CalYear,MONTH(G7),DAY(G7)),IF(MostrarFestivosObservados,tblDíasfestivos[CORREGIDO],tblDíasfestivos[DÍA]),0),6),INDEX(tblDíasfestivos[],MATCH(DATE(CalYear,MONTH(G7),DAY(G7)),IF(MostrarFestivosObservados,tblDíasfestivos[CORREGIDO],tblDíasfestivos[DÍA]),0),2),""),""),"")</f>
        <v/>
      </c>
      <c r="H8" s="21" t="str">
        <f ca="1">IFERROR(IF(MostrarDíasFestivos,IF(INDEX(tblDíasfestivos[],MATCH(DATE(CalYear,MONTH(H7),DAY(H7)),IF(MostrarFestivosObservados,tblDíasfestivos[CORREGIDO],tblDíasfestivos[DÍA]),0),6),INDEX(tblDíasfestivos[],MATCH(DATE(CalYear,MONTH(H7),DAY(H7)),IF(MostrarFestivosObservados,tblDíasfestivos[CORREGIDO],tblDíasfestivos[DÍA]),0),2),""),""),"")</f>
        <v/>
      </c>
    </row>
    <row r="9" spans="2:8" ht="19.5" customHeight="1" x14ac:dyDescent="0.3">
      <c r="B9" s="11">
        <f t="array" aca="1" ref="B9:H9" ca="1">Días+DATE(CalYear,11,1)-WEEKDAY(DATE(CalYear,11,1),(InicioDeLaSemana="Lunes")+1)+15</f>
        <v>44150</v>
      </c>
      <c r="C9" s="12">
        <f ca="1"/>
        <v>44151</v>
      </c>
      <c r="D9" s="12">
        <f ca="1"/>
        <v>44152</v>
      </c>
      <c r="E9" s="12">
        <f ca="1"/>
        <v>44153</v>
      </c>
      <c r="F9" s="12">
        <f ca="1"/>
        <v>44154</v>
      </c>
      <c r="G9" s="12">
        <f ca="1"/>
        <v>44155</v>
      </c>
      <c r="H9" s="13">
        <f ca="1"/>
        <v>44156</v>
      </c>
    </row>
    <row r="10" spans="2:8" ht="57.95" customHeight="1" x14ac:dyDescent="0.3">
      <c r="B10" s="22" t="str">
        <f ca="1">IFERROR(IF(MostrarDíasFestivos,IF(INDEX(tblDíasfestivos[],MATCH(DATE(CalYear,MONTH(B9),DAY(B9)),IF(MostrarFestivosObservados,tblDíasfestivos[CORREGIDO],tblDíasfestivos[DÍA]),0),6),INDEX(tblDíasfestivos[],MATCH(DATE(CalYear,MONTH(B9),DAY(B9)),IF(MostrarFestivosObservados,tblDíasfestivos[CORREGIDO],tblDíasfestivos[DÍA]),0),2),""),""),"")</f>
        <v/>
      </c>
      <c r="C10" s="23" t="str">
        <f ca="1">IFERROR(IF(MostrarDíasFestivos,IF(INDEX(tblDíasfestivos[],MATCH(DATE(CalYear,MONTH(C9),DAY(C9)),IF(MostrarFestivosObservados,tblDíasfestivos[CORREGIDO],tblDíasfestivos[DÍA]),0),6),INDEX(tblDíasfestivos[],MATCH(DATE(CalYear,MONTH(C9),DAY(C9)),IF(MostrarFestivosObservados,tblDíasfestivos[CORREGIDO],tblDíasfestivos[DÍA]),0),2),""),""),"")</f>
        <v/>
      </c>
      <c r="D10" s="23" t="str">
        <f ca="1">IFERROR(IF(MostrarDíasFestivos,IF(INDEX(tblDíasfestivos[],MATCH(DATE(CalYear,MONTH(D9),DAY(D9)),IF(MostrarFestivosObservados,tblDíasfestivos[CORREGIDO],tblDíasfestivos[DÍA]),0),6),INDEX(tblDíasfestivos[],MATCH(DATE(CalYear,MONTH(D9),DAY(D9)),IF(MostrarFestivosObservados,tblDíasfestivos[CORREGIDO],tblDíasfestivos[DÍA]),0),2),""),""),"")</f>
        <v/>
      </c>
      <c r="E10" s="23" t="str">
        <f ca="1">IFERROR(IF(MostrarDíasFestivos,IF(INDEX(tblDíasfestivos[],MATCH(DATE(CalYear,MONTH(E9),DAY(E9)),IF(MostrarFestivosObservados,tblDíasfestivos[CORREGIDO],tblDíasfestivos[DÍA]),0),6),INDEX(tblDíasfestivos[],MATCH(DATE(CalYear,MONTH(E9),DAY(E9)),IF(MostrarFestivosObservados,tblDíasfestivos[CORREGIDO],tblDíasfestivos[DÍA]),0),2),""),""),"")</f>
        <v/>
      </c>
      <c r="F10" s="23" t="str">
        <f ca="1">IFERROR(IF(MostrarDíasFestivos,IF(INDEX(tblDíasfestivos[],MATCH(DATE(CalYear,MONTH(F9),DAY(F9)),IF(MostrarFestivosObservados,tblDíasfestivos[CORREGIDO],tblDíasfestivos[DÍA]),0),6),INDEX(tblDíasfestivos[],MATCH(DATE(CalYear,MONTH(F9),DAY(F9)),IF(MostrarFestivosObservados,tblDíasfestivos[CORREGIDO],tblDíasfestivos[DÍA]),0),2),""),""),"")</f>
        <v/>
      </c>
      <c r="G10" s="24" t="str">
        <f ca="1">IFERROR(IF(MostrarDíasFestivos,IF(INDEX(tblDíasfestivos[],MATCH(DATE(CalYear,MONTH(G9),DAY(G9)),IF(MostrarFestivosObservados,tblDíasfestivos[CORREGIDO],tblDíasfestivos[DÍA]),0),6),INDEX(tblDíasfestivos[],MATCH(DATE(CalYear,MONTH(G9),DAY(G9)),IF(MostrarFestivosObservados,tblDíasfestivos[CORREGIDO],tblDíasfestivos[DÍA]),0),2),""),""),"")</f>
        <v/>
      </c>
      <c r="H10" s="25" t="str">
        <f ca="1">IFERROR(IF(MostrarDíasFestivos,IF(INDEX(tblDíasfestivos[],MATCH(DATE(CalYear,MONTH(H9),DAY(H9)),IF(MostrarFestivosObservados,tblDíasfestivos[CORREGIDO],tblDíasfestivos[DÍA]),0),6),INDEX(tblDíasfestivos[],MATCH(DATE(CalYear,MONTH(H9),DAY(H9)),IF(MostrarFestivosObservados,tblDíasfestivos[CORREGIDO],tblDíasfestivos[DÍA]),0),2),""),""),"")</f>
        <v/>
      </c>
    </row>
    <row r="11" spans="2:8" ht="19.5" customHeight="1" x14ac:dyDescent="0.3">
      <c r="B11" s="8">
        <f t="array" aca="1" ref="B11:H11" ca="1">Días+DATE(CalYear,11,1)-WEEKDAY(DATE(CalYear,11,1),(InicioDeLaSemana="Lunes")+1)+22</f>
        <v>44157</v>
      </c>
      <c r="C11" s="9">
        <f ca="1"/>
        <v>44158</v>
      </c>
      <c r="D11" s="9">
        <f ca="1"/>
        <v>44159</v>
      </c>
      <c r="E11" s="9">
        <f ca="1"/>
        <v>44160</v>
      </c>
      <c r="F11" s="9">
        <f ca="1"/>
        <v>44161</v>
      </c>
      <c r="G11" s="9">
        <f ca="1"/>
        <v>44162</v>
      </c>
      <c r="H11" s="10">
        <f ca="1"/>
        <v>44163</v>
      </c>
    </row>
    <row r="12" spans="2:8" ht="57.95" customHeight="1" x14ac:dyDescent="0.3">
      <c r="B12" s="18" t="str">
        <f ca="1">IFERROR(IF(MostrarDíasFestivos,IF(INDEX(tblDíasfestivos[],MATCH(DATE(CalYear,MONTH(B11),DAY(B11)),IF(MostrarFestivosObservados,tblDíasfestivos[CORREGIDO],tblDíasfestivos[DÍA]),0),6),INDEX(tblDíasfestivos[],MATCH(DATE(CalYear,MONTH(B11),DAY(B11)),IF(MostrarFestivosObservados,tblDíasfestivos[CORREGIDO],tblDíasfestivos[DÍA]),0),2),""),""),"")</f>
        <v/>
      </c>
      <c r="C12" s="19" t="str">
        <f ca="1">IFERROR(IF(MostrarDíasFestivos,IF(INDEX(tblDíasfestivos[],MATCH(DATE(CalYear,MONTH(C11),DAY(C11)),IF(MostrarFestivosObservados,tblDíasfestivos[CORREGIDO],tblDíasfestivos[DÍA]),0),6),INDEX(tblDíasfestivos[],MATCH(DATE(CalYear,MONTH(C11),DAY(C11)),IF(MostrarFestivosObservados,tblDíasfestivos[CORREGIDO],tblDíasfestivos[DÍA]),0),2),""),""),"")</f>
        <v/>
      </c>
      <c r="D12" s="19" t="str">
        <f ca="1">IFERROR(IF(MostrarDíasFestivos,IF(INDEX(tblDíasfestivos[],MATCH(DATE(CalYear,MONTH(D11),DAY(D11)),IF(MostrarFestivosObservados,tblDíasfestivos[CORREGIDO],tblDíasfestivos[DÍA]),0),6),INDEX(tblDíasfestivos[],MATCH(DATE(CalYear,MONTH(D11),DAY(D11)),IF(MostrarFestivosObservados,tblDíasfestivos[CORREGIDO],tblDíasfestivos[DÍA]),0),2),""),""),"")</f>
        <v/>
      </c>
      <c r="E12" s="19" t="str">
        <f ca="1">IFERROR(IF(MostrarDíasFestivos,IF(INDEX(tblDíasfestivos[],MATCH(DATE(CalYear,MONTH(E11),DAY(E11)),IF(MostrarFestivosObservados,tblDíasfestivos[CORREGIDO],tblDíasfestivos[DÍA]),0),6),INDEX(tblDíasfestivos[],MATCH(DATE(CalYear,MONTH(E11),DAY(E11)),IF(MostrarFestivosObservados,tblDíasfestivos[CORREGIDO],tblDíasfestivos[DÍA]),0),2),""),""),"")</f>
        <v/>
      </c>
      <c r="F12" s="19" t="str">
        <f ca="1">IFERROR(IF(MostrarDíasFestivos,IF(INDEX(tblDíasfestivos[],MATCH(DATE(CalYear,MONTH(F11),DAY(F11)),IF(MostrarFestivosObservados,tblDíasfestivos[CORREGIDO],tblDíasfestivos[DÍA]),0),6),INDEX(tblDíasfestivos[],MATCH(DATE(CalYear,MONTH(F11),DAY(F11)),IF(MostrarFestivosObservados,tblDíasfestivos[CORREGIDO],tblDíasfestivos[DÍA]),0),2),""),""),"")</f>
        <v>Día de Acción de Gracias</v>
      </c>
      <c r="G12" s="20" t="str">
        <f ca="1">IFERROR(IF(MostrarDíasFestivos,IF(INDEX(tblDíasfestivos[],MATCH(DATE(CalYear,MONTH(G11),DAY(G11)),IF(MostrarFestivosObservados,tblDíasfestivos[CORREGIDO],tblDíasfestivos[DÍA]),0),6),INDEX(tblDíasfestivos[],MATCH(DATE(CalYear,MONTH(G11),DAY(G11)),IF(MostrarFestivosObservados,tblDíasfestivos[CORREGIDO],tblDíasfestivos[DÍA]),0),2),""),""),"")</f>
        <v/>
      </c>
      <c r="H12" s="21" t="str">
        <f ca="1">IFERROR(IF(MostrarDíasFestivos,IF(INDEX(tblDíasfestivos[],MATCH(DATE(CalYear,MONTH(H11),DAY(H11)),IF(MostrarFestivosObservados,tblDíasfestivos[CORREGIDO],tblDíasfestivos[DÍA]),0),6),INDEX(tblDíasfestivos[],MATCH(DATE(CalYear,MONTH(H11),DAY(H11)),IF(MostrarFestivosObservados,tblDíasfestivos[CORREGIDO],tblDíasfestivos[DÍA]),0),2),""),""),"")</f>
        <v/>
      </c>
    </row>
    <row r="13" spans="2:8" ht="19.5" customHeight="1" x14ac:dyDescent="0.3">
      <c r="B13" s="11">
        <f t="array" aca="1" ref="B13:H13" ca="1">Días+DATE(CalYear,11,1)-WEEKDAY(DATE(CalYear,11,1),(InicioDeLaSemana="Lunes")+1)+29</f>
        <v>44164</v>
      </c>
      <c r="C13" s="12">
        <f ca="1"/>
        <v>44165</v>
      </c>
      <c r="D13" s="12">
        <f ca="1"/>
        <v>44166</v>
      </c>
      <c r="E13" s="12">
        <f ca="1"/>
        <v>44167</v>
      </c>
      <c r="F13" s="12">
        <f ca="1"/>
        <v>44168</v>
      </c>
      <c r="G13" s="12">
        <f ca="1"/>
        <v>44169</v>
      </c>
      <c r="H13" s="13">
        <f ca="1"/>
        <v>44170</v>
      </c>
    </row>
    <row r="14" spans="2:8" ht="57.95" customHeight="1" x14ac:dyDescent="0.3">
      <c r="B14" s="22" t="str">
        <f ca="1">IFERROR(IF(MostrarDíasFestivos,IF(INDEX(tblDíasfestivos[],MATCH(DATE(CalYear,MONTH(B13),DAY(B13)),IF(MostrarFestivosObservados,tblDíasfestivos[CORREGIDO],tblDíasfestivos[DÍA]),0),6),INDEX(tblDíasfestivos[],MATCH(DATE(CalYear,MONTH(B13),DAY(B13)),IF(MostrarFestivosObservados,tblDíasfestivos[CORREGIDO],tblDíasfestivos[DÍA]),0),2),""),""),"")</f>
        <v/>
      </c>
      <c r="C14" s="23" t="str">
        <f ca="1">IFERROR(IF(MostrarDíasFestivos,IF(INDEX(tblDíasfestivos[],MATCH(DATE(CalYear,MONTH(C13),DAY(C13)),IF(MostrarFestivosObservados,tblDíasfestivos[CORREGIDO],tblDíasfestivos[DÍA]),0),6),INDEX(tblDíasfestivos[],MATCH(DATE(CalYear,MONTH(C13),DAY(C13)),IF(MostrarFestivosObservados,tblDíasfestivos[CORREGIDO],tblDíasfestivos[DÍA]),0),2),""),""),"")</f>
        <v/>
      </c>
      <c r="D14" s="23" t="str">
        <f ca="1">IFERROR(IF(MostrarDíasFestivos,IF(INDEX(tblDíasfestivos[],MATCH(DATE(CalYear,MONTH(D13),DAY(D13)),IF(MostrarFestivosObservados,tblDíasfestivos[CORREGIDO],tblDíasfestivos[DÍA]),0),6),INDEX(tblDíasfestivos[],MATCH(DATE(CalYear,MONTH(D13),DAY(D13)),IF(MostrarFestivosObservados,tblDíasfestivos[CORREGIDO],tblDíasfestivos[DÍA]),0),2),""),""),"")</f>
        <v/>
      </c>
      <c r="E14" s="23" t="str">
        <f ca="1">IFERROR(IF(MostrarDíasFestivos,IF(INDEX(tblDíasfestivos[],MATCH(DATE(CalYear,MONTH(E13),DAY(E13)),IF(MostrarFestivosObservados,tblDíasfestivos[CORREGIDO],tblDíasfestivos[DÍA]),0),6),INDEX(tblDíasfestivos[],MATCH(DATE(CalYear,MONTH(E13),DAY(E13)),IF(MostrarFestivosObservados,tblDíasfestivos[CORREGIDO],tblDíasfestivos[DÍA]),0),2),""),""),"")</f>
        <v/>
      </c>
      <c r="F14" s="23" t="str">
        <f ca="1">IFERROR(IF(MostrarDíasFestivos,IF(INDEX(tblDíasfestivos[],MATCH(DATE(CalYear,MONTH(F13),DAY(F13)),IF(MostrarFestivosObservados,tblDíasfestivos[CORREGIDO],tblDíasfestivos[DÍA]),0),6),INDEX(tblDíasfestivos[],MATCH(DATE(CalYear,MONTH(F13),DAY(F13)),IF(MostrarFestivosObservados,tblDíasfestivos[CORREGIDO],tblDíasfestivos[DÍA]),0),2),""),""),"")</f>
        <v/>
      </c>
      <c r="G14" s="24" t="str">
        <f ca="1">IFERROR(IF(MostrarDíasFestivos,IF(INDEX(tblDíasfestivos[],MATCH(DATE(CalYear,MONTH(G13),DAY(G13)),IF(MostrarFestivosObservados,tblDíasfestivos[CORREGIDO],tblDíasfestivos[DÍA]),0),6),INDEX(tblDíasfestivos[],MATCH(DATE(CalYear,MONTH(G13),DAY(G13)),IF(MostrarFestivosObservados,tblDíasfestivos[CORREGIDO],tblDíasfestivos[DÍA]),0),2),""),""),"")</f>
        <v/>
      </c>
      <c r="H14" s="25" t="str">
        <f ca="1">IFERROR(IF(MostrarDíasFestivos,IF(INDEX(tblDíasfestivos[],MATCH(DATE(CalYear,MONTH(H13),DAY(H13)),IF(MostrarFestivosObservados,tblDíasfestivos[CORREGIDO],tblDíasfestivos[DÍA]),0),6),INDEX(tblDíasfestivos[],MATCH(DATE(CalYear,MONTH(H13),DAY(H13)),IF(MostrarFestivosObservados,tblDíasfestivos[CORREGIDO],tblDíasfestivos[DÍA]),0),2),""),""),"")</f>
        <v/>
      </c>
    </row>
    <row r="15" spans="2:8" ht="19.5" customHeight="1" x14ac:dyDescent="0.35">
      <c r="B15" s="8">
        <f t="array" aca="1" ref="B15:C15" ca="1">Días+DATE(CalYear,11,1)-WEEKDAY(DATE(CalYear,11,1),(InicioDeLaSemana="Lunes")+1)+36</f>
        <v>44171</v>
      </c>
      <c r="C15" s="9">
        <f ca="1"/>
        <v>44172</v>
      </c>
      <c r="D15" s="61" t="s">
        <v>7</v>
      </c>
      <c r="E15" s="61"/>
      <c r="F15" s="61"/>
      <c r="G15" s="61"/>
      <c r="H15" s="62"/>
    </row>
    <row r="16" spans="2:8" ht="57.95" customHeight="1" x14ac:dyDescent="0.3">
      <c r="B16" s="18" t="str">
        <f ca="1">IFERROR(IF(MostrarDíasFestivos,IF(INDEX(tblDíasfestivos[],MATCH(DATE(CalYear,MONTH(B15),DAY(B15)),IF(MostrarFestivosObservados,tblDíasfestivos[CORREGIDO],tblDíasfestivos[DÍA]),0),6),INDEX(tblDíasfestivos[],MATCH(DATE(CalYear,MONTH(B15),DAY(B15)),IF(MostrarFestivosObservados,tblDíasfestivos[CORREGIDO],tblDíasfestivos[DÍA]),0),2),""),""),"")</f>
        <v/>
      </c>
      <c r="C16" s="19" t="str">
        <f ca="1">IFERROR(IF(MostrarDíasFestivos,IF(INDEX(tblDíasfestivos[],MATCH(DATE(CalYear,MONTH(C15),DAY(C15)),IF(MostrarFestivosObservados,tblDíasfestivos[CORREGIDO],tblDíasfestivos[DÍA]),0),6),INDEX(tblDíasfestivos[],MATCH(DATE(CalYear,MONTH(C15),DAY(C15)),IF(MostrarFestivosObservados,tblDíasfestivos[CORREGIDO],tblDíasfestivos[DÍA]),0),2),""),""),"")</f>
        <v/>
      </c>
      <c r="D16" s="59"/>
      <c r="E16" s="59"/>
      <c r="F16" s="59"/>
      <c r="G16" s="59"/>
      <c r="H16" s="60"/>
    </row>
    <row r="17" spans="2:8" x14ac:dyDescent="0.3">
      <c r="B17" s="64"/>
      <c r="C17" s="64"/>
      <c r="D17" s="64"/>
      <c r="E17" s="64"/>
      <c r="F17" s="64"/>
      <c r="G17" s="64"/>
      <c r="H17" s="64"/>
    </row>
  </sheetData>
  <mergeCells count="4">
    <mergeCell ref="B2:D2"/>
    <mergeCell ref="D15:H15"/>
    <mergeCell ref="D16:H16"/>
    <mergeCell ref="B17:H17"/>
  </mergeCells>
  <conditionalFormatting sqref="B13:H13 B15:C15">
    <cfRule type="expression" dxfId="3" priority="2">
      <formula>AND(DAY(B13)&gt;=1,DAY(B13)&lt;=15)</formula>
    </cfRule>
  </conditionalFormatting>
  <conditionalFormatting sqref="B5:G5">
    <cfRule type="expression" dxfId="2" priority="1">
      <formula>DAY(B5)&gt;8</formula>
    </cfRule>
  </conditionalFormatting>
  <printOptions horizontalCentered="1"/>
  <pageMargins left="0.4" right="0.4" top="0.4" bottom="0.4" header="0.3" footer="0.3"/>
  <pageSetup paperSize="9" fitToHeight="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2">
    <tabColor theme="4"/>
    <pageSetUpPr fitToPage="1"/>
  </sheetPr>
  <dimension ref="B2:H17"/>
  <sheetViews>
    <sheetView showGridLines="0" workbookViewId="0"/>
  </sheetViews>
  <sheetFormatPr baseColWidth="10" defaultColWidth="8.85546875" defaultRowHeight="15" x14ac:dyDescent="0.3"/>
  <cols>
    <col min="1" max="1" width="3.5703125" customWidth="1"/>
    <col min="2" max="2" width="18.28515625" customWidth="1"/>
    <col min="3" max="8" width="17.7109375" customWidth="1"/>
    <col min="9" max="9" width="3.5703125" customWidth="1"/>
    <col min="10" max="10" width="13.7109375" customWidth="1"/>
  </cols>
  <sheetData>
    <row r="2" spans="2:8" ht="30" customHeight="1" thickBot="1" x14ac:dyDescent="0.35">
      <c r="B2" s="58">
        <f ca="1">B9</f>
        <v>44178</v>
      </c>
      <c r="C2" s="58"/>
      <c r="D2" s="58"/>
      <c r="E2" s="33"/>
      <c r="F2" s="33"/>
      <c r="G2" s="33"/>
      <c r="H2" s="32"/>
    </row>
    <row r="3" spans="2:8" ht="18" customHeight="1" thickTop="1" x14ac:dyDescent="0.3"/>
    <row r="4" spans="2:8" ht="24" customHeight="1" thickBot="1" x14ac:dyDescent="0.35">
      <c r="B4" s="2" t="str">
        <f>InicioDeLaSemana</f>
        <v>DOMINGO</v>
      </c>
      <c r="C4" s="3" t="str">
        <f t="shared" ref="C4:H4" ca="1" si="0">UPPER(TEXT(C5,"dddd"))</f>
        <v>LUNES</v>
      </c>
      <c r="D4" s="3" t="str">
        <f t="shared" ca="1" si="0"/>
        <v>MARTES</v>
      </c>
      <c r="E4" s="3" t="str">
        <f t="shared" ca="1" si="0"/>
        <v>MIÉRCOLES</v>
      </c>
      <c r="F4" s="3" t="str">
        <f t="shared" ca="1" si="0"/>
        <v>JUEVES</v>
      </c>
      <c r="G4" s="3" t="str">
        <f t="shared" ca="1" si="0"/>
        <v>VIERNES</v>
      </c>
      <c r="H4" s="4" t="str">
        <f t="shared" ca="1" si="0"/>
        <v>SÁBADO</v>
      </c>
    </row>
    <row r="5" spans="2:8" ht="19.5" customHeight="1" thickTop="1" x14ac:dyDescent="0.35">
      <c r="B5" s="5">
        <f t="array" aca="1" ref="B5:H5" ca="1">Días+DATE(CalYear,12,1)-WEEKDAY(DATE(CalYear,12,1),(InicioDeLaSemana="Lunes")+1)+1</f>
        <v>44164</v>
      </c>
      <c r="C5" s="6">
        <f ca="1"/>
        <v>44165</v>
      </c>
      <c r="D5" s="6">
        <f ca="1"/>
        <v>44166</v>
      </c>
      <c r="E5" s="6">
        <f ca="1"/>
        <v>44167</v>
      </c>
      <c r="F5" s="6">
        <f ca="1"/>
        <v>44168</v>
      </c>
      <c r="G5" s="6">
        <f ca="1"/>
        <v>44169</v>
      </c>
      <c r="H5" s="7">
        <f ca="1"/>
        <v>44170</v>
      </c>
    </row>
    <row r="6" spans="2:8" ht="57.95" customHeight="1" x14ac:dyDescent="0.3">
      <c r="B6" s="14" t="str">
        <f ca="1">IFERROR(IF(MostrarDíasFestivos,IF(INDEX(tblDíasfestivos[],MATCH(DATE(CalYear-(DAY(B5)&gt;15)+(ROW()&gt;6),MONTH(B5),DAY(B5)),IF(MostrarFestivosObservados,tblDíasfestivos[CORREGIDO],tblDíasfestivos[DÍA]),0),6),INDEX(tblDíasfestivos[],MATCH(DATE(CalYear-(DAY(B5)&gt;15)+(ROW()&gt;6),MONTH(B5),DAY(B5)),IF(MostrarFestivosObservados,tblDíasfestivos[CORREGIDO],tblDíasfestivos[DÍA]),0),2),""),""),"")</f>
        <v/>
      </c>
      <c r="C6" s="15" t="str">
        <f ca="1">IFERROR(IF(MostrarDíasFestivos,IF(INDEX(tblDíasfestivos[],MATCH(DATE(CalYear-(DAY(C5)&gt;15)+(ROW()&gt;6),MONTH(C5),DAY(C5)),IF(MostrarFestivosObservados,tblDíasfestivos[CORREGIDO],tblDíasfestivos[DÍA]),0),6),INDEX(tblDíasfestivos[],MATCH(DATE(CalYear-(DAY(C5)&gt;15)+(ROW()&gt;6),MONTH(C5),DAY(C5)),IF(MostrarFestivosObservados,tblDíasfestivos[CORREGIDO],tblDíasfestivos[DÍA]),0),2),""),""),"")</f>
        <v/>
      </c>
      <c r="D6" s="15" t="str">
        <f ca="1">IFERROR(IF(MostrarDíasFestivos,IF(INDEX(tblDíasfestivos[],MATCH(DATE(CalYear-(DAY(D5)&gt;15)+(ROW()&gt;6),MONTH(D5),DAY(D5)),IF(MostrarFestivosObservados,tblDíasfestivos[CORREGIDO],tblDíasfestivos[DÍA]),0),6),INDEX(tblDíasfestivos[],MATCH(DATE(CalYear-(DAY(D5)&gt;15)+(ROW()&gt;6),MONTH(D5),DAY(D5)),IF(MostrarFestivosObservados,tblDíasfestivos[CORREGIDO],tblDíasfestivos[DÍA]),0),2),""),""),"")</f>
        <v/>
      </c>
      <c r="E6" s="15" t="str">
        <f ca="1">IFERROR(IF(MostrarDíasFestivos,IF(INDEX(tblDíasfestivos[],MATCH(DATE(CalYear-(DAY(E5)&gt;15)+(ROW()&gt;6),MONTH(E5),DAY(E5)),IF(MostrarFestivosObservados,tblDíasfestivos[CORREGIDO],tblDíasfestivos[DÍA]),0),6),INDEX(tblDíasfestivos[],MATCH(DATE(CalYear-(DAY(E5)&gt;15)+(ROW()&gt;6),MONTH(E5),DAY(E5)),IF(MostrarFestivosObservados,tblDíasfestivos[CORREGIDO],tblDíasfestivos[DÍA]),0),2),""),""),"")</f>
        <v/>
      </c>
      <c r="F6" s="15" t="str">
        <f ca="1">IFERROR(IF(MostrarDíasFestivos,IF(INDEX(tblDíasfestivos[],MATCH(DATE(CalYear-(DAY(F5)&gt;15)+(ROW()&gt;6),MONTH(F5),DAY(F5)),IF(MostrarFestivosObservados,tblDíasfestivos[CORREGIDO],tblDíasfestivos[DÍA]),0),6),INDEX(tblDíasfestivos[],MATCH(DATE(CalYear-(DAY(F5)&gt;15)+(ROW()&gt;6),MONTH(F5),DAY(F5)),IF(MostrarFestivosObservados,tblDíasfestivos[CORREGIDO],tblDíasfestivos[DÍA]),0),2),""),""),"")</f>
        <v/>
      </c>
      <c r="G6" s="16" t="str">
        <f ca="1">IFERROR(IF(MostrarDíasFestivos,IF(INDEX(tblDíasfestivos[],MATCH(DATE(CalYear-(DAY(G5)&gt;15)+(ROW()&gt;6),MONTH(G5),DAY(G5)),IF(MostrarFestivosObservados,tblDíasfestivos[CORREGIDO],tblDíasfestivos[DÍA]),0),6),INDEX(tblDíasfestivos[],MATCH(DATE(CalYear-(DAY(G5)&gt;15)+(ROW()&gt;6),MONTH(G5),DAY(G5)),IF(MostrarFestivosObservados,tblDíasfestivos[CORREGIDO],tblDíasfestivos[DÍA]),0),2),""),""),"")</f>
        <v/>
      </c>
      <c r="H6" s="17" t="str">
        <f ca="1">IFERROR(IF(MostrarDíasFestivos,IF(INDEX(tblDíasfestivos[],MATCH(DATE(CalYear-(DAY(H5)&gt;15)+(ROW()&gt;6),MONTH(H5),DAY(H5)),IF(MostrarFestivosObservados,tblDíasfestivos[CORREGIDO],tblDíasfestivos[DÍA]),0),6),INDEX(tblDíasfestivos[],MATCH(DATE(CalYear-(DAY(H5)&gt;15)+(ROW()&gt;6),MONTH(H5),DAY(H5)),IF(MostrarFestivosObservados,tblDíasfestivos[CORREGIDO],tblDíasfestivos[DÍA]),0),2),""),""),"")</f>
        <v/>
      </c>
    </row>
    <row r="7" spans="2:8" ht="19.5" customHeight="1" x14ac:dyDescent="0.3">
      <c r="B7" s="8">
        <f t="array" aca="1" ref="B7:H7" ca="1">Días+DATE(CalYear,12,1)-WEEKDAY(DATE(CalYear,12,1),(InicioDeLaSemana="Lunes")+1)+8</f>
        <v>44171</v>
      </c>
      <c r="C7" s="9">
        <f ca="1"/>
        <v>44172</v>
      </c>
      <c r="D7" s="9">
        <f ca="1"/>
        <v>44173</v>
      </c>
      <c r="E7" s="9">
        <f ca="1"/>
        <v>44174</v>
      </c>
      <c r="F7" s="9">
        <f ca="1"/>
        <v>44175</v>
      </c>
      <c r="G7" s="9">
        <f ca="1"/>
        <v>44176</v>
      </c>
      <c r="H7" s="10">
        <f ca="1"/>
        <v>44177</v>
      </c>
    </row>
    <row r="8" spans="2:8" ht="57.95" customHeight="1" x14ac:dyDescent="0.3">
      <c r="B8" s="18" t="str">
        <f ca="1">IFERROR(IF(MostrarDíasFestivos,IF(INDEX(tblDíasfestivos[],MATCH(DATE(CalYear,MONTH(B7),DAY(B7)),IF(MostrarFestivosObservados,tblDíasfestivos[CORREGIDO],tblDíasfestivos[DÍA]),0),6),INDEX(tblDíasfestivos[],MATCH(DATE(CalYear,MONTH(B7),DAY(B7)),IF(MostrarFestivosObservados,tblDíasfestivos[CORREGIDO],tblDíasfestivos[DÍA]),0),2),""),""),"")</f>
        <v/>
      </c>
      <c r="C8" s="19" t="str">
        <f ca="1">IFERROR(IF(MostrarDíasFestivos,IF(INDEX(tblDíasfestivos[],MATCH(DATE(CalYear,MONTH(C7),DAY(C7)),IF(MostrarFestivosObservados,tblDíasfestivos[CORREGIDO],tblDíasfestivos[DÍA]),0),6),INDEX(tblDíasfestivos[],MATCH(DATE(CalYear,MONTH(C7),DAY(C7)),IF(MostrarFestivosObservados,tblDíasfestivos[CORREGIDO],tblDíasfestivos[DÍA]),0),2),""),""),"")</f>
        <v/>
      </c>
      <c r="D8" s="19" t="str">
        <f ca="1">IFERROR(IF(MostrarDíasFestivos,IF(INDEX(tblDíasfestivos[],MATCH(DATE(CalYear,MONTH(D7),DAY(D7)),IF(MostrarFestivosObservados,tblDíasfestivos[CORREGIDO],tblDíasfestivos[DÍA]),0),6),INDEX(tblDíasfestivos[],MATCH(DATE(CalYear,MONTH(D7),DAY(D7)),IF(MostrarFestivosObservados,tblDíasfestivos[CORREGIDO],tblDíasfestivos[DÍA]),0),2),""),""),"")</f>
        <v/>
      </c>
      <c r="E8" s="19" t="str">
        <f ca="1">IFERROR(IF(MostrarDíasFestivos,IF(INDEX(tblDíasfestivos[],MATCH(DATE(CalYear,MONTH(E7),DAY(E7)),IF(MostrarFestivosObservados,tblDíasfestivos[CORREGIDO],tblDíasfestivos[DÍA]),0),6),INDEX(tblDíasfestivos[],MATCH(DATE(CalYear,MONTH(E7),DAY(E7)),IF(MostrarFestivosObservados,tblDíasfestivos[CORREGIDO],tblDíasfestivos[DÍA]),0),2),""),""),"")</f>
        <v/>
      </c>
      <c r="F8" s="19" t="str">
        <f ca="1">IFERROR(IF(MostrarDíasFestivos,IF(INDEX(tblDíasfestivos[],MATCH(DATE(CalYear,MONTH(F7),DAY(F7)),IF(MostrarFestivosObservados,tblDíasfestivos[CORREGIDO],tblDíasfestivos[DÍA]),0),6),INDEX(tblDíasfestivos[],MATCH(DATE(CalYear,MONTH(F7),DAY(F7)),IF(MostrarFestivosObservados,tblDíasfestivos[CORREGIDO],tblDíasfestivos[DÍA]),0),2),""),""),"")</f>
        <v/>
      </c>
      <c r="G8" s="20" t="str">
        <f ca="1">IFERROR(IF(MostrarDíasFestivos,IF(INDEX(tblDíasfestivos[],MATCH(DATE(CalYear,MONTH(G7),DAY(G7)),IF(MostrarFestivosObservados,tblDíasfestivos[CORREGIDO],tblDíasfestivos[DÍA]),0),6),INDEX(tblDíasfestivos[],MATCH(DATE(CalYear,MONTH(G7),DAY(G7)),IF(MostrarFestivosObservados,tblDíasfestivos[CORREGIDO],tblDíasfestivos[DÍA]),0),2),""),""),"")</f>
        <v/>
      </c>
      <c r="H8" s="21" t="str">
        <f ca="1">IFERROR(IF(MostrarDíasFestivos,IF(INDEX(tblDíasfestivos[],MATCH(DATE(CalYear,MONTH(H7),DAY(H7)),IF(MostrarFestivosObservados,tblDíasfestivos[CORREGIDO],tblDíasfestivos[DÍA]),0),6),INDEX(tblDíasfestivos[],MATCH(DATE(CalYear,MONTH(H7),DAY(H7)),IF(MostrarFestivosObservados,tblDíasfestivos[CORREGIDO],tblDíasfestivos[DÍA]),0),2),""),""),"")</f>
        <v/>
      </c>
    </row>
    <row r="9" spans="2:8" ht="19.5" customHeight="1" x14ac:dyDescent="0.3">
      <c r="B9" s="11">
        <f t="array" aca="1" ref="B9:H9" ca="1">Días+DATE(CalYear,12,1)-WEEKDAY(DATE(CalYear,12,1),(InicioDeLaSemana="Lunes")+1)+15</f>
        <v>44178</v>
      </c>
      <c r="C9" s="12">
        <f ca="1"/>
        <v>44179</v>
      </c>
      <c r="D9" s="12">
        <f ca="1"/>
        <v>44180</v>
      </c>
      <c r="E9" s="12">
        <f ca="1"/>
        <v>44181</v>
      </c>
      <c r="F9" s="12">
        <f ca="1"/>
        <v>44182</v>
      </c>
      <c r="G9" s="12">
        <f ca="1"/>
        <v>44183</v>
      </c>
      <c r="H9" s="13">
        <f ca="1"/>
        <v>44184</v>
      </c>
    </row>
    <row r="10" spans="2:8" ht="57.95" customHeight="1" x14ac:dyDescent="0.3">
      <c r="B10" s="22" t="str">
        <f ca="1">IFERROR(IF(MostrarDíasFestivos,IF(INDEX(tblDíasfestivos[],MATCH(DATE(CalYear,MONTH(B9),DAY(B9)),IF(MostrarFestivosObservados,tblDíasfestivos[CORREGIDO],tblDíasfestivos[DÍA]),0),6),INDEX(tblDíasfestivos[],MATCH(DATE(CalYear,MONTH(B9),DAY(B9)),IF(MostrarFestivosObservados,tblDíasfestivos[CORREGIDO],tblDíasfestivos[DÍA]),0),2),""),""),"")</f>
        <v/>
      </c>
      <c r="C10" s="23" t="str">
        <f ca="1">IFERROR(IF(MostrarDíasFestivos,IF(INDEX(tblDíasfestivos[],MATCH(DATE(CalYear,MONTH(C9),DAY(C9)),IF(MostrarFestivosObservados,tblDíasfestivos[CORREGIDO],tblDíasfestivos[DÍA]),0),6),INDEX(tblDíasfestivos[],MATCH(DATE(CalYear,MONTH(C9),DAY(C9)),IF(MostrarFestivosObservados,tblDíasfestivos[CORREGIDO],tblDíasfestivos[DÍA]),0),2),""),""),"")</f>
        <v/>
      </c>
      <c r="D10" s="23" t="str">
        <f ca="1">IFERROR(IF(MostrarDíasFestivos,IF(INDEX(tblDíasfestivos[],MATCH(DATE(CalYear,MONTH(D9),DAY(D9)),IF(MostrarFestivosObservados,tblDíasfestivos[CORREGIDO],tblDíasfestivos[DÍA]),0),6),INDEX(tblDíasfestivos[],MATCH(DATE(CalYear,MONTH(D9),DAY(D9)),IF(MostrarFestivosObservados,tblDíasfestivos[CORREGIDO],tblDíasfestivos[DÍA]),0),2),""),""),"")</f>
        <v/>
      </c>
      <c r="E10" s="23" t="str">
        <f ca="1">IFERROR(IF(MostrarDíasFestivos,IF(INDEX(tblDíasfestivos[],MATCH(DATE(CalYear,MONTH(E9),DAY(E9)),IF(MostrarFestivosObservados,tblDíasfestivos[CORREGIDO],tblDíasfestivos[DÍA]),0),6),INDEX(tblDíasfestivos[],MATCH(DATE(CalYear,MONTH(E9),DAY(E9)),IF(MostrarFestivosObservados,tblDíasfestivos[CORREGIDO],tblDíasfestivos[DÍA]),0),2),""),""),"")</f>
        <v/>
      </c>
      <c r="F10" s="23" t="str">
        <f ca="1">IFERROR(IF(MostrarDíasFestivos,IF(INDEX(tblDíasfestivos[],MATCH(DATE(CalYear,MONTH(F9),DAY(F9)),IF(MostrarFestivosObservados,tblDíasfestivos[CORREGIDO],tblDíasfestivos[DÍA]),0),6),INDEX(tblDíasfestivos[],MATCH(DATE(CalYear,MONTH(F9),DAY(F9)),IF(MostrarFestivosObservados,tblDíasfestivos[CORREGIDO],tblDíasfestivos[DÍA]),0),2),""),""),"")</f>
        <v/>
      </c>
      <c r="G10" s="24" t="str">
        <f ca="1">IFERROR(IF(MostrarDíasFestivos,IF(INDEX(tblDíasfestivos[],MATCH(DATE(CalYear,MONTH(G9),DAY(G9)),IF(MostrarFestivosObservados,tblDíasfestivos[CORREGIDO],tblDíasfestivos[DÍA]),0),6),INDEX(tblDíasfestivos[],MATCH(DATE(CalYear,MONTH(G9),DAY(G9)),IF(MostrarFestivosObservados,tblDíasfestivos[CORREGIDO],tblDíasfestivos[DÍA]),0),2),""),""),"")</f>
        <v/>
      </c>
      <c r="H10" s="25" t="str">
        <f ca="1">IFERROR(IF(MostrarDíasFestivos,IF(INDEX(tblDíasfestivos[],MATCH(DATE(CalYear,MONTH(H9),DAY(H9)),IF(MostrarFestivosObservados,tblDíasfestivos[CORREGIDO],tblDíasfestivos[DÍA]),0),6),INDEX(tblDíasfestivos[],MATCH(DATE(CalYear,MONTH(H9),DAY(H9)),IF(MostrarFestivosObservados,tblDíasfestivos[CORREGIDO],tblDíasfestivos[DÍA]),0),2),""),""),"")</f>
        <v/>
      </c>
    </row>
    <row r="11" spans="2:8" ht="19.5" customHeight="1" x14ac:dyDescent="0.3">
      <c r="B11" s="8">
        <f t="array" aca="1" ref="B11:H11" ca="1">Días+DATE(CalYear,12,1)-WEEKDAY(DATE(CalYear,12,1),(InicioDeLaSemana="Lunes")+1)+22</f>
        <v>44185</v>
      </c>
      <c r="C11" s="9">
        <f ca="1"/>
        <v>44186</v>
      </c>
      <c r="D11" s="9">
        <f ca="1"/>
        <v>44187</v>
      </c>
      <c r="E11" s="9">
        <f ca="1"/>
        <v>44188</v>
      </c>
      <c r="F11" s="9">
        <f ca="1"/>
        <v>44189</v>
      </c>
      <c r="G11" s="9">
        <f ca="1"/>
        <v>44190</v>
      </c>
      <c r="H11" s="10">
        <f ca="1"/>
        <v>44191</v>
      </c>
    </row>
    <row r="12" spans="2:8" ht="57.95" customHeight="1" x14ac:dyDescent="0.3">
      <c r="B12" s="18" t="str">
        <f ca="1">IFERROR(IF(MostrarDíasFestivos,IF(INDEX(tblDíasfestivos[],MATCH(DATE(CalYear,MONTH(B11),DAY(B11)),IF(MostrarFestivosObservados,tblDíasfestivos[CORREGIDO],tblDíasfestivos[DÍA]),0),6),INDEX(tblDíasfestivos[],MATCH(DATE(CalYear,MONTH(B11),DAY(B11)),IF(MostrarFestivosObservados,tblDíasfestivos[CORREGIDO],tblDíasfestivos[DÍA]),0),2),""),""),"")</f>
        <v/>
      </c>
      <c r="C12" s="19" t="str">
        <f ca="1">IFERROR(IF(MostrarDíasFestivos,IF(INDEX(tblDíasfestivos[],MATCH(DATE(CalYear,MONTH(C11),DAY(C11)),IF(MostrarFestivosObservados,tblDíasfestivos[CORREGIDO],tblDíasfestivos[DÍA]),0),6),INDEX(tblDíasfestivos[],MATCH(DATE(CalYear,MONTH(C11),DAY(C11)),IF(MostrarFestivosObservados,tblDíasfestivos[CORREGIDO],tblDíasfestivos[DÍA]),0),2),""),""),"")</f>
        <v/>
      </c>
      <c r="D12" s="19" t="str">
        <f ca="1">IFERROR(IF(MostrarDíasFestivos,IF(INDEX(tblDíasfestivos[],MATCH(DATE(CalYear,MONTH(D11),DAY(D11)),IF(MostrarFestivosObservados,tblDíasfestivos[CORREGIDO],tblDíasfestivos[DÍA]),0),6),INDEX(tblDíasfestivos[],MATCH(DATE(CalYear,MONTH(D11),DAY(D11)),IF(MostrarFestivosObservados,tblDíasfestivos[CORREGIDO],tblDíasfestivos[DÍA]),0),2),""),""),"")</f>
        <v/>
      </c>
      <c r="E12" s="19" t="str">
        <f ca="1">IFERROR(IF(MostrarDíasFestivos,IF(INDEX(tblDíasfestivos[],MATCH(DATE(CalYear,MONTH(E11),DAY(E11)),IF(MostrarFestivosObservados,tblDíasfestivos[CORREGIDO],tblDíasfestivos[DÍA]),0),6),INDEX(tblDíasfestivos[],MATCH(DATE(CalYear,MONTH(E11),DAY(E11)),IF(MostrarFestivosObservados,tblDíasfestivos[CORREGIDO],tblDíasfestivos[DÍA]),0),2),""),""),"")</f>
        <v/>
      </c>
      <c r="F12" s="19" t="str">
        <f ca="1">IFERROR(IF(MostrarDíasFestivos,IF(INDEX(tblDíasfestivos[],MATCH(DATE(CalYear,MONTH(F11),DAY(F11)),IF(MostrarFestivosObservados,tblDíasfestivos[CORREGIDO],tblDíasfestivos[DÍA]),0),6),INDEX(tblDíasfestivos[],MATCH(DATE(CalYear,MONTH(F11),DAY(F11)),IF(MostrarFestivosObservados,tblDíasfestivos[CORREGIDO],tblDíasfestivos[DÍA]),0),2),""),""),"")</f>
        <v/>
      </c>
      <c r="G12" s="20" t="str">
        <f ca="1">IFERROR(IF(MostrarDíasFestivos,IF(INDEX(tblDíasfestivos[],MATCH(DATE(CalYear,MONTH(G11),DAY(G11)),IF(MostrarFestivosObservados,tblDíasfestivos[CORREGIDO],tblDíasfestivos[DÍA]),0),6),INDEX(tblDíasfestivos[],MATCH(DATE(CalYear,MONTH(G11),DAY(G11)),IF(MostrarFestivosObservados,tblDíasfestivos[CORREGIDO],tblDíasfestivos[DÍA]),0),2),""),""),"")</f>
        <v>Navidad</v>
      </c>
      <c r="H12" s="21" t="str">
        <f ca="1">IFERROR(IF(MostrarDíasFestivos,IF(INDEX(tblDíasfestivos[],MATCH(DATE(CalYear,MONTH(H11),DAY(H11)),IF(MostrarFestivosObservados,tblDíasfestivos[CORREGIDO],tblDíasfestivos[DÍA]),0),6),INDEX(tblDíasfestivos[],MATCH(DATE(CalYear,MONTH(H11),DAY(H11)),IF(MostrarFestivosObservados,tblDíasfestivos[CORREGIDO],tblDíasfestivos[DÍA]),0),2),""),""),"")</f>
        <v/>
      </c>
    </row>
    <row r="13" spans="2:8" ht="19.5" customHeight="1" x14ac:dyDescent="0.3">
      <c r="B13" s="11">
        <f t="array" aca="1" ref="B13:H13" ca="1">Días+DATE(CalYear,12,1)-WEEKDAY(DATE(CalYear,12,1),(InicioDeLaSemana="Lunes")+1)+29</f>
        <v>44192</v>
      </c>
      <c r="C13" s="12">
        <f ca="1"/>
        <v>44193</v>
      </c>
      <c r="D13" s="12">
        <f ca="1"/>
        <v>44194</v>
      </c>
      <c r="E13" s="12">
        <f ca="1"/>
        <v>44195</v>
      </c>
      <c r="F13" s="12">
        <f ca="1"/>
        <v>44196</v>
      </c>
      <c r="G13" s="12">
        <f ca="1"/>
        <v>44197</v>
      </c>
      <c r="H13" s="13">
        <f ca="1"/>
        <v>44198</v>
      </c>
    </row>
    <row r="14" spans="2:8" ht="57.95" customHeight="1" x14ac:dyDescent="0.3">
      <c r="B14" s="22" t="str">
        <f ca="1">IFERROR(IF(MostrarDíasFestivos,IF(INDEX(tblDíasfestivos[],MATCH(DATE(CalYear,MONTH(B13),DAY(B13)),IF(MostrarFestivosObservados,tblDíasfestivos[CORREGIDO],tblDíasfestivos[DÍA]),0),6),INDEX(tblDíasfestivos[],MATCH(DATE(CalYear,MONTH(B13),DAY(B13)),IF(MostrarFestivosObservados,tblDíasfestivos[CORREGIDO],tblDíasfestivos[DÍA]),0),2),""),""),"")</f>
        <v/>
      </c>
      <c r="C14" s="23" t="str">
        <f ca="1">IFERROR(IF(MostrarDíasFestivos,IF(INDEX(tblDíasfestivos[],MATCH(DATE(CalYear,MONTH(C13),DAY(C13)),IF(MostrarFestivosObservados,tblDíasfestivos[CORREGIDO],tblDíasfestivos[DÍA]),0),6),INDEX(tblDíasfestivos[],MATCH(DATE(CalYear,MONTH(C13),DAY(C13)),IF(MostrarFestivosObservados,tblDíasfestivos[CORREGIDO],tblDíasfestivos[DÍA]),0),2),""),""),"")</f>
        <v/>
      </c>
      <c r="D14" s="23" t="str">
        <f ca="1">IFERROR(IF(MostrarDíasFestivos,IF(INDEX(tblDíasfestivos[],MATCH(DATE(CalYear,MONTH(D13),DAY(D13)),IF(MostrarFestivosObservados,tblDíasfestivos[CORREGIDO],tblDíasfestivos[DÍA]),0),6),INDEX(tblDíasfestivos[],MATCH(DATE(CalYear,MONTH(D13),DAY(D13)),IF(MostrarFestivosObservados,tblDíasfestivos[CORREGIDO],tblDíasfestivos[DÍA]),0),2),""),""),"")</f>
        <v/>
      </c>
      <c r="E14" s="23" t="str">
        <f ca="1">IFERROR(IF(MostrarDíasFestivos,IF(INDEX(tblDíasfestivos[],MATCH(DATE(CalYear,MONTH(E13),DAY(E13)),IF(MostrarFestivosObservados,tblDíasfestivos[CORREGIDO],tblDíasfestivos[DÍA]),0),6),INDEX(tblDíasfestivos[],MATCH(DATE(CalYear,MONTH(E13),DAY(E13)),IF(MostrarFestivosObservados,tblDíasfestivos[CORREGIDO],tblDíasfestivos[DÍA]),0),2),""),""),"")</f>
        <v/>
      </c>
      <c r="F14" s="23" t="str">
        <f ca="1">IFERROR(IF(MostrarDíasFestivos,IF(INDEX(tblDíasfestivos[],MATCH(DATE(CalYear,MONTH(F13),DAY(F13)),IF(MostrarFestivosObservados,tblDíasfestivos[CORREGIDO],tblDíasfestivos[DÍA]),0),6),INDEX(tblDíasfestivos[],MATCH(DATE(CalYear,MONTH(F13),DAY(F13)),IF(MostrarFestivosObservados,tblDíasfestivos[CORREGIDO],tblDíasfestivos[DÍA]),0),2),""),""),"")</f>
        <v/>
      </c>
      <c r="G14" s="24" t="str">
        <f ca="1">IFERROR(IF(MostrarDíasFestivos,IF(INDEX(tblDíasfestivos[],MATCH(DATE(CalYear,MONTH(G13),DAY(G13)),IF(MostrarFestivosObservados,tblDíasfestivos[CORREGIDO],tblDíasfestivos[DÍA]),0),6),INDEX(tblDíasfestivos[],MATCH(DATE(CalYear,MONTH(G13),DAY(G13)),IF(MostrarFestivosObservados,tblDíasfestivos[CORREGIDO],tblDíasfestivos[DÍA]),0),2),""),""),"")</f>
        <v>Año nuevo</v>
      </c>
      <c r="H14" s="25" t="str">
        <f ca="1">IFERROR(IF(MostrarDíasFestivos,IF(INDEX(tblDíasfestivos[],MATCH(DATE(CalYear,MONTH(H13),DAY(H13)),IF(MostrarFestivosObservados,tblDíasfestivos[CORREGIDO],tblDíasfestivos[DÍA]),0),6),INDEX(tblDíasfestivos[],MATCH(DATE(CalYear,MONTH(H13),DAY(H13)),IF(MostrarFestivosObservados,tblDíasfestivos[CORREGIDO],tblDíasfestivos[DÍA]),0),2),""),""),"")</f>
        <v/>
      </c>
    </row>
    <row r="15" spans="2:8" ht="19.5" customHeight="1" x14ac:dyDescent="0.35">
      <c r="B15" s="8">
        <f t="array" aca="1" ref="B15:C15" ca="1">Días+DATE(CalYear,12,1)-WEEKDAY(DATE(CalYear,12,1),(InicioDeLaSemana="Lunes")+1)+36</f>
        <v>44199</v>
      </c>
      <c r="C15" s="9">
        <f ca="1"/>
        <v>44200</v>
      </c>
      <c r="D15" s="61" t="s">
        <v>7</v>
      </c>
      <c r="E15" s="61"/>
      <c r="F15" s="61"/>
      <c r="G15" s="61"/>
      <c r="H15" s="62"/>
    </row>
    <row r="16" spans="2:8" ht="57.95" customHeight="1" x14ac:dyDescent="0.3">
      <c r="B16" s="18" t="str">
        <f ca="1">IFERROR(IF(MostrarDíasFestivos,IF(INDEX(tblDíasfestivos[],MATCH(DATE(CalYear,MONTH(B15),DAY(B15)),IF(MostrarFestivosObservados,tblDíasfestivos[CORREGIDO],tblDíasfestivos[DÍA]),0),6),INDEX(tblDíasfestivos[],MATCH(DATE(CalYear,MONTH(B15),DAY(B15)),IF(MostrarFestivosObservados,tblDíasfestivos[CORREGIDO],tblDíasfestivos[DÍA]),0),2),""),""),"")</f>
        <v/>
      </c>
      <c r="C16" s="19" t="str">
        <f ca="1">IFERROR(IF(MostrarDíasFestivos,IF(INDEX(tblDíasfestivos[],MATCH(DATE(CalYear,MONTH(C15),DAY(C15)),IF(MostrarFestivosObservados,tblDíasfestivos[CORREGIDO],tblDíasfestivos[DÍA]),0),6),INDEX(tblDíasfestivos[],MATCH(DATE(CalYear,MONTH(C15),DAY(C15)),IF(MostrarFestivosObservados,tblDíasfestivos[CORREGIDO],tblDíasfestivos[DÍA]),0),2),""),""),"")</f>
        <v/>
      </c>
      <c r="D16" s="59"/>
      <c r="E16" s="59"/>
      <c r="F16" s="59"/>
      <c r="G16" s="59"/>
      <c r="H16" s="60"/>
    </row>
    <row r="17" spans="2:8" x14ac:dyDescent="0.3">
      <c r="B17" s="64"/>
      <c r="C17" s="64"/>
      <c r="D17" s="64"/>
      <c r="E17" s="64"/>
      <c r="F17" s="64"/>
      <c r="G17" s="64"/>
      <c r="H17" s="64"/>
    </row>
  </sheetData>
  <mergeCells count="4">
    <mergeCell ref="B2:D2"/>
    <mergeCell ref="D15:H15"/>
    <mergeCell ref="D16:H16"/>
    <mergeCell ref="B17:H17"/>
  </mergeCells>
  <conditionalFormatting sqref="B13:H13 B15:C15">
    <cfRule type="expression" dxfId="1" priority="2">
      <formula>AND(DAY(B13)&gt;=1,DAY(B13)&lt;=15)</formula>
    </cfRule>
  </conditionalFormatting>
  <conditionalFormatting sqref="B5:G5">
    <cfRule type="expression" dxfId="0" priority="1">
      <formula>DAY(B5)&gt;8</formula>
    </cfRule>
  </conditionalFormatting>
  <printOptions horizontalCentered="1"/>
  <pageMargins left="0.4" right="0.4" top="0.4" bottom="0.4" header="0.3" footer="0.3"/>
  <pageSetup paperSize="9" fitToHeight="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3">
    <tabColor theme="3"/>
    <pageSetUpPr fitToPage="1"/>
  </sheetPr>
  <dimension ref="B1:H14"/>
  <sheetViews>
    <sheetView showGridLines="0" workbookViewId="0"/>
  </sheetViews>
  <sheetFormatPr baseColWidth="10" defaultColWidth="9.140625" defaultRowHeight="15" x14ac:dyDescent="0.3"/>
  <cols>
    <col min="1" max="1" width="3.5703125" style="1" customWidth="1"/>
    <col min="2" max="2" width="22.85546875" style="1" customWidth="1"/>
    <col min="3" max="3" width="35.5703125" style="1" customWidth="1"/>
    <col min="4" max="4" width="49.42578125" style="1" customWidth="1"/>
    <col min="5" max="5" width="17.5703125" style="1" customWidth="1"/>
    <col min="6" max="6" width="13.42578125" style="1" customWidth="1"/>
    <col min="7" max="7" width="12.85546875" style="1" customWidth="1"/>
    <col min="8" max="8" width="3.5703125" style="1" customWidth="1"/>
    <col min="9" max="16384" width="9.140625" style="1"/>
  </cols>
  <sheetData>
    <row r="1" spans="2:8" ht="16.5" customHeight="1" x14ac:dyDescent="0.3">
      <c r="D1"/>
    </row>
    <row r="2" spans="2:8" ht="28.5" thickBot="1" x14ac:dyDescent="0.35">
      <c r="B2" s="30" t="s">
        <v>8</v>
      </c>
      <c r="C2" s="30"/>
      <c r="D2" s="32"/>
      <c r="E2" s="32"/>
      <c r="F2" s="32"/>
      <c r="G2" s="32"/>
      <c r="H2" s="1" t="s">
        <v>35</v>
      </c>
    </row>
    <row r="3" spans="2:8" ht="15.75" thickTop="1" x14ac:dyDescent="0.3">
      <c r="B3"/>
    </row>
    <row r="4" spans="2:8" ht="24" customHeight="1" x14ac:dyDescent="0.3">
      <c r="B4" s="26" t="s">
        <v>9</v>
      </c>
      <c r="C4" s="26" t="s">
        <v>10</v>
      </c>
      <c r="D4" s="26" t="s">
        <v>21</v>
      </c>
      <c r="E4" s="26" t="s">
        <v>32</v>
      </c>
      <c r="F4" s="26" t="s">
        <v>33</v>
      </c>
      <c r="G4" s="26" t="s">
        <v>34</v>
      </c>
    </row>
    <row r="5" spans="2:8" x14ac:dyDescent="0.3">
      <c r="B5" s="27">
        <f ca="1">DATE(CalYear,1,1)</f>
        <v>43831</v>
      </c>
      <c r="C5" s="26" t="s">
        <v>11</v>
      </c>
      <c r="D5" s="28" t="s">
        <v>22</v>
      </c>
      <c r="E5" s="29">
        <f ca="1">IFERROR(WEEKDAY(tblDíasfestivos[[#This Row],[DÍA]],IF(InicioDeLaSemana="Lunes",2,1)),0)</f>
        <v>4</v>
      </c>
      <c r="F5" s="27">
        <f ca="1">IF(ISTEXT(tblDíasfestivos[[#This Row],[DÍA]]),"No observado",IF(tblDíasfestivos[[#This Row],[DÍA DE LA SEMANA]]=1,tblDíasfestivos[[#This Row],[DÍA]]+1,IF(tblDíasfestivos[[#This Row],[DÍA DE LA SEMANA]]=7,tblDíasfestivos[[#This Row],[DÍA]]-1,tblDíasfestivos[[#This Row],[DÍA]])))</f>
        <v>43831</v>
      </c>
      <c r="G5" s="26" t="b">
        <v>1</v>
      </c>
    </row>
    <row r="6" spans="2:8" x14ac:dyDescent="0.3">
      <c r="B6" s="27" t="str">
        <f ca="1">IF(MOD(CalYear,4)=1,DATE(CalYear,1,20)+(WEEKDAY(DATE(CalYear,1,20))=1),"No observado")</f>
        <v>No observado</v>
      </c>
      <c r="C6" s="26" t="s">
        <v>12</v>
      </c>
      <c r="D6" s="26" t="s">
        <v>23</v>
      </c>
      <c r="E6" s="29">
        <f ca="1">IFERROR(WEEKDAY(tblDíasfestivos[[#This Row],[DÍA]],IF(InicioDeLaSemana="Lunes",2,1)),0)</f>
        <v>0</v>
      </c>
      <c r="F6" s="27" t="str">
        <f ca="1">IF(ISTEXT(tblDíasfestivos[[#This Row],[DÍA]]),"No observado",IF(tblDíasfestivos[[#This Row],[DÍA DE LA SEMANA]]=1,tblDíasfestivos[[#This Row],[DÍA]]+1,IF(tblDíasfestivos[[#This Row],[DÍA DE LA SEMANA]]=7,tblDíasfestivos[[#This Row],[DÍA]]-1,tblDíasfestivos[[#This Row],[DÍA]])))</f>
        <v>No observado</v>
      </c>
      <c r="G6" s="26" t="b">
        <v>1</v>
      </c>
    </row>
    <row r="7" spans="2:8" x14ac:dyDescent="0.3">
      <c r="B7" s="27">
        <f ca="1">DATE(CalYear,2,1+((3-(2&gt;=WEEKDAY(DATE(CalYear,2,1))))*7)+(2-WEEKDAY(DATE(CalYear,2,1))))</f>
        <v>43878</v>
      </c>
      <c r="C7" s="26" t="s">
        <v>13</v>
      </c>
      <c r="D7" s="26" t="s">
        <v>24</v>
      </c>
      <c r="E7" s="29">
        <f ca="1">IFERROR(WEEKDAY(tblDíasfestivos[[#This Row],[DÍA]],IF(InicioDeLaSemana="Lunes",2,1)),0)</f>
        <v>2</v>
      </c>
      <c r="F7" s="27">
        <f ca="1">IF(ISTEXT(tblDíasfestivos[[#This Row],[DÍA]]),"No observado",IF(tblDíasfestivos[[#This Row],[DÍA DE LA SEMANA]]=1,tblDíasfestivos[[#This Row],[DÍA]]+1,IF(tblDíasfestivos[[#This Row],[DÍA DE LA SEMANA]]=7,tblDíasfestivos[[#This Row],[DÍA]]-1,tblDíasfestivos[[#This Row],[DÍA]])))</f>
        <v>43878</v>
      </c>
      <c r="G7" s="26" t="b">
        <v>1</v>
      </c>
    </row>
    <row r="8" spans="2:8" x14ac:dyDescent="0.3">
      <c r="B8" s="27">
        <f ca="1">DATE(CalYear,5,1+((MayoLunes-(2&gt;=WEEKDAY(DATE(CalYear,5,1))))*7)+(2-WEEKDAY(DATE(CalYear,5,1))))</f>
        <v>43976</v>
      </c>
      <c r="C8" s="26" t="s">
        <v>14</v>
      </c>
      <c r="D8" s="26" t="s">
        <v>25</v>
      </c>
      <c r="E8" s="29">
        <f ca="1">IFERROR(WEEKDAY(tblDíasfestivos[[#This Row],[DÍA]],IF(InicioDeLaSemana="Lunes",2,1)),0)</f>
        <v>2</v>
      </c>
      <c r="F8" s="27">
        <f ca="1">IF(ISTEXT(tblDíasfestivos[[#This Row],[DÍA]]),"No observado",IF(tblDíasfestivos[[#This Row],[DÍA DE LA SEMANA]]=1,tblDíasfestivos[[#This Row],[DÍA]]+1,IF(tblDíasfestivos[[#This Row],[DÍA DE LA SEMANA]]=7,tblDíasfestivos[[#This Row],[DÍA]]-1,tblDíasfestivos[[#This Row],[DÍA]])))</f>
        <v>43976</v>
      </c>
      <c r="G8" s="26" t="b">
        <v>1</v>
      </c>
    </row>
    <row r="9" spans="2:8" x14ac:dyDescent="0.3">
      <c r="B9" s="27">
        <f ca="1">DATE(CalYear,7,4)</f>
        <v>44016</v>
      </c>
      <c r="C9" s="26" t="s">
        <v>15</v>
      </c>
      <c r="D9" s="28" t="s">
        <v>26</v>
      </c>
      <c r="E9" s="29">
        <f ca="1">IFERROR(WEEKDAY(tblDíasfestivos[[#This Row],[DÍA]],IF(InicioDeLaSemana="Lunes",2,1)),0)</f>
        <v>7</v>
      </c>
      <c r="F9" s="27">
        <f ca="1">IF(ISTEXT(tblDíasfestivos[[#This Row],[DÍA]]),"No observado",IF(tblDíasfestivos[[#This Row],[DÍA DE LA SEMANA]]=1,tblDíasfestivos[[#This Row],[DÍA]]+1,IF(tblDíasfestivos[[#This Row],[DÍA DE LA SEMANA]]=7,tblDíasfestivos[[#This Row],[DÍA]]-1,tblDíasfestivos[[#This Row],[DÍA]])))</f>
        <v>44015</v>
      </c>
      <c r="G9" s="26" t="b">
        <v>1</v>
      </c>
    </row>
    <row r="10" spans="2:8" x14ac:dyDescent="0.3">
      <c r="B10" s="27">
        <f ca="1">DATE(CalYear,9,1+((1-(2&gt;=WEEKDAY(DATE(CalYear,9,1))))*7)+(2-WEEKDAY(DATE(CalYear,9,1))))</f>
        <v>44081</v>
      </c>
      <c r="C10" s="26" t="s">
        <v>16</v>
      </c>
      <c r="D10" s="26" t="s">
        <v>27</v>
      </c>
      <c r="E10" s="29">
        <f ca="1">IFERROR(WEEKDAY(tblDíasfestivos[[#This Row],[DÍA]],IF(InicioDeLaSemana="Lunes",2,1)),0)</f>
        <v>2</v>
      </c>
      <c r="F10" s="27">
        <f ca="1">IF(ISTEXT(tblDíasfestivos[[#This Row],[DÍA]]),"No observado",IF(tblDíasfestivos[[#This Row],[DÍA DE LA SEMANA]]=1,tblDíasfestivos[[#This Row],[DÍA]]+1,IF(tblDíasfestivos[[#This Row],[DÍA DE LA SEMANA]]=7,tblDíasfestivos[[#This Row],[DÍA]]-1,tblDíasfestivos[[#This Row],[DÍA]])))</f>
        <v>44081</v>
      </c>
      <c r="G10" s="26" t="b">
        <v>1</v>
      </c>
    </row>
    <row r="11" spans="2:8" x14ac:dyDescent="0.3">
      <c r="B11" s="27">
        <f ca="1">DATE(CalYear,10,1+((2-(2&gt;=WEEKDAY(DATE(CalYear,10,1))))*7)+(2-WEEKDAY(DATE(CalYear,10,1))))</f>
        <v>44116</v>
      </c>
      <c r="C11" s="26" t="s">
        <v>17</v>
      </c>
      <c r="D11" s="26" t="s">
        <v>28</v>
      </c>
      <c r="E11" s="29">
        <f ca="1">IFERROR(WEEKDAY(tblDíasfestivos[[#This Row],[DÍA]],IF(InicioDeLaSemana="Lunes",2,1)),0)</f>
        <v>2</v>
      </c>
      <c r="F11" s="27">
        <f ca="1">IF(ISTEXT(tblDíasfestivos[[#This Row],[DÍA]]),"No observado",IF(tblDíasfestivos[[#This Row],[DÍA DE LA SEMANA]]=1,tblDíasfestivos[[#This Row],[DÍA]]+1,IF(tblDíasfestivos[[#This Row],[DÍA DE LA SEMANA]]=7,tblDíasfestivos[[#This Row],[DÍA]]-1,tblDíasfestivos[[#This Row],[DÍA]])))</f>
        <v>44116</v>
      </c>
      <c r="G11" s="26" t="b">
        <v>1</v>
      </c>
    </row>
    <row r="12" spans="2:8" x14ac:dyDescent="0.3">
      <c r="B12" s="27">
        <f ca="1">DATE(CalYear,11,11)</f>
        <v>44146</v>
      </c>
      <c r="C12" s="26" t="s">
        <v>18</v>
      </c>
      <c r="D12" s="28" t="s">
        <v>29</v>
      </c>
      <c r="E12" s="29">
        <f ca="1">IFERROR(WEEKDAY(tblDíasfestivos[[#This Row],[DÍA]],IF(InicioDeLaSemana="Lunes",2,1)),0)</f>
        <v>4</v>
      </c>
      <c r="F12" s="27">
        <f ca="1">IF(ISTEXT(tblDíasfestivos[[#This Row],[DÍA]]),"No observado",IF(tblDíasfestivos[[#This Row],[DÍA DE LA SEMANA]]=1,tblDíasfestivos[[#This Row],[DÍA]]+1,IF(tblDíasfestivos[[#This Row],[DÍA DE LA SEMANA]]=7,tblDíasfestivos[[#This Row],[DÍA]]-1,tblDíasfestivos[[#This Row],[DÍA]])))</f>
        <v>44146</v>
      </c>
      <c r="G12" s="26" t="b">
        <v>1</v>
      </c>
    </row>
    <row r="13" spans="2:8" x14ac:dyDescent="0.3">
      <c r="B13" s="27">
        <f ca="1">DATE(CalYear,11,1+((4-(5&gt;=WEEKDAY(DATE(CalYear,11,1))))*7)+(5-WEEKDAY(DATE(CalYear,11,1))))</f>
        <v>44161</v>
      </c>
      <c r="C13" s="26" t="s">
        <v>19</v>
      </c>
      <c r="D13" s="26" t="s">
        <v>30</v>
      </c>
      <c r="E13" s="29">
        <f ca="1">IFERROR(WEEKDAY(tblDíasfestivos[[#This Row],[DÍA]],IF(InicioDeLaSemana="Lunes",2,1)),0)</f>
        <v>5</v>
      </c>
      <c r="F13" s="27">
        <f ca="1">IF(ISTEXT(tblDíasfestivos[[#This Row],[DÍA]]),"No observado",IF(tblDíasfestivos[[#This Row],[DÍA DE LA SEMANA]]=1,tblDíasfestivos[[#This Row],[DÍA]]+1,IF(tblDíasfestivos[[#This Row],[DÍA DE LA SEMANA]]=7,tblDíasfestivos[[#This Row],[DÍA]]-1,tblDíasfestivos[[#This Row],[DÍA]])))</f>
        <v>44161</v>
      </c>
      <c r="G13" s="26" t="b">
        <v>1</v>
      </c>
    </row>
    <row r="14" spans="2:8" x14ac:dyDescent="0.3">
      <c r="B14" s="27">
        <f ca="1">DATE(CalYear,12,25)</f>
        <v>44190</v>
      </c>
      <c r="C14" s="26" t="s">
        <v>20</v>
      </c>
      <c r="D14" s="28" t="s">
        <v>31</v>
      </c>
      <c r="E14" s="29">
        <f ca="1">IFERROR(WEEKDAY(tblDíasfestivos[[#This Row],[DÍA]],IF(InicioDeLaSemana="Lunes",2,1)),0)</f>
        <v>6</v>
      </c>
      <c r="F14" s="27">
        <f ca="1">IF(ISTEXT(tblDíasfestivos[[#This Row],[DÍA]]),"No observado",IF(tblDíasfestivos[[#This Row],[DÍA DE LA SEMANA]]=1,tblDíasfestivos[[#This Row],[DÍA]]+1,IF(tblDíasfestivos[[#This Row],[DÍA DE LA SEMANA]]=7,tblDíasfestivos[[#This Row],[DÍA]]-1,tblDíasfestivos[[#This Row],[DÍA]])))</f>
        <v>44190</v>
      </c>
      <c r="G14" s="26" t="b">
        <v>1</v>
      </c>
    </row>
  </sheetData>
  <dataValidations count="1">
    <dataValidation type="list" allowBlank="1" showInputMessage="1" showErrorMessage="1" sqref="G5:G14" xr:uid="{00000000-0002-0000-0D00-000000000000}">
      <formula1>"VERDADERO, FALSO"</formula1>
    </dataValidation>
  </dataValidations>
  <printOptions horizontalCentered="1"/>
  <pageMargins left="0.4" right="0.4" top="0.4" bottom="0.4" header="0.3" footer="0.3"/>
  <pageSetup paperSize="9" scale="93" fitToHeight="0" orientation="landscape" r:id="rId1"/>
  <ignoredErrors>
    <ignoredError sqref="E5 F5 F6:F14" calculatedColumn="1"/>
  </ignoredErrors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18</vt:i4>
      </vt:variant>
    </vt:vector>
  </HeadingPairs>
  <TitlesOfParts>
    <vt:vector size="32" baseType="lpstr">
      <vt:lpstr>Configuración</vt:lpstr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  <vt:lpstr>Días festivos</vt:lpstr>
      <vt:lpstr>Abril!Área_de_impresión</vt:lpstr>
      <vt:lpstr>Agosto!Área_de_impresión</vt:lpstr>
      <vt:lpstr>Configuración!Área_de_impresión</vt:lpstr>
      <vt:lpstr>Diciembre!Área_de_impresión</vt:lpstr>
      <vt:lpstr>Enero!Área_de_impresión</vt:lpstr>
      <vt:lpstr>Febrero!Área_de_impresión</vt:lpstr>
      <vt:lpstr>Julio!Área_de_impresión</vt:lpstr>
      <vt:lpstr>Junio!Área_de_impresión</vt:lpstr>
      <vt:lpstr>Marzo!Área_de_impresión</vt:lpstr>
      <vt:lpstr>Mayo!Área_de_impresión</vt:lpstr>
      <vt:lpstr>Noviembre!Área_de_impresión</vt:lpstr>
      <vt:lpstr>Octubre!Área_de_impresión</vt:lpstr>
      <vt:lpstr>Septiembre!Área_de_impresión</vt:lpstr>
      <vt:lpstr>CalYear</vt:lpstr>
      <vt:lpstr>InicioDeLaSemana</vt:lpstr>
      <vt:lpstr>MostrarDíasFestivos</vt:lpstr>
      <vt:lpstr>MostrarFestivosObservados</vt:lpstr>
      <vt:lpstr>Observado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01</dc:creator>
  <cp:lastModifiedBy>01</cp:lastModifiedBy>
  <dcterms:created xsi:type="dcterms:W3CDTF">2017-11-29T09:17:50Z</dcterms:created>
  <dcterms:modified xsi:type="dcterms:W3CDTF">2020-04-23T04:05:09Z</dcterms:modified>
  <cp:version/>
</cp:coreProperties>
</file>