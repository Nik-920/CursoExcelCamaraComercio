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2026"/>
  <workbookPr codeName="ThisWorkbook" autoCompressPictures="0"/>
  <mc:AlternateContent xmlns:mc="http://schemas.openxmlformats.org/markup-compatibility/2006">
    <mc:Choice Requires="x15">
      <x15ac:absPath xmlns:x15ac="http://schemas.microsoft.com/office/spreadsheetml/2010/11/ac" url="C:\Users\01\Desktop\AILEEN PLANTILLAS\EXCEL\CALENDARIO\"/>
    </mc:Choice>
  </mc:AlternateContent>
  <xr:revisionPtr revIDLastSave="0" documentId="8_{C3901839-7A19-4796-A259-3477F00E9636}" xr6:coauthVersionLast="45" xr6:coauthVersionMax="45" xr10:uidLastSave="{00000000-0000-0000-0000-000000000000}"/>
  <bookViews>
    <workbookView xWindow="-120" yWindow="-120" windowWidth="20730" windowHeight="11160" tabRatio="805" xr2:uid="{00000000-000D-0000-FFFF-FFFF00000000}"/>
  </bookViews>
  <sheets>
    <sheet name="configuración del calendario" sheetId="14" r:id="rId1"/>
    <sheet name="enero" sheetId="27" r:id="rId2"/>
    <sheet name="febrero" sheetId="40" r:id="rId3"/>
    <sheet name="marzo" sheetId="41" r:id="rId4"/>
    <sheet name="abril" sheetId="42" r:id="rId5"/>
    <sheet name="mayo" sheetId="43" r:id="rId6"/>
    <sheet name="junio" sheetId="44" r:id="rId7"/>
    <sheet name="julio" sheetId="45" r:id="rId8"/>
    <sheet name="agosto" sheetId="46" r:id="rId9"/>
    <sheet name="septiembre" sheetId="47" r:id="rId10"/>
    <sheet name="octubre" sheetId="48" r:id="rId11"/>
    <sheet name="noviembre" sheetId="49" r:id="rId12"/>
    <sheet name="diciembre" sheetId="50" r:id="rId13"/>
  </sheets>
  <definedNames>
    <definedName name="_xlnm.Print_Area" localSheetId="0">'configuración del calendario'!$A$1:$A$26</definedName>
    <definedName name="CalendarYear">'configuración del calendario'!$C$2</definedName>
    <definedName name="DaysAndWeeks">{0,1,2,3,4,5,6} + {0;1;2;3;4;5}*7</definedName>
    <definedName name="inicio_de_la_semana">'configuración del calendario'!$C$3</definedName>
  </definedNames>
  <calcPr calcId="181029"/>
  <extLst>
    <ext xmlns:xcalcf="http://schemas.microsoft.com/office/spreadsheetml/2018/calcfeatures" uri="{B58B0392-4F1F-4190-BB64-5DF3571DCE5F}">
      <xcalcf:calcFeatures>
        <xcalcf:feature name="microsoft.com:RD"/>
      </xcalcf:calcFeatures>
    </ext>
    <ext xmlns:mx="http://schemas.microsoft.com/office/mac/excel/2008/main" uri="{7523E5D3-25F3-A5E0-1632-64F254C22452}">
      <mx:ArchID Flags="2"/>
    </ext>
  </extLst>
</workbook>
</file>

<file path=xl/calcChain.xml><?xml version="1.0" encoding="utf-8"?>
<calcChain xmlns="http://schemas.openxmlformats.org/spreadsheetml/2006/main">
  <c r="C2" i="14" l="1"/>
  <c r="B7" i="47" l="1" a="1"/>
  <c r="B5" i="47" a="1"/>
  <c r="B3" i="47" a="1"/>
  <c r="B13" i="46" a="1"/>
  <c r="B11" i="46" a="1"/>
  <c r="B9" i="46" a="1"/>
  <c r="B7" i="46" a="1"/>
  <c r="B5" i="46" a="1"/>
  <c r="B3" i="46" a="1"/>
  <c r="B13" i="45" a="1"/>
  <c r="B11" i="45" a="1"/>
  <c r="B9" i="45" a="1"/>
  <c r="B7" i="45" a="1"/>
  <c r="B5" i="45" a="1"/>
  <c r="B3" i="45" a="1"/>
  <c r="B13" i="44" a="1"/>
  <c r="B11" i="44" a="1"/>
  <c r="B9" i="44" a="1"/>
  <c r="B7" i="44" a="1"/>
  <c r="B5" i="44" a="1"/>
  <c r="B3" i="44" a="1"/>
  <c r="B13" i="43" a="1"/>
  <c r="B11" i="43" a="1"/>
  <c r="B9" i="43" a="1"/>
  <c r="B7" i="43" a="1"/>
  <c r="B5" i="43" a="1"/>
  <c r="B3" i="43" a="1"/>
  <c r="B13" i="42" a="1"/>
  <c r="B11" i="42" a="1"/>
  <c r="B9" i="42" a="1"/>
  <c r="B7" i="42" a="1"/>
  <c r="B5" i="42" a="1"/>
  <c r="B3" i="42" a="1"/>
  <c r="B13" i="41" a="1"/>
  <c r="B11" i="41" a="1"/>
  <c r="B9" i="41" a="1"/>
  <c r="B7" i="41" a="1"/>
  <c r="B5" i="41" a="1"/>
  <c r="B3" i="41" a="1"/>
  <c r="B13" i="40" a="1"/>
  <c r="B11" i="40" a="1"/>
  <c r="B9" i="40" a="1"/>
  <c r="B7" i="40" a="1"/>
  <c r="B5" i="40" a="1"/>
  <c r="B3" i="40" a="1"/>
  <c r="B13" i="27" a="1"/>
  <c r="B11" i="27" a="1"/>
  <c r="B9" i="27" a="1"/>
  <c r="B7" i="27" a="1"/>
  <c r="B5" i="27" a="1"/>
  <c r="B3" i="27" a="1"/>
  <c r="B13" i="50" a="1"/>
  <c r="B11" i="50" a="1"/>
  <c r="B9" i="50" a="1"/>
  <c r="B7" i="50" a="1"/>
  <c r="B5" i="50" a="1"/>
  <c r="B3" i="50" a="1"/>
  <c r="B13" i="49" a="1"/>
  <c r="B11" i="49" a="1"/>
  <c r="B9" i="49" a="1"/>
  <c r="B7" i="49" a="1"/>
  <c r="B5" i="49" a="1"/>
  <c r="B3" i="49" a="1"/>
  <c r="B13" i="48" a="1"/>
  <c r="B11" i="48" a="1"/>
  <c r="B9" i="48" a="1"/>
  <c r="B7" i="48" a="1"/>
  <c r="B5" i="48" a="1"/>
  <c r="B3" i="48" a="1"/>
  <c r="B13" i="47" a="1"/>
  <c r="B11" i="47" a="1"/>
  <c r="B9" i="47" a="1"/>
  <c r="B2" i="50"/>
  <c r="H1" i="50"/>
  <c r="B2" i="49"/>
  <c r="H1" i="49"/>
  <c r="B2" i="48"/>
  <c r="H1" i="48"/>
  <c r="B2" i="47"/>
  <c r="H1" i="47"/>
  <c r="B2" i="46"/>
  <c r="H1" i="46"/>
  <c r="B2" i="45"/>
  <c r="H1" i="45"/>
  <c r="B2" i="44"/>
  <c r="H1" i="44"/>
  <c r="B2" i="43"/>
  <c r="H1" i="43"/>
  <c r="B2" i="42"/>
  <c r="H1" i="42"/>
  <c r="B2" i="41"/>
  <c r="H1" i="41"/>
  <c r="B2" i="40"/>
  <c r="H1" i="40"/>
  <c r="H1" i="27"/>
  <c r="H13" i="47" l="1"/>
  <c r="F13" i="47"/>
  <c r="D13" i="47"/>
  <c r="B13" i="47"/>
  <c r="G13" i="47"/>
  <c r="C13" i="47"/>
  <c r="E13" i="47"/>
  <c r="H9" i="48"/>
  <c r="F9" i="48"/>
  <c r="D9" i="48"/>
  <c r="B9" i="48"/>
  <c r="G9" i="48"/>
  <c r="C9" i="48"/>
  <c r="E9" i="48"/>
  <c r="H5" i="49"/>
  <c r="F5" i="49"/>
  <c r="D5" i="49"/>
  <c r="B5" i="49"/>
  <c r="G5" i="49"/>
  <c r="C5" i="49"/>
  <c r="E5" i="49"/>
  <c r="H13" i="49"/>
  <c r="F13" i="49"/>
  <c r="D13" i="49"/>
  <c r="B13" i="49"/>
  <c r="G13" i="49"/>
  <c r="C13" i="49"/>
  <c r="E13" i="49"/>
  <c r="H9" i="50"/>
  <c r="F9" i="50"/>
  <c r="D9" i="50"/>
  <c r="B9" i="50"/>
  <c r="G9" i="50"/>
  <c r="C9" i="50"/>
  <c r="E9" i="50"/>
  <c r="G5" i="27"/>
  <c r="E5" i="27"/>
  <c r="C5" i="27"/>
  <c r="H5" i="27"/>
  <c r="F5" i="27"/>
  <c r="D5" i="27"/>
  <c r="B5" i="27"/>
  <c r="G5" i="40"/>
  <c r="E5" i="40"/>
  <c r="C5" i="40"/>
  <c r="H5" i="40"/>
  <c r="F5" i="40"/>
  <c r="D5" i="40"/>
  <c r="B5" i="40"/>
  <c r="G13" i="40"/>
  <c r="E13" i="40"/>
  <c r="C13" i="40"/>
  <c r="H13" i="40"/>
  <c r="F13" i="40"/>
  <c r="D13" i="40"/>
  <c r="B13" i="40"/>
  <c r="G9" i="41"/>
  <c r="E9" i="41"/>
  <c r="C9" i="41"/>
  <c r="H9" i="41"/>
  <c r="F9" i="41"/>
  <c r="D9" i="41"/>
  <c r="B9" i="41"/>
  <c r="G5" i="42"/>
  <c r="E5" i="42"/>
  <c r="C5" i="42"/>
  <c r="F5" i="42"/>
  <c r="B5" i="42"/>
  <c r="H5" i="42"/>
  <c r="D5" i="42"/>
  <c r="G13" i="42"/>
  <c r="E13" i="42"/>
  <c r="C13" i="42"/>
  <c r="F13" i="42"/>
  <c r="B13" i="42"/>
  <c r="H13" i="42"/>
  <c r="D13" i="42"/>
  <c r="G9" i="43"/>
  <c r="E9" i="43"/>
  <c r="C9" i="43"/>
  <c r="F9" i="43"/>
  <c r="B9" i="43"/>
  <c r="H9" i="43"/>
  <c r="D9" i="43"/>
  <c r="G5" i="44"/>
  <c r="E5" i="44"/>
  <c r="C5" i="44"/>
  <c r="F5" i="44"/>
  <c r="B5" i="44"/>
  <c r="H5" i="44"/>
  <c r="D5" i="44"/>
  <c r="G13" i="44"/>
  <c r="E13" i="44"/>
  <c r="C13" i="44"/>
  <c r="F13" i="44"/>
  <c r="B13" i="44"/>
  <c r="H13" i="44"/>
  <c r="D13" i="44"/>
  <c r="G9" i="45"/>
  <c r="E9" i="45"/>
  <c r="C9" i="45"/>
  <c r="F9" i="45"/>
  <c r="B9" i="45"/>
  <c r="H9" i="45"/>
  <c r="D9" i="45"/>
  <c r="G5" i="46"/>
  <c r="E5" i="46"/>
  <c r="C5" i="46"/>
  <c r="F5" i="46"/>
  <c r="B5" i="46"/>
  <c r="H5" i="46"/>
  <c r="D5" i="46"/>
  <c r="G9" i="46"/>
  <c r="E9" i="46"/>
  <c r="C9" i="46"/>
  <c r="F9" i="46"/>
  <c r="B9" i="46"/>
  <c r="H9" i="46"/>
  <c r="D9" i="46"/>
  <c r="G13" i="46"/>
  <c r="E13" i="46"/>
  <c r="C13" i="46"/>
  <c r="F13" i="46"/>
  <c r="B13" i="46"/>
  <c r="H13" i="46"/>
  <c r="D13" i="46"/>
  <c r="G5" i="47"/>
  <c r="E5" i="47"/>
  <c r="C5" i="47"/>
  <c r="F5" i="47"/>
  <c r="B5" i="47"/>
  <c r="H5" i="47"/>
  <c r="D5" i="47"/>
  <c r="H9" i="47"/>
  <c r="F9" i="47"/>
  <c r="D9" i="47"/>
  <c r="B9" i="47"/>
  <c r="G9" i="47"/>
  <c r="C9" i="47"/>
  <c r="E9" i="47"/>
  <c r="H5" i="48"/>
  <c r="F5" i="48"/>
  <c r="D5" i="48"/>
  <c r="B5" i="48"/>
  <c r="G5" i="48"/>
  <c r="C5" i="48"/>
  <c r="E5" i="48"/>
  <c r="H13" i="48"/>
  <c r="F13" i="48"/>
  <c r="D13" i="48"/>
  <c r="B13" i="48"/>
  <c r="G13" i="48"/>
  <c r="C13" i="48"/>
  <c r="E13" i="48"/>
  <c r="H9" i="49"/>
  <c r="F9" i="49"/>
  <c r="D9" i="49"/>
  <c r="B9" i="49"/>
  <c r="G9" i="49"/>
  <c r="C9" i="49"/>
  <c r="E9" i="49"/>
  <c r="H5" i="50"/>
  <c r="F5" i="50"/>
  <c r="D5" i="50"/>
  <c r="B5" i="50"/>
  <c r="G5" i="50"/>
  <c r="C5" i="50"/>
  <c r="E5" i="50"/>
  <c r="H13" i="50"/>
  <c r="F13" i="50"/>
  <c r="D13" i="50"/>
  <c r="B13" i="50"/>
  <c r="G13" i="50"/>
  <c r="C13" i="50"/>
  <c r="E13" i="50"/>
  <c r="G9" i="27"/>
  <c r="E9" i="27"/>
  <c r="C9" i="27"/>
  <c r="H9" i="27"/>
  <c r="F9" i="27"/>
  <c r="D9" i="27"/>
  <c r="B9" i="27"/>
  <c r="G13" i="27"/>
  <c r="E13" i="27"/>
  <c r="C13" i="27"/>
  <c r="H13" i="27"/>
  <c r="F13" i="27"/>
  <c r="D13" i="27"/>
  <c r="B13" i="27"/>
  <c r="G9" i="40"/>
  <c r="E9" i="40"/>
  <c r="C9" i="40"/>
  <c r="H9" i="40"/>
  <c r="F9" i="40"/>
  <c r="D9" i="40"/>
  <c r="B9" i="40"/>
  <c r="G5" i="41"/>
  <c r="E5" i="41"/>
  <c r="C5" i="41"/>
  <c r="H5" i="41"/>
  <c r="F5" i="41"/>
  <c r="D5" i="41"/>
  <c r="B5" i="41"/>
  <c r="G13" i="41"/>
  <c r="E13" i="41"/>
  <c r="C13" i="41"/>
  <c r="H13" i="41"/>
  <c r="F13" i="41"/>
  <c r="D13" i="41"/>
  <c r="B13" i="41"/>
  <c r="G9" i="42"/>
  <c r="E9" i="42"/>
  <c r="C9" i="42"/>
  <c r="F9" i="42"/>
  <c r="B9" i="42"/>
  <c r="H9" i="42"/>
  <c r="D9" i="42"/>
  <c r="G5" i="43"/>
  <c r="E5" i="43"/>
  <c r="C5" i="43"/>
  <c r="F5" i="43"/>
  <c r="B5" i="43"/>
  <c r="H5" i="43"/>
  <c r="D5" i="43"/>
  <c r="G13" i="43"/>
  <c r="E13" i="43"/>
  <c r="C13" i="43"/>
  <c r="F13" i="43"/>
  <c r="B13" i="43"/>
  <c r="H13" i="43"/>
  <c r="D13" i="43"/>
  <c r="G9" i="44"/>
  <c r="E9" i="44"/>
  <c r="C9" i="44"/>
  <c r="F9" i="44"/>
  <c r="B9" i="44"/>
  <c r="H9" i="44"/>
  <c r="D9" i="44"/>
  <c r="G5" i="45"/>
  <c r="E5" i="45"/>
  <c r="C5" i="45"/>
  <c r="F5" i="45"/>
  <c r="B5" i="45"/>
  <c r="H5" i="45"/>
  <c r="D5" i="45"/>
  <c r="G13" i="45"/>
  <c r="E13" i="45"/>
  <c r="C13" i="45"/>
  <c r="F13" i="45"/>
  <c r="B13" i="45"/>
  <c r="H13" i="45"/>
  <c r="D13" i="45"/>
  <c r="H11" i="47"/>
  <c r="F11" i="47"/>
  <c r="D11" i="47"/>
  <c r="B11" i="47"/>
  <c r="G11" i="47"/>
  <c r="C11" i="47"/>
  <c r="E11" i="47"/>
  <c r="H3" i="48"/>
  <c r="H2" i="48" s="1"/>
  <c r="F3" i="48"/>
  <c r="D3" i="48"/>
  <c r="B3" i="48"/>
  <c r="G3" i="48"/>
  <c r="C3" i="48"/>
  <c r="E3" i="48"/>
  <c r="E2" i="48" s="1"/>
  <c r="H7" i="48"/>
  <c r="F7" i="48"/>
  <c r="D7" i="48"/>
  <c r="B7" i="48"/>
  <c r="B1" i="48" s="1"/>
  <c r="G7" i="48"/>
  <c r="C7" i="48"/>
  <c r="E7" i="48"/>
  <c r="H11" i="48"/>
  <c r="F11" i="48"/>
  <c r="D11" i="48"/>
  <c r="B11" i="48"/>
  <c r="G11" i="48"/>
  <c r="C11" i="48"/>
  <c r="E11" i="48"/>
  <c r="H3" i="49"/>
  <c r="F3" i="49"/>
  <c r="F2" i="49" s="1"/>
  <c r="D3" i="49"/>
  <c r="B3" i="49"/>
  <c r="G3" i="49"/>
  <c r="C3" i="49"/>
  <c r="E3" i="49"/>
  <c r="E2" i="49" s="1"/>
  <c r="H7" i="49"/>
  <c r="F7" i="49"/>
  <c r="D7" i="49"/>
  <c r="B7" i="49"/>
  <c r="G7" i="49"/>
  <c r="C7" i="49"/>
  <c r="E7" i="49"/>
  <c r="H11" i="49"/>
  <c r="F11" i="49"/>
  <c r="D11" i="49"/>
  <c r="B11" i="49"/>
  <c r="G11" i="49"/>
  <c r="C11" i="49"/>
  <c r="E11" i="49"/>
  <c r="H3" i="50"/>
  <c r="H2" i="50" s="1"/>
  <c r="F3" i="50"/>
  <c r="D3" i="50"/>
  <c r="D2" i="50" s="1"/>
  <c r="B3" i="50"/>
  <c r="G3" i="50"/>
  <c r="G2" i="50" s="1"/>
  <c r="C3" i="50"/>
  <c r="E3" i="50"/>
  <c r="E2" i="50" s="1"/>
  <c r="H7" i="50"/>
  <c r="F7" i="50"/>
  <c r="D7" i="50"/>
  <c r="B7" i="50"/>
  <c r="B1" i="50" s="1"/>
  <c r="G7" i="50"/>
  <c r="C7" i="50"/>
  <c r="E7" i="50"/>
  <c r="H11" i="50"/>
  <c r="F11" i="50"/>
  <c r="D11" i="50"/>
  <c r="B11" i="50"/>
  <c r="G11" i="50"/>
  <c r="C11" i="50"/>
  <c r="E11" i="50"/>
  <c r="G3" i="27"/>
  <c r="E3" i="27"/>
  <c r="E2" i="27" s="1"/>
  <c r="C3" i="27"/>
  <c r="H3" i="27"/>
  <c r="H2" i="27" s="1"/>
  <c r="F3" i="27"/>
  <c r="D3" i="27"/>
  <c r="D2" i="27" s="1"/>
  <c r="B3" i="27"/>
  <c r="G7" i="27"/>
  <c r="E7" i="27"/>
  <c r="C7" i="27"/>
  <c r="H7" i="27"/>
  <c r="F7" i="27"/>
  <c r="D7" i="27"/>
  <c r="B7" i="27"/>
  <c r="G11" i="27"/>
  <c r="E11" i="27"/>
  <c r="C11" i="27"/>
  <c r="H11" i="27"/>
  <c r="F11" i="27"/>
  <c r="D11" i="27"/>
  <c r="B11" i="27"/>
  <c r="G3" i="40"/>
  <c r="G2" i="40" s="1"/>
  <c r="E3" i="40"/>
  <c r="C3" i="40"/>
  <c r="C2" i="40" s="1"/>
  <c r="H3" i="40"/>
  <c r="H2" i="40" s="1"/>
  <c r="F3" i="40"/>
  <c r="F2" i="40" s="1"/>
  <c r="D3" i="40"/>
  <c r="B3" i="40"/>
  <c r="G7" i="40"/>
  <c r="E7" i="40"/>
  <c r="C7" i="40"/>
  <c r="H7" i="40"/>
  <c r="F7" i="40"/>
  <c r="D7" i="40"/>
  <c r="B7" i="40"/>
  <c r="G11" i="40"/>
  <c r="E11" i="40"/>
  <c r="C11" i="40"/>
  <c r="H11" i="40"/>
  <c r="F11" i="40"/>
  <c r="D11" i="40"/>
  <c r="B11" i="40"/>
  <c r="G3" i="41"/>
  <c r="E3" i="41"/>
  <c r="E2" i="41" s="1"/>
  <c r="C3" i="41"/>
  <c r="H3" i="41"/>
  <c r="H2" i="41" s="1"/>
  <c r="F3" i="41"/>
  <c r="D3" i="41"/>
  <c r="B3" i="41"/>
  <c r="G7" i="41"/>
  <c r="E7" i="41"/>
  <c r="C7" i="41"/>
  <c r="H7" i="41"/>
  <c r="F7" i="41"/>
  <c r="D7" i="41"/>
  <c r="B7" i="41"/>
  <c r="B1" i="41" s="1"/>
  <c r="G11" i="41"/>
  <c r="E11" i="41"/>
  <c r="C11" i="41"/>
  <c r="H11" i="41"/>
  <c r="F11" i="41"/>
  <c r="D11" i="41"/>
  <c r="B11" i="41"/>
  <c r="G3" i="42"/>
  <c r="G2" i="42" s="1"/>
  <c r="E3" i="42"/>
  <c r="C3" i="42"/>
  <c r="C2" i="42" s="1"/>
  <c r="H3" i="42"/>
  <c r="F3" i="42"/>
  <c r="D3" i="42"/>
  <c r="B3" i="42"/>
  <c r="G7" i="42"/>
  <c r="E7" i="42"/>
  <c r="C7" i="42"/>
  <c r="F7" i="42"/>
  <c r="B7" i="42"/>
  <c r="H7" i="42"/>
  <c r="D7" i="42"/>
  <c r="G11" i="42"/>
  <c r="E11" i="42"/>
  <c r="C11" i="42"/>
  <c r="F11" i="42"/>
  <c r="B11" i="42"/>
  <c r="H11" i="42"/>
  <c r="D11" i="42"/>
  <c r="G3" i="43"/>
  <c r="G2" i="43" s="1"/>
  <c r="E3" i="43"/>
  <c r="E2" i="43" s="1"/>
  <c r="C3" i="43"/>
  <c r="F3" i="43"/>
  <c r="F2" i="43" s="1"/>
  <c r="B3" i="43"/>
  <c r="H3" i="43"/>
  <c r="H2" i="43" s="1"/>
  <c r="D3" i="43"/>
  <c r="G7" i="43"/>
  <c r="E7" i="43"/>
  <c r="C7" i="43"/>
  <c r="F7" i="43"/>
  <c r="B7" i="43"/>
  <c r="B1" i="43" s="1"/>
  <c r="H7" i="43"/>
  <c r="D7" i="43"/>
  <c r="G11" i="43"/>
  <c r="E11" i="43"/>
  <c r="C11" i="43"/>
  <c r="F11" i="43"/>
  <c r="B11" i="43"/>
  <c r="H11" i="43"/>
  <c r="D11" i="43"/>
  <c r="G3" i="44"/>
  <c r="G2" i="44" s="1"/>
  <c r="E3" i="44"/>
  <c r="C3" i="44"/>
  <c r="C2" i="44" s="1"/>
  <c r="F3" i="44"/>
  <c r="F2" i="44" s="1"/>
  <c r="B3" i="44"/>
  <c r="H3" i="44"/>
  <c r="D3" i="44"/>
  <c r="G7" i="44"/>
  <c r="E7" i="44"/>
  <c r="C7" i="44"/>
  <c r="F7" i="44"/>
  <c r="B7" i="44"/>
  <c r="H7" i="44"/>
  <c r="D7" i="44"/>
  <c r="G11" i="44"/>
  <c r="E11" i="44"/>
  <c r="C11" i="44"/>
  <c r="F11" i="44"/>
  <c r="B11" i="44"/>
  <c r="H11" i="44"/>
  <c r="D11" i="44"/>
  <c r="G3" i="45"/>
  <c r="E3" i="45"/>
  <c r="E2" i="45" s="1"/>
  <c r="C3" i="45"/>
  <c r="F3" i="45"/>
  <c r="B3" i="45"/>
  <c r="H3" i="45"/>
  <c r="H2" i="45" s="1"/>
  <c r="D3" i="45"/>
  <c r="G7" i="45"/>
  <c r="E7" i="45"/>
  <c r="C7" i="45"/>
  <c r="F7" i="45"/>
  <c r="B7" i="45"/>
  <c r="B1" i="45" s="1"/>
  <c r="H7" i="45"/>
  <c r="D7" i="45"/>
  <c r="G11" i="45"/>
  <c r="E11" i="45"/>
  <c r="C11" i="45"/>
  <c r="F11" i="45"/>
  <c r="B11" i="45"/>
  <c r="H11" i="45"/>
  <c r="D11" i="45"/>
  <c r="G3" i="46"/>
  <c r="G2" i="46" s="1"/>
  <c r="E3" i="46"/>
  <c r="E2" i="46" s="1"/>
  <c r="C3" i="46"/>
  <c r="C2" i="46" s="1"/>
  <c r="F3" i="46"/>
  <c r="B3" i="46"/>
  <c r="H3" i="46"/>
  <c r="H2" i="46" s="1"/>
  <c r="D3" i="46"/>
  <c r="D2" i="46" s="1"/>
  <c r="G7" i="46"/>
  <c r="E7" i="46"/>
  <c r="C7" i="46"/>
  <c r="F7" i="46"/>
  <c r="B7" i="46"/>
  <c r="H7" i="46"/>
  <c r="D7" i="46"/>
  <c r="G11" i="46"/>
  <c r="E11" i="46"/>
  <c r="C11" i="46"/>
  <c r="F11" i="46"/>
  <c r="B11" i="46"/>
  <c r="H11" i="46"/>
  <c r="D11" i="46"/>
  <c r="G3" i="47"/>
  <c r="E3" i="47"/>
  <c r="C3" i="47"/>
  <c r="F3" i="47"/>
  <c r="F2" i="47" s="1"/>
  <c r="B3" i="47"/>
  <c r="H3" i="47"/>
  <c r="H2" i="47" s="1"/>
  <c r="D3" i="47"/>
  <c r="H7" i="47"/>
  <c r="G7" i="47"/>
  <c r="E7" i="47"/>
  <c r="C7" i="47"/>
  <c r="F7" i="47"/>
  <c r="B7" i="47"/>
  <c r="B1" i="47" s="1"/>
  <c r="D7" i="47"/>
  <c r="H2" i="44"/>
  <c r="D2" i="44"/>
  <c r="E2" i="44"/>
  <c r="B1" i="44"/>
  <c r="C2" i="43"/>
  <c r="H2" i="42"/>
  <c r="D2" i="42"/>
  <c r="E2" i="42"/>
  <c r="B1" i="42"/>
  <c r="D2" i="41"/>
  <c r="C2" i="50"/>
  <c r="F2" i="50"/>
  <c r="H2" i="49"/>
  <c r="B1" i="49"/>
  <c r="G2" i="48"/>
  <c r="C2" i="48"/>
  <c r="D2" i="48"/>
  <c r="G2" i="47"/>
  <c r="E2" i="47"/>
  <c r="G2" i="45"/>
  <c r="F2" i="45"/>
  <c r="E2" i="40"/>
  <c r="F2" i="27"/>
  <c r="G2" i="27"/>
  <c r="F2" i="48"/>
  <c r="F2" i="42"/>
  <c r="D2" i="45"/>
  <c r="D2" i="47"/>
  <c r="C2" i="49"/>
  <c r="G2" i="49"/>
  <c r="D2" i="49"/>
  <c r="C2" i="47"/>
  <c r="F2" i="46"/>
  <c r="B1" i="46"/>
  <c r="C2" i="45"/>
  <c r="D2" i="43"/>
  <c r="C2" i="41"/>
  <c r="G2" i="41"/>
  <c r="F2" i="41"/>
  <c r="D2" i="40"/>
  <c r="B1" i="40"/>
  <c r="C2" i="27"/>
  <c r="B2" i="27"/>
  <c r="B1" i="27" l="1"/>
</calcChain>
</file>

<file path=xl/sharedStrings.xml><?xml version="1.0" encoding="utf-8"?>
<sst xmlns="http://schemas.openxmlformats.org/spreadsheetml/2006/main" count="31" uniqueCount="9">
  <si>
    <t>configuración del calendario</t>
  </si>
  <si>
    <t>año:</t>
  </si>
  <si>
    <t>inicio de la semana:</t>
  </si>
  <si>
    <t>a enero &gt;</t>
  </si>
  <si>
    <t>Recoger a Juan en la escuela</t>
  </si>
  <si>
    <t>notas</t>
  </si>
  <si>
    <t>Preparar vacaciones de verano.</t>
  </si>
  <si>
    <t xml:space="preserve"> </t>
  </si>
  <si>
    <t>do.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</si>
</sst>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1" formatCode="_ * #,##0_ ;_ * \-#,##0_ ;_ * &quot;-&quot;_ ;_ @_ "/>
    <numFmt numFmtId="43" formatCode="_ * #,##0.00_ ;_ * \-#,##0.00_ ;_ * &quot;-&quot;??_ ;_ @_ "/>
    <numFmt numFmtId="164" formatCode="_ &quot;₹&quot;\ * #,##0_ ;_ &quot;₹&quot;\ * \-#,##0_ ;_ &quot;₹&quot;\ * &quot;-&quot;_ ;_ @_ "/>
    <numFmt numFmtId="165" formatCode="_ &quot;₹&quot;\ * #,##0.00_ ;_ &quot;₹&quot;\ * \-#,##0.00_ ;_ &quot;₹&quot;\ * &quot;-&quot;??_ ;_ @_ "/>
    <numFmt numFmtId="166" formatCode="mmmm\ yyyy"/>
    <numFmt numFmtId="167" formatCode="d"/>
  </numFmts>
  <fonts count="17" x14ac:knownFonts="1">
    <font>
      <sz val="11"/>
      <color theme="3"/>
      <name val="Segoe UI"/>
      <family val="2"/>
      <scheme val="minor"/>
    </font>
    <font>
      <sz val="8"/>
      <name val="Arial"/>
      <family val="2"/>
    </font>
    <font>
      <sz val="10"/>
      <name val="Century Gothic"/>
      <family val="2"/>
    </font>
    <font>
      <b/>
      <sz val="11"/>
      <color theme="0"/>
      <name val="Segoe UI"/>
      <family val="2"/>
      <scheme val="minor"/>
    </font>
    <font>
      <b/>
      <sz val="14"/>
      <color theme="0"/>
      <name val="Segoe UI"/>
      <family val="2"/>
      <scheme val="minor"/>
    </font>
    <font>
      <sz val="10"/>
      <color indexed="63"/>
      <name val="Segoe UI"/>
      <family val="2"/>
      <scheme val="minor"/>
    </font>
    <font>
      <sz val="35"/>
      <color theme="4"/>
      <name val="Segoe UI"/>
      <family val="2"/>
      <scheme val="minor"/>
    </font>
    <font>
      <sz val="14"/>
      <color theme="0"/>
      <name val="Segoe UI"/>
      <family val="2"/>
      <scheme val="minor"/>
    </font>
    <font>
      <sz val="10"/>
      <color theme="5" tint="0.39997558519241921"/>
      <name val="Segoe UI"/>
      <family val="2"/>
      <scheme val="minor"/>
    </font>
    <font>
      <b/>
      <sz val="35"/>
      <color theme="3"/>
      <name val="Segoe UI"/>
      <family val="2"/>
      <scheme val="major"/>
    </font>
    <font>
      <sz val="16"/>
      <color theme="4"/>
      <name val="Segoe UI"/>
      <family val="2"/>
      <scheme val="major"/>
    </font>
    <font>
      <b/>
      <sz val="26"/>
      <color theme="4"/>
      <name val="Segoe UI"/>
      <family val="2"/>
      <scheme val="major"/>
    </font>
    <font>
      <sz val="11"/>
      <color theme="3"/>
      <name val="Segoe UI"/>
      <family val="2"/>
      <scheme val="minor"/>
    </font>
    <font>
      <b/>
      <sz val="20"/>
      <color theme="5" tint="-0.24994659260841701"/>
      <name val="Segoe UI"/>
      <family val="2"/>
      <scheme val="major"/>
    </font>
    <font>
      <sz val="11"/>
      <color theme="5" tint="-0.249977111117893"/>
      <name val="Segoe UI"/>
      <family val="2"/>
      <scheme val="minor"/>
    </font>
    <font>
      <sz val="14"/>
      <color theme="1"/>
      <name val="Segoe UI"/>
      <family val="2"/>
      <scheme val="minor"/>
    </font>
    <font>
      <sz val="14"/>
      <name val="Segoe UI"/>
      <family val="2"/>
      <scheme val="minor"/>
    </font>
  </fonts>
  <fills count="8">
    <fill>
      <patternFill patternType="none"/>
    </fill>
    <fill>
      <patternFill patternType="gray125"/>
    </fill>
    <fill>
      <patternFill patternType="solid">
        <fgColor theme="4" tint="0.59999389629810485"/>
        <bgColor indexed="65"/>
      </patternFill>
    </fill>
    <fill>
      <patternFill patternType="solid">
        <fgColor theme="4"/>
      </patternFill>
    </fill>
    <fill>
      <patternFill patternType="solid">
        <fgColor theme="8"/>
      </patternFill>
    </fill>
    <fill>
      <patternFill patternType="solid">
        <fgColor theme="1"/>
        <bgColor indexed="64"/>
      </patternFill>
    </fill>
    <fill>
      <patternFill patternType="solid">
        <fgColor rgb="FFFFFFCC"/>
      </patternFill>
    </fill>
    <fill>
      <patternFill patternType="solid">
        <fgColor theme="0"/>
        <bgColor indexed="64"/>
      </patternFill>
    </fill>
  </fills>
  <borders count="5">
    <border>
      <left/>
      <right/>
      <top/>
      <bottom/>
      <diagonal/>
    </border>
    <border>
      <left style="thin">
        <color theme="4" tint="0.39994506668294322"/>
      </left>
      <right style="thin">
        <color theme="4" tint="0.39994506668294322"/>
      </right>
      <top style="thin">
        <color theme="4" tint="0.39994506668294322"/>
      </top>
      <bottom style="thin">
        <color theme="4" tint="0.39994506668294322"/>
      </bottom>
      <diagonal/>
    </border>
    <border>
      <left style="thick">
        <color theme="1" tint="0.499984740745262"/>
      </left>
      <right style="thick">
        <color theme="1" tint="0.499984740745262"/>
      </right>
      <top style="thick">
        <color theme="1" tint="0.499984740745262"/>
      </top>
      <bottom style="thick">
        <color theme="1" tint="0.499984740745262"/>
      </bottom>
      <diagonal/>
    </border>
    <border>
      <left/>
      <right/>
      <top/>
      <bottom style="mediumDashed">
        <color theme="5" tint="0.39994506668294322"/>
      </bottom>
      <diagonal/>
    </border>
    <border>
      <left style="thin">
        <color rgb="FFB2B2B2"/>
      </left>
      <right style="thin">
        <color rgb="FFB2B2B2"/>
      </right>
      <top style="thin">
        <color rgb="FFB2B2B2"/>
      </top>
      <bottom style="thin">
        <color rgb="FFB2B2B2"/>
      </bottom>
      <diagonal/>
    </border>
  </borders>
  <cellStyleXfs count="16">
    <xf numFmtId="0" fontId="0" fillId="0" borderId="0">
      <alignment wrapText="1"/>
    </xf>
    <xf numFmtId="0" fontId="5" fillId="2" borderId="0" applyNumberFormat="0" applyBorder="0" applyAlignment="0" applyProtection="0"/>
    <xf numFmtId="0" fontId="10" fillId="0" borderId="0" applyNumberFormat="0" applyFill="0" applyBorder="0" applyAlignment="0" applyProtection="0"/>
    <xf numFmtId="0" fontId="3" fillId="3" borderId="1" applyNumberFormat="0" applyAlignment="0" applyProtection="0"/>
    <xf numFmtId="0" fontId="4" fillId="4" borderId="2" applyNumberFormat="0" applyProtection="0">
      <alignment vertical="center"/>
    </xf>
    <xf numFmtId="0" fontId="9" fillId="0" borderId="0" applyNumberFormat="0" applyFill="0" applyBorder="0" applyAlignment="0" applyProtection="0"/>
    <xf numFmtId="0" fontId="13" fillId="0" borderId="0" applyNumberFormat="0" applyAlignment="0" applyProtection="0"/>
    <xf numFmtId="0" fontId="11" fillId="0" borderId="0" applyNumberFormat="0" applyAlignment="0" applyProtection="0"/>
    <xf numFmtId="0" fontId="15" fillId="7" borderId="0" applyNumberFormat="0" applyBorder="0" applyAlignment="0" applyProtection="0"/>
    <xf numFmtId="0" fontId="7" fillId="5" borderId="0" applyNumberFormat="0" applyFill="0" applyBorder="0" applyAlignment="0" applyProtection="0"/>
    <xf numFmtId="43" fontId="12" fillId="0" borderId="0" applyFill="0" applyBorder="0" applyAlignment="0" applyProtection="0"/>
    <xf numFmtId="41" fontId="12" fillId="0" borderId="0" applyFill="0" applyBorder="0" applyAlignment="0" applyProtection="0"/>
    <xf numFmtId="165" fontId="12" fillId="0" borderId="0" applyFill="0" applyBorder="0" applyAlignment="0" applyProtection="0"/>
    <xf numFmtId="164" fontId="12" fillId="0" borderId="0" applyFill="0" applyBorder="0" applyAlignment="0" applyProtection="0"/>
    <xf numFmtId="9" fontId="12" fillId="0" borderId="0" applyFill="0" applyBorder="0" applyAlignment="0" applyProtection="0"/>
    <xf numFmtId="0" fontId="12" fillId="6" borderId="4" applyNumberFormat="0" applyAlignment="0" applyProtection="0"/>
  </cellStyleXfs>
  <cellXfs count="16">
    <xf numFmtId="0" fontId="0" fillId="0" borderId="0" xfId="0">
      <alignment wrapText="1"/>
    </xf>
    <xf numFmtId="0" fontId="8" fillId="0" borderId="3" xfId="0" applyFont="1" applyFill="1" applyBorder="1">
      <alignment wrapText="1"/>
    </xf>
    <xf numFmtId="0" fontId="13" fillId="0" borderId="0" xfId="6" applyFill="1" applyAlignment="1">
      <alignment horizontal="left"/>
    </xf>
    <xf numFmtId="0" fontId="11" fillId="0" borderId="0" xfId="7" applyFill="1" applyAlignment="1">
      <alignment horizontal="left" indent="1"/>
    </xf>
    <xf numFmtId="0" fontId="6" fillId="0" borderId="3" xfId="5" applyFont="1" applyFill="1" applyBorder="1" applyAlignment="1">
      <alignment vertical="center"/>
    </xf>
    <xf numFmtId="0" fontId="2" fillId="0" borderId="0" xfId="0" applyFont="1" applyFill="1">
      <alignment wrapText="1"/>
    </xf>
    <xf numFmtId="0" fontId="10" fillId="0" borderId="0" xfId="2" applyFill="1" applyBorder="1" applyAlignment="1">
      <alignment horizontal="left" indent="1"/>
    </xf>
    <xf numFmtId="0" fontId="13" fillId="0" borderId="0" xfId="6" applyAlignment="1">
      <alignment horizontal="left"/>
    </xf>
    <xf numFmtId="167" fontId="14" fillId="0" borderId="0" xfId="0" applyNumberFormat="1" applyFont="1" applyFill="1" applyBorder="1" applyAlignment="1">
      <alignment horizontal="left" wrapText="1" indent="1"/>
    </xf>
    <xf numFmtId="167" fontId="14" fillId="0" borderId="0" xfId="0" applyNumberFormat="1" applyFont="1" applyFill="1" applyBorder="1" applyAlignment="1">
      <alignment horizontal="left" vertical="center" wrapText="1" indent="1"/>
    </xf>
    <xf numFmtId="167" fontId="14" fillId="0" borderId="0" xfId="0" applyNumberFormat="1" applyFont="1" applyFill="1" applyBorder="1" applyAlignment="1">
      <alignment vertical="center" wrapText="1"/>
    </xf>
    <xf numFmtId="167" fontId="0" fillId="0" borderId="0" xfId="0" applyNumberFormat="1" applyFont="1" applyFill="1" applyBorder="1" applyAlignment="1">
      <alignment vertical="center" wrapText="1"/>
    </xf>
    <xf numFmtId="0" fontId="9" fillId="0" borderId="3" xfId="5" applyFill="1" applyBorder="1" applyAlignment="1">
      <alignment horizontal="left" vertical="center"/>
    </xf>
    <xf numFmtId="0" fontId="16" fillId="7" borderId="3" xfId="8" applyFont="1" applyBorder="1" applyAlignment="1">
      <alignment horizontal="center"/>
    </xf>
    <xf numFmtId="0" fontId="0" fillId="0" borderId="0" xfId="0" applyAlignment="1">
      <alignment horizontal="left" vertical="top" wrapText="1"/>
    </xf>
    <xf numFmtId="166" fontId="9" fillId="0" borderId="3" xfId="5" applyNumberFormat="1" applyFill="1" applyBorder="1" applyAlignment="1">
      <alignment horizontal="left" vertical="center"/>
    </xf>
  </cellXfs>
  <cellStyles count="16">
    <cellStyle name="40% - Énfasis1" xfId="1" builtinId="31" customBuiltin="1"/>
    <cellStyle name="Encabezado 1" xfId="2" builtinId="16" customBuiltin="1"/>
    <cellStyle name="Énfasis1" xfId="3" builtinId="29" customBuiltin="1"/>
    <cellStyle name="Énfasis5" xfId="4" builtinId="45" customBuiltin="1"/>
    <cellStyle name="Hipervínculo" xfId="8" builtinId="8" customBuiltin="1"/>
    <cellStyle name="Hipervínculo visitado" xfId="9" builtinId="9" customBuiltin="1"/>
    <cellStyle name="Millares" xfId="10" builtinId="3" customBuiltin="1"/>
    <cellStyle name="Millares [0]" xfId="11" builtinId="6" customBuiltin="1"/>
    <cellStyle name="Moneda" xfId="12" builtinId="4" customBuiltin="1"/>
    <cellStyle name="Moneda [0]" xfId="13" builtinId="7" customBuiltin="1"/>
    <cellStyle name="Normal" xfId="0" builtinId="0" customBuiltin="1"/>
    <cellStyle name="Notas" xfId="15" builtinId="10" customBuiltin="1"/>
    <cellStyle name="Porcentaje" xfId="14" builtinId="5" customBuiltin="1"/>
    <cellStyle name="Título" xfId="5" builtinId="15" customBuiltin="1"/>
    <cellStyle name="Título 2" xfId="6" builtinId="17" customBuiltin="1"/>
    <cellStyle name="Título 3" xfId="7" builtinId="18" customBuiltin="1"/>
  </cellStyles>
  <dxfs count="24">
    <dxf>
      <font>
        <color theme="2" tint="-9.9948118533890809E-2"/>
      </font>
      <fill>
        <patternFill patternType="none">
          <bgColor auto="1"/>
        </patternFill>
      </fill>
    </dxf>
    <dxf>
      <font>
        <color theme="2" tint="-9.9948118533890809E-2"/>
      </font>
      <fill>
        <patternFill patternType="none">
          <bgColor auto="1"/>
        </patternFill>
      </fill>
    </dxf>
    <dxf>
      <font>
        <color theme="2" tint="-9.9948118533890809E-2"/>
      </font>
      <fill>
        <patternFill patternType="none">
          <bgColor auto="1"/>
        </patternFill>
      </fill>
    </dxf>
    <dxf>
      <font>
        <color theme="2" tint="-9.9948118533890809E-2"/>
      </font>
      <fill>
        <patternFill patternType="none">
          <bgColor auto="1"/>
        </patternFill>
      </fill>
    </dxf>
    <dxf>
      <font>
        <color theme="2" tint="-9.9948118533890809E-2"/>
      </font>
      <fill>
        <patternFill patternType="none">
          <bgColor auto="1"/>
        </patternFill>
      </fill>
    </dxf>
    <dxf>
      <font>
        <color theme="2" tint="-9.9948118533890809E-2"/>
      </font>
      <fill>
        <patternFill patternType="none">
          <bgColor auto="1"/>
        </patternFill>
      </fill>
    </dxf>
    <dxf>
      <font>
        <color theme="2" tint="-9.9948118533890809E-2"/>
      </font>
      <fill>
        <patternFill patternType="none">
          <bgColor auto="1"/>
        </patternFill>
      </fill>
    </dxf>
    <dxf>
      <font>
        <color theme="2" tint="-9.9948118533890809E-2"/>
      </font>
      <fill>
        <patternFill patternType="none">
          <bgColor auto="1"/>
        </patternFill>
      </fill>
    </dxf>
    <dxf>
      <font>
        <color theme="2" tint="-9.9948118533890809E-2"/>
      </font>
      <fill>
        <patternFill patternType="none">
          <bgColor auto="1"/>
        </patternFill>
      </fill>
    </dxf>
    <dxf>
      <font>
        <color theme="2" tint="-9.9948118533890809E-2"/>
      </font>
      <fill>
        <patternFill patternType="none">
          <bgColor auto="1"/>
        </patternFill>
      </fill>
    </dxf>
    <dxf>
      <font>
        <color theme="2" tint="-9.9948118533890809E-2"/>
      </font>
      <fill>
        <patternFill patternType="none">
          <bgColor auto="1"/>
        </patternFill>
      </fill>
    </dxf>
    <dxf>
      <font>
        <color theme="2" tint="-9.9948118533890809E-2"/>
      </font>
      <fill>
        <patternFill patternType="none">
          <bgColor auto="1"/>
        </patternFill>
      </fill>
    </dxf>
    <dxf>
      <font>
        <color theme="2" tint="-9.9948118533890809E-2"/>
      </font>
      <fill>
        <patternFill patternType="none">
          <bgColor auto="1"/>
        </patternFill>
      </fill>
    </dxf>
    <dxf>
      <font>
        <color theme="2" tint="-9.9948118533890809E-2"/>
      </font>
      <fill>
        <patternFill patternType="none">
          <bgColor auto="1"/>
        </patternFill>
      </fill>
    </dxf>
    <dxf>
      <font>
        <color theme="2" tint="-9.9948118533890809E-2"/>
      </font>
      <fill>
        <patternFill patternType="none">
          <bgColor auto="1"/>
        </patternFill>
      </fill>
    </dxf>
    <dxf>
      <font>
        <color theme="2" tint="-9.9948118533890809E-2"/>
      </font>
      <fill>
        <patternFill patternType="none">
          <bgColor auto="1"/>
        </patternFill>
      </fill>
    </dxf>
    <dxf>
      <font>
        <color theme="2" tint="-9.9948118533890809E-2"/>
      </font>
      <fill>
        <patternFill patternType="none">
          <bgColor auto="1"/>
        </patternFill>
      </fill>
    </dxf>
    <dxf>
      <font>
        <color theme="2" tint="-9.9948118533890809E-2"/>
      </font>
      <fill>
        <patternFill patternType="none">
          <bgColor auto="1"/>
        </patternFill>
      </fill>
    </dxf>
    <dxf>
      <font>
        <color theme="2" tint="-9.9948118533890809E-2"/>
      </font>
      <fill>
        <patternFill patternType="none">
          <bgColor auto="1"/>
        </patternFill>
      </fill>
    </dxf>
    <dxf>
      <font>
        <color theme="2" tint="-9.9948118533890809E-2"/>
      </font>
      <fill>
        <patternFill patternType="none">
          <bgColor auto="1"/>
        </patternFill>
      </fill>
    </dxf>
    <dxf>
      <font>
        <color theme="2" tint="-9.9948118533890809E-2"/>
      </font>
      <fill>
        <patternFill patternType="none">
          <bgColor auto="1"/>
        </patternFill>
      </fill>
    </dxf>
    <dxf>
      <font>
        <color theme="2" tint="-9.9948118533890809E-2"/>
      </font>
      <fill>
        <patternFill patternType="none">
          <bgColor auto="1"/>
        </patternFill>
      </fill>
    </dxf>
    <dxf>
      <font>
        <color theme="2" tint="-9.9948118533890809E-2"/>
      </font>
      <fill>
        <patternFill patternType="none">
          <bgColor auto="1"/>
        </patternFill>
      </fill>
    </dxf>
    <dxf>
      <font>
        <color theme="2" tint="-9.9948118533890809E-2"/>
      </font>
      <fill>
        <patternFill patternType="none">
          <bgColor auto="1"/>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F1F2F5"/>
      <rgbColor rgb="00008080"/>
      <rgbColor rgb="00E4EAF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314265"/>
      <rgbColor rgb="00CCFFCC"/>
      <rgbColor rgb="00FFEECD"/>
      <rgbColor rgb="00D0D8E2"/>
      <rgbColor rgb="00FF99CC"/>
      <rgbColor rgb="00CC99FF"/>
      <rgbColor rgb="00FFCC99"/>
      <rgbColor rgb="003366FF"/>
      <rgbColor rgb="0033CCCC"/>
      <rgbColor rgb="0099CC00"/>
      <rgbColor rgb="00FFCC00"/>
      <rgbColor rgb="00FF9900"/>
      <rgbColor rgb="00FF6600"/>
      <rgbColor rgb="00717789"/>
      <rgbColor rgb="00969696"/>
      <rgbColor rgb="00003366"/>
      <rgbColor rgb="00339966"/>
      <rgbColor rgb="00003300"/>
      <rgbColor rgb="00333300"/>
      <rgbColor rgb="00993300"/>
      <rgbColor rgb="00993366"/>
      <rgbColor rgb="00333399"/>
      <rgbColor rgb="004B4B4B"/>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theme/theme1.xml><?xml version="1.0" encoding="utf-8"?>
<a:theme xmlns:a="http://schemas.openxmlformats.org/drawingml/2006/main" name="Office Theme">
  <a:themeElements>
    <a:clrScheme name="Calendar Multiple Tabs">
      <a:dk1>
        <a:sysClr val="windowText" lastClr="000000"/>
      </a:dk1>
      <a:lt1>
        <a:sysClr val="window" lastClr="FFFFFF"/>
      </a:lt1>
      <a:dk2>
        <a:srgbClr val="595959"/>
      </a:dk2>
      <a:lt2>
        <a:srgbClr val="EDEDED"/>
      </a:lt2>
      <a:accent1>
        <a:srgbClr val="F05B35"/>
      </a:accent1>
      <a:accent2>
        <a:srgbClr val="8B7479"/>
      </a:accent2>
      <a:accent3>
        <a:srgbClr val="7DAE4B"/>
      </a:accent3>
      <a:accent4>
        <a:srgbClr val="8D77FB"/>
      </a:accent4>
      <a:accent5>
        <a:srgbClr val="5B7799"/>
      </a:accent5>
      <a:accent6>
        <a:srgbClr val="7DAE4B"/>
      </a:accent6>
      <a:hlink>
        <a:srgbClr val="D8E500"/>
      </a:hlink>
      <a:folHlink>
        <a:srgbClr val="8D77FB"/>
      </a:folHlink>
    </a:clrScheme>
    <a:fontScheme name="Evergreen Calendar">
      <a:majorFont>
        <a:latin typeface="Segoe UI"/>
        <a:ea typeface=""/>
        <a:cs typeface=""/>
      </a:majorFont>
      <a:minorFont>
        <a:latin typeface="Segoe UI"/>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3"/>
    <pageSetUpPr autoPageBreaks="0" fitToPage="1"/>
  </sheetPr>
  <dimension ref="B1:J26"/>
  <sheetViews>
    <sheetView showGridLines="0" tabSelected="1" zoomScaleNormal="100" workbookViewId="0"/>
  </sheetViews>
  <sheetFormatPr baseColWidth="10" defaultColWidth="8.75" defaultRowHeight="16.5" x14ac:dyDescent="0.3"/>
  <cols>
    <col min="1" max="1" width="2.625" customWidth="1"/>
    <col min="2" max="2" width="51.5" customWidth="1"/>
    <col min="3" max="3" width="30.375" customWidth="1"/>
    <col min="4" max="8" width="4" customWidth="1"/>
    <col min="9" max="9" width="4.5" customWidth="1"/>
    <col min="10" max="10" width="5.875" customWidth="1"/>
  </cols>
  <sheetData>
    <row r="1" spans="2:10" ht="59.25" customHeight="1" thickBot="1" x14ac:dyDescent="0.4">
      <c r="B1" s="12" t="s">
        <v>0</v>
      </c>
      <c r="C1" s="12"/>
      <c r="D1" s="1"/>
      <c r="E1" s="1"/>
      <c r="F1" s="1"/>
      <c r="G1" s="1"/>
      <c r="H1" s="13" t="s">
        <v>3</v>
      </c>
      <c r="I1" s="13"/>
      <c r="J1" s="13"/>
    </row>
    <row r="2" spans="2:10" ht="52.5" customHeight="1" x14ac:dyDescent="0.65">
      <c r="B2" s="2" t="s">
        <v>1</v>
      </c>
      <c r="C2" s="3">
        <f ca="1">YEAR(TODAY())</f>
        <v>2020</v>
      </c>
    </row>
    <row r="3" spans="2:10" ht="52.5" customHeight="1" x14ac:dyDescent="0.65">
      <c r="B3" s="2" t="s">
        <v>2</v>
      </c>
      <c r="C3" s="3" t="s">
        <v>8</v>
      </c>
    </row>
    <row r="4" spans="2:10" ht="19.5" customHeight="1" x14ac:dyDescent="0.3"/>
    <row r="5" spans="2:10" ht="19.5" customHeight="1" x14ac:dyDescent="0.3"/>
    <row r="6" spans="2:10" ht="18.75" customHeight="1" x14ac:dyDescent="0.3"/>
    <row r="7" spans="2:10" ht="18.75" customHeight="1" x14ac:dyDescent="0.3"/>
    <row r="8" spans="2:10" ht="18.75" customHeight="1" x14ac:dyDescent="0.3"/>
    <row r="9" spans="2:10" ht="18.75" customHeight="1" x14ac:dyDescent="0.3"/>
    <row r="10" spans="2:10" ht="18.75" customHeight="1" x14ac:dyDescent="0.3"/>
    <row r="11" spans="2:10" ht="18.75" customHeight="1" x14ac:dyDescent="0.3"/>
    <row r="12" spans="2:10" ht="18.75" customHeight="1" x14ac:dyDescent="0.3"/>
    <row r="13" spans="2:10" ht="18.75" customHeight="1" x14ac:dyDescent="0.3"/>
    <row r="14" spans="2:10" ht="18.75" customHeight="1" x14ac:dyDescent="0.3"/>
    <row r="15" spans="2:10" ht="18.75" customHeight="1" x14ac:dyDescent="0.3"/>
    <row r="16" spans="2:10" ht="18.75" customHeight="1" x14ac:dyDescent="0.3"/>
    <row r="17" ht="18.75" customHeight="1" x14ac:dyDescent="0.3"/>
    <row r="18" ht="18.75" customHeight="1" x14ac:dyDescent="0.3"/>
    <row r="19" ht="18.75" customHeight="1" x14ac:dyDescent="0.3"/>
    <row r="20" ht="18.75" customHeight="1" x14ac:dyDescent="0.3"/>
    <row r="21" ht="18.75" customHeight="1" x14ac:dyDescent="0.3"/>
    <row r="22" ht="18.75" customHeight="1" x14ac:dyDescent="0.3"/>
    <row r="23" ht="18.75" customHeight="1" x14ac:dyDescent="0.3"/>
    <row r="24" ht="18.75" customHeight="1" x14ac:dyDescent="0.3"/>
    <row r="25" ht="18.75" customHeight="1" x14ac:dyDescent="0.3"/>
    <row r="26" ht="18.75" customHeight="1" x14ac:dyDescent="0.3"/>
  </sheetData>
  <dataConsolidate/>
  <mergeCells count="2">
    <mergeCell ref="B1:C1"/>
    <mergeCell ref="H1:J1"/>
  </mergeCells>
  <phoneticPr fontId="1" type="noConversion"/>
  <dataValidations count="6">
    <dataValidation type="list" errorStyle="warning" allowBlank="1" showInputMessage="1" showErrorMessage="1" error="Seleccione el día de inicio de la semana en la lista de esta celda. Seleccione CANCELAR. A continuación, presione ALT+FLECHA ABAJO para mostrar las opciones y, después, FLECHA ABAJO y ENTRAR para realizar la selección." prompt="Seleccione el día de inicio de la semana en esta celda. Presione ALT+FLECHA ABAJO para mostrar las opciones y, después, FLECHA ABAJO y ENTRAR para realizar la selección." sqref="C3" xr:uid="{00000000-0002-0000-0000-000001000000}">
      <formula1>"do.,lu."</formula1>
    </dataValidation>
    <dataValidation allowBlank="1" showInputMessage="1" showErrorMessage="1" prompt="Cree pestañas de calendario permanentes en este libro. Escriba el año y el día de inicio de la semana en esta hoja de cálculo. El calendario de cada mes se actualiza automáticamente en hojas de cálculo independientes." sqref="A1" xr:uid="{00000000-0002-0000-0000-000002000000}"/>
    <dataValidation allowBlank="1" showInputMessage="1" showErrorMessage="1" prompt="El título de esta hoja de cálculo está en esta celda. Escriba el año y seleccione el día de inicio de la semana en las celdas inferiores." sqref="B1:C1" xr:uid="{00000000-0002-0000-0000-000003000000}"/>
    <dataValidation allowBlank="1" showInputMessage="1" showErrorMessage="1" prompt="Escriba el año en la celda de la derecha." sqref="B2" xr:uid="{00000000-0002-0000-0000-000004000000}"/>
    <dataValidation allowBlank="1" showInputMessage="1" showErrorMessage="1" prompt="Escriba el año en esta celda." sqref="C2" xr:uid="{00000000-0002-0000-0000-000005000000}"/>
    <dataValidation allowBlank="1" showInputMessage="1" showErrorMessage="1" prompt="Seleccione el día de inicio de la semana en la celda de la derecha." sqref="B3" xr:uid="{00000000-0002-0000-0000-000006000000}"/>
  </dataValidations>
  <hyperlinks>
    <hyperlink ref="H1" location="enero!A1" display="a enero &gt;" xr:uid="{00000000-0004-0000-0000-000000000000}"/>
  </hyperlinks>
  <printOptions horizontalCentered="1" verticalCentered="1"/>
  <pageMargins left="0.7" right="0.7" top="0.75" bottom="0.75" header="0.3" footer="0.3"/>
  <pageSetup paperSize="9" orientation="landscape" r:id="rId1"/>
  <headerFooter differentFirst="1" alignWithMargins="0">
    <oddFooter>Page &amp;P of &amp;N</oddFooter>
  </headerFooter>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tint="-0.499984740745262"/>
    <pageSetUpPr autoPageBreaks="0" fitToPage="1"/>
  </sheetPr>
  <dimension ref="A1:K16"/>
  <sheetViews>
    <sheetView showGridLines="0" zoomScaleNormal="100" workbookViewId="0"/>
  </sheetViews>
  <sheetFormatPr baseColWidth="10" defaultColWidth="8.75" defaultRowHeight="16.5" x14ac:dyDescent="0.3"/>
  <cols>
    <col min="1" max="1" width="2.625" customWidth="1"/>
    <col min="2" max="8" width="17.5" customWidth="1"/>
    <col min="9" max="9" width="2.625" customWidth="1"/>
    <col min="10" max="10" width="38.5" customWidth="1"/>
    <col min="11" max="11" width="2.375" customWidth="1"/>
  </cols>
  <sheetData>
    <row r="1" spans="1:11" ht="59.25" customHeight="1" thickBot="1" x14ac:dyDescent="0.35">
      <c r="B1" s="15" t="str">
        <f ca="1">LOWER(TEXT(B7,"mmmm"))</f>
        <v>enero</v>
      </c>
      <c r="C1" s="15"/>
      <c r="D1" s="15"/>
      <c r="E1" s="15"/>
      <c r="F1" s="15"/>
      <c r="G1" s="15"/>
      <c r="H1" s="4">
        <f ca="1">CalendarYear</f>
        <v>2020</v>
      </c>
      <c r="K1" t="s">
        <v>7</v>
      </c>
    </row>
    <row r="2" spans="1:11" s="5" customFormat="1" ht="46.5" customHeight="1" x14ac:dyDescent="0.55000000000000004">
      <c r="A2"/>
      <c r="B2" s="6" t="str">
        <f>inicio_de_la_semana</f>
        <v>do.</v>
      </c>
      <c r="C2" s="6" t="str">
        <f t="shared" ref="C2:H2" ca="1" si="0">LOWER(TEXT(C3,"ddd"))</f>
        <v>lun</v>
      </c>
      <c r="D2" s="6" t="str">
        <f t="shared" ca="1" si="0"/>
        <v>mar</v>
      </c>
      <c r="E2" s="6" t="str">
        <f t="shared" ca="1" si="0"/>
        <v>mié</v>
      </c>
      <c r="F2" s="6" t="str">
        <f t="shared" ca="1" si="0"/>
        <v>jue</v>
      </c>
      <c r="G2" s="6" t="str">
        <f t="shared" ca="1" si="0"/>
        <v>vie</v>
      </c>
      <c r="H2" s="6" t="str">
        <f t="shared" ca="1" si="0"/>
        <v>sáb</v>
      </c>
      <c r="I2"/>
      <c r="J2" s="7" t="s">
        <v>5</v>
      </c>
    </row>
    <row r="3" spans="1:11" ht="19.5" customHeight="1" x14ac:dyDescent="0.3">
      <c r="B3" s="8">
        <f t="array" aca="1" ref="B3:H3" ca="1">DaysAndWeeks+DATE(CalendarYear,1,1)-WEEKDAY(DATE(CalendarYear,1,1),(inicio_de_la_semana="lu.")+1)+1</f>
        <v>43828</v>
      </c>
      <c r="C3" s="8">
        <f ca="1"/>
        <v>43829</v>
      </c>
      <c r="D3" s="8">
        <f ca="1"/>
        <v>43830</v>
      </c>
      <c r="E3" s="8">
        <f ca="1"/>
        <v>43831</v>
      </c>
      <c r="F3" s="8">
        <f ca="1"/>
        <v>43832</v>
      </c>
      <c r="G3" s="8">
        <f ca="1"/>
        <v>43833</v>
      </c>
      <c r="H3" s="8">
        <f ca="1"/>
        <v>43834</v>
      </c>
      <c r="J3" s="14" t="s">
        <v>6</v>
      </c>
    </row>
    <row r="4" spans="1:11" ht="58.5" customHeight="1" x14ac:dyDescent="0.3">
      <c r="B4" s="9"/>
      <c r="C4" s="9"/>
      <c r="D4" s="9"/>
      <c r="E4" s="9"/>
      <c r="F4" s="9"/>
      <c r="G4" s="9"/>
      <c r="H4" s="9"/>
      <c r="J4" s="14"/>
    </row>
    <row r="5" spans="1:11" ht="18.75" customHeight="1" x14ac:dyDescent="0.3">
      <c r="B5" s="8">
        <f t="array" aca="1" ref="B5:H5" ca="1">DaysAndWeeks+DATE(CalendarYear,1,1)-WEEKDAY(DATE(CalendarYear,1,1),(inicio_de_la_semana="lu.")+1)+8</f>
        <v>43835</v>
      </c>
      <c r="C5" s="8">
        <f ca="1"/>
        <v>43836</v>
      </c>
      <c r="D5" s="8">
        <f ca="1"/>
        <v>43837</v>
      </c>
      <c r="E5" s="8">
        <f ca="1"/>
        <v>43838</v>
      </c>
      <c r="F5" s="8">
        <f ca="1"/>
        <v>43839</v>
      </c>
      <c r="G5" s="8">
        <f ca="1"/>
        <v>43840</v>
      </c>
      <c r="H5" s="8">
        <f ca="1"/>
        <v>43841</v>
      </c>
    </row>
    <row r="6" spans="1:11" ht="56.25" customHeight="1" x14ac:dyDescent="0.3">
      <c r="B6" s="9"/>
      <c r="C6" s="9"/>
      <c r="D6" s="9"/>
      <c r="E6" s="10" t="s">
        <v>4</v>
      </c>
      <c r="F6" s="9"/>
      <c r="G6" s="9"/>
      <c r="H6" s="9"/>
    </row>
    <row r="7" spans="1:11" ht="18.75" customHeight="1" x14ac:dyDescent="0.3">
      <c r="B7" s="8">
        <f t="array" aca="1" ref="B7:H7" ca="1">DaysAndWeeks+DATE(CalendarYear,1,1)-WEEKDAY(DATE(CalendarYear,1,1),(inicio_de_la_semana="lu.")+1)+15</f>
        <v>43842</v>
      </c>
      <c r="C7" s="8">
        <f ca="1"/>
        <v>43843</v>
      </c>
      <c r="D7" s="8">
        <f ca="1"/>
        <v>43844</v>
      </c>
      <c r="E7" s="8">
        <f ca="1"/>
        <v>43845</v>
      </c>
      <c r="F7" s="8">
        <f ca="1"/>
        <v>43846</v>
      </c>
      <c r="G7" s="8">
        <f ca="1"/>
        <v>43847</v>
      </c>
      <c r="H7" s="8">
        <f ca="1"/>
        <v>43848</v>
      </c>
    </row>
    <row r="8" spans="1:11" ht="56.25" customHeight="1" x14ac:dyDescent="0.3">
      <c r="B8" s="9"/>
      <c r="C8" s="9"/>
      <c r="D8" s="9"/>
      <c r="E8" s="9"/>
      <c r="F8" s="9"/>
      <c r="G8" s="9"/>
      <c r="H8" s="9"/>
    </row>
    <row r="9" spans="1:11" ht="18.75" customHeight="1" x14ac:dyDescent="0.3">
      <c r="B9" s="8">
        <f t="array" aca="1" ref="B9:H9" ca="1">DaysAndWeeks+DATE(CalendarYear,1,1)-WEEKDAY(DATE(CalendarYear,1,1),(inicio_de_la_semana="lu.")+1)+22</f>
        <v>43849</v>
      </c>
      <c r="C9" s="8">
        <f ca="1"/>
        <v>43850</v>
      </c>
      <c r="D9" s="8">
        <f ca="1"/>
        <v>43851</v>
      </c>
      <c r="E9" s="8">
        <f ca="1"/>
        <v>43852</v>
      </c>
      <c r="F9" s="8">
        <f ca="1"/>
        <v>43853</v>
      </c>
      <c r="G9" s="8">
        <f ca="1"/>
        <v>43854</v>
      </c>
      <c r="H9" s="8">
        <f ca="1"/>
        <v>43855</v>
      </c>
    </row>
    <row r="10" spans="1:11" ht="56.25" customHeight="1" x14ac:dyDescent="0.3">
      <c r="B10" s="9"/>
      <c r="C10" s="9"/>
      <c r="D10" s="9"/>
      <c r="E10" s="9"/>
      <c r="F10" s="9"/>
      <c r="G10" s="9"/>
      <c r="H10" s="9"/>
    </row>
    <row r="11" spans="1:11" ht="18.75" customHeight="1" x14ac:dyDescent="0.3">
      <c r="B11" s="8">
        <f t="array" aca="1" ref="B11:H11" ca="1">DaysAndWeeks+DATE(CalendarYear,1,1)-WEEKDAY(DATE(CalendarYear,1,1),(inicio_de_la_semana="lu.")+1)+29</f>
        <v>43856</v>
      </c>
      <c r="C11" s="8">
        <f ca="1"/>
        <v>43857</v>
      </c>
      <c r="D11" s="8">
        <f ca="1"/>
        <v>43858</v>
      </c>
      <c r="E11" s="8">
        <f ca="1"/>
        <v>43859</v>
      </c>
      <c r="F11" s="8">
        <f ca="1"/>
        <v>43860</v>
      </c>
      <c r="G11" s="8">
        <f ca="1"/>
        <v>43861</v>
      </c>
      <c r="H11" s="8">
        <f ca="1"/>
        <v>43862</v>
      </c>
    </row>
    <row r="12" spans="1:11" ht="56.25" customHeight="1" x14ac:dyDescent="0.3">
      <c r="B12" s="9"/>
      <c r="C12" s="9"/>
      <c r="D12" s="9"/>
      <c r="E12" s="9"/>
      <c r="F12" s="9"/>
      <c r="G12" s="9"/>
      <c r="H12" s="9"/>
    </row>
    <row r="13" spans="1:11" ht="18.75" customHeight="1" x14ac:dyDescent="0.3">
      <c r="B13" s="8">
        <f t="array" aca="1" ref="B13:H13" ca="1">DaysAndWeeks+DATE(CalendarYear,1,1)-WEEKDAY(DATE(CalendarYear,1,1),(inicio_de_la_semana="lu.")+1)+36</f>
        <v>43863</v>
      </c>
      <c r="C13" s="8">
        <f ca="1"/>
        <v>43864</v>
      </c>
      <c r="D13" s="8">
        <f ca="1"/>
        <v>43865</v>
      </c>
      <c r="E13" s="8">
        <f ca="1"/>
        <v>43866</v>
      </c>
      <c r="F13" s="8">
        <f ca="1"/>
        <v>43867</v>
      </c>
      <c r="G13" s="8">
        <f ca="1"/>
        <v>43868</v>
      </c>
      <c r="H13" s="8">
        <f ca="1"/>
        <v>43869</v>
      </c>
    </row>
    <row r="14" spans="1:11" ht="56.25" customHeight="1" x14ac:dyDescent="0.3">
      <c r="B14" s="11"/>
      <c r="C14" s="11"/>
      <c r="D14" s="11"/>
      <c r="E14" s="11"/>
      <c r="F14" s="11"/>
      <c r="G14" s="11"/>
      <c r="H14" s="11"/>
    </row>
    <row r="15" spans="1:11" ht="18.75" customHeight="1" x14ac:dyDescent="0.3">
      <c r="B15" s="11"/>
      <c r="C15" s="11"/>
      <c r="D15" s="11"/>
      <c r="E15" s="11"/>
      <c r="F15" s="11"/>
      <c r="G15" s="11"/>
      <c r="H15" s="11"/>
    </row>
    <row r="16" spans="1:11" ht="18.75" customHeight="1" x14ac:dyDescent="0.3">
      <c r="B16" s="11"/>
      <c r="C16" s="11"/>
      <c r="D16" s="11"/>
      <c r="E16" s="11"/>
      <c r="F16" s="11"/>
      <c r="G16" s="11"/>
      <c r="H16" s="11"/>
    </row>
  </sheetData>
  <mergeCells count="2">
    <mergeCell ref="J3:J4"/>
    <mergeCell ref="B1:G1"/>
  </mergeCells>
  <conditionalFormatting sqref="B11:H14">
    <cfRule type="expression" dxfId="23" priority="2">
      <formula>AND(DAY(B11)&gt;=1,DAY(B11)&lt;=15)</formula>
    </cfRule>
  </conditionalFormatting>
  <conditionalFormatting sqref="B3:G4">
    <cfRule type="expression" dxfId="22" priority="1">
      <formula>DAY(B3)&gt;8</formula>
    </cfRule>
  </conditionalFormatting>
  <dataValidations count="8">
    <dataValidation allowBlank="1" showInputMessage="1" showErrorMessage="1" prompt="Calendario del mes de enero. Escriba las notas del mes en la celda J3." sqref="A1" xr:uid="{00000000-0002-0000-0100-000000000000}"/>
    <dataValidation allowBlank="1" showInputMessage="1" showErrorMessage="1" prompt="El año de esta celda se actualiza automáticamente según el año especificado en la hoja de cálculo configuración del calendario." sqref="H1" xr:uid="{00000000-0002-0000-0100-000001000000}"/>
    <dataValidation allowBlank="1" showInputMessage="1" showErrorMessage="1" prompt="Escriba las notas del mes en la celda inferior." sqref="J2" xr:uid="{00000000-0002-0000-0100-000002000000}"/>
    <dataValidation allowBlank="1" showInputMessage="1" showErrorMessage="1" prompt="Escriba las notas del mes en esta celda." sqref="J3:J4" xr:uid="{00000000-0002-0000-0100-000003000000}"/>
    <dataValidation allowBlank="1" showInputMessage="1" showErrorMessage="1" prompt="Esta fila contiene los nombres de los días de la semana de este calendario. Esta celda contiene el primer día de la semana. Para cambiar el día de inicio, seleccione un nuevo día de inicio de la semana en la hoja de cálculo configuración del calendario." sqref="B2" xr:uid="{00000000-0002-0000-0100-000004000000}"/>
    <dataValidation allowBlank="1" showInputMessage="1" showErrorMessage="1" prompt="El día del calendario de esta fila y de las filas 5, 7, 9, 11 y 13 se actualiza automáticamente. Si esta celda no contiene el número 1, ese día pertenece a un día del mes anterior." sqref="B3" xr:uid="{00000000-0002-0000-0100-000005000000}"/>
    <dataValidation allowBlank="1" showInputMessage="1" showErrorMessage="1" prompt="Escriba notas diarias según el día y la fecha del calendario en esta fila y en las filas 6, 8, 10, 12 y 14, desde la columna B hasta la H." sqref="B4" xr:uid="{00000000-0002-0000-0100-000006000000}"/>
    <dataValidation allowBlank="1" showInputMessage="1" showErrorMessage="1" prompt="El mes se muestra en esta celda y el año en la de la derecha." sqref="B1:G1" xr:uid="{00000000-0002-0000-0100-000007000000}"/>
  </dataValidations>
  <printOptions horizontalCentered="1" verticalCentered="1"/>
  <pageMargins left="0.7" right="0.7" top="0.75" bottom="0.75" header="0.3" footer="0.3"/>
  <pageSetup paperSize="9" orientation="landscape" r:id="rId1"/>
  <headerFooter differentFirst="1" alignWithMargins="0">
    <oddFooter>Page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4" tint="-0.249977111117893"/>
    <pageSetUpPr autoPageBreaks="0" fitToPage="1"/>
  </sheetPr>
  <dimension ref="A1:K16"/>
  <sheetViews>
    <sheetView showGridLines="0" zoomScaleNormal="100" workbookViewId="0"/>
  </sheetViews>
  <sheetFormatPr baseColWidth="10" defaultColWidth="8.75" defaultRowHeight="16.5" x14ac:dyDescent="0.3"/>
  <cols>
    <col min="1" max="1" width="2.625" customWidth="1"/>
    <col min="2" max="8" width="17.5" customWidth="1"/>
    <col min="9" max="9" width="2.625" customWidth="1"/>
    <col min="10" max="10" width="38.5" customWidth="1"/>
    <col min="11" max="11" width="2.375" customWidth="1"/>
  </cols>
  <sheetData>
    <row r="1" spans="1:11" ht="59.25" customHeight="1" thickBot="1" x14ac:dyDescent="0.35">
      <c r="B1" s="15" t="str">
        <f ca="1">LOWER(TEXT(B7,"mmmm"))</f>
        <v>febrero</v>
      </c>
      <c r="C1" s="15"/>
      <c r="D1" s="15"/>
      <c r="E1" s="15"/>
      <c r="F1" s="15"/>
      <c r="G1" s="15"/>
      <c r="H1" s="4">
        <f ca="1">CalendarYear</f>
        <v>2020</v>
      </c>
      <c r="K1" t="s">
        <v>7</v>
      </c>
    </row>
    <row r="2" spans="1:11" s="5" customFormat="1" ht="46.5" customHeight="1" x14ac:dyDescent="0.55000000000000004">
      <c r="A2"/>
      <c r="B2" s="6" t="str">
        <f>inicio_de_la_semana</f>
        <v>do.</v>
      </c>
      <c r="C2" s="6" t="str">
        <f t="shared" ref="C2:H2" ca="1" si="0">LOWER(TEXT(C3,"ddd"))</f>
        <v>lun</v>
      </c>
      <c r="D2" s="6" t="str">
        <f t="shared" ca="1" si="0"/>
        <v>mar</v>
      </c>
      <c r="E2" s="6" t="str">
        <f t="shared" ca="1" si="0"/>
        <v>mié</v>
      </c>
      <c r="F2" s="6" t="str">
        <f t="shared" ca="1" si="0"/>
        <v>jue</v>
      </c>
      <c r="G2" s="6" t="str">
        <f t="shared" ca="1" si="0"/>
        <v>vie</v>
      </c>
      <c r="H2" s="6" t="str">
        <f t="shared" ca="1" si="0"/>
        <v>sáb</v>
      </c>
      <c r="I2"/>
      <c r="J2" s="7" t="s">
        <v>5</v>
      </c>
    </row>
    <row r="3" spans="1:11" ht="19.5" customHeight="1" x14ac:dyDescent="0.3">
      <c r="B3" s="8">
        <f t="array" aca="1" ref="B3:H3" ca="1">DaysAndWeeks+DATE(CalendarYear,2,1)-WEEKDAY(DATE(CalendarYear,2,1),(inicio_de_la_semana="lu.")+1)+1</f>
        <v>43856</v>
      </c>
      <c r="C3" s="8">
        <f ca="1"/>
        <v>43857</v>
      </c>
      <c r="D3" s="8">
        <f ca="1"/>
        <v>43858</v>
      </c>
      <c r="E3" s="8">
        <f ca="1"/>
        <v>43859</v>
      </c>
      <c r="F3" s="8">
        <f ca="1"/>
        <v>43860</v>
      </c>
      <c r="G3" s="8">
        <f ca="1"/>
        <v>43861</v>
      </c>
      <c r="H3" s="8">
        <f ca="1"/>
        <v>43862</v>
      </c>
      <c r="J3" s="14"/>
    </row>
    <row r="4" spans="1:11" ht="58.5" customHeight="1" x14ac:dyDescent="0.3">
      <c r="B4" s="9"/>
      <c r="C4" s="9"/>
      <c r="D4" s="9"/>
      <c r="E4" s="9"/>
      <c r="F4" s="9"/>
      <c r="G4" s="9"/>
      <c r="H4" s="9"/>
      <c r="J4" s="14"/>
    </row>
    <row r="5" spans="1:11" ht="18.75" customHeight="1" x14ac:dyDescent="0.3">
      <c r="B5" s="8">
        <f t="array" aca="1" ref="B5:H5" ca="1">DaysAndWeeks+DATE(CalendarYear,2,1)-WEEKDAY(DATE(CalendarYear,2,1),(inicio_de_la_semana="lu.")+1)+8</f>
        <v>43863</v>
      </c>
      <c r="C5" s="8">
        <f ca="1"/>
        <v>43864</v>
      </c>
      <c r="D5" s="8">
        <f ca="1"/>
        <v>43865</v>
      </c>
      <c r="E5" s="8">
        <f ca="1"/>
        <v>43866</v>
      </c>
      <c r="F5" s="8">
        <f ca="1"/>
        <v>43867</v>
      </c>
      <c r="G5" s="8">
        <f ca="1"/>
        <v>43868</v>
      </c>
      <c r="H5" s="8">
        <f ca="1"/>
        <v>43869</v>
      </c>
    </row>
    <row r="6" spans="1:11" ht="56.25" customHeight="1" x14ac:dyDescent="0.3">
      <c r="B6" s="9"/>
      <c r="C6" s="9"/>
      <c r="D6" s="9"/>
      <c r="E6" s="9"/>
      <c r="F6" s="9"/>
      <c r="G6" s="9"/>
      <c r="H6" s="9"/>
    </row>
    <row r="7" spans="1:11" ht="18.75" customHeight="1" x14ac:dyDescent="0.3">
      <c r="B7" s="8">
        <f t="array" aca="1" ref="B7:H7" ca="1">DaysAndWeeks+DATE(CalendarYear,2,1)-WEEKDAY(DATE(CalendarYear,2,1),(inicio_de_la_semana="lu.")+1)+15</f>
        <v>43870</v>
      </c>
      <c r="C7" s="8">
        <f ca="1"/>
        <v>43871</v>
      </c>
      <c r="D7" s="8">
        <f ca="1"/>
        <v>43872</v>
      </c>
      <c r="E7" s="8">
        <f ca="1"/>
        <v>43873</v>
      </c>
      <c r="F7" s="8">
        <f ca="1"/>
        <v>43874</v>
      </c>
      <c r="G7" s="8">
        <f ca="1"/>
        <v>43875</v>
      </c>
      <c r="H7" s="8">
        <f ca="1"/>
        <v>43876</v>
      </c>
    </row>
    <row r="8" spans="1:11" ht="56.25" customHeight="1" x14ac:dyDescent="0.3">
      <c r="B8" s="9"/>
      <c r="C8" s="9"/>
      <c r="D8" s="9"/>
      <c r="E8" s="9"/>
      <c r="F8" s="9"/>
      <c r="G8" s="9"/>
      <c r="H8" s="9"/>
    </row>
    <row r="9" spans="1:11" ht="18.75" customHeight="1" x14ac:dyDescent="0.3">
      <c r="B9" s="8">
        <f t="array" aca="1" ref="B9:H9" ca="1">DaysAndWeeks+DATE(CalendarYear,2,1)-WEEKDAY(DATE(CalendarYear,2,1),(inicio_de_la_semana="lu.")+1)+22</f>
        <v>43877</v>
      </c>
      <c r="C9" s="8">
        <f ca="1"/>
        <v>43878</v>
      </c>
      <c r="D9" s="8">
        <f ca="1"/>
        <v>43879</v>
      </c>
      <c r="E9" s="8">
        <f ca="1"/>
        <v>43880</v>
      </c>
      <c r="F9" s="8">
        <f ca="1"/>
        <v>43881</v>
      </c>
      <c r="G9" s="8">
        <f ca="1"/>
        <v>43882</v>
      </c>
      <c r="H9" s="8">
        <f ca="1"/>
        <v>43883</v>
      </c>
    </row>
    <row r="10" spans="1:11" ht="56.25" customHeight="1" x14ac:dyDescent="0.3">
      <c r="B10" s="9"/>
      <c r="C10" s="9"/>
      <c r="D10" s="9"/>
      <c r="E10" s="9"/>
      <c r="F10" s="9"/>
      <c r="G10" s="9"/>
      <c r="H10" s="9"/>
    </row>
    <row r="11" spans="1:11" ht="18.75" customHeight="1" x14ac:dyDescent="0.3">
      <c r="B11" s="8">
        <f t="array" aca="1" ref="B11:H11" ca="1">DaysAndWeeks+DATE(CalendarYear,2,1)-WEEKDAY(DATE(CalendarYear,2,1),(inicio_de_la_semana="lu.")+1)+29</f>
        <v>43884</v>
      </c>
      <c r="C11" s="8">
        <f ca="1"/>
        <v>43885</v>
      </c>
      <c r="D11" s="8">
        <f ca="1"/>
        <v>43886</v>
      </c>
      <c r="E11" s="8">
        <f ca="1"/>
        <v>43887</v>
      </c>
      <c r="F11" s="8">
        <f ca="1"/>
        <v>43888</v>
      </c>
      <c r="G11" s="8">
        <f ca="1"/>
        <v>43889</v>
      </c>
      <c r="H11" s="8">
        <f ca="1"/>
        <v>43890</v>
      </c>
    </row>
    <row r="12" spans="1:11" ht="56.25" customHeight="1" x14ac:dyDescent="0.3">
      <c r="B12" s="9"/>
      <c r="C12" s="9"/>
      <c r="D12" s="9"/>
      <c r="E12" s="9"/>
      <c r="F12" s="9"/>
      <c r="G12" s="9"/>
      <c r="H12" s="9"/>
    </row>
    <row r="13" spans="1:11" ht="18.75" customHeight="1" x14ac:dyDescent="0.3">
      <c r="B13" s="8">
        <f t="array" aca="1" ref="B13:H13" ca="1">DaysAndWeeks+DATE(CalendarYear,2,1)-WEEKDAY(DATE(CalendarYear,2,1),(inicio_de_la_semana="lu.")+1)+36</f>
        <v>43891</v>
      </c>
      <c r="C13" s="8">
        <f ca="1"/>
        <v>43892</v>
      </c>
      <c r="D13" s="8">
        <f ca="1"/>
        <v>43893</v>
      </c>
      <c r="E13" s="8">
        <f ca="1"/>
        <v>43894</v>
      </c>
      <c r="F13" s="8">
        <f ca="1"/>
        <v>43895</v>
      </c>
      <c r="G13" s="8">
        <f ca="1"/>
        <v>43896</v>
      </c>
      <c r="H13" s="8">
        <f ca="1"/>
        <v>43897</v>
      </c>
    </row>
    <row r="14" spans="1:11" ht="56.25" customHeight="1" x14ac:dyDescent="0.3">
      <c r="B14" s="11"/>
      <c r="C14" s="11"/>
      <c r="D14" s="11"/>
      <c r="E14" s="11"/>
      <c r="F14" s="11"/>
      <c r="G14" s="11"/>
      <c r="H14" s="11"/>
    </row>
    <row r="15" spans="1:11" ht="18.75" customHeight="1" x14ac:dyDescent="0.3">
      <c r="B15" s="11"/>
      <c r="C15" s="11"/>
      <c r="D15" s="11"/>
      <c r="E15" s="11"/>
      <c r="F15" s="11"/>
      <c r="G15" s="11"/>
      <c r="H15" s="11"/>
    </row>
    <row r="16" spans="1:11" ht="18.75" customHeight="1" x14ac:dyDescent="0.3">
      <c r="B16" s="11"/>
      <c r="C16" s="11"/>
      <c r="D16" s="11"/>
      <c r="E16" s="11"/>
      <c r="F16" s="11"/>
      <c r="G16" s="11"/>
      <c r="H16" s="11"/>
    </row>
  </sheetData>
  <mergeCells count="2">
    <mergeCell ref="J3:J4"/>
    <mergeCell ref="B1:G1"/>
  </mergeCells>
  <conditionalFormatting sqref="B11:H14">
    <cfRule type="expression" dxfId="21" priority="2">
      <formula>AND(DAY(B11)&gt;=1,DAY(B11)&lt;=15)</formula>
    </cfRule>
  </conditionalFormatting>
  <conditionalFormatting sqref="B3:G4">
    <cfRule type="expression" dxfId="20" priority="1">
      <formula>DAY(B3)&gt;8</formula>
    </cfRule>
  </conditionalFormatting>
  <dataValidations count="8">
    <dataValidation allowBlank="1" showInputMessage="1" showErrorMessage="1" prompt="Calendario del mes de febrero. Escriba las notas del mes en la celda J3." sqref="A1" xr:uid="{97A5BE8B-254E-4E3C-B1FF-FE6BE64D2941}"/>
    <dataValidation allowBlank="1" showInputMessage="1" showErrorMessage="1" prompt="El mes se muestra en esta celda y el año en la de la derecha." sqref="B1:G1" xr:uid="{DA0074EC-10E3-4A29-90EA-8AEB9D7FBA1F}"/>
    <dataValidation allowBlank="1" showInputMessage="1" showErrorMessage="1" prompt="El año de esta celda se actualiza automáticamente según el año especificado en la hoja de cálculo configuración del calendario." sqref="H1" xr:uid="{55777418-A74B-4F57-BB31-662275AC8714}"/>
    <dataValidation allowBlank="1" showInputMessage="1" showErrorMessage="1" prompt="Esta fila contiene los nombres de los días de la semana de este calendario. Esta celda contiene el primer día de la semana. Para cambiar el día de inicio, seleccione un nuevo día de inicio de la semana en la hoja de cálculo configuración del calendario." sqref="B2" xr:uid="{33072B95-3026-4CCA-88B5-D8723965846F}"/>
    <dataValidation allowBlank="1" showInputMessage="1" showErrorMessage="1" prompt="El día del calendario de esta fila y de las filas 5, 7, 9, 11 y 13 se actualiza automáticamente. Si esta celda no contiene el número 1, ese día pertenece a un día del mes anterior." sqref="B3" xr:uid="{134D7117-3C8A-4970-A2F0-465BC9EF53D7}"/>
    <dataValidation allowBlank="1" showInputMessage="1" showErrorMessage="1" prompt="Escriba las notas del mes en la celda inferior." sqref="J2" xr:uid="{DAC49653-DABD-4763-AF2E-F2EAD675FD0D}"/>
    <dataValidation allowBlank="1" showInputMessage="1" showErrorMessage="1" prompt="Escriba notas diarias según el día y la fecha del calendario en esta fila y en las filas 6, 8, 10, 12 y 14, desde la columna B hasta la H." sqref="B4" xr:uid="{64B03516-132F-487A-A8E7-8E08C5EB140A}"/>
    <dataValidation allowBlank="1" showInputMessage="1" showErrorMessage="1" prompt="Escriba las notas del mes en esta celda." sqref="J3:J4" xr:uid="{F6305834-E22D-4D0F-9DFB-74E94F295CF6}"/>
  </dataValidations>
  <printOptions horizontalCentered="1" verticalCentered="1"/>
  <pageMargins left="0.7" right="0.7" top="0.75" bottom="0.75" header="0.3" footer="0.3"/>
  <pageSetup paperSize="9" orientation="landscape" r:id="rId1"/>
  <headerFooter differentFirst="1" alignWithMargins="0">
    <oddFooter>Page &amp;P of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pageSetUpPr autoPageBreaks="0" fitToPage="1"/>
  </sheetPr>
  <dimension ref="A1:K16"/>
  <sheetViews>
    <sheetView showGridLines="0" zoomScaleNormal="100" workbookViewId="0"/>
  </sheetViews>
  <sheetFormatPr baseColWidth="10" defaultColWidth="8.75" defaultRowHeight="16.5" x14ac:dyDescent="0.3"/>
  <cols>
    <col min="1" max="1" width="2.625" customWidth="1"/>
    <col min="2" max="8" width="17.5" customWidth="1"/>
    <col min="9" max="9" width="2.625" customWidth="1"/>
    <col min="10" max="10" width="38.5" customWidth="1"/>
    <col min="11" max="11" width="2.375" customWidth="1"/>
  </cols>
  <sheetData>
    <row r="1" spans="1:11" ht="59.25" customHeight="1" thickBot="1" x14ac:dyDescent="0.35">
      <c r="B1" s="15" t="str">
        <f ca="1">LOWER(TEXT(B7,"mmmm"))</f>
        <v>marzo</v>
      </c>
      <c r="C1" s="15"/>
      <c r="D1" s="15"/>
      <c r="E1" s="15"/>
      <c r="F1" s="15"/>
      <c r="G1" s="15"/>
      <c r="H1" s="4">
        <f ca="1">CalendarYear</f>
        <v>2020</v>
      </c>
      <c r="K1" t="s">
        <v>7</v>
      </c>
    </row>
    <row r="2" spans="1:11" s="5" customFormat="1" ht="46.5" customHeight="1" x14ac:dyDescent="0.55000000000000004">
      <c r="A2"/>
      <c r="B2" s="6" t="str">
        <f>inicio_de_la_semana</f>
        <v>do.</v>
      </c>
      <c r="C2" s="6" t="str">
        <f t="shared" ref="C2:H2" ca="1" si="0">LOWER(TEXT(C3,"ddd"))</f>
        <v>lun</v>
      </c>
      <c r="D2" s="6" t="str">
        <f t="shared" ca="1" si="0"/>
        <v>mar</v>
      </c>
      <c r="E2" s="6" t="str">
        <f t="shared" ca="1" si="0"/>
        <v>mié</v>
      </c>
      <c r="F2" s="6" t="str">
        <f t="shared" ca="1" si="0"/>
        <v>jue</v>
      </c>
      <c r="G2" s="6" t="str">
        <f t="shared" ca="1" si="0"/>
        <v>vie</v>
      </c>
      <c r="H2" s="6" t="str">
        <f t="shared" ca="1" si="0"/>
        <v>sáb</v>
      </c>
      <c r="I2"/>
      <c r="J2" s="7" t="s">
        <v>5</v>
      </c>
    </row>
    <row r="3" spans="1:11" ht="19.5" customHeight="1" x14ac:dyDescent="0.3">
      <c r="B3" s="8">
        <f t="array" aca="1" ref="B3:H3" ca="1">DaysAndWeeks+DATE(CalendarYear,3,1)-WEEKDAY(DATE(CalendarYear,3,1),(inicio_de_la_semana="lu.")+1)+1</f>
        <v>43891</v>
      </c>
      <c r="C3" s="8">
        <f ca="1"/>
        <v>43892</v>
      </c>
      <c r="D3" s="8">
        <f ca="1"/>
        <v>43893</v>
      </c>
      <c r="E3" s="8">
        <f ca="1"/>
        <v>43894</v>
      </c>
      <c r="F3" s="8">
        <f ca="1"/>
        <v>43895</v>
      </c>
      <c r="G3" s="8">
        <f ca="1"/>
        <v>43896</v>
      </c>
      <c r="H3" s="8">
        <f ca="1"/>
        <v>43897</v>
      </c>
      <c r="J3" s="14"/>
    </row>
    <row r="4" spans="1:11" ht="58.5" customHeight="1" x14ac:dyDescent="0.3">
      <c r="B4" s="9"/>
      <c r="C4" s="9"/>
      <c r="D4" s="9"/>
      <c r="E4" s="9"/>
      <c r="F4" s="9"/>
      <c r="G4" s="9"/>
      <c r="H4" s="9"/>
      <c r="J4" s="14"/>
    </row>
    <row r="5" spans="1:11" ht="18.75" customHeight="1" x14ac:dyDescent="0.3">
      <c r="B5" s="8">
        <f t="array" aca="1" ref="B5:H5" ca="1">DaysAndWeeks+DATE(CalendarYear,3,1)-WEEKDAY(DATE(CalendarYear,3,1),(inicio_de_la_semana="lu.")+1)+8</f>
        <v>43898</v>
      </c>
      <c r="C5" s="8">
        <f ca="1"/>
        <v>43899</v>
      </c>
      <c r="D5" s="8">
        <f ca="1"/>
        <v>43900</v>
      </c>
      <c r="E5" s="8">
        <f ca="1"/>
        <v>43901</v>
      </c>
      <c r="F5" s="8">
        <f ca="1"/>
        <v>43902</v>
      </c>
      <c r="G5" s="8">
        <f ca="1"/>
        <v>43903</v>
      </c>
      <c r="H5" s="8">
        <f ca="1"/>
        <v>43904</v>
      </c>
    </row>
    <row r="6" spans="1:11" ht="56.25" customHeight="1" x14ac:dyDescent="0.3">
      <c r="B6" s="9"/>
      <c r="C6" s="9"/>
      <c r="D6" s="9"/>
      <c r="E6" s="9"/>
      <c r="F6" s="9"/>
      <c r="G6" s="9"/>
      <c r="H6" s="9"/>
    </row>
    <row r="7" spans="1:11" ht="18.75" customHeight="1" x14ac:dyDescent="0.3">
      <c r="B7" s="8">
        <f t="array" aca="1" ref="B7:H7" ca="1">DaysAndWeeks+DATE(CalendarYear,3,1)-WEEKDAY(DATE(CalendarYear,3,1),(inicio_de_la_semana="lu.")+1)+15</f>
        <v>43905</v>
      </c>
      <c r="C7" s="8">
        <f ca="1"/>
        <v>43906</v>
      </c>
      <c r="D7" s="8">
        <f ca="1"/>
        <v>43907</v>
      </c>
      <c r="E7" s="8">
        <f ca="1"/>
        <v>43908</v>
      </c>
      <c r="F7" s="8">
        <f ca="1"/>
        <v>43909</v>
      </c>
      <c r="G7" s="8">
        <f ca="1"/>
        <v>43910</v>
      </c>
      <c r="H7" s="8">
        <f ca="1"/>
        <v>43911</v>
      </c>
    </row>
    <row r="8" spans="1:11" ht="56.25" customHeight="1" x14ac:dyDescent="0.3">
      <c r="B8" s="9"/>
      <c r="C8" s="9"/>
      <c r="D8" s="9"/>
      <c r="E8" s="9"/>
      <c r="F8" s="9"/>
      <c r="G8" s="9"/>
      <c r="H8" s="9"/>
    </row>
    <row r="9" spans="1:11" ht="18.75" customHeight="1" x14ac:dyDescent="0.3">
      <c r="B9" s="8">
        <f t="array" aca="1" ref="B9:H9" ca="1">DaysAndWeeks+DATE(CalendarYear,3,1)-WEEKDAY(DATE(CalendarYear,3,1),(inicio_de_la_semana="lu.")+1)+22</f>
        <v>43912</v>
      </c>
      <c r="C9" s="8">
        <f ca="1"/>
        <v>43913</v>
      </c>
      <c r="D9" s="8">
        <f ca="1"/>
        <v>43914</v>
      </c>
      <c r="E9" s="8">
        <f ca="1"/>
        <v>43915</v>
      </c>
      <c r="F9" s="8">
        <f ca="1"/>
        <v>43916</v>
      </c>
      <c r="G9" s="8">
        <f ca="1"/>
        <v>43917</v>
      </c>
      <c r="H9" s="8">
        <f ca="1"/>
        <v>43918</v>
      </c>
    </row>
    <row r="10" spans="1:11" ht="56.25" customHeight="1" x14ac:dyDescent="0.3">
      <c r="B10" s="9"/>
      <c r="C10" s="9"/>
      <c r="D10" s="9"/>
      <c r="E10" s="9"/>
      <c r="F10" s="9"/>
      <c r="G10" s="9"/>
      <c r="H10" s="9"/>
    </row>
    <row r="11" spans="1:11" ht="18.75" customHeight="1" x14ac:dyDescent="0.3">
      <c r="B11" s="8">
        <f t="array" aca="1" ref="B11:H11" ca="1">DaysAndWeeks+DATE(CalendarYear,3,1)-WEEKDAY(DATE(CalendarYear,3,1),(inicio_de_la_semana="lu.")+1)+29</f>
        <v>43919</v>
      </c>
      <c r="C11" s="8">
        <f ca="1"/>
        <v>43920</v>
      </c>
      <c r="D11" s="8">
        <f ca="1"/>
        <v>43921</v>
      </c>
      <c r="E11" s="8">
        <f ca="1"/>
        <v>43922</v>
      </c>
      <c r="F11" s="8">
        <f ca="1"/>
        <v>43923</v>
      </c>
      <c r="G11" s="8">
        <f ca="1"/>
        <v>43924</v>
      </c>
      <c r="H11" s="8">
        <f ca="1"/>
        <v>43925</v>
      </c>
    </row>
    <row r="12" spans="1:11" ht="56.25" customHeight="1" x14ac:dyDescent="0.3">
      <c r="B12" s="9"/>
      <c r="C12" s="9"/>
      <c r="D12" s="9"/>
      <c r="E12" s="9"/>
      <c r="F12" s="9"/>
      <c r="G12" s="9"/>
      <c r="H12" s="9"/>
    </row>
    <row r="13" spans="1:11" ht="18.75" customHeight="1" x14ac:dyDescent="0.3">
      <c r="B13" s="8">
        <f t="array" aca="1" ref="B13:H13" ca="1">DaysAndWeeks+DATE(CalendarYear,3,1)-WEEKDAY(DATE(CalendarYear,3,1),(inicio_de_la_semana="lu.")+1)+36</f>
        <v>43926</v>
      </c>
      <c r="C13" s="8">
        <f ca="1"/>
        <v>43927</v>
      </c>
      <c r="D13" s="8">
        <f ca="1"/>
        <v>43928</v>
      </c>
      <c r="E13" s="8">
        <f ca="1"/>
        <v>43929</v>
      </c>
      <c r="F13" s="8">
        <f ca="1"/>
        <v>43930</v>
      </c>
      <c r="G13" s="8">
        <f ca="1"/>
        <v>43931</v>
      </c>
      <c r="H13" s="8">
        <f ca="1"/>
        <v>43932</v>
      </c>
    </row>
    <row r="14" spans="1:11" ht="56.25" customHeight="1" x14ac:dyDescent="0.3">
      <c r="B14" s="11"/>
      <c r="C14" s="11"/>
      <c r="D14" s="11"/>
      <c r="E14" s="11"/>
      <c r="F14" s="11"/>
      <c r="G14" s="11"/>
      <c r="H14" s="11"/>
    </row>
    <row r="15" spans="1:11" ht="18.75" customHeight="1" x14ac:dyDescent="0.3">
      <c r="B15" s="11"/>
      <c r="C15" s="11"/>
      <c r="D15" s="11"/>
      <c r="E15" s="11"/>
      <c r="F15" s="11"/>
      <c r="G15" s="11"/>
      <c r="H15" s="11"/>
    </row>
    <row r="16" spans="1:11" ht="18.75" customHeight="1" x14ac:dyDescent="0.3">
      <c r="B16" s="11"/>
      <c r="C16" s="11"/>
      <c r="D16" s="11"/>
      <c r="E16" s="11"/>
      <c r="F16" s="11"/>
      <c r="G16" s="11"/>
      <c r="H16" s="11"/>
    </row>
  </sheetData>
  <mergeCells count="2">
    <mergeCell ref="J3:J4"/>
    <mergeCell ref="B1:G1"/>
  </mergeCells>
  <conditionalFormatting sqref="B11:H14">
    <cfRule type="expression" dxfId="19" priority="2">
      <formula>AND(DAY(B11)&gt;=1,DAY(B11)&lt;=15)</formula>
    </cfRule>
  </conditionalFormatting>
  <conditionalFormatting sqref="B3:G4">
    <cfRule type="expression" dxfId="18" priority="1">
      <formula>DAY(B3)&gt;8</formula>
    </cfRule>
  </conditionalFormatting>
  <dataValidations count="8">
    <dataValidation allowBlank="1" showInputMessage="1" showErrorMessage="1" prompt="Calendario del mes de marzo. Escriba las notas del mes en la celda J3." sqref="A1" xr:uid="{1329DA22-05AE-4B1A-9AA7-3A3EEEB3B5A0}"/>
    <dataValidation allowBlank="1" showInputMessage="1" showErrorMessage="1" prompt="El mes se muestra en esta celda y el año en la de la derecha." sqref="B1:G1" xr:uid="{20475A58-AE19-4766-9063-920A52D6B5A5}"/>
    <dataValidation allowBlank="1" showInputMessage="1" showErrorMessage="1" prompt="El año de esta celda se actualiza automáticamente según el año especificado en la hoja de cálculo configuración del calendario." sqref="H1" xr:uid="{8ACEB367-D2BC-4B86-8647-EC68975407EB}"/>
    <dataValidation allowBlank="1" showInputMessage="1" showErrorMessage="1" prompt="Esta fila contiene los nombres de los días de la semana de este calendario. Esta celda contiene el primer día de la semana. Para cambiar el día de inicio, seleccione un nuevo día de inicio de la semana en la hoja de cálculo configuración del calendario." sqref="B2" xr:uid="{5490C3FB-4EFE-4F70-A160-FFAA139A036C}"/>
    <dataValidation allowBlank="1" showInputMessage="1" showErrorMessage="1" prompt="El día del calendario de esta fila y de las filas 5, 7, 9, 11 y 13 se actualiza automáticamente. Si esta celda no contiene el número 1, ese día pertenece a un día del mes anterior." sqref="B3" xr:uid="{B90B2C20-5ED0-456E-A317-DEF4B985D882}"/>
    <dataValidation allowBlank="1" showInputMessage="1" showErrorMessage="1" prompt="Escriba las notas del mes en la celda inferior." sqref="J2" xr:uid="{A49F6EED-7534-43D7-962E-29E7DDCB9A09}"/>
    <dataValidation allowBlank="1" showInputMessage="1" showErrorMessage="1" prompt="Escriba notas diarias según el día y la fecha del calendario en esta fila y en las filas 6, 8, 10, 12 y 14, desde la columna B hasta la H." sqref="B4" xr:uid="{499E204B-65F7-46E5-9E5F-DA0C900C17AA}"/>
    <dataValidation allowBlank="1" showInputMessage="1" showErrorMessage="1" prompt="Escriba las notas del mes en esta celda." sqref="J3:J4" xr:uid="{BBF9AB34-C3EF-44B3-839C-B77A210778BC}"/>
  </dataValidations>
  <printOptions horizontalCentered="1" verticalCentered="1"/>
  <pageMargins left="0.7" right="0.7" top="0.75" bottom="0.75" header="0.3" footer="0.3"/>
  <pageSetup paperSize="9" orientation="landscape" r:id="rId1"/>
  <headerFooter differentFirst="1" alignWithMargins="0">
    <oddFooter>Page &amp;P of &amp;N</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4" tint="0.39997558519241921"/>
    <pageSetUpPr autoPageBreaks="0" fitToPage="1"/>
  </sheetPr>
  <dimension ref="A1:K16"/>
  <sheetViews>
    <sheetView showGridLines="0" zoomScaleNormal="100" workbookViewId="0"/>
  </sheetViews>
  <sheetFormatPr baseColWidth="10" defaultColWidth="8.75" defaultRowHeight="16.5" x14ac:dyDescent="0.3"/>
  <cols>
    <col min="1" max="1" width="2.625" customWidth="1"/>
    <col min="2" max="8" width="17.5" customWidth="1"/>
    <col min="9" max="9" width="2.625" customWidth="1"/>
    <col min="10" max="10" width="38.5" customWidth="1"/>
    <col min="11" max="11" width="2.375" customWidth="1"/>
  </cols>
  <sheetData>
    <row r="1" spans="1:11" ht="59.25" customHeight="1" thickBot="1" x14ac:dyDescent="0.35">
      <c r="B1" s="15" t="str">
        <f ca="1">LOWER(TEXT(B7,"mmmm"))</f>
        <v>abril</v>
      </c>
      <c r="C1" s="15"/>
      <c r="D1" s="15"/>
      <c r="E1" s="15"/>
      <c r="F1" s="15"/>
      <c r="G1" s="15"/>
      <c r="H1" s="4">
        <f ca="1">CalendarYear</f>
        <v>2020</v>
      </c>
      <c r="K1" t="s">
        <v>7</v>
      </c>
    </row>
    <row r="2" spans="1:11" s="5" customFormat="1" ht="46.5" customHeight="1" x14ac:dyDescent="0.55000000000000004">
      <c r="A2"/>
      <c r="B2" s="6" t="str">
        <f>inicio_de_la_semana</f>
        <v>do.</v>
      </c>
      <c r="C2" s="6" t="str">
        <f t="shared" ref="C2:H2" ca="1" si="0">LOWER(TEXT(C3,"ddd"))</f>
        <v>lun</v>
      </c>
      <c r="D2" s="6" t="str">
        <f t="shared" ca="1" si="0"/>
        <v>mar</v>
      </c>
      <c r="E2" s="6" t="str">
        <f t="shared" ca="1" si="0"/>
        <v>mié</v>
      </c>
      <c r="F2" s="6" t="str">
        <f t="shared" ca="1" si="0"/>
        <v>jue</v>
      </c>
      <c r="G2" s="6" t="str">
        <f t="shared" ca="1" si="0"/>
        <v>vie</v>
      </c>
      <c r="H2" s="6" t="str">
        <f t="shared" ca="1" si="0"/>
        <v>sáb</v>
      </c>
      <c r="I2"/>
      <c r="J2" s="7" t="s">
        <v>5</v>
      </c>
    </row>
    <row r="3" spans="1:11" ht="19.5" customHeight="1" x14ac:dyDescent="0.3">
      <c r="B3" s="8">
        <f t="array" aca="1" ref="B3:H3" ca="1">DaysAndWeeks+DATE(CalendarYear,4,1)-WEEKDAY(DATE(CalendarYear,4,1),(inicio_de_la_semana="lu.")+1)+1</f>
        <v>43919</v>
      </c>
      <c r="C3" s="8">
        <f ca="1"/>
        <v>43920</v>
      </c>
      <c r="D3" s="8">
        <f ca="1"/>
        <v>43921</v>
      </c>
      <c r="E3" s="8">
        <f ca="1"/>
        <v>43922</v>
      </c>
      <c r="F3" s="8">
        <f ca="1"/>
        <v>43923</v>
      </c>
      <c r="G3" s="8">
        <f ca="1"/>
        <v>43924</v>
      </c>
      <c r="H3" s="8">
        <f ca="1"/>
        <v>43925</v>
      </c>
      <c r="J3" s="14"/>
    </row>
    <row r="4" spans="1:11" ht="58.5" customHeight="1" x14ac:dyDescent="0.3">
      <c r="B4" s="9"/>
      <c r="C4" s="9"/>
      <c r="D4" s="9"/>
      <c r="E4" s="9"/>
      <c r="F4" s="9"/>
      <c r="G4" s="9"/>
      <c r="H4" s="9"/>
      <c r="J4" s="14"/>
    </row>
    <row r="5" spans="1:11" ht="18.75" customHeight="1" x14ac:dyDescent="0.3">
      <c r="B5" s="8">
        <f t="array" aca="1" ref="B5:H5" ca="1">DaysAndWeeks+DATE(CalendarYear,4,1)-WEEKDAY(DATE(CalendarYear,4,1),(inicio_de_la_semana="lu.")+1)+8</f>
        <v>43926</v>
      </c>
      <c r="C5" s="8">
        <f ca="1"/>
        <v>43927</v>
      </c>
      <c r="D5" s="8">
        <f ca="1"/>
        <v>43928</v>
      </c>
      <c r="E5" s="8">
        <f ca="1"/>
        <v>43929</v>
      </c>
      <c r="F5" s="8">
        <f ca="1"/>
        <v>43930</v>
      </c>
      <c r="G5" s="8">
        <f ca="1"/>
        <v>43931</v>
      </c>
      <c r="H5" s="8">
        <f ca="1"/>
        <v>43932</v>
      </c>
    </row>
    <row r="6" spans="1:11" ht="56.25" customHeight="1" x14ac:dyDescent="0.3">
      <c r="B6" s="9"/>
      <c r="C6" s="9"/>
      <c r="D6" s="9"/>
      <c r="E6" s="9"/>
      <c r="F6" s="9"/>
      <c r="G6" s="9"/>
      <c r="H6" s="9"/>
    </row>
    <row r="7" spans="1:11" ht="18.75" customHeight="1" x14ac:dyDescent="0.3">
      <c r="B7" s="8">
        <f t="array" aca="1" ref="B7:H7" ca="1">DaysAndWeeks+DATE(CalendarYear,4,1)-WEEKDAY(DATE(CalendarYear,4,1),(inicio_de_la_semana="lu.")+1)+15</f>
        <v>43933</v>
      </c>
      <c r="C7" s="8">
        <f ca="1"/>
        <v>43934</v>
      </c>
      <c r="D7" s="8">
        <f ca="1"/>
        <v>43935</v>
      </c>
      <c r="E7" s="8">
        <f ca="1"/>
        <v>43936</v>
      </c>
      <c r="F7" s="8">
        <f ca="1"/>
        <v>43937</v>
      </c>
      <c r="G7" s="8">
        <f ca="1"/>
        <v>43938</v>
      </c>
      <c r="H7" s="8">
        <f ca="1"/>
        <v>43939</v>
      </c>
    </row>
    <row r="8" spans="1:11" ht="56.25" customHeight="1" x14ac:dyDescent="0.3">
      <c r="B8" s="9"/>
      <c r="C8" s="9"/>
      <c r="D8" s="9"/>
      <c r="E8" s="9"/>
      <c r="F8" s="9"/>
      <c r="G8" s="9"/>
      <c r="H8" s="9"/>
    </row>
    <row r="9" spans="1:11" ht="18.75" customHeight="1" x14ac:dyDescent="0.3">
      <c r="B9" s="8">
        <f t="array" aca="1" ref="B9:H9" ca="1">DaysAndWeeks+DATE(CalendarYear,4,1)-WEEKDAY(DATE(CalendarYear,4,1),(inicio_de_la_semana="lu.")+1)+22</f>
        <v>43940</v>
      </c>
      <c r="C9" s="8">
        <f ca="1"/>
        <v>43941</v>
      </c>
      <c r="D9" s="8">
        <f ca="1"/>
        <v>43942</v>
      </c>
      <c r="E9" s="8">
        <f ca="1"/>
        <v>43943</v>
      </c>
      <c r="F9" s="8">
        <f ca="1"/>
        <v>43944</v>
      </c>
      <c r="G9" s="8">
        <f ca="1"/>
        <v>43945</v>
      </c>
      <c r="H9" s="8">
        <f ca="1"/>
        <v>43946</v>
      </c>
    </row>
    <row r="10" spans="1:11" ht="56.25" customHeight="1" x14ac:dyDescent="0.3">
      <c r="B10" s="9"/>
      <c r="C10" s="9"/>
      <c r="D10" s="9"/>
      <c r="E10" s="9"/>
      <c r="F10" s="9"/>
      <c r="G10" s="9"/>
      <c r="H10" s="9"/>
    </row>
    <row r="11" spans="1:11" ht="18.75" customHeight="1" x14ac:dyDescent="0.3">
      <c r="B11" s="8">
        <f t="array" aca="1" ref="B11:H11" ca="1">DaysAndWeeks+DATE(CalendarYear,4,1)-WEEKDAY(DATE(CalendarYear,4,1),(inicio_de_la_semana="lu.")+1)+29</f>
        <v>43947</v>
      </c>
      <c r="C11" s="8">
        <f ca="1"/>
        <v>43948</v>
      </c>
      <c r="D11" s="8">
        <f ca="1"/>
        <v>43949</v>
      </c>
      <c r="E11" s="8">
        <f ca="1"/>
        <v>43950</v>
      </c>
      <c r="F11" s="8">
        <f ca="1"/>
        <v>43951</v>
      </c>
      <c r="G11" s="8">
        <f ca="1"/>
        <v>43952</v>
      </c>
      <c r="H11" s="8">
        <f ca="1"/>
        <v>43953</v>
      </c>
    </row>
    <row r="12" spans="1:11" ht="56.25" customHeight="1" x14ac:dyDescent="0.3">
      <c r="B12" s="9"/>
      <c r="C12" s="9"/>
      <c r="D12" s="9"/>
      <c r="E12" s="9"/>
      <c r="F12" s="9"/>
      <c r="G12" s="9"/>
      <c r="H12" s="9"/>
    </row>
    <row r="13" spans="1:11" ht="18.75" customHeight="1" x14ac:dyDescent="0.3">
      <c r="B13" s="8">
        <f t="array" aca="1" ref="B13:H13" ca="1">DaysAndWeeks+DATE(CalendarYear,4,1)-WEEKDAY(DATE(CalendarYear,4,1),(inicio_de_la_semana="lu.")+1)+36</f>
        <v>43954</v>
      </c>
      <c r="C13" s="8">
        <f ca="1"/>
        <v>43955</v>
      </c>
      <c r="D13" s="8">
        <f ca="1"/>
        <v>43956</v>
      </c>
      <c r="E13" s="8">
        <f ca="1"/>
        <v>43957</v>
      </c>
      <c r="F13" s="8">
        <f ca="1"/>
        <v>43958</v>
      </c>
      <c r="G13" s="8">
        <f ca="1"/>
        <v>43959</v>
      </c>
      <c r="H13" s="8">
        <f ca="1"/>
        <v>43960</v>
      </c>
    </row>
    <row r="14" spans="1:11" ht="56.25" customHeight="1" x14ac:dyDescent="0.3">
      <c r="B14" s="11"/>
      <c r="C14" s="11"/>
      <c r="D14" s="11"/>
      <c r="E14" s="11"/>
      <c r="F14" s="11"/>
      <c r="G14" s="11"/>
      <c r="H14" s="11"/>
    </row>
    <row r="15" spans="1:11" ht="18.75" customHeight="1" x14ac:dyDescent="0.3">
      <c r="B15" s="11"/>
      <c r="C15" s="11"/>
      <c r="D15" s="11"/>
      <c r="E15" s="11"/>
      <c r="F15" s="11"/>
      <c r="G15" s="11"/>
      <c r="H15" s="11"/>
    </row>
    <row r="16" spans="1:11" ht="18.75" customHeight="1" x14ac:dyDescent="0.3">
      <c r="B16" s="11"/>
      <c r="C16" s="11"/>
      <c r="D16" s="11"/>
      <c r="E16" s="11"/>
      <c r="F16" s="11"/>
      <c r="G16" s="11"/>
      <c r="H16" s="11"/>
    </row>
  </sheetData>
  <mergeCells count="2">
    <mergeCell ref="J3:J4"/>
    <mergeCell ref="B1:G1"/>
  </mergeCells>
  <conditionalFormatting sqref="B11:H14">
    <cfRule type="expression" dxfId="17" priority="2">
      <formula>AND(DAY(B11)&gt;=1,DAY(B11)&lt;=15)</formula>
    </cfRule>
  </conditionalFormatting>
  <conditionalFormatting sqref="B3:G4">
    <cfRule type="expression" dxfId="16" priority="1">
      <formula>DAY(B3)&gt;8</formula>
    </cfRule>
  </conditionalFormatting>
  <dataValidations count="8">
    <dataValidation allowBlank="1" showInputMessage="1" showErrorMessage="1" prompt="Calendario del mes de abril. Escriba las notas del mes en la celda J3." sqref="A1" xr:uid="{4271AC81-C33A-4974-B829-C6C402BF1440}"/>
    <dataValidation allowBlank="1" showInputMessage="1" showErrorMessage="1" prompt="El mes se muestra en esta celda y el año en la de la derecha." sqref="B1:G1" xr:uid="{82DD558B-F8B8-4B03-BFD3-B55E3B6CC060}"/>
    <dataValidation allowBlank="1" showInputMessage="1" showErrorMessage="1" prompt="El año de esta celda se actualiza automáticamente según el año especificado en la hoja de cálculo configuración del calendario." sqref="H1" xr:uid="{4722234E-6169-49FD-A2A4-8F3263A2E5E3}"/>
    <dataValidation allowBlank="1" showInputMessage="1" showErrorMessage="1" prompt="Esta fila contiene los nombres de los días de la semana de este calendario. Esta celda contiene el primer día de la semana. Para cambiar el día de inicio, seleccione un nuevo día de inicio de la semana en la hoja de cálculo configuración del calendario." sqref="B2" xr:uid="{AE5113FA-3A84-440F-8D58-6D427CA4F955}"/>
    <dataValidation allowBlank="1" showInputMessage="1" showErrorMessage="1" prompt="El día del calendario de esta fila y de las filas 5, 7, 9, 11 y 13 se actualiza automáticamente. Si esta celda no contiene el número 1, ese día pertenece a un día del mes anterior." sqref="B3" xr:uid="{B26F0139-30D8-45F6-AC84-B2D78C2BFCD2}"/>
    <dataValidation allowBlank="1" showInputMessage="1" showErrorMessage="1" prompt="Escriba las notas del mes en la celda inferior." sqref="J2" xr:uid="{26E663AC-1ABF-4231-97C8-8F6CEE60F782}"/>
    <dataValidation allowBlank="1" showInputMessage="1" showErrorMessage="1" prompt="Escriba notas diarias según el día y la fecha del calendario en esta fila y en las filas 6, 8, 10, 12 y 14, desde la columna B hasta la H." sqref="B4" xr:uid="{A1FA4A05-3E6E-43A7-B202-EE3479B5A7B5}"/>
    <dataValidation allowBlank="1" showInputMessage="1" showErrorMessage="1" prompt="Escriba las notas del mes en esta celda." sqref="J3:J4" xr:uid="{099A7EFE-E4A1-4D07-9528-204793640D7B}"/>
  </dataValidations>
  <printOptions horizontalCentered="1" verticalCentered="1"/>
  <pageMargins left="0.7" right="0.7" top="0.75" bottom="0.75" header="0.3" footer="0.3"/>
  <pageSetup paperSize="9" orientation="landscape" r:id="rId1"/>
  <headerFooter differentFirst="1" alignWithMargins="0">
    <oddFooter>Page &amp;P of &amp;N</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4" tint="0.59999389629810485"/>
    <pageSetUpPr autoPageBreaks="0" fitToPage="1"/>
  </sheetPr>
  <dimension ref="A1:K16"/>
  <sheetViews>
    <sheetView showGridLines="0" zoomScaleNormal="100" workbookViewId="0"/>
  </sheetViews>
  <sheetFormatPr baseColWidth="10" defaultColWidth="8.75" defaultRowHeight="16.5" x14ac:dyDescent="0.3"/>
  <cols>
    <col min="1" max="1" width="2.625" customWidth="1"/>
    <col min="2" max="8" width="17.5" customWidth="1"/>
    <col min="9" max="9" width="2.625" customWidth="1"/>
    <col min="10" max="10" width="38.5" customWidth="1"/>
    <col min="11" max="11" width="2.375" customWidth="1"/>
  </cols>
  <sheetData>
    <row r="1" spans="1:11" ht="59.25" customHeight="1" thickBot="1" x14ac:dyDescent="0.35">
      <c r="B1" s="15" t="str">
        <f ca="1">LOWER(TEXT(B7,"mmmm"))</f>
        <v>mayo</v>
      </c>
      <c r="C1" s="15"/>
      <c r="D1" s="15"/>
      <c r="E1" s="15"/>
      <c r="F1" s="15"/>
      <c r="G1" s="15"/>
      <c r="H1" s="4">
        <f ca="1">CalendarYear</f>
        <v>2020</v>
      </c>
      <c r="K1" t="s">
        <v>7</v>
      </c>
    </row>
    <row r="2" spans="1:11" s="5" customFormat="1" ht="46.5" customHeight="1" x14ac:dyDescent="0.55000000000000004">
      <c r="A2"/>
      <c r="B2" s="6" t="str">
        <f>inicio_de_la_semana</f>
        <v>do.</v>
      </c>
      <c r="C2" s="6" t="str">
        <f t="shared" ref="C2:H2" ca="1" si="0">LOWER(TEXT(C3,"ddd"))</f>
        <v>lun</v>
      </c>
      <c r="D2" s="6" t="str">
        <f t="shared" ca="1" si="0"/>
        <v>mar</v>
      </c>
      <c r="E2" s="6" t="str">
        <f t="shared" ca="1" si="0"/>
        <v>mié</v>
      </c>
      <c r="F2" s="6" t="str">
        <f t="shared" ca="1" si="0"/>
        <v>jue</v>
      </c>
      <c r="G2" s="6" t="str">
        <f t="shared" ca="1" si="0"/>
        <v>vie</v>
      </c>
      <c r="H2" s="6" t="str">
        <f t="shared" ca="1" si="0"/>
        <v>sáb</v>
      </c>
      <c r="I2"/>
      <c r="J2" s="7" t="s">
        <v>5</v>
      </c>
    </row>
    <row r="3" spans="1:11" ht="19.5" customHeight="1" x14ac:dyDescent="0.3">
      <c r="B3" s="8">
        <f t="array" aca="1" ref="B3:H3" ca="1">DaysAndWeeks+DATE(CalendarYear,5,1)-WEEKDAY(DATE(CalendarYear,5,1),(inicio_de_la_semana="lu.")+1)+1</f>
        <v>43947</v>
      </c>
      <c r="C3" s="8">
        <f ca="1"/>
        <v>43948</v>
      </c>
      <c r="D3" s="8">
        <f ca="1"/>
        <v>43949</v>
      </c>
      <c r="E3" s="8">
        <f ca="1"/>
        <v>43950</v>
      </c>
      <c r="F3" s="8">
        <f ca="1"/>
        <v>43951</v>
      </c>
      <c r="G3" s="8">
        <f ca="1"/>
        <v>43952</v>
      </c>
      <c r="H3" s="8">
        <f ca="1"/>
        <v>43953</v>
      </c>
      <c r="J3" s="14"/>
    </row>
    <row r="4" spans="1:11" ht="58.5" customHeight="1" x14ac:dyDescent="0.3">
      <c r="B4" s="9"/>
      <c r="C4" s="9"/>
      <c r="D4" s="9"/>
      <c r="E4" s="9"/>
      <c r="F4" s="9"/>
      <c r="G4" s="9"/>
      <c r="H4" s="9"/>
      <c r="J4" s="14"/>
    </row>
    <row r="5" spans="1:11" ht="18.75" customHeight="1" x14ac:dyDescent="0.3">
      <c r="B5" s="8">
        <f t="array" aca="1" ref="B5:H5" ca="1">DaysAndWeeks+DATE(CalendarYear,5,1)-WEEKDAY(DATE(CalendarYear,5,1),(inicio_de_la_semana="lu.")+1)+8</f>
        <v>43954</v>
      </c>
      <c r="C5" s="8">
        <f ca="1"/>
        <v>43955</v>
      </c>
      <c r="D5" s="8">
        <f ca="1"/>
        <v>43956</v>
      </c>
      <c r="E5" s="8">
        <f ca="1"/>
        <v>43957</v>
      </c>
      <c r="F5" s="8">
        <f ca="1"/>
        <v>43958</v>
      </c>
      <c r="G5" s="8">
        <f ca="1"/>
        <v>43959</v>
      </c>
      <c r="H5" s="8">
        <f ca="1"/>
        <v>43960</v>
      </c>
    </row>
    <row r="6" spans="1:11" ht="56.25" customHeight="1" x14ac:dyDescent="0.3">
      <c r="B6" s="9"/>
      <c r="C6" s="9"/>
      <c r="D6" s="9"/>
      <c r="E6" s="9"/>
      <c r="F6" s="9"/>
      <c r="G6" s="9"/>
      <c r="H6" s="9"/>
    </row>
    <row r="7" spans="1:11" ht="18.75" customHeight="1" x14ac:dyDescent="0.3">
      <c r="B7" s="8">
        <f t="array" aca="1" ref="B7:H7" ca="1">DaysAndWeeks+DATE(CalendarYear,5,1)-WEEKDAY(DATE(CalendarYear,5,1),(inicio_de_la_semana="lu.")+1)+15</f>
        <v>43961</v>
      </c>
      <c r="C7" s="8">
        <f ca="1"/>
        <v>43962</v>
      </c>
      <c r="D7" s="8">
        <f ca="1"/>
        <v>43963</v>
      </c>
      <c r="E7" s="8">
        <f ca="1"/>
        <v>43964</v>
      </c>
      <c r="F7" s="8">
        <f ca="1"/>
        <v>43965</v>
      </c>
      <c r="G7" s="8">
        <f ca="1"/>
        <v>43966</v>
      </c>
      <c r="H7" s="8">
        <f ca="1"/>
        <v>43967</v>
      </c>
    </row>
    <row r="8" spans="1:11" ht="56.25" customHeight="1" x14ac:dyDescent="0.3">
      <c r="B8" s="9"/>
      <c r="C8" s="9"/>
      <c r="D8" s="9"/>
      <c r="E8" s="9"/>
      <c r="F8" s="9"/>
      <c r="G8" s="9"/>
      <c r="H8" s="9"/>
    </row>
    <row r="9" spans="1:11" ht="18.75" customHeight="1" x14ac:dyDescent="0.3">
      <c r="B9" s="8">
        <f t="array" aca="1" ref="B9:H9" ca="1">DaysAndWeeks+DATE(CalendarYear,5,1)-WEEKDAY(DATE(CalendarYear,5,1),(inicio_de_la_semana="lu.")+1)+22</f>
        <v>43968</v>
      </c>
      <c r="C9" s="8">
        <f ca="1"/>
        <v>43969</v>
      </c>
      <c r="D9" s="8">
        <f ca="1"/>
        <v>43970</v>
      </c>
      <c r="E9" s="8">
        <f ca="1"/>
        <v>43971</v>
      </c>
      <c r="F9" s="8">
        <f ca="1"/>
        <v>43972</v>
      </c>
      <c r="G9" s="8">
        <f ca="1"/>
        <v>43973</v>
      </c>
      <c r="H9" s="8">
        <f ca="1"/>
        <v>43974</v>
      </c>
    </row>
    <row r="10" spans="1:11" ht="56.25" customHeight="1" x14ac:dyDescent="0.3">
      <c r="B10" s="9"/>
      <c r="C10" s="9"/>
      <c r="D10" s="9"/>
      <c r="E10" s="9"/>
      <c r="F10" s="9"/>
      <c r="G10" s="9"/>
      <c r="H10" s="9"/>
    </row>
    <row r="11" spans="1:11" ht="18.75" customHeight="1" x14ac:dyDescent="0.3">
      <c r="B11" s="8">
        <f t="array" aca="1" ref="B11:H11" ca="1">DaysAndWeeks+DATE(CalendarYear,5,1)-WEEKDAY(DATE(CalendarYear,5,1),(inicio_de_la_semana="lu.")+1)+29</f>
        <v>43975</v>
      </c>
      <c r="C11" s="8">
        <f ca="1"/>
        <v>43976</v>
      </c>
      <c r="D11" s="8">
        <f ca="1"/>
        <v>43977</v>
      </c>
      <c r="E11" s="8">
        <f ca="1"/>
        <v>43978</v>
      </c>
      <c r="F11" s="8">
        <f ca="1"/>
        <v>43979</v>
      </c>
      <c r="G11" s="8">
        <f ca="1"/>
        <v>43980</v>
      </c>
      <c r="H11" s="8">
        <f ca="1"/>
        <v>43981</v>
      </c>
    </row>
    <row r="12" spans="1:11" ht="56.25" customHeight="1" x14ac:dyDescent="0.3">
      <c r="B12" s="9"/>
      <c r="C12" s="9"/>
      <c r="D12" s="9"/>
      <c r="E12" s="9"/>
      <c r="F12" s="9"/>
      <c r="G12" s="9"/>
      <c r="H12" s="9"/>
    </row>
    <row r="13" spans="1:11" ht="18.75" customHeight="1" x14ac:dyDescent="0.3">
      <c r="B13" s="8">
        <f t="array" aca="1" ref="B13:H13" ca="1">DaysAndWeeks+DATE(CalendarYear,5,1)-WEEKDAY(DATE(CalendarYear,5,1),(inicio_de_la_semana="lu.")+1)+36</f>
        <v>43982</v>
      </c>
      <c r="C13" s="8">
        <f ca="1"/>
        <v>43983</v>
      </c>
      <c r="D13" s="8">
        <f ca="1"/>
        <v>43984</v>
      </c>
      <c r="E13" s="8">
        <f ca="1"/>
        <v>43985</v>
      </c>
      <c r="F13" s="8">
        <f ca="1"/>
        <v>43986</v>
      </c>
      <c r="G13" s="8">
        <f ca="1"/>
        <v>43987</v>
      </c>
      <c r="H13" s="8">
        <f ca="1"/>
        <v>43988</v>
      </c>
    </row>
    <row r="14" spans="1:11" ht="56.25" customHeight="1" x14ac:dyDescent="0.3">
      <c r="B14" s="11"/>
      <c r="C14" s="11"/>
      <c r="D14" s="11"/>
      <c r="E14" s="11"/>
      <c r="F14" s="11"/>
      <c r="G14" s="11"/>
      <c r="H14" s="11"/>
    </row>
    <row r="15" spans="1:11" ht="18.75" customHeight="1" x14ac:dyDescent="0.3">
      <c r="B15" s="11"/>
      <c r="C15" s="11"/>
      <c r="D15" s="11"/>
      <c r="E15" s="11"/>
      <c r="F15" s="11"/>
      <c r="G15" s="11"/>
      <c r="H15" s="11"/>
    </row>
    <row r="16" spans="1:11" ht="18.75" customHeight="1" x14ac:dyDescent="0.3">
      <c r="B16" s="11"/>
      <c r="C16" s="11"/>
      <c r="D16" s="11"/>
      <c r="E16" s="11"/>
      <c r="F16" s="11"/>
      <c r="G16" s="11"/>
      <c r="H16" s="11"/>
    </row>
  </sheetData>
  <mergeCells count="2">
    <mergeCell ref="J3:J4"/>
    <mergeCell ref="B1:G1"/>
  </mergeCells>
  <conditionalFormatting sqref="B11:H14">
    <cfRule type="expression" dxfId="15" priority="2">
      <formula>AND(DAY(B11)&gt;=1,DAY(B11)&lt;=15)</formula>
    </cfRule>
  </conditionalFormatting>
  <conditionalFormatting sqref="B3:G4">
    <cfRule type="expression" dxfId="14" priority="1">
      <formula>DAY(B3)&gt;8</formula>
    </cfRule>
  </conditionalFormatting>
  <dataValidations count="8">
    <dataValidation allowBlank="1" showInputMessage="1" showErrorMessage="1" prompt="Calendario del mes de mayo. Escriba las notas del mes en la celda J3." sqref="A1" xr:uid="{53C03420-1CBD-4C89-9DD5-8DD2EED56C88}"/>
    <dataValidation allowBlank="1" showInputMessage="1" showErrorMessage="1" prompt="El mes se muestra en esta celda y el año en la de la derecha." sqref="B1:G1" xr:uid="{02E131AB-1BD0-4721-A5AC-343C64270812}"/>
    <dataValidation allowBlank="1" showInputMessage="1" showErrorMessage="1" prompt="El año de esta celda se actualiza automáticamente según el año especificado en la hoja de cálculo configuración del calendario." sqref="H1" xr:uid="{7E4F2B5D-0A65-4B8F-9AB2-78FB0984A5A1}"/>
    <dataValidation allowBlank="1" showInputMessage="1" showErrorMessage="1" prompt="Esta fila contiene los nombres de los días de la semana de este calendario. Esta celda contiene el primer día de la semana. Para cambiar el día de inicio, seleccione un nuevo día de inicio de la semana en la hoja de cálculo configuración del calendario." sqref="B2" xr:uid="{93A644B4-DA3D-4F9B-BCF3-2878C88211DD}"/>
    <dataValidation allowBlank="1" showInputMessage="1" showErrorMessage="1" prompt="El día del calendario de esta fila y de las filas 5, 7, 9, 11 y 13 se actualiza automáticamente. Si esta celda no contiene el número 1, ese día pertenece a un día del mes anterior." sqref="B3" xr:uid="{63336FF5-DEB3-49B4-A6D9-4A5A792C85D5}"/>
    <dataValidation allowBlank="1" showInputMessage="1" showErrorMessage="1" prompt="Escriba las notas del mes en la celda inferior." sqref="J2" xr:uid="{00FA33A4-49C2-45B8-9DA7-EED75459FE7A}"/>
    <dataValidation allowBlank="1" showInputMessage="1" showErrorMessage="1" prompt="Escriba notas diarias según el día y la fecha del calendario en esta fila y en las filas 6, 8, 10, 12 y 14, desde la columna B hasta la H." sqref="B4" xr:uid="{4B3C1DD7-3ADD-4DA9-A4C3-AA8FB5BFE8C9}"/>
    <dataValidation allowBlank="1" showInputMessage="1" showErrorMessage="1" prompt="Escriba las notas del mes en esta celda." sqref="J3:J4" xr:uid="{14A57214-77F5-451E-9CA1-C09926F47759}"/>
  </dataValidations>
  <printOptions horizontalCentered="1" verticalCentered="1"/>
  <pageMargins left="0.7" right="0.7" top="0.75" bottom="0.75" header="0.3" footer="0.3"/>
  <pageSetup paperSize="9" orientation="landscape" r:id="rId1"/>
  <headerFooter differentFirst="1" alignWithMargins="0">
    <oddFooter>Page &amp;P of &amp;N</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theme="4" tint="0.79998168889431442"/>
    <pageSetUpPr autoPageBreaks="0" fitToPage="1"/>
  </sheetPr>
  <dimension ref="A1:K16"/>
  <sheetViews>
    <sheetView showGridLines="0" zoomScaleNormal="100" workbookViewId="0"/>
  </sheetViews>
  <sheetFormatPr baseColWidth="10" defaultColWidth="8.75" defaultRowHeight="16.5" x14ac:dyDescent="0.3"/>
  <cols>
    <col min="1" max="1" width="2.625" customWidth="1"/>
    <col min="2" max="8" width="17.5" customWidth="1"/>
    <col min="9" max="9" width="2.625" customWidth="1"/>
    <col min="10" max="10" width="38.5" customWidth="1"/>
    <col min="11" max="11" width="2.375" customWidth="1"/>
  </cols>
  <sheetData>
    <row r="1" spans="1:11" ht="59.25" customHeight="1" thickBot="1" x14ac:dyDescent="0.35">
      <c r="B1" s="15" t="str">
        <f ca="1">LOWER(TEXT(B7,"mmmm"))</f>
        <v>junio</v>
      </c>
      <c r="C1" s="15"/>
      <c r="D1" s="15"/>
      <c r="E1" s="15"/>
      <c r="F1" s="15"/>
      <c r="G1" s="15"/>
      <c r="H1" s="4">
        <f ca="1">CalendarYear</f>
        <v>2020</v>
      </c>
      <c r="K1" t="s">
        <v>7</v>
      </c>
    </row>
    <row r="2" spans="1:11" s="5" customFormat="1" ht="46.5" customHeight="1" x14ac:dyDescent="0.55000000000000004">
      <c r="A2"/>
      <c r="B2" s="6" t="str">
        <f>inicio_de_la_semana</f>
        <v>do.</v>
      </c>
      <c r="C2" s="6" t="str">
        <f t="shared" ref="C2:H2" ca="1" si="0">LOWER(TEXT(C3,"ddd"))</f>
        <v>lun</v>
      </c>
      <c r="D2" s="6" t="str">
        <f t="shared" ca="1" si="0"/>
        <v>mar</v>
      </c>
      <c r="E2" s="6" t="str">
        <f t="shared" ca="1" si="0"/>
        <v>mié</v>
      </c>
      <c r="F2" s="6" t="str">
        <f t="shared" ca="1" si="0"/>
        <v>jue</v>
      </c>
      <c r="G2" s="6" t="str">
        <f t="shared" ca="1" si="0"/>
        <v>vie</v>
      </c>
      <c r="H2" s="6" t="str">
        <f t="shared" ca="1" si="0"/>
        <v>sáb</v>
      </c>
      <c r="I2"/>
      <c r="J2" s="7" t="s">
        <v>5</v>
      </c>
    </row>
    <row r="3" spans="1:11" ht="19.5" customHeight="1" x14ac:dyDescent="0.3">
      <c r="B3" s="8">
        <f t="array" aca="1" ref="B3:H3" ca="1">DaysAndWeeks+DATE(CalendarYear,6,1)-WEEKDAY(DATE(CalendarYear,6,1),(inicio_de_la_semana="lu.")+1)+1</f>
        <v>43982</v>
      </c>
      <c r="C3" s="8">
        <f ca="1"/>
        <v>43983</v>
      </c>
      <c r="D3" s="8">
        <f ca="1"/>
        <v>43984</v>
      </c>
      <c r="E3" s="8">
        <f ca="1"/>
        <v>43985</v>
      </c>
      <c r="F3" s="8">
        <f ca="1"/>
        <v>43986</v>
      </c>
      <c r="G3" s="8">
        <f ca="1"/>
        <v>43987</v>
      </c>
      <c r="H3" s="8">
        <f ca="1"/>
        <v>43988</v>
      </c>
      <c r="J3" s="14"/>
    </row>
    <row r="4" spans="1:11" ht="58.5" customHeight="1" x14ac:dyDescent="0.3">
      <c r="B4" s="9"/>
      <c r="C4" s="9"/>
      <c r="D4" s="9"/>
      <c r="E4" s="9"/>
      <c r="F4" s="9"/>
      <c r="G4" s="9"/>
      <c r="H4" s="9"/>
      <c r="J4" s="14"/>
    </row>
    <row r="5" spans="1:11" ht="18.75" customHeight="1" x14ac:dyDescent="0.3">
      <c r="B5" s="8">
        <f t="array" aca="1" ref="B5:H5" ca="1">DaysAndWeeks+DATE(CalendarYear,6,1)-WEEKDAY(DATE(CalendarYear,6,1),(inicio_de_la_semana="lu.")+1)+8</f>
        <v>43989</v>
      </c>
      <c r="C5" s="8">
        <f ca="1"/>
        <v>43990</v>
      </c>
      <c r="D5" s="8">
        <f ca="1"/>
        <v>43991</v>
      </c>
      <c r="E5" s="8">
        <f ca="1"/>
        <v>43992</v>
      </c>
      <c r="F5" s="8">
        <f ca="1"/>
        <v>43993</v>
      </c>
      <c r="G5" s="8">
        <f ca="1"/>
        <v>43994</v>
      </c>
      <c r="H5" s="8">
        <f ca="1"/>
        <v>43995</v>
      </c>
    </row>
    <row r="6" spans="1:11" ht="56.25" customHeight="1" x14ac:dyDescent="0.3">
      <c r="B6" s="9"/>
      <c r="C6" s="9"/>
      <c r="D6" s="9"/>
      <c r="E6" s="9"/>
      <c r="F6" s="9"/>
      <c r="G6" s="9"/>
      <c r="H6" s="9"/>
    </row>
    <row r="7" spans="1:11" ht="18.75" customHeight="1" x14ac:dyDescent="0.3">
      <c r="B7" s="8">
        <f t="array" aca="1" ref="B7:H7" ca="1">DaysAndWeeks+DATE(CalendarYear,6,1)-WEEKDAY(DATE(CalendarYear,6,1),(inicio_de_la_semana="lu.")+1)+15</f>
        <v>43996</v>
      </c>
      <c r="C7" s="8">
        <f ca="1"/>
        <v>43997</v>
      </c>
      <c r="D7" s="8">
        <f ca="1"/>
        <v>43998</v>
      </c>
      <c r="E7" s="8">
        <f ca="1"/>
        <v>43999</v>
      </c>
      <c r="F7" s="8">
        <f ca="1"/>
        <v>44000</v>
      </c>
      <c r="G7" s="8">
        <f ca="1"/>
        <v>44001</v>
      </c>
      <c r="H7" s="8">
        <f ca="1"/>
        <v>44002</v>
      </c>
    </row>
    <row r="8" spans="1:11" ht="56.25" customHeight="1" x14ac:dyDescent="0.3">
      <c r="B8" s="9"/>
      <c r="C8" s="9"/>
      <c r="D8" s="9"/>
      <c r="E8" s="9"/>
      <c r="F8" s="9"/>
      <c r="G8" s="9"/>
      <c r="H8" s="9"/>
    </row>
    <row r="9" spans="1:11" ht="18.75" customHeight="1" x14ac:dyDescent="0.3">
      <c r="B9" s="8">
        <f t="array" aca="1" ref="B9:H9" ca="1">DaysAndWeeks+DATE(CalendarYear,6,1)-WEEKDAY(DATE(CalendarYear,6,1),(inicio_de_la_semana="lu.")+1)+22</f>
        <v>44003</v>
      </c>
      <c r="C9" s="8">
        <f ca="1"/>
        <v>44004</v>
      </c>
      <c r="D9" s="8">
        <f ca="1"/>
        <v>44005</v>
      </c>
      <c r="E9" s="8">
        <f ca="1"/>
        <v>44006</v>
      </c>
      <c r="F9" s="8">
        <f ca="1"/>
        <v>44007</v>
      </c>
      <c r="G9" s="8">
        <f ca="1"/>
        <v>44008</v>
      </c>
      <c r="H9" s="8">
        <f ca="1"/>
        <v>44009</v>
      </c>
    </row>
    <row r="10" spans="1:11" ht="56.25" customHeight="1" x14ac:dyDescent="0.3">
      <c r="B10" s="9"/>
      <c r="C10" s="9"/>
      <c r="D10" s="9"/>
      <c r="E10" s="9"/>
      <c r="F10" s="9"/>
      <c r="G10" s="9"/>
      <c r="H10" s="9"/>
    </row>
    <row r="11" spans="1:11" ht="18.75" customHeight="1" x14ac:dyDescent="0.3">
      <c r="B11" s="8">
        <f t="array" aca="1" ref="B11:H11" ca="1">DaysAndWeeks+DATE(CalendarYear,6,1)-WEEKDAY(DATE(CalendarYear,6,1),(inicio_de_la_semana="lu.")+1)+29</f>
        <v>44010</v>
      </c>
      <c r="C11" s="8">
        <f ca="1"/>
        <v>44011</v>
      </c>
      <c r="D11" s="8">
        <f ca="1"/>
        <v>44012</v>
      </c>
      <c r="E11" s="8">
        <f ca="1"/>
        <v>44013</v>
      </c>
      <c r="F11" s="8">
        <f ca="1"/>
        <v>44014</v>
      </c>
      <c r="G11" s="8">
        <f ca="1"/>
        <v>44015</v>
      </c>
      <c r="H11" s="8">
        <f ca="1"/>
        <v>44016</v>
      </c>
    </row>
    <row r="12" spans="1:11" ht="56.25" customHeight="1" x14ac:dyDescent="0.3">
      <c r="B12" s="9"/>
      <c r="C12" s="9"/>
      <c r="D12" s="9"/>
      <c r="E12" s="9"/>
      <c r="F12" s="9"/>
      <c r="G12" s="9"/>
      <c r="H12" s="9"/>
    </row>
    <row r="13" spans="1:11" ht="18.75" customHeight="1" x14ac:dyDescent="0.3">
      <c r="B13" s="8">
        <f t="array" aca="1" ref="B13:H13" ca="1">DaysAndWeeks+DATE(CalendarYear,6,1)-WEEKDAY(DATE(CalendarYear,6,1),(inicio_de_la_semana="lu.")+1)+36</f>
        <v>44017</v>
      </c>
      <c r="C13" s="8">
        <f ca="1"/>
        <v>44018</v>
      </c>
      <c r="D13" s="8">
        <f ca="1"/>
        <v>44019</v>
      </c>
      <c r="E13" s="8">
        <f ca="1"/>
        <v>44020</v>
      </c>
      <c r="F13" s="8">
        <f ca="1"/>
        <v>44021</v>
      </c>
      <c r="G13" s="8">
        <f ca="1"/>
        <v>44022</v>
      </c>
      <c r="H13" s="8">
        <f ca="1"/>
        <v>44023</v>
      </c>
    </row>
    <row r="14" spans="1:11" ht="56.25" customHeight="1" x14ac:dyDescent="0.3">
      <c r="B14" s="11"/>
      <c r="C14" s="11"/>
      <c r="D14" s="11"/>
      <c r="E14" s="11"/>
      <c r="F14" s="11"/>
      <c r="G14" s="11"/>
      <c r="H14" s="11"/>
    </row>
    <row r="15" spans="1:11" ht="18.75" customHeight="1" x14ac:dyDescent="0.3">
      <c r="B15" s="11"/>
      <c r="C15" s="11"/>
      <c r="D15" s="11"/>
      <c r="E15" s="11"/>
      <c r="F15" s="11"/>
      <c r="G15" s="11"/>
      <c r="H15" s="11"/>
    </row>
    <row r="16" spans="1:11" ht="18.75" customHeight="1" x14ac:dyDescent="0.3">
      <c r="B16" s="11"/>
      <c r="C16" s="11"/>
      <c r="D16" s="11"/>
      <c r="E16" s="11"/>
      <c r="F16" s="11"/>
      <c r="G16" s="11"/>
      <c r="H16" s="11"/>
    </row>
  </sheetData>
  <mergeCells count="2">
    <mergeCell ref="J3:J4"/>
    <mergeCell ref="B1:G1"/>
  </mergeCells>
  <conditionalFormatting sqref="B11:H14">
    <cfRule type="expression" dxfId="13" priority="2">
      <formula>AND(DAY(B11)&gt;=1,DAY(B11)&lt;=15)</formula>
    </cfRule>
  </conditionalFormatting>
  <conditionalFormatting sqref="B3:G4">
    <cfRule type="expression" dxfId="12" priority="1">
      <formula>DAY(B3)&gt;8</formula>
    </cfRule>
  </conditionalFormatting>
  <dataValidations count="8">
    <dataValidation allowBlank="1" showInputMessage="1" showErrorMessage="1" prompt="Calendario del mes de junio. Escriba las notas del mes en la celda J3." sqref="A1" xr:uid="{757186BC-C680-42D2-8233-E6461FECF9C2}"/>
    <dataValidation allowBlank="1" showInputMessage="1" showErrorMessage="1" prompt="El mes se muestra en esta celda y el año en la de la derecha." sqref="B1:G1" xr:uid="{49D6FB37-6C06-44E7-89FB-1925D3D672CE}"/>
    <dataValidation allowBlank="1" showInputMessage="1" showErrorMessage="1" prompt="El año de esta celda se actualiza automáticamente según el año especificado en la hoja de cálculo configuración del calendario." sqref="H1" xr:uid="{A328D0D0-3A6F-497E-AA64-843462D91271}"/>
    <dataValidation allowBlank="1" showInputMessage="1" showErrorMessage="1" prompt="Esta fila contiene los nombres de los días de la semana de este calendario. Esta celda contiene el primer día de la semana. Para cambiar el día de inicio, seleccione un nuevo día de inicio de la semana en la hoja de cálculo configuración del calendario." sqref="B2" xr:uid="{52E36FD6-A02E-49BA-AA6B-46429041ED72}"/>
    <dataValidation allowBlank="1" showInputMessage="1" showErrorMessage="1" prompt="El día del calendario de esta fila y de las filas 5, 7, 9, 11 y 13 se actualiza automáticamente. Si esta celda no contiene el número 1, ese día pertenece a un día del mes anterior." sqref="B3" xr:uid="{A3EAF0D2-1B6D-42B0-B4EE-5320B24CC285}"/>
    <dataValidation allowBlank="1" showInputMessage="1" showErrorMessage="1" prompt="Escriba las notas del mes en la celda inferior." sqref="J2" xr:uid="{DB25AF6D-1BF6-4A57-A46B-62E0CF5E8C00}"/>
    <dataValidation allowBlank="1" showInputMessage="1" showErrorMessage="1" prompt="Escriba notas diarias según el día y la fecha del calendario en esta fila y en las filas 6, 8, 10, 12 y 14, desde la columna B hasta la H." sqref="B4" xr:uid="{F6E5406D-2B59-4EFF-A48E-EA3489E62901}"/>
    <dataValidation allowBlank="1" showInputMessage="1" showErrorMessage="1" prompt="Escriba las notas del mes en esta celda." sqref="J3:J4" xr:uid="{63534BB8-0DCA-4CB4-8068-DCA28B350DDC}"/>
  </dataValidations>
  <printOptions horizontalCentered="1" verticalCentered="1"/>
  <pageMargins left="0.7" right="0.7" top="0.75" bottom="0.75" header="0.3" footer="0.3"/>
  <pageSetup paperSize="9" orientation="landscape" r:id="rId1"/>
  <headerFooter differentFirst="1" alignWithMargins="0">
    <oddFooter>Page &amp;P of &amp;N</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theme="4" tint="-0.499984740745262"/>
    <pageSetUpPr autoPageBreaks="0" fitToPage="1"/>
  </sheetPr>
  <dimension ref="A1:K16"/>
  <sheetViews>
    <sheetView showGridLines="0" zoomScaleNormal="100" workbookViewId="0"/>
  </sheetViews>
  <sheetFormatPr baseColWidth="10" defaultColWidth="8.75" defaultRowHeight="16.5" x14ac:dyDescent="0.3"/>
  <cols>
    <col min="1" max="1" width="2.625" customWidth="1"/>
    <col min="2" max="8" width="17.5" customWidth="1"/>
    <col min="9" max="9" width="2.625" customWidth="1"/>
    <col min="10" max="10" width="38.5" customWidth="1"/>
    <col min="11" max="11" width="2.375" customWidth="1"/>
  </cols>
  <sheetData>
    <row r="1" spans="1:11" ht="59.25" customHeight="1" thickBot="1" x14ac:dyDescent="0.35">
      <c r="B1" s="15" t="str">
        <f ca="1">LOWER(TEXT(B7,"mmmm"))</f>
        <v>julio</v>
      </c>
      <c r="C1" s="15"/>
      <c r="D1" s="15"/>
      <c r="E1" s="15"/>
      <c r="F1" s="15"/>
      <c r="G1" s="15"/>
      <c r="H1" s="4">
        <f ca="1">CalendarYear</f>
        <v>2020</v>
      </c>
      <c r="K1" t="s">
        <v>7</v>
      </c>
    </row>
    <row r="2" spans="1:11" s="5" customFormat="1" ht="46.5" customHeight="1" x14ac:dyDescent="0.55000000000000004">
      <c r="A2"/>
      <c r="B2" s="6" t="str">
        <f>inicio_de_la_semana</f>
        <v>do.</v>
      </c>
      <c r="C2" s="6" t="str">
        <f t="shared" ref="C2:H2" ca="1" si="0">LOWER(TEXT(C3,"ddd"))</f>
        <v>lun</v>
      </c>
      <c r="D2" s="6" t="str">
        <f t="shared" ca="1" si="0"/>
        <v>mar</v>
      </c>
      <c r="E2" s="6" t="str">
        <f t="shared" ca="1" si="0"/>
        <v>mié</v>
      </c>
      <c r="F2" s="6" t="str">
        <f t="shared" ca="1" si="0"/>
        <v>jue</v>
      </c>
      <c r="G2" s="6" t="str">
        <f t="shared" ca="1" si="0"/>
        <v>vie</v>
      </c>
      <c r="H2" s="6" t="str">
        <f t="shared" ca="1" si="0"/>
        <v>sáb</v>
      </c>
      <c r="I2"/>
      <c r="J2" s="7" t="s">
        <v>5</v>
      </c>
    </row>
    <row r="3" spans="1:11" ht="19.5" customHeight="1" x14ac:dyDescent="0.3">
      <c r="B3" s="8">
        <f t="array" aca="1" ref="B3:H3" ca="1">DaysAndWeeks+DATE(CalendarYear,7,1)-WEEKDAY(DATE(CalendarYear,7,1),(inicio_de_la_semana="lu.")+1)+1</f>
        <v>44010</v>
      </c>
      <c r="C3" s="8">
        <f ca="1"/>
        <v>44011</v>
      </c>
      <c r="D3" s="8">
        <f ca="1"/>
        <v>44012</v>
      </c>
      <c r="E3" s="8">
        <f ca="1"/>
        <v>44013</v>
      </c>
      <c r="F3" s="8">
        <f ca="1"/>
        <v>44014</v>
      </c>
      <c r="G3" s="8">
        <f ca="1"/>
        <v>44015</v>
      </c>
      <c r="H3" s="8">
        <f ca="1"/>
        <v>44016</v>
      </c>
      <c r="J3" s="14"/>
    </row>
    <row r="4" spans="1:11" ht="58.5" customHeight="1" x14ac:dyDescent="0.3">
      <c r="B4" s="9"/>
      <c r="C4" s="9"/>
      <c r="D4" s="9"/>
      <c r="E4" s="9"/>
      <c r="F4" s="9"/>
      <c r="G4" s="9"/>
      <c r="H4" s="9"/>
      <c r="J4" s="14"/>
    </row>
    <row r="5" spans="1:11" ht="18.75" customHeight="1" x14ac:dyDescent="0.3">
      <c r="B5" s="8">
        <f t="array" aca="1" ref="B5:H5" ca="1">DaysAndWeeks+DATE(CalendarYear,7,1)-WEEKDAY(DATE(CalendarYear,7,1),(inicio_de_la_semana="lu.")+1)+8</f>
        <v>44017</v>
      </c>
      <c r="C5" s="8">
        <f ca="1"/>
        <v>44018</v>
      </c>
      <c r="D5" s="8">
        <f ca="1"/>
        <v>44019</v>
      </c>
      <c r="E5" s="8">
        <f ca="1"/>
        <v>44020</v>
      </c>
      <c r="F5" s="8">
        <f ca="1"/>
        <v>44021</v>
      </c>
      <c r="G5" s="8">
        <f ca="1"/>
        <v>44022</v>
      </c>
      <c r="H5" s="8">
        <f ca="1"/>
        <v>44023</v>
      </c>
    </row>
    <row r="6" spans="1:11" ht="56.25" customHeight="1" x14ac:dyDescent="0.3">
      <c r="B6" s="9"/>
      <c r="C6" s="9"/>
      <c r="D6" s="9"/>
      <c r="E6" s="9"/>
      <c r="F6" s="9"/>
      <c r="G6" s="9"/>
      <c r="H6" s="9"/>
    </row>
    <row r="7" spans="1:11" ht="18.75" customHeight="1" x14ac:dyDescent="0.3">
      <c r="B7" s="8">
        <f t="array" aca="1" ref="B7:H7" ca="1">DaysAndWeeks+DATE(CalendarYear,7,1)-WEEKDAY(DATE(CalendarYear,7,1),(inicio_de_la_semana="lu.")+1)+15</f>
        <v>44024</v>
      </c>
      <c r="C7" s="8">
        <f ca="1"/>
        <v>44025</v>
      </c>
      <c r="D7" s="8">
        <f ca="1"/>
        <v>44026</v>
      </c>
      <c r="E7" s="8">
        <f ca="1"/>
        <v>44027</v>
      </c>
      <c r="F7" s="8">
        <f ca="1"/>
        <v>44028</v>
      </c>
      <c r="G7" s="8">
        <f ca="1"/>
        <v>44029</v>
      </c>
      <c r="H7" s="8">
        <f ca="1"/>
        <v>44030</v>
      </c>
    </row>
    <row r="8" spans="1:11" ht="56.25" customHeight="1" x14ac:dyDescent="0.3">
      <c r="B8" s="9"/>
      <c r="C8" s="9"/>
      <c r="D8" s="9"/>
      <c r="E8" s="9"/>
      <c r="F8" s="9"/>
      <c r="G8" s="9"/>
      <c r="H8" s="9"/>
    </row>
    <row r="9" spans="1:11" ht="18.75" customHeight="1" x14ac:dyDescent="0.3">
      <c r="B9" s="8">
        <f t="array" aca="1" ref="B9:H9" ca="1">DaysAndWeeks+DATE(CalendarYear,7,1)-WEEKDAY(DATE(CalendarYear,7,1),(inicio_de_la_semana="lu.")+1)+22</f>
        <v>44031</v>
      </c>
      <c r="C9" s="8">
        <f ca="1"/>
        <v>44032</v>
      </c>
      <c r="D9" s="8">
        <f ca="1"/>
        <v>44033</v>
      </c>
      <c r="E9" s="8">
        <f ca="1"/>
        <v>44034</v>
      </c>
      <c r="F9" s="8">
        <f ca="1"/>
        <v>44035</v>
      </c>
      <c r="G9" s="8">
        <f ca="1"/>
        <v>44036</v>
      </c>
      <c r="H9" s="8">
        <f ca="1"/>
        <v>44037</v>
      </c>
    </row>
    <row r="10" spans="1:11" ht="56.25" customHeight="1" x14ac:dyDescent="0.3">
      <c r="B10" s="9"/>
      <c r="C10" s="9"/>
      <c r="D10" s="9"/>
      <c r="E10" s="9"/>
      <c r="F10" s="9"/>
      <c r="G10" s="9"/>
      <c r="H10" s="9"/>
    </row>
    <row r="11" spans="1:11" ht="18.75" customHeight="1" x14ac:dyDescent="0.3">
      <c r="B11" s="8">
        <f t="array" aca="1" ref="B11:H11" ca="1">DaysAndWeeks+DATE(CalendarYear,7,1)-WEEKDAY(DATE(CalendarYear,7,1),(inicio_de_la_semana="lu.")+1)+29</f>
        <v>44038</v>
      </c>
      <c r="C11" s="8">
        <f ca="1"/>
        <v>44039</v>
      </c>
      <c r="D11" s="8">
        <f ca="1"/>
        <v>44040</v>
      </c>
      <c r="E11" s="8">
        <f ca="1"/>
        <v>44041</v>
      </c>
      <c r="F11" s="8">
        <f ca="1"/>
        <v>44042</v>
      </c>
      <c r="G11" s="8">
        <f ca="1"/>
        <v>44043</v>
      </c>
      <c r="H11" s="8">
        <f ca="1"/>
        <v>44044</v>
      </c>
    </row>
    <row r="12" spans="1:11" ht="56.25" customHeight="1" x14ac:dyDescent="0.3">
      <c r="B12" s="9"/>
      <c r="C12" s="9"/>
      <c r="D12" s="9"/>
      <c r="E12" s="9"/>
      <c r="F12" s="9"/>
      <c r="G12" s="9"/>
      <c r="H12" s="9"/>
    </row>
    <row r="13" spans="1:11" ht="18.75" customHeight="1" x14ac:dyDescent="0.3">
      <c r="B13" s="8">
        <f t="array" aca="1" ref="B13:H13" ca="1">DaysAndWeeks+DATE(CalendarYear,7,1)-WEEKDAY(DATE(CalendarYear,7,1),(inicio_de_la_semana="lu.")+1)+36</f>
        <v>44045</v>
      </c>
      <c r="C13" s="8">
        <f ca="1"/>
        <v>44046</v>
      </c>
      <c r="D13" s="8">
        <f ca="1"/>
        <v>44047</v>
      </c>
      <c r="E13" s="8">
        <f ca="1"/>
        <v>44048</v>
      </c>
      <c r="F13" s="8">
        <f ca="1"/>
        <v>44049</v>
      </c>
      <c r="G13" s="8">
        <f ca="1"/>
        <v>44050</v>
      </c>
      <c r="H13" s="8">
        <f ca="1"/>
        <v>44051</v>
      </c>
    </row>
    <row r="14" spans="1:11" ht="56.25" customHeight="1" x14ac:dyDescent="0.3">
      <c r="B14" s="11"/>
      <c r="C14" s="11"/>
      <c r="D14" s="11"/>
      <c r="E14" s="11"/>
      <c r="F14" s="11"/>
      <c r="G14" s="11"/>
      <c r="H14" s="11"/>
    </row>
    <row r="15" spans="1:11" ht="18.75" customHeight="1" x14ac:dyDescent="0.3">
      <c r="B15" s="11"/>
      <c r="C15" s="11"/>
      <c r="D15" s="11"/>
      <c r="E15" s="11"/>
      <c r="F15" s="11"/>
      <c r="G15" s="11"/>
      <c r="H15" s="11"/>
    </row>
    <row r="16" spans="1:11" ht="18.75" customHeight="1" x14ac:dyDescent="0.3">
      <c r="B16" s="11"/>
      <c r="C16" s="11"/>
      <c r="D16" s="11"/>
      <c r="E16" s="11"/>
      <c r="F16" s="11"/>
      <c r="G16" s="11"/>
      <c r="H16" s="11"/>
    </row>
  </sheetData>
  <mergeCells count="2">
    <mergeCell ref="J3:J4"/>
    <mergeCell ref="B1:G1"/>
  </mergeCells>
  <conditionalFormatting sqref="B11:H14">
    <cfRule type="expression" dxfId="11" priority="2">
      <formula>AND(DAY(B11)&gt;=1,DAY(B11)&lt;=15)</formula>
    </cfRule>
  </conditionalFormatting>
  <conditionalFormatting sqref="B3:G4">
    <cfRule type="expression" dxfId="10" priority="1">
      <formula>DAY(B3)&gt;8</formula>
    </cfRule>
  </conditionalFormatting>
  <dataValidations count="8">
    <dataValidation allowBlank="1" showInputMessage="1" showErrorMessage="1" prompt="Calendario del mes de julio. Escriba las notas del mes en la celda J3." sqref="A1" xr:uid="{95626805-6E44-49F1-927D-720ADC2A93CB}"/>
    <dataValidation allowBlank="1" showInputMessage="1" showErrorMessage="1" prompt="El mes se muestra en esta celda y el año en la de la derecha." sqref="B1:G1" xr:uid="{FF91E062-60F4-4F8B-BF26-F104E4412589}"/>
    <dataValidation allowBlank="1" showInputMessage="1" showErrorMessage="1" prompt="El año de esta celda se actualiza automáticamente según el año especificado en la hoja de cálculo configuración del calendario." sqref="H1" xr:uid="{3670C19B-70D6-42F7-AD4F-16BC5FEBECA3}"/>
    <dataValidation allowBlank="1" showInputMessage="1" showErrorMessage="1" prompt="Esta fila contiene los nombres de los días de la semana de este calendario. Esta celda contiene el primer día de la semana. Para cambiar el día de inicio, seleccione un nuevo día de inicio de la semana en la hoja de cálculo configuración del calendario." sqref="B2" xr:uid="{D6687F63-ECA3-480F-8597-6061E7090977}"/>
    <dataValidation allowBlank="1" showInputMessage="1" showErrorMessage="1" prompt="El día del calendario de esta fila y de las filas 5, 7, 9, 11 y 13 se actualiza automáticamente. Si esta celda no contiene el número 1, ese día pertenece a un día del mes anterior." sqref="B3" xr:uid="{432191DD-0B39-4C3E-9736-E6881BF6AD3E}"/>
    <dataValidation allowBlank="1" showInputMessage="1" showErrorMessage="1" prompt="Escriba las notas del mes en la celda inferior." sqref="J2" xr:uid="{CB7C836E-EE95-47C2-8A1A-20F31BC482D8}"/>
    <dataValidation allowBlank="1" showInputMessage="1" showErrorMessage="1" prompt="Escriba notas diarias según el día y la fecha del calendario en esta fila y en las filas 6, 8, 10, 12 y 14, desde la columna B hasta la H." sqref="B4" xr:uid="{DC953076-60ED-4405-8A90-CB8C2B56CA96}"/>
    <dataValidation allowBlank="1" showInputMessage="1" showErrorMessage="1" prompt="Escriba las notas del mes en esta celda." sqref="J3:J4" xr:uid="{449E134B-1195-445A-A6DE-44B0BC397176}"/>
  </dataValidations>
  <printOptions horizontalCentered="1" verticalCentered="1"/>
  <pageMargins left="0.7" right="0.7" top="0.75" bottom="0.75" header="0.3" footer="0.3"/>
  <pageSetup paperSize="9" orientation="landscape" r:id="rId1"/>
  <headerFooter differentFirst="1" alignWithMargins="0">
    <oddFooter>Page &amp;P of &amp;N</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4" tint="-0.249977111117893"/>
    <pageSetUpPr autoPageBreaks="0" fitToPage="1"/>
  </sheetPr>
  <dimension ref="A1:K16"/>
  <sheetViews>
    <sheetView showGridLines="0" zoomScaleNormal="100" workbookViewId="0"/>
  </sheetViews>
  <sheetFormatPr baseColWidth="10" defaultColWidth="8.75" defaultRowHeight="16.5" x14ac:dyDescent="0.3"/>
  <cols>
    <col min="1" max="1" width="2.625" customWidth="1"/>
    <col min="2" max="8" width="17.5" customWidth="1"/>
    <col min="9" max="9" width="2.625" customWidth="1"/>
    <col min="10" max="10" width="38.5" customWidth="1"/>
    <col min="11" max="11" width="2.375" customWidth="1"/>
  </cols>
  <sheetData>
    <row r="1" spans="1:11" ht="59.25" customHeight="1" thickBot="1" x14ac:dyDescent="0.35">
      <c r="B1" s="15" t="str">
        <f ca="1">LOWER(TEXT(B7,"mmmm"))</f>
        <v>agosto</v>
      </c>
      <c r="C1" s="15"/>
      <c r="D1" s="15"/>
      <c r="E1" s="15"/>
      <c r="F1" s="15"/>
      <c r="G1" s="15"/>
      <c r="H1" s="4">
        <f ca="1">CalendarYear</f>
        <v>2020</v>
      </c>
      <c r="K1" t="s">
        <v>7</v>
      </c>
    </row>
    <row r="2" spans="1:11" s="5" customFormat="1" ht="46.5" customHeight="1" x14ac:dyDescent="0.55000000000000004">
      <c r="A2"/>
      <c r="B2" s="6" t="str">
        <f>inicio_de_la_semana</f>
        <v>do.</v>
      </c>
      <c r="C2" s="6" t="str">
        <f t="shared" ref="C2:H2" ca="1" si="0">LOWER(TEXT(C3,"ddd"))</f>
        <v>lun</v>
      </c>
      <c r="D2" s="6" t="str">
        <f t="shared" ca="1" si="0"/>
        <v>mar</v>
      </c>
      <c r="E2" s="6" t="str">
        <f t="shared" ca="1" si="0"/>
        <v>mié</v>
      </c>
      <c r="F2" s="6" t="str">
        <f t="shared" ca="1" si="0"/>
        <v>jue</v>
      </c>
      <c r="G2" s="6" t="str">
        <f t="shared" ca="1" si="0"/>
        <v>vie</v>
      </c>
      <c r="H2" s="6" t="str">
        <f t="shared" ca="1" si="0"/>
        <v>sáb</v>
      </c>
      <c r="I2"/>
      <c r="J2" s="7" t="s">
        <v>5</v>
      </c>
    </row>
    <row r="3" spans="1:11" ht="19.5" customHeight="1" x14ac:dyDescent="0.3">
      <c r="B3" s="8">
        <f t="array" aca="1" ref="B3:H3" ca="1">DaysAndWeeks+DATE(CalendarYear,8,1)-WEEKDAY(DATE(CalendarYear,8,1),(inicio_de_la_semana="lu.")+1)+1</f>
        <v>44038</v>
      </c>
      <c r="C3" s="8">
        <f ca="1"/>
        <v>44039</v>
      </c>
      <c r="D3" s="8">
        <f ca="1"/>
        <v>44040</v>
      </c>
      <c r="E3" s="8">
        <f ca="1"/>
        <v>44041</v>
      </c>
      <c r="F3" s="8">
        <f ca="1"/>
        <v>44042</v>
      </c>
      <c r="G3" s="8">
        <f ca="1"/>
        <v>44043</v>
      </c>
      <c r="H3" s="8">
        <f ca="1"/>
        <v>44044</v>
      </c>
      <c r="J3" s="14"/>
    </row>
    <row r="4" spans="1:11" ht="58.5" customHeight="1" x14ac:dyDescent="0.3">
      <c r="B4" s="9"/>
      <c r="C4" s="9"/>
      <c r="D4" s="9"/>
      <c r="E4" s="9"/>
      <c r="F4" s="9"/>
      <c r="G4" s="9"/>
      <c r="H4" s="9"/>
      <c r="J4" s="14"/>
    </row>
    <row r="5" spans="1:11" ht="18.75" customHeight="1" x14ac:dyDescent="0.3">
      <c r="B5" s="8">
        <f t="array" aca="1" ref="B5:H5" ca="1">DaysAndWeeks+DATE(CalendarYear,8,1)-WEEKDAY(DATE(CalendarYear,8,1),(inicio_de_la_semana="lu.")+1)+8</f>
        <v>44045</v>
      </c>
      <c r="C5" s="8">
        <f ca="1"/>
        <v>44046</v>
      </c>
      <c r="D5" s="8">
        <f ca="1"/>
        <v>44047</v>
      </c>
      <c r="E5" s="8">
        <f ca="1"/>
        <v>44048</v>
      </c>
      <c r="F5" s="8">
        <f ca="1"/>
        <v>44049</v>
      </c>
      <c r="G5" s="8">
        <f ca="1"/>
        <v>44050</v>
      </c>
      <c r="H5" s="8">
        <f ca="1"/>
        <v>44051</v>
      </c>
    </row>
    <row r="6" spans="1:11" ht="56.25" customHeight="1" x14ac:dyDescent="0.3">
      <c r="B6" s="9"/>
      <c r="C6" s="9"/>
      <c r="D6" s="9"/>
      <c r="E6" s="9"/>
      <c r="F6" s="9"/>
      <c r="G6" s="9"/>
      <c r="H6" s="9"/>
    </row>
    <row r="7" spans="1:11" ht="18.75" customHeight="1" x14ac:dyDescent="0.3">
      <c r="B7" s="8">
        <f t="array" aca="1" ref="B7:H7" ca="1">DaysAndWeeks+DATE(CalendarYear,8,1)-WEEKDAY(DATE(CalendarYear,8,1),(inicio_de_la_semana="lu.")+1)+15</f>
        <v>44052</v>
      </c>
      <c r="C7" s="8">
        <f ca="1"/>
        <v>44053</v>
      </c>
      <c r="D7" s="8">
        <f ca="1"/>
        <v>44054</v>
      </c>
      <c r="E7" s="8">
        <f ca="1"/>
        <v>44055</v>
      </c>
      <c r="F7" s="8">
        <f ca="1"/>
        <v>44056</v>
      </c>
      <c r="G7" s="8">
        <f ca="1"/>
        <v>44057</v>
      </c>
      <c r="H7" s="8">
        <f ca="1"/>
        <v>44058</v>
      </c>
    </row>
    <row r="8" spans="1:11" ht="56.25" customHeight="1" x14ac:dyDescent="0.3">
      <c r="B8" s="9"/>
      <c r="C8" s="9"/>
      <c r="D8" s="9"/>
      <c r="E8" s="9"/>
      <c r="F8" s="9"/>
      <c r="G8" s="9"/>
      <c r="H8" s="9"/>
    </row>
    <row r="9" spans="1:11" ht="18.75" customHeight="1" x14ac:dyDescent="0.3">
      <c r="B9" s="8">
        <f t="array" aca="1" ref="B9:H9" ca="1">DaysAndWeeks+DATE(CalendarYear,8,1)-WEEKDAY(DATE(CalendarYear,8,1),(inicio_de_la_semana="lu.")+1)+22</f>
        <v>44059</v>
      </c>
      <c r="C9" s="8">
        <f ca="1"/>
        <v>44060</v>
      </c>
      <c r="D9" s="8">
        <f ca="1"/>
        <v>44061</v>
      </c>
      <c r="E9" s="8">
        <f ca="1"/>
        <v>44062</v>
      </c>
      <c r="F9" s="8">
        <f ca="1"/>
        <v>44063</v>
      </c>
      <c r="G9" s="8">
        <f ca="1"/>
        <v>44064</v>
      </c>
      <c r="H9" s="8">
        <f ca="1"/>
        <v>44065</v>
      </c>
    </row>
    <row r="10" spans="1:11" ht="56.25" customHeight="1" x14ac:dyDescent="0.3">
      <c r="B10" s="9"/>
      <c r="C10" s="9"/>
      <c r="D10" s="9"/>
      <c r="E10" s="9"/>
      <c r="F10" s="9"/>
      <c r="G10" s="9"/>
      <c r="H10" s="9"/>
    </row>
    <row r="11" spans="1:11" ht="18.75" customHeight="1" x14ac:dyDescent="0.3">
      <c r="B11" s="8">
        <f t="array" aca="1" ref="B11:H11" ca="1">DaysAndWeeks+DATE(CalendarYear,8,1)-WEEKDAY(DATE(CalendarYear,8,1),(inicio_de_la_semana="lu.")+1)+29</f>
        <v>44066</v>
      </c>
      <c r="C11" s="8">
        <f ca="1"/>
        <v>44067</v>
      </c>
      <c r="D11" s="8">
        <f ca="1"/>
        <v>44068</v>
      </c>
      <c r="E11" s="8">
        <f ca="1"/>
        <v>44069</v>
      </c>
      <c r="F11" s="8">
        <f ca="1"/>
        <v>44070</v>
      </c>
      <c r="G11" s="8">
        <f ca="1"/>
        <v>44071</v>
      </c>
      <c r="H11" s="8">
        <f ca="1"/>
        <v>44072</v>
      </c>
    </row>
    <row r="12" spans="1:11" ht="56.25" customHeight="1" x14ac:dyDescent="0.3">
      <c r="B12" s="9"/>
      <c r="C12" s="9"/>
      <c r="D12" s="9"/>
      <c r="E12" s="9"/>
      <c r="F12" s="9"/>
      <c r="G12" s="9"/>
      <c r="H12" s="9"/>
    </row>
    <row r="13" spans="1:11" ht="18.75" customHeight="1" x14ac:dyDescent="0.3">
      <c r="B13" s="8">
        <f t="array" aca="1" ref="B13:H13" ca="1">DaysAndWeeks+DATE(CalendarYear,8,1)-WEEKDAY(DATE(CalendarYear,8,1),(inicio_de_la_semana="lu.")+1)+36</f>
        <v>44073</v>
      </c>
      <c r="C13" s="8">
        <f ca="1"/>
        <v>44074</v>
      </c>
      <c r="D13" s="8">
        <f ca="1"/>
        <v>44075</v>
      </c>
      <c r="E13" s="8">
        <f ca="1"/>
        <v>44076</v>
      </c>
      <c r="F13" s="8">
        <f ca="1"/>
        <v>44077</v>
      </c>
      <c r="G13" s="8">
        <f ca="1"/>
        <v>44078</v>
      </c>
      <c r="H13" s="8">
        <f ca="1"/>
        <v>44079</v>
      </c>
    </row>
    <row r="14" spans="1:11" ht="56.25" customHeight="1" x14ac:dyDescent="0.3">
      <c r="B14" s="11"/>
      <c r="C14" s="11"/>
      <c r="D14" s="11"/>
      <c r="E14" s="11"/>
      <c r="F14" s="11"/>
      <c r="G14" s="11"/>
      <c r="H14" s="11"/>
    </row>
    <row r="15" spans="1:11" ht="18.75" customHeight="1" x14ac:dyDescent="0.3">
      <c r="B15" s="11"/>
      <c r="C15" s="11"/>
      <c r="D15" s="11"/>
      <c r="E15" s="11"/>
      <c r="F15" s="11"/>
      <c r="G15" s="11"/>
      <c r="H15" s="11"/>
    </row>
    <row r="16" spans="1:11" ht="18.75" customHeight="1" x14ac:dyDescent="0.3">
      <c r="B16" s="11"/>
      <c r="C16" s="11"/>
      <c r="D16" s="11"/>
      <c r="E16" s="11"/>
      <c r="F16" s="11"/>
      <c r="G16" s="11"/>
      <c r="H16" s="11"/>
    </row>
  </sheetData>
  <mergeCells count="2">
    <mergeCell ref="J3:J4"/>
    <mergeCell ref="B1:G1"/>
  </mergeCells>
  <conditionalFormatting sqref="B11:H14">
    <cfRule type="expression" dxfId="9" priority="2">
      <formula>AND(DAY(B11)&gt;=1,DAY(B11)&lt;=15)</formula>
    </cfRule>
  </conditionalFormatting>
  <conditionalFormatting sqref="B3:G4">
    <cfRule type="expression" dxfId="8" priority="1">
      <formula>DAY(B3)&gt;8</formula>
    </cfRule>
  </conditionalFormatting>
  <dataValidations count="8">
    <dataValidation allowBlank="1" showInputMessage="1" showErrorMessage="1" prompt="Calendario del mes de agosto. Escriba las notas del mes en la celda J3." sqref="A1" xr:uid="{8F746A8F-3AFC-4AF2-8E16-6E64CC77C4A8}"/>
    <dataValidation allowBlank="1" showInputMessage="1" showErrorMessage="1" prompt="El mes se muestra en esta celda y el año en la de la derecha." sqref="B1:G1" xr:uid="{E7BB91D7-11DF-4ED7-AD0A-6C3D0B29FCFF}"/>
    <dataValidation allowBlank="1" showInputMessage="1" showErrorMessage="1" prompt="El año de esta celda se actualiza automáticamente según el año especificado en la hoja de cálculo configuración del calendario." sqref="H1" xr:uid="{67563C13-A5F0-4AD3-975E-00347DB97527}"/>
    <dataValidation allowBlank="1" showInputMessage="1" showErrorMessage="1" prompt="Esta fila contiene los nombres de los días de la semana de este calendario. Esta celda contiene el primer día de la semana. Para cambiar el día de inicio, seleccione un nuevo día de inicio de la semana en la hoja de cálculo configuración del calendario." sqref="B2" xr:uid="{342EBC02-C545-46C9-ABEC-412542740C7B}"/>
    <dataValidation allowBlank="1" showInputMessage="1" showErrorMessage="1" prompt="El día del calendario de esta fila y de las filas 5, 7, 9, 11 y 13 se actualiza automáticamente. Si esta celda no contiene el número 1, ese día pertenece a un día del mes anterior." sqref="B3" xr:uid="{5EDDCD72-AB41-45A6-9DF7-BADB2D0FC72B}"/>
    <dataValidation allowBlank="1" showInputMessage="1" showErrorMessage="1" prompt="Escriba las notas del mes en la celda inferior." sqref="J2" xr:uid="{5D60DB12-CEB5-47A9-ADC7-83161CDAFA9A}"/>
    <dataValidation allowBlank="1" showInputMessage="1" showErrorMessage="1" prompt="Escriba notas diarias según el día y la fecha del calendario en esta fila y en las filas 6, 8, 10, 12 y 14, desde la columna B hasta la H." sqref="B4" xr:uid="{E877F3F5-8FD0-4803-A3C5-8BA2BB0E900F}"/>
    <dataValidation allowBlank="1" showInputMessage="1" showErrorMessage="1" prompt="Escriba las notas del mes en esta celda." sqref="J3:J4" xr:uid="{EBA22114-904A-4163-AE55-76C39A058AC2}"/>
  </dataValidations>
  <printOptions horizontalCentered="1" verticalCentered="1"/>
  <pageMargins left="0.7" right="0.7" top="0.75" bottom="0.75" header="0.3" footer="0.3"/>
  <pageSetup paperSize="9" orientation="landscape" r:id="rId1"/>
  <headerFooter differentFirst="1" alignWithMargins="0">
    <oddFooter>Page &amp;P of &amp;N</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theme="4"/>
    <pageSetUpPr autoPageBreaks="0" fitToPage="1"/>
  </sheetPr>
  <dimension ref="A1:K16"/>
  <sheetViews>
    <sheetView showGridLines="0" zoomScaleNormal="100" workbookViewId="0"/>
  </sheetViews>
  <sheetFormatPr baseColWidth="10" defaultColWidth="8.75" defaultRowHeight="16.5" x14ac:dyDescent="0.3"/>
  <cols>
    <col min="1" max="1" width="2.625" customWidth="1"/>
    <col min="2" max="8" width="17.5" customWidth="1"/>
    <col min="9" max="9" width="2.625" customWidth="1"/>
    <col min="10" max="10" width="38.5" customWidth="1"/>
    <col min="11" max="11" width="2.375" customWidth="1"/>
  </cols>
  <sheetData>
    <row r="1" spans="1:11" ht="59.25" customHeight="1" thickBot="1" x14ac:dyDescent="0.35">
      <c r="B1" s="15" t="str">
        <f ca="1">LOWER(TEXT(B7,"mmmm"))</f>
        <v>septiembre</v>
      </c>
      <c r="C1" s="15"/>
      <c r="D1" s="15"/>
      <c r="E1" s="15"/>
      <c r="F1" s="15"/>
      <c r="G1" s="15"/>
      <c r="H1" s="4">
        <f ca="1">CalendarYear</f>
        <v>2020</v>
      </c>
      <c r="K1" t="s">
        <v>7</v>
      </c>
    </row>
    <row r="2" spans="1:11" s="5" customFormat="1" ht="46.5" customHeight="1" x14ac:dyDescent="0.55000000000000004">
      <c r="A2"/>
      <c r="B2" s="6" t="str">
        <f>inicio_de_la_semana</f>
        <v>do.</v>
      </c>
      <c r="C2" s="6" t="str">
        <f t="shared" ref="C2:H2" ca="1" si="0">LOWER(TEXT(C3,"ddd"))</f>
        <v>lun</v>
      </c>
      <c r="D2" s="6" t="str">
        <f t="shared" ca="1" si="0"/>
        <v>mar</v>
      </c>
      <c r="E2" s="6" t="str">
        <f t="shared" ca="1" si="0"/>
        <v>mié</v>
      </c>
      <c r="F2" s="6" t="str">
        <f t="shared" ca="1" si="0"/>
        <v>jue</v>
      </c>
      <c r="G2" s="6" t="str">
        <f t="shared" ca="1" si="0"/>
        <v>vie</v>
      </c>
      <c r="H2" s="6" t="str">
        <f t="shared" ca="1" si="0"/>
        <v>sáb</v>
      </c>
      <c r="I2"/>
      <c r="J2" s="7" t="s">
        <v>5</v>
      </c>
    </row>
    <row r="3" spans="1:11" ht="19.5" customHeight="1" x14ac:dyDescent="0.3">
      <c r="B3" s="8">
        <f t="array" aca="1" ref="B3:H3" ca="1">DaysAndWeeks+DATE(CalendarYear,9,1)-WEEKDAY(DATE(CalendarYear,9,1),(inicio_de_la_semana="lu.")+1)+1</f>
        <v>44073</v>
      </c>
      <c r="C3" s="8">
        <f ca="1"/>
        <v>44074</v>
      </c>
      <c r="D3" s="8">
        <f ca="1"/>
        <v>44075</v>
      </c>
      <c r="E3" s="8">
        <f ca="1"/>
        <v>44076</v>
      </c>
      <c r="F3" s="8">
        <f ca="1"/>
        <v>44077</v>
      </c>
      <c r="G3" s="8">
        <f ca="1"/>
        <v>44078</v>
      </c>
      <c r="H3" s="8">
        <f ca="1"/>
        <v>44079</v>
      </c>
      <c r="J3" s="14"/>
    </row>
    <row r="4" spans="1:11" ht="58.5" customHeight="1" x14ac:dyDescent="0.3">
      <c r="B4" s="9"/>
      <c r="C4" s="9"/>
      <c r="D4" s="9"/>
      <c r="E4" s="9"/>
      <c r="F4" s="9"/>
      <c r="G4" s="9"/>
      <c r="H4" s="9"/>
      <c r="J4" s="14"/>
    </row>
    <row r="5" spans="1:11" ht="18.75" customHeight="1" x14ac:dyDescent="0.3">
      <c r="B5" s="8">
        <f t="array" aca="1" ref="B5:H5" ca="1">DaysAndWeeks+DATE(CalendarYear,9,1)-WEEKDAY(DATE(CalendarYear,9,1),(inicio_de_la_semana="lu.")+1)+8</f>
        <v>44080</v>
      </c>
      <c r="C5" s="8">
        <f ca="1"/>
        <v>44081</v>
      </c>
      <c r="D5" s="8">
        <f ca="1"/>
        <v>44082</v>
      </c>
      <c r="E5" s="8">
        <f ca="1"/>
        <v>44083</v>
      </c>
      <c r="F5" s="8">
        <f ca="1"/>
        <v>44084</v>
      </c>
      <c r="G5" s="8">
        <f ca="1"/>
        <v>44085</v>
      </c>
      <c r="H5" s="8">
        <f ca="1"/>
        <v>44086</v>
      </c>
    </row>
    <row r="6" spans="1:11" ht="56.25" customHeight="1" x14ac:dyDescent="0.3">
      <c r="B6" s="9"/>
      <c r="C6" s="9"/>
      <c r="D6" s="9"/>
      <c r="E6" s="9"/>
      <c r="F6" s="9"/>
      <c r="G6" s="9"/>
      <c r="H6" s="9"/>
    </row>
    <row r="7" spans="1:11" ht="18.75" customHeight="1" x14ac:dyDescent="0.3">
      <c r="B7" s="8">
        <f t="array" aca="1" ref="B7:H7" ca="1">DaysAndWeeks+DATE(CalendarYear,9,1)-WEEKDAY(DATE(CalendarYear,9,1),(inicio_de_la_semana="lu.")+1)+15</f>
        <v>44087</v>
      </c>
      <c r="C7" s="8">
        <f ca="1"/>
        <v>44088</v>
      </c>
      <c r="D7" s="8">
        <f ca="1"/>
        <v>44089</v>
      </c>
      <c r="E7" s="8">
        <f ca="1"/>
        <v>44090</v>
      </c>
      <c r="F7" s="8">
        <f ca="1"/>
        <v>44091</v>
      </c>
      <c r="G7" s="8">
        <f ca="1"/>
        <v>44092</v>
      </c>
      <c r="H7" s="8">
        <f ca="1"/>
        <v>44093</v>
      </c>
    </row>
    <row r="8" spans="1:11" ht="56.25" customHeight="1" x14ac:dyDescent="0.3">
      <c r="B8" s="9"/>
      <c r="C8" s="9"/>
      <c r="D8" s="9"/>
      <c r="E8" s="9"/>
      <c r="F8" s="9"/>
      <c r="G8" s="9"/>
      <c r="H8" s="9"/>
    </row>
    <row r="9" spans="1:11" ht="18.75" customHeight="1" x14ac:dyDescent="0.3">
      <c r="B9" s="8">
        <f t="array" aca="1" ref="B9:H9" ca="1">DaysAndWeeks+DATE(CalendarYear,9,1)-WEEKDAY(DATE(CalendarYear,9,1),(inicio_de_la_semana="lu.")+1)+22</f>
        <v>44094</v>
      </c>
      <c r="C9" s="8">
        <f ca="1"/>
        <v>44095</v>
      </c>
      <c r="D9" s="8">
        <f ca="1"/>
        <v>44096</v>
      </c>
      <c r="E9" s="8">
        <f ca="1"/>
        <v>44097</v>
      </c>
      <c r="F9" s="8">
        <f ca="1"/>
        <v>44098</v>
      </c>
      <c r="G9" s="8">
        <f ca="1"/>
        <v>44099</v>
      </c>
      <c r="H9" s="8">
        <f ca="1"/>
        <v>44100</v>
      </c>
    </row>
    <row r="10" spans="1:11" ht="56.25" customHeight="1" x14ac:dyDescent="0.3">
      <c r="B10" s="9"/>
      <c r="C10" s="9"/>
      <c r="D10" s="9"/>
      <c r="E10" s="9"/>
      <c r="F10" s="9"/>
      <c r="G10" s="9"/>
      <c r="H10" s="9"/>
    </row>
    <row r="11" spans="1:11" ht="18.75" customHeight="1" x14ac:dyDescent="0.3">
      <c r="B11" s="8">
        <f t="array" aca="1" ref="B11:H11" ca="1">DaysAndWeeks+DATE(CalendarYear,9,1)-WEEKDAY(DATE(CalendarYear,9,1),(inicio_de_la_semana="lu.")+1)+29</f>
        <v>44101</v>
      </c>
      <c r="C11" s="8">
        <f ca="1"/>
        <v>44102</v>
      </c>
      <c r="D11" s="8">
        <f ca="1"/>
        <v>44103</v>
      </c>
      <c r="E11" s="8">
        <f ca="1"/>
        <v>44104</v>
      </c>
      <c r="F11" s="8">
        <f ca="1"/>
        <v>44105</v>
      </c>
      <c r="G11" s="8">
        <f ca="1"/>
        <v>44106</v>
      </c>
      <c r="H11" s="8">
        <f ca="1"/>
        <v>44107</v>
      </c>
    </row>
    <row r="12" spans="1:11" ht="56.25" customHeight="1" x14ac:dyDescent="0.3">
      <c r="B12" s="9"/>
      <c r="C12" s="9"/>
      <c r="D12" s="9"/>
      <c r="E12" s="9"/>
      <c r="F12" s="9"/>
      <c r="G12" s="9"/>
      <c r="H12" s="9"/>
    </row>
    <row r="13" spans="1:11" ht="18.75" customHeight="1" x14ac:dyDescent="0.3">
      <c r="B13" s="8">
        <f t="array" aca="1" ref="B13:H13" ca="1">DaysAndWeeks+DATE(CalendarYear,9,1)-WEEKDAY(DATE(CalendarYear,9,1),(inicio_de_la_semana="lu.")+1)+36</f>
        <v>44108</v>
      </c>
      <c r="C13" s="8">
        <f ca="1"/>
        <v>44109</v>
      </c>
      <c r="D13" s="8">
        <f ca="1"/>
        <v>44110</v>
      </c>
      <c r="E13" s="8">
        <f ca="1"/>
        <v>44111</v>
      </c>
      <c r="F13" s="8">
        <f ca="1"/>
        <v>44112</v>
      </c>
      <c r="G13" s="8">
        <f ca="1"/>
        <v>44113</v>
      </c>
      <c r="H13" s="8">
        <f ca="1"/>
        <v>44114</v>
      </c>
    </row>
    <row r="14" spans="1:11" ht="56.25" customHeight="1" x14ac:dyDescent="0.3">
      <c r="B14" s="11"/>
      <c r="C14" s="11"/>
      <c r="D14" s="11"/>
      <c r="E14" s="11"/>
      <c r="F14" s="11"/>
      <c r="G14" s="11"/>
      <c r="H14" s="11"/>
    </row>
    <row r="15" spans="1:11" ht="18.75" customHeight="1" x14ac:dyDescent="0.3">
      <c r="B15" s="11"/>
      <c r="C15" s="11"/>
      <c r="D15" s="11"/>
      <c r="E15" s="11"/>
      <c r="F15" s="11"/>
      <c r="G15" s="11"/>
      <c r="H15" s="11"/>
    </row>
    <row r="16" spans="1:11" ht="18.75" customHeight="1" x14ac:dyDescent="0.3">
      <c r="B16" s="11"/>
      <c r="C16" s="11"/>
      <c r="D16" s="11"/>
      <c r="E16" s="11"/>
      <c r="F16" s="11"/>
      <c r="G16" s="11"/>
      <c r="H16" s="11"/>
    </row>
  </sheetData>
  <mergeCells count="2">
    <mergeCell ref="J3:J4"/>
    <mergeCell ref="B1:G1"/>
  </mergeCells>
  <conditionalFormatting sqref="B11:H14">
    <cfRule type="expression" dxfId="7" priority="2">
      <formula>AND(DAY(B11)&gt;=1,DAY(B11)&lt;=15)</formula>
    </cfRule>
  </conditionalFormatting>
  <conditionalFormatting sqref="B3:G4">
    <cfRule type="expression" dxfId="6" priority="1">
      <formula>DAY(B3)&gt;8</formula>
    </cfRule>
  </conditionalFormatting>
  <dataValidations count="8">
    <dataValidation allowBlank="1" showInputMessage="1" showErrorMessage="1" prompt="Calendario del mes de septiembre. Escriba las notas del mes en la celda J3." sqref="A1" xr:uid="{E0599C52-C7AB-4D17-8828-08BE427E84B6}"/>
    <dataValidation allowBlank="1" showInputMessage="1" showErrorMessage="1" prompt="El mes se muestra en esta celda y el año en la de la derecha." sqref="B1:G1" xr:uid="{6A9FFEE3-0716-4354-9D40-D390EDEA01FB}"/>
    <dataValidation allowBlank="1" showInputMessage="1" showErrorMessage="1" prompt="El año de esta celda se actualiza automáticamente según el año especificado en la hoja de cálculo configuración del calendario." sqref="H1" xr:uid="{74F6A18B-259A-4E34-8E68-84AC86ADC943}"/>
    <dataValidation allowBlank="1" showInputMessage="1" showErrorMessage="1" prompt="Esta fila contiene los nombres de los días de la semana de este calendario. Esta celda contiene el primer día de la semana. Para cambiar el día de inicio, seleccione un nuevo día de inicio de la semana en la hoja de cálculo configuración del calendario." sqref="B2" xr:uid="{F2ED6570-359B-4045-8561-E6EF0C17193C}"/>
    <dataValidation allowBlank="1" showInputMessage="1" showErrorMessage="1" prompt="El día del calendario de esta fila y de las filas 5, 7, 9, 11 y 13 se actualiza automáticamente. Si esta celda no contiene el número 1, ese día pertenece a un día del mes anterior." sqref="B3" xr:uid="{172B19B0-72EA-43EF-A037-4001EA7703CD}"/>
    <dataValidation allowBlank="1" showInputMessage="1" showErrorMessage="1" prompt="Escriba las notas del mes en la celda inferior." sqref="J2" xr:uid="{B571F114-AB11-400E-9257-55F9ECB0BAF2}"/>
    <dataValidation allowBlank="1" showInputMessage="1" showErrorMessage="1" prompt="Escriba notas diarias según el día y la fecha del calendario en esta fila y en las filas 6, 8, 10, 12 y 14, desde la columna B hasta la H." sqref="B4" xr:uid="{C42F4287-1D31-40B8-AC7A-F011052E71A8}"/>
    <dataValidation allowBlank="1" showInputMessage="1" showErrorMessage="1" prompt="Escriba las notas del mes en esta celda." sqref="J3:J4" xr:uid="{363774B6-1738-48F4-88B1-099E2B16E3BA}"/>
  </dataValidations>
  <printOptions horizontalCentered="1" verticalCentered="1"/>
  <pageMargins left="0.7" right="0.7" top="0.75" bottom="0.75" header="0.3" footer="0.3"/>
  <pageSetup paperSize="9" orientation="landscape" r:id="rId1"/>
  <headerFooter differentFirst="1" alignWithMargins="0">
    <oddFooter>Page &amp;P of &amp;N</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theme="4" tint="0.39997558519241921"/>
    <pageSetUpPr autoPageBreaks="0" fitToPage="1"/>
  </sheetPr>
  <dimension ref="A1:K16"/>
  <sheetViews>
    <sheetView showGridLines="0" zoomScaleNormal="100" workbookViewId="0"/>
  </sheetViews>
  <sheetFormatPr baseColWidth="10" defaultColWidth="8.75" defaultRowHeight="16.5" x14ac:dyDescent="0.3"/>
  <cols>
    <col min="1" max="1" width="2.625" customWidth="1"/>
    <col min="2" max="8" width="17.5" customWidth="1"/>
    <col min="9" max="9" width="2.625" customWidth="1"/>
    <col min="10" max="10" width="38.5" customWidth="1"/>
    <col min="11" max="11" width="2.375" customWidth="1"/>
  </cols>
  <sheetData>
    <row r="1" spans="1:11" ht="59.25" customHeight="1" thickBot="1" x14ac:dyDescent="0.35">
      <c r="B1" s="15" t="str">
        <f ca="1">LOWER(TEXT(B7,"mmmm"))</f>
        <v>octubre</v>
      </c>
      <c r="C1" s="15"/>
      <c r="D1" s="15"/>
      <c r="E1" s="15"/>
      <c r="F1" s="15"/>
      <c r="G1" s="15"/>
      <c r="H1" s="4">
        <f ca="1">CalendarYear</f>
        <v>2020</v>
      </c>
      <c r="K1" t="s">
        <v>7</v>
      </c>
    </row>
    <row r="2" spans="1:11" s="5" customFormat="1" ht="46.5" customHeight="1" x14ac:dyDescent="0.55000000000000004">
      <c r="A2"/>
      <c r="B2" s="6" t="str">
        <f>inicio_de_la_semana</f>
        <v>do.</v>
      </c>
      <c r="C2" s="6" t="str">
        <f t="shared" ref="C2:H2" ca="1" si="0">LOWER(TEXT(C3,"ddd"))</f>
        <v>lun</v>
      </c>
      <c r="D2" s="6" t="str">
        <f t="shared" ca="1" si="0"/>
        <v>mar</v>
      </c>
      <c r="E2" s="6" t="str">
        <f t="shared" ca="1" si="0"/>
        <v>mié</v>
      </c>
      <c r="F2" s="6" t="str">
        <f t="shared" ca="1" si="0"/>
        <v>jue</v>
      </c>
      <c r="G2" s="6" t="str">
        <f t="shared" ca="1" si="0"/>
        <v>vie</v>
      </c>
      <c r="H2" s="6" t="str">
        <f t="shared" ca="1" si="0"/>
        <v>sáb</v>
      </c>
      <c r="I2"/>
      <c r="J2" s="7" t="s">
        <v>5</v>
      </c>
    </row>
    <row r="3" spans="1:11" ht="19.5" customHeight="1" x14ac:dyDescent="0.3">
      <c r="B3" s="8">
        <f t="array" aca="1" ref="B3:H3" ca="1">DaysAndWeeks+DATE(CalendarYear,10,1)-WEEKDAY(DATE(CalendarYear,10,1),(inicio_de_la_semana="lu.")+1)+1</f>
        <v>44101</v>
      </c>
      <c r="C3" s="8">
        <f ca="1"/>
        <v>44102</v>
      </c>
      <c r="D3" s="8">
        <f ca="1"/>
        <v>44103</v>
      </c>
      <c r="E3" s="8">
        <f ca="1"/>
        <v>44104</v>
      </c>
      <c r="F3" s="8">
        <f ca="1"/>
        <v>44105</v>
      </c>
      <c r="G3" s="8">
        <f ca="1"/>
        <v>44106</v>
      </c>
      <c r="H3" s="8">
        <f ca="1"/>
        <v>44107</v>
      </c>
      <c r="J3" s="14"/>
    </row>
    <row r="4" spans="1:11" ht="58.5" customHeight="1" x14ac:dyDescent="0.3">
      <c r="B4" s="9"/>
      <c r="C4" s="9"/>
      <c r="D4" s="9"/>
      <c r="E4" s="9"/>
      <c r="F4" s="9"/>
      <c r="G4" s="9"/>
      <c r="H4" s="9"/>
      <c r="J4" s="14"/>
    </row>
    <row r="5" spans="1:11" ht="18.75" customHeight="1" x14ac:dyDescent="0.3">
      <c r="B5" s="8">
        <f t="array" aca="1" ref="B5:H5" ca="1">DaysAndWeeks+DATE(CalendarYear,10,1)-WEEKDAY(DATE(CalendarYear,10,1),(inicio_de_la_semana="lu.")+1)+8</f>
        <v>44108</v>
      </c>
      <c r="C5" s="8">
        <f ca="1"/>
        <v>44109</v>
      </c>
      <c r="D5" s="8">
        <f ca="1"/>
        <v>44110</v>
      </c>
      <c r="E5" s="8">
        <f ca="1"/>
        <v>44111</v>
      </c>
      <c r="F5" s="8">
        <f ca="1"/>
        <v>44112</v>
      </c>
      <c r="G5" s="8">
        <f ca="1"/>
        <v>44113</v>
      </c>
      <c r="H5" s="8">
        <f ca="1"/>
        <v>44114</v>
      </c>
    </row>
    <row r="6" spans="1:11" ht="56.25" customHeight="1" x14ac:dyDescent="0.3">
      <c r="B6" s="9"/>
      <c r="C6" s="9"/>
      <c r="D6" s="9"/>
      <c r="E6" s="9"/>
      <c r="F6" s="9"/>
      <c r="G6" s="9"/>
      <c r="H6" s="9"/>
    </row>
    <row r="7" spans="1:11" ht="18.75" customHeight="1" x14ac:dyDescent="0.3">
      <c r="B7" s="8">
        <f t="array" aca="1" ref="B7:H7" ca="1">DaysAndWeeks+DATE(CalendarYear,10,1)-WEEKDAY(DATE(CalendarYear,10,1),(inicio_de_la_semana="lu.")+1)+15</f>
        <v>44115</v>
      </c>
      <c r="C7" s="8">
        <f ca="1"/>
        <v>44116</v>
      </c>
      <c r="D7" s="8">
        <f ca="1"/>
        <v>44117</v>
      </c>
      <c r="E7" s="8">
        <f ca="1"/>
        <v>44118</v>
      </c>
      <c r="F7" s="8">
        <f ca="1"/>
        <v>44119</v>
      </c>
      <c r="G7" s="8">
        <f ca="1"/>
        <v>44120</v>
      </c>
      <c r="H7" s="8">
        <f ca="1"/>
        <v>44121</v>
      </c>
    </row>
    <row r="8" spans="1:11" ht="56.25" customHeight="1" x14ac:dyDescent="0.3">
      <c r="B8" s="9"/>
      <c r="C8" s="9"/>
      <c r="D8" s="9"/>
      <c r="E8" s="9"/>
      <c r="F8" s="9"/>
      <c r="G8" s="9"/>
      <c r="H8" s="9"/>
    </row>
    <row r="9" spans="1:11" ht="18.75" customHeight="1" x14ac:dyDescent="0.3">
      <c r="B9" s="8">
        <f t="array" aca="1" ref="B9:H9" ca="1">DaysAndWeeks+DATE(CalendarYear,10,1)-WEEKDAY(DATE(CalendarYear,10,1),(inicio_de_la_semana="lu.")+1)+22</f>
        <v>44122</v>
      </c>
      <c r="C9" s="8">
        <f ca="1"/>
        <v>44123</v>
      </c>
      <c r="D9" s="8">
        <f ca="1"/>
        <v>44124</v>
      </c>
      <c r="E9" s="8">
        <f ca="1"/>
        <v>44125</v>
      </c>
      <c r="F9" s="8">
        <f ca="1"/>
        <v>44126</v>
      </c>
      <c r="G9" s="8">
        <f ca="1"/>
        <v>44127</v>
      </c>
      <c r="H9" s="8">
        <f ca="1"/>
        <v>44128</v>
      </c>
    </row>
    <row r="10" spans="1:11" ht="56.25" customHeight="1" x14ac:dyDescent="0.3">
      <c r="B10" s="9"/>
      <c r="C10" s="9"/>
      <c r="D10" s="9"/>
      <c r="E10" s="9"/>
      <c r="F10" s="9"/>
      <c r="G10" s="9"/>
      <c r="H10" s="9"/>
    </row>
    <row r="11" spans="1:11" ht="18.75" customHeight="1" x14ac:dyDescent="0.3">
      <c r="B11" s="8">
        <f t="array" aca="1" ref="B11:H11" ca="1">DaysAndWeeks+DATE(CalendarYear,10,1)-WEEKDAY(DATE(CalendarYear,10,1),(inicio_de_la_semana="lu.")+1)+29</f>
        <v>44129</v>
      </c>
      <c r="C11" s="8">
        <f ca="1"/>
        <v>44130</v>
      </c>
      <c r="D11" s="8">
        <f ca="1"/>
        <v>44131</v>
      </c>
      <c r="E11" s="8">
        <f ca="1"/>
        <v>44132</v>
      </c>
      <c r="F11" s="8">
        <f ca="1"/>
        <v>44133</v>
      </c>
      <c r="G11" s="8">
        <f ca="1"/>
        <v>44134</v>
      </c>
      <c r="H11" s="8">
        <f ca="1"/>
        <v>44135</v>
      </c>
    </row>
    <row r="12" spans="1:11" ht="56.25" customHeight="1" x14ac:dyDescent="0.3">
      <c r="B12" s="9"/>
      <c r="C12" s="9"/>
      <c r="D12" s="9"/>
      <c r="E12" s="9"/>
      <c r="F12" s="9"/>
      <c r="G12" s="9"/>
      <c r="H12" s="9"/>
    </row>
    <row r="13" spans="1:11" ht="18.75" customHeight="1" x14ac:dyDescent="0.3">
      <c r="B13" s="8">
        <f t="array" aca="1" ref="B13:H13" ca="1">DaysAndWeeks+DATE(CalendarYear,10,1)-WEEKDAY(DATE(CalendarYear,10,1),(inicio_de_la_semana="lu.")+1)+36</f>
        <v>44136</v>
      </c>
      <c r="C13" s="8">
        <f ca="1"/>
        <v>44137</v>
      </c>
      <c r="D13" s="8">
        <f ca="1"/>
        <v>44138</v>
      </c>
      <c r="E13" s="8">
        <f ca="1"/>
        <v>44139</v>
      </c>
      <c r="F13" s="8">
        <f ca="1"/>
        <v>44140</v>
      </c>
      <c r="G13" s="8">
        <f ca="1"/>
        <v>44141</v>
      </c>
      <c r="H13" s="8">
        <f ca="1"/>
        <v>44142</v>
      </c>
    </row>
    <row r="14" spans="1:11" ht="56.25" customHeight="1" x14ac:dyDescent="0.3">
      <c r="B14" s="11"/>
      <c r="C14" s="11"/>
      <c r="D14" s="11"/>
      <c r="E14" s="11"/>
      <c r="F14" s="11"/>
      <c r="G14" s="11"/>
      <c r="H14" s="11"/>
    </row>
    <row r="15" spans="1:11" ht="18.75" customHeight="1" x14ac:dyDescent="0.3">
      <c r="B15" s="11"/>
      <c r="C15" s="11"/>
      <c r="D15" s="11"/>
      <c r="E15" s="11"/>
      <c r="F15" s="11"/>
      <c r="G15" s="11"/>
      <c r="H15" s="11"/>
    </row>
    <row r="16" spans="1:11" ht="18.75" customHeight="1" x14ac:dyDescent="0.3">
      <c r="B16" s="11"/>
      <c r="C16" s="11"/>
      <c r="D16" s="11"/>
      <c r="E16" s="11"/>
      <c r="F16" s="11"/>
      <c r="G16" s="11"/>
      <c r="H16" s="11"/>
    </row>
  </sheetData>
  <mergeCells count="2">
    <mergeCell ref="J3:J4"/>
    <mergeCell ref="B1:G1"/>
  </mergeCells>
  <conditionalFormatting sqref="B11:H14">
    <cfRule type="expression" dxfId="5" priority="2">
      <formula>AND(DAY(B11)&gt;=1,DAY(B11)&lt;=15)</formula>
    </cfRule>
  </conditionalFormatting>
  <conditionalFormatting sqref="B3:G4">
    <cfRule type="expression" dxfId="4" priority="1">
      <formula>DAY(B3)&gt;8</formula>
    </cfRule>
  </conditionalFormatting>
  <dataValidations count="8">
    <dataValidation allowBlank="1" showInputMessage="1" showErrorMessage="1" prompt="Calendario del mes de octubre. Escriba las notas del mes en la celda J3." sqref="A1" xr:uid="{486A95A5-401D-45C5-BC5F-4BC06DEE789A}"/>
    <dataValidation allowBlank="1" showInputMessage="1" showErrorMessage="1" prompt="El mes se muestra en esta celda y el año en la de la derecha." sqref="B1:G1" xr:uid="{5FE36A8F-2280-4920-8559-1447225A013F}"/>
    <dataValidation allowBlank="1" showInputMessage="1" showErrorMessage="1" prompt="El año de esta celda se actualiza automáticamente según el año especificado en la hoja de cálculo configuración del calendario." sqref="H1" xr:uid="{C2803F5A-C1F8-4C90-AF6B-09CA4F006E22}"/>
    <dataValidation allowBlank="1" showInputMessage="1" showErrorMessage="1" prompt="Esta fila contiene los nombres de los días de la semana de este calendario. Esta celda contiene el primer día de la semana. Para cambiar el día de inicio, seleccione un nuevo día de inicio de la semana en la hoja de cálculo configuración del calendario." sqref="B2" xr:uid="{8E0433DA-D4EE-4091-B9DA-E014DD4495D2}"/>
    <dataValidation allowBlank="1" showInputMessage="1" showErrorMessage="1" prompt="El día del calendario de esta fila y de las filas 5, 7, 9, 11 y 13 se actualiza automáticamente. Si esta celda no contiene el número 1, ese día pertenece a un día del mes anterior." sqref="B3" xr:uid="{3C0BE0C7-9201-48A5-90DB-719EB81BFEE1}"/>
    <dataValidation allowBlank="1" showInputMessage="1" showErrorMessage="1" prompt="Escriba las notas del mes en la celda inferior." sqref="J2" xr:uid="{6870BF1B-97EB-46FC-A0F1-F2EF4EB6D4C2}"/>
    <dataValidation allowBlank="1" showInputMessage="1" showErrorMessage="1" prompt="Escriba notas diarias según el día y la fecha del calendario en esta fila y en las filas 6, 8, 10, 12 y 14, desde la columna B hasta la H." sqref="B4" xr:uid="{B7F180EB-BA72-4947-960C-212AE390D77E}"/>
    <dataValidation allowBlank="1" showInputMessage="1" showErrorMessage="1" prompt="Escriba las notas del mes en esta celda." sqref="J3:J4" xr:uid="{34CCA122-576A-4AF8-B088-895E38603CEF}"/>
  </dataValidations>
  <printOptions horizontalCentered="1" verticalCentered="1"/>
  <pageMargins left="0.7" right="0.7" top="0.75" bottom="0.75" header="0.3" footer="0.3"/>
  <pageSetup paperSize="9" orientation="landscape" r:id="rId1"/>
  <headerFooter differentFirst="1" alignWithMargins="0">
    <oddFooter>Page &amp;P of &amp;N</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theme="4" tint="0.59999389629810485"/>
    <pageSetUpPr autoPageBreaks="0" fitToPage="1"/>
  </sheetPr>
  <dimension ref="A1:K16"/>
  <sheetViews>
    <sheetView showGridLines="0" zoomScaleNormal="100" workbookViewId="0"/>
  </sheetViews>
  <sheetFormatPr baseColWidth="10" defaultColWidth="8.75" defaultRowHeight="16.5" x14ac:dyDescent="0.3"/>
  <cols>
    <col min="1" max="1" width="2.625" customWidth="1"/>
    <col min="2" max="8" width="17.5" customWidth="1"/>
    <col min="9" max="9" width="2.625" customWidth="1"/>
    <col min="10" max="10" width="38.5" customWidth="1"/>
    <col min="11" max="11" width="2.375" customWidth="1"/>
  </cols>
  <sheetData>
    <row r="1" spans="1:11" ht="59.25" customHeight="1" thickBot="1" x14ac:dyDescent="0.35">
      <c r="B1" s="15" t="str">
        <f ca="1">LOWER(TEXT(B7,"mmmm"))</f>
        <v>noviembre</v>
      </c>
      <c r="C1" s="15"/>
      <c r="D1" s="15"/>
      <c r="E1" s="15"/>
      <c r="F1" s="15"/>
      <c r="G1" s="15"/>
      <c r="H1" s="4">
        <f ca="1">CalendarYear</f>
        <v>2020</v>
      </c>
      <c r="K1" t="s">
        <v>7</v>
      </c>
    </row>
    <row r="2" spans="1:11" s="5" customFormat="1" ht="46.5" customHeight="1" x14ac:dyDescent="0.55000000000000004">
      <c r="A2"/>
      <c r="B2" s="6" t="str">
        <f>inicio_de_la_semana</f>
        <v>do.</v>
      </c>
      <c r="C2" s="6" t="str">
        <f t="shared" ref="C2:H2" ca="1" si="0">LOWER(TEXT(C3,"ddd"))</f>
        <v>lun</v>
      </c>
      <c r="D2" s="6" t="str">
        <f t="shared" ca="1" si="0"/>
        <v>mar</v>
      </c>
      <c r="E2" s="6" t="str">
        <f t="shared" ca="1" si="0"/>
        <v>mié</v>
      </c>
      <c r="F2" s="6" t="str">
        <f t="shared" ca="1" si="0"/>
        <v>jue</v>
      </c>
      <c r="G2" s="6" t="str">
        <f t="shared" ca="1" si="0"/>
        <v>vie</v>
      </c>
      <c r="H2" s="6" t="str">
        <f t="shared" ca="1" si="0"/>
        <v>sáb</v>
      </c>
      <c r="I2"/>
      <c r="J2" s="7" t="s">
        <v>5</v>
      </c>
    </row>
    <row r="3" spans="1:11" ht="19.5" customHeight="1" x14ac:dyDescent="0.3">
      <c r="B3" s="8">
        <f t="array" aca="1" ref="B3:H3" ca="1">DaysAndWeeks+DATE(CalendarYear,11,1)-WEEKDAY(DATE(CalendarYear,11,1),(inicio_de_la_semana="lu.")+1)+1</f>
        <v>44136</v>
      </c>
      <c r="C3" s="8">
        <f ca="1"/>
        <v>44137</v>
      </c>
      <c r="D3" s="8">
        <f ca="1"/>
        <v>44138</v>
      </c>
      <c r="E3" s="8">
        <f ca="1"/>
        <v>44139</v>
      </c>
      <c r="F3" s="8">
        <f ca="1"/>
        <v>44140</v>
      </c>
      <c r="G3" s="8">
        <f ca="1"/>
        <v>44141</v>
      </c>
      <c r="H3" s="8">
        <f ca="1"/>
        <v>44142</v>
      </c>
      <c r="J3" s="14"/>
    </row>
    <row r="4" spans="1:11" ht="58.5" customHeight="1" x14ac:dyDescent="0.3">
      <c r="B4" s="9"/>
      <c r="C4" s="9"/>
      <c r="D4" s="9"/>
      <c r="E4" s="9"/>
      <c r="F4" s="9"/>
      <c r="G4" s="9"/>
      <c r="H4" s="9"/>
      <c r="J4" s="14"/>
    </row>
    <row r="5" spans="1:11" ht="18.75" customHeight="1" x14ac:dyDescent="0.3">
      <c r="B5" s="8">
        <f t="array" aca="1" ref="B5:H5" ca="1">DaysAndWeeks+DATE(CalendarYear,11,1)-WEEKDAY(DATE(CalendarYear,11,1),(inicio_de_la_semana="lu.")+1)+8</f>
        <v>44143</v>
      </c>
      <c r="C5" s="8">
        <f ca="1"/>
        <v>44144</v>
      </c>
      <c r="D5" s="8">
        <f ca="1"/>
        <v>44145</v>
      </c>
      <c r="E5" s="8">
        <f ca="1"/>
        <v>44146</v>
      </c>
      <c r="F5" s="8">
        <f ca="1"/>
        <v>44147</v>
      </c>
      <c r="G5" s="8">
        <f ca="1"/>
        <v>44148</v>
      </c>
      <c r="H5" s="8">
        <f ca="1"/>
        <v>44149</v>
      </c>
    </row>
    <row r="6" spans="1:11" ht="56.25" customHeight="1" x14ac:dyDescent="0.3">
      <c r="B6" s="9"/>
      <c r="C6" s="9"/>
      <c r="D6" s="9"/>
      <c r="E6" s="9"/>
      <c r="F6" s="9"/>
      <c r="G6" s="9"/>
      <c r="H6" s="9"/>
    </row>
    <row r="7" spans="1:11" ht="18.75" customHeight="1" x14ac:dyDescent="0.3">
      <c r="B7" s="8">
        <f t="array" aca="1" ref="B7:H7" ca="1">DaysAndWeeks+DATE(CalendarYear,11,1)-WEEKDAY(DATE(CalendarYear,11,1),(inicio_de_la_semana="lu.")+1)+15</f>
        <v>44150</v>
      </c>
      <c r="C7" s="8">
        <f ca="1"/>
        <v>44151</v>
      </c>
      <c r="D7" s="8">
        <f ca="1"/>
        <v>44152</v>
      </c>
      <c r="E7" s="8">
        <f ca="1"/>
        <v>44153</v>
      </c>
      <c r="F7" s="8">
        <f ca="1"/>
        <v>44154</v>
      </c>
      <c r="G7" s="8">
        <f ca="1"/>
        <v>44155</v>
      </c>
      <c r="H7" s="8">
        <f ca="1"/>
        <v>44156</v>
      </c>
    </row>
    <row r="8" spans="1:11" ht="56.25" customHeight="1" x14ac:dyDescent="0.3">
      <c r="B8" s="9"/>
      <c r="C8" s="9"/>
      <c r="D8" s="9"/>
      <c r="E8" s="9"/>
      <c r="F8" s="9"/>
      <c r="G8" s="9"/>
      <c r="H8" s="9"/>
    </row>
    <row r="9" spans="1:11" ht="18.75" customHeight="1" x14ac:dyDescent="0.3">
      <c r="B9" s="8">
        <f t="array" aca="1" ref="B9:H9" ca="1">DaysAndWeeks+DATE(CalendarYear,11,1)-WEEKDAY(DATE(CalendarYear,11,1),(inicio_de_la_semana="lu.")+1)+22</f>
        <v>44157</v>
      </c>
      <c r="C9" s="8">
        <f ca="1"/>
        <v>44158</v>
      </c>
      <c r="D9" s="8">
        <f ca="1"/>
        <v>44159</v>
      </c>
      <c r="E9" s="8">
        <f ca="1"/>
        <v>44160</v>
      </c>
      <c r="F9" s="8">
        <f ca="1"/>
        <v>44161</v>
      </c>
      <c r="G9" s="8">
        <f ca="1"/>
        <v>44162</v>
      </c>
      <c r="H9" s="8">
        <f ca="1"/>
        <v>44163</v>
      </c>
    </row>
    <row r="10" spans="1:11" ht="56.25" customHeight="1" x14ac:dyDescent="0.3">
      <c r="B10" s="9"/>
      <c r="C10" s="9"/>
      <c r="D10" s="9"/>
      <c r="E10" s="9"/>
      <c r="F10" s="9"/>
      <c r="G10" s="9"/>
      <c r="H10" s="9"/>
    </row>
    <row r="11" spans="1:11" ht="18.75" customHeight="1" x14ac:dyDescent="0.3">
      <c r="B11" s="8">
        <f t="array" aca="1" ref="B11:H11" ca="1">DaysAndWeeks+DATE(CalendarYear,11,1)-WEEKDAY(DATE(CalendarYear,11,1),(inicio_de_la_semana="lu.")+1)+29</f>
        <v>44164</v>
      </c>
      <c r="C11" s="8">
        <f ca="1"/>
        <v>44165</v>
      </c>
      <c r="D11" s="8">
        <f ca="1"/>
        <v>44166</v>
      </c>
      <c r="E11" s="8">
        <f ca="1"/>
        <v>44167</v>
      </c>
      <c r="F11" s="8">
        <f ca="1"/>
        <v>44168</v>
      </c>
      <c r="G11" s="8">
        <f ca="1"/>
        <v>44169</v>
      </c>
      <c r="H11" s="8">
        <f ca="1"/>
        <v>44170</v>
      </c>
    </row>
    <row r="12" spans="1:11" ht="56.25" customHeight="1" x14ac:dyDescent="0.3">
      <c r="B12" s="9"/>
      <c r="C12" s="9"/>
      <c r="D12" s="9"/>
      <c r="E12" s="9"/>
      <c r="F12" s="9"/>
      <c r="G12" s="9"/>
      <c r="H12" s="9"/>
    </row>
    <row r="13" spans="1:11" ht="18.75" customHeight="1" x14ac:dyDescent="0.3">
      <c r="B13" s="8">
        <f t="array" aca="1" ref="B13:H13" ca="1">DaysAndWeeks+DATE(CalendarYear,11,1)-WEEKDAY(DATE(CalendarYear,11,1),(inicio_de_la_semana="lu.")+1)+36</f>
        <v>44171</v>
      </c>
      <c r="C13" s="8">
        <f ca="1"/>
        <v>44172</v>
      </c>
      <c r="D13" s="8">
        <f ca="1"/>
        <v>44173</v>
      </c>
      <c r="E13" s="8">
        <f ca="1"/>
        <v>44174</v>
      </c>
      <c r="F13" s="8">
        <f ca="1"/>
        <v>44175</v>
      </c>
      <c r="G13" s="8">
        <f ca="1"/>
        <v>44176</v>
      </c>
      <c r="H13" s="8">
        <f ca="1"/>
        <v>44177</v>
      </c>
    </row>
    <row r="14" spans="1:11" ht="56.25" customHeight="1" x14ac:dyDescent="0.3">
      <c r="B14" s="11"/>
      <c r="C14" s="11"/>
      <c r="D14" s="11"/>
      <c r="E14" s="11"/>
      <c r="F14" s="11"/>
      <c r="G14" s="11"/>
      <c r="H14" s="11"/>
    </row>
    <row r="15" spans="1:11" ht="18.75" customHeight="1" x14ac:dyDescent="0.3">
      <c r="B15" s="11"/>
      <c r="C15" s="11"/>
      <c r="D15" s="11"/>
      <c r="E15" s="11"/>
      <c r="F15" s="11"/>
      <c r="G15" s="11"/>
      <c r="H15" s="11"/>
    </row>
    <row r="16" spans="1:11" ht="18.75" customHeight="1" x14ac:dyDescent="0.3">
      <c r="B16" s="11"/>
      <c r="C16" s="11"/>
      <c r="D16" s="11"/>
      <c r="E16" s="11"/>
      <c r="F16" s="11"/>
      <c r="G16" s="11"/>
      <c r="H16" s="11"/>
    </row>
  </sheetData>
  <mergeCells count="2">
    <mergeCell ref="J3:J4"/>
    <mergeCell ref="B1:G1"/>
  </mergeCells>
  <conditionalFormatting sqref="B11:H14">
    <cfRule type="expression" dxfId="3" priority="2">
      <formula>AND(DAY(B11)&gt;=1,DAY(B11)&lt;=15)</formula>
    </cfRule>
  </conditionalFormatting>
  <conditionalFormatting sqref="B3:G4">
    <cfRule type="expression" dxfId="2" priority="1">
      <formula>DAY(B3)&gt;8</formula>
    </cfRule>
  </conditionalFormatting>
  <dataValidations count="8">
    <dataValidation allowBlank="1" showInputMessage="1" showErrorMessage="1" prompt="Calendario del mes de noviembre. Escriba las notas del mes en la celda J3." sqref="A1" xr:uid="{9C052960-621D-4B98-826C-BB51291F46DA}"/>
    <dataValidation allowBlank="1" showInputMessage="1" showErrorMessage="1" prompt="El mes se muestra en esta celda y el año en la de la derecha." sqref="B1:G1" xr:uid="{3D0ECB25-650C-490E-B418-0846E0D567D1}"/>
    <dataValidation allowBlank="1" showInputMessage="1" showErrorMessage="1" prompt="El año de esta celda se actualiza automáticamente según el año especificado en la hoja de cálculo configuración del calendario." sqref="H1" xr:uid="{1D70EF33-C162-4801-9F90-FF1BC5EFF0BA}"/>
    <dataValidation allowBlank="1" showInputMessage="1" showErrorMessage="1" prompt="Esta fila contiene los nombres de los días de la semana de este calendario. Esta celda contiene el primer día de la semana. Para cambiar el día de inicio, seleccione un nuevo día de inicio de la semana en la hoja de cálculo configuración del calendario." sqref="B2" xr:uid="{A228DC84-D85E-4722-912F-49A2AAACB217}"/>
    <dataValidation allowBlank="1" showInputMessage="1" showErrorMessage="1" prompt="El día del calendario de esta fila y de las filas 5, 7, 9, 11 y 13 se actualiza automáticamente. Si esta celda no contiene el número 1, ese día pertenece a un día del mes anterior." sqref="B3" xr:uid="{640F79E4-5122-4872-A671-411B263F2178}"/>
    <dataValidation allowBlank="1" showInputMessage="1" showErrorMessage="1" prompt="Escriba las notas del mes en la celda inferior." sqref="J2" xr:uid="{3783EC9A-3E2E-4C81-89F4-7196B9D95FAB}"/>
    <dataValidation allowBlank="1" showInputMessage="1" showErrorMessage="1" prompt="Escriba notas diarias según el día y la fecha del calendario en esta fila y en las filas 6, 8, 10, 12 y 14, desde la columna B hasta la H." sqref="B4" xr:uid="{95EE591C-838E-4900-A658-0724D6DA47A3}"/>
    <dataValidation allowBlank="1" showInputMessage="1" showErrorMessage="1" prompt="Escriba las notas del mes en esta celda." sqref="J3:J4" xr:uid="{8679CADE-F058-4CA0-BF97-1BE19D30CD5D}"/>
  </dataValidations>
  <printOptions horizontalCentered="1" verticalCentered="1"/>
  <pageMargins left="0.7" right="0.7" top="0.75" bottom="0.75" header="0.3" footer="0.3"/>
  <pageSetup paperSize="9" orientation="landscape" r:id="rId1"/>
  <headerFooter differentFirst="1" alignWithMargins="0">
    <oddFooter>Page &amp;P of &amp;N</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theme="4" tint="0.79998168889431442"/>
    <pageSetUpPr autoPageBreaks="0" fitToPage="1"/>
  </sheetPr>
  <dimension ref="A1:K16"/>
  <sheetViews>
    <sheetView showGridLines="0" zoomScaleNormal="100" workbookViewId="0"/>
  </sheetViews>
  <sheetFormatPr baseColWidth="10" defaultColWidth="8.75" defaultRowHeight="16.5" x14ac:dyDescent="0.3"/>
  <cols>
    <col min="1" max="1" width="2.625" customWidth="1"/>
    <col min="2" max="8" width="17.5" customWidth="1"/>
    <col min="9" max="9" width="2.625" customWidth="1"/>
    <col min="10" max="10" width="38.5" customWidth="1"/>
    <col min="11" max="11" width="2.375" customWidth="1"/>
  </cols>
  <sheetData>
    <row r="1" spans="1:11" ht="59.25" customHeight="1" thickBot="1" x14ac:dyDescent="0.35">
      <c r="B1" s="15" t="str">
        <f ca="1">LOWER(TEXT(B7,"mmmm"))</f>
        <v>diciembre</v>
      </c>
      <c r="C1" s="15"/>
      <c r="D1" s="15"/>
      <c r="E1" s="15"/>
      <c r="F1" s="15"/>
      <c r="G1" s="15"/>
      <c r="H1" s="4">
        <f ca="1">CalendarYear</f>
        <v>2020</v>
      </c>
      <c r="K1" t="s">
        <v>7</v>
      </c>
    </row>
    <row r="2" spans="1:11" s="5" customFormat="1" ht="46.5" customHeight="1" x14ac:dyDescent="0.55000000000000004">
      <c r="A2"/>
      <c r="B2" s="6" t="str">
        <f>inicio_de_la_semana</f>
        <v>do.</v>
      </c>
      <c r="C2" s="6" t="str">
        <f t="shared" ref="C2:H2" ca="1" si="0">LOWER(TEXT(C3,"ddd"))</f>
        <v>lun</v>
      </c>
      <c r="D2" s="6" t="str">
        <f t="shared" ca="1" si="0"/>
        <v>mar</v>
      </c>
      <c r="E2" s="6" t="str">
        <f t="shared" ca="1" si="0"/>
        <v>mié</v>
      </c>
      <c r="F2" s="6" t="str">
        <f t="shared" ca="1" si="0"/>
        <v>jue</v>
      </c>
      <c r="G2" s="6" t="str">
        <f t="shared" ca="1" si="0"/>
        <v>vie</v>
      </c>
      <c r="H2" s="6" t="str">
        <f t="shared" ca="1" si="0"/>
        <v>sáb</v>
      </c>
      <c r="I2"/>
      <c r="J2" s="7" t="s">
        <v>5</v>
      </c>
    </row>
    <row r="3" spans="1:11" ht="19.5" customHeight="1" x14ac:dyDescent="0.3">
      <c r="B3" s="8">
        <f t="array" aca="1" ref="B3:H3" ca="1">DaysAndWeeks+DATE(CalendarYear,12,1)-WEEKDAY(DATE(CalendarYear,12,1),(inicio_de_la_semana="lu.")+1)+1</f>
        <v>44164</v>
      </c>
      <c r="C3" s="8">
        <f ca="1"/>
        <v>44165</v>
      </c>
      <c r="D3" s="8">
        <f ca="1"/>
        <v>44166</v>
      </c>
      <c r="E3" s="8">
        <f ca="1"/>
        <v>44167</v>
      </c>
      <c r="F3" s="8">
        <f ca="1"/>
        <v>44168</v>
      </c>
      <c r="G3" s="8">
        <f ca="1"/>
        <v>44169</v>
      </c>
      <c r="H3" s="8">
        <f ca="1"/>
        <v>44170</v>
      </c>
      <c r="J3" s="14"/>
    </row>
    <row r="4" spans="1:11" ht="58.5" customHeight="1" x14ac:dyDescent="0.3">
      <c r="B4" s="9"/>
      <c r="C4" s="9"/>
      <c r="D4" s="9"/>
      <c r="E4" s="9"/>
      <c r="F4" s="9"/>
      <c r="G4" s="9"/>
      <c r="H4" s="9"/>
      <c r="J4" s="14"/>
    </row>
    <row r="5" spans="1:11" ht="18.75" customHeight="1" x14ac:dyDescent="0.3">
      <c r="B5" s="8">
        <f t="array" aca="1" ref="B5:H5" ca="1">DaysAndWeeks+DATE(CalendarYear,12,1)-WEEKDAY(DATE(CalendarYear,12,1),(inicio_de_la_semana="lu.")+1)+8</f>
        <v>44171</v>
      </c>
      <c r="C5" s="8">
        <f ca="1"/>
        <v>44172</v>
      </c>
      <c r="D5" s="8">
        <f ca="1"/>
        <v>44173</v>
      </c>
      <c r="E5" s="8">
        <f ca="1"/>
        <v>44174</v>
      </c>
      <c r="F5" s="8">
        <f ca="1"/>
        <v>44175</v>
      </c>
      <c r="G5" s="8">
        <f ca="1"/>
        <v>44176</v>
      </c>
      <c r="H5" s="8">
        <f ca="1"/>
        <v>44177</v>
      </c>
    </row>
    <row r="6" spans="1:11" ht="56.25" customHeight="1" x14ac:dyDescent="0.3">
      <c r="B6" s="9"/>
      <c r="C6" s="9"/>
      <c r="D6" s="9"/>
      <c r="E6" s="9"/>
      <c r="F6" s="9"/>
      <c r="G6" s="9"/>
      <c r="H6" s="9"/>
    </row>
    <row r="7" spans="1:11" ht="18.75" customHeight="1" x14ac:dyDescent="0.3">
      <c r="B7" s="8">
        <f t="array" aca="1" ref="B7:H7" ca="1">DaysAndWeeks+DATE(CalendarYear,12,1)-WEEKDAY(DATE(CalendarYear,12,1),(inicio_de_la_semana="lu.")+1)+15</f>
        <v>44178</v>
      </c>
      <c r="C7" s="8">
        <f ca="1"/>
        <v>44179</v>
      </c>
      <c r="D7" s="8">
        <f ca="1"/>
        <v>44180</v>
      </c>
      <c r="E7" s="8">
        <f ca="1"/>
        <v>44181</v>
      </c>
      <c r="F7" s="8">
        <f ca="1"/>
        <v>44182</v>
      </c>
      <c r="G7" s="8">
        <f ca="1"/>
        <v>44183</v>
      </c>
      <c r="H7" s="8">
        <f ca="1"/>
        <v>44184</v>
      </c>
    </row>
    <row r="8" spans="1:11" ht="56.25" customHeight="1" x14ac:dyDescent="0.3">
      <c r="B8" s="9"/>
      <c r="C8" s="9"/>
      <c r="D8" s="9"/>
      <c r="E8" s="9"/>
      <c r="F8" s="9"/>
      <c r="G8" s="9"/>
      <c r="H8" s="9"/>
    </row>
    <row r="9" spans="1:11" ht="18.75" customHeight="1" x14ac:dyDescent="0.3">
      <c r="B9" s="8">
        <f t="array" aca="1" ref="B9:H9" ca="1">DaysAndWeeks+DATE(CalendarYear,12,1)-WEEKDAY(DATE(CalendarYear,12,1),(inicio_de_la_semana="lu.")+1)+22</f>
        <v>44185</v>
      </c>
      <c r="C9" s="8">
        <f ca="1"/>
        <v>44186</v>
      </c>
      <c r="D9" s="8">
        <f ca="1"/>
        <v>44187</v>
      </c>
      <c r="E9" s="8">
        <f ca="1"/>
        <v>44188</v>
      </c>
      <c r="F9" s="8">
        <f ca="1"/>
        <v>44189</v>
      </c>
      <c r="G9" s="8">
        <f ca="1"/>
        <v>44190</v>
      </c>
      <c r="H9" s="8">
        <f ca="1"/>
        <v>44191</v>
      </c>
    </row>
    <row r="10" spans="1:11" ht="56.25" customHeight="1" x14ac:dyDescent="0.3">
      <c r="B10" s="9"/>
      <c r="C10" s="9"/>
      <c r="D10" s="9"/>
      <c r="E10" s="9"/>
      <c r="F10" s="9"/>
      <c r="G10" s="9"/>
      <c r="H10" s="9"/>
    </row>
    <row r="11" spans="1:11" ht="18.75" customHeight="1" x14ac:dyDescent="0.3">
      <c r="B11" s="8">
        <f t="array" aca="1" ref="B11:H11" ca="1">DaysAndWeeks+DATE(CalendarYear,12,1)-WEEKDAY(DATE(CalendarYear,12,1),(inicio_de_la_semana="lu.")+1)+29</f>
        <v>44192</v>
      </c>
      <c r="C11" s="8">
        <f ca="1"/>
        <v>44193</v>
      </c>
      <c r="D11" s="8">
        <f ca="1"/>
        <v>44194</v>
      </c>
      <c r="E11" s="8">
        <f ca="1"/>
        <v>44195</v>
      </c>
      <c r="F11" s="8">
        <f ca="1"/>
        <v>44196</v>
      </c>
      <c r="G11" s="8">
        <f ca="1"/>
        <v>44197</v>
      </c>
      <c r="H11" s="8">
        <f ca="1"/>
        <v>44198</v>
      </c>
    </row>
    <row r="12" spans="1:11" ht="56.25" customHeight="1" x14ac:dyDescent="0.3">
      <c r="B12" s="9"/>
      <c r="C12" s="9"/>
      <c r="D12" s="9"/>
      <c r="E12" s="9"/>
      <c r="F12" s="9"/>
      <c r="G12" s="9"/>
      <c r="H12" s="9"/>
    </row>
    <row r="13" spans="1:11" ht="18.75" customHeight="1" x14ac:dyDescent="0.3">
      <c r="B13" s="8">
        <f t="array" aca="1" ref="B13:H13" ca="1">DaysAndWeeks+DATE(CalendarYear,12,1)-WEEKDAY(DATE(CalendarYear,12,1),(inicio_de_la_semana="lu.")+1)+36</f>
        <v>44199</v>
      </c>
      <c r="C13" s="8">
        <f ca="1"/>
        <v>44200</v>
      </c>
      <c r="D13" s="8">
        <f ca="1"/>
        <v>44201</v>
      </c>
      <c r="E13" s="8">
        <f ca="1"/>
        <v>44202</v>
      </c>
      <c r="F13" s="8">
        <f ca="1"/>
        <v>44203</v>
      </c>
      <c r="G13" s="8">
        <f ca="1"/>
        <v>44204</v>
      </c>
      <c r="H13" s="8">
        <f ca="1"/>
        <v>44205</v>
      </c>
    </row>
    <row r="14" spans="1:11" ht="56.25" customHeight="1" x14ac:dyDescent="0.3">
      <c r="B14" s="11"/>
      <c r="C14" s="11"/>
      <c r="D14" s="11"/>
      <c r="E14" s="11"/>
      <c r="F14" s="11"/>
      <c r="G14" s="11"/>
      <c r="H14" s="11"/>
    </row>
    <row r="15" spans="1:11" ht="18.75" customHeight="1" x14ac:dyDescent="0.3">
      <c r="B15" s="11"/>
      <c r="C15" s="11"/>
      <c r="D15" s="11"/>
      <c r="E15" s="11"/>
      <c r="F15" s="11"/>
      <c r="G15" s="11"/>
      <c r="H15" s="11"/>
    </row>
    <row r="16" spans="1:11" ht="18.75" customHeight="1" x14ac:dyDescent="0.3">
      <c r="B16" s="11"/>
      <c r="C16" s="11"/>
      <c r="D16" s="11"/>
      <c r="E16" s="11"/>
      <c r="F16" s="11"/>
      <c r="G16" s="11"/>
      <c r="H16" s="11"/>
    </row>
  </sheetData>
  <mergeCells count="2">
    <mergeCell ref="J3:J4"/>
    <mergeCell ref="B1:G1"/>
  </mergeCells>
  <conditionalFormatting sqref="B11:H14">
    <cfRule type="expression" dxfId="1" priority="2">
      <formula>AND(DAY(B11)&gt;=1,DAY(B11)&lt;=15)</formula>
    </cfRule>
  </conditionalFormatting>
  <conditionalFormatting sqref="B3:G4">
    <cfRule type="expression" dxfId="0" priority="1">
      <formula>DAY(B3)&gt;8</formula>
    </cfRule>
  </conditionalFormatting>
  <dataValidations count="8">
    <dataValidation allowBlank="1" showInputMessage="1" showErrorMessage="1" prompt="Calendario del mes de diciembre. Escriba las notas del mes en la celda J3." sqref="A1" xr:uid="{43FDFF0B-CBA2-4256-B2D7-75E7BC8A4E1A}"/>
    <dataValidation allowBlank="1" showInputMessage="1" showErrorMessage="1" prompt="El mes se muestra en esta celda y el año en la de la derecha." sqref="B1:G1" xr:uid="{93FF3CB9-A0CA-496A-9DDF-3C915C1DE367}"/>
    <dataValidation allowBlank="1" showInputMessage="1" showErrorMessage="1" prompt="El año de esta celda se actualiza automáticamente según el año especificado en la hoja de cálculo configuración del calendario." sqref="H1" xr:uid="{B2B590C5-1005-451C-B453-EF1F5AFB3504}"/>
    <dataValidation allowBlank="1" showInputMessage="1" showErrorMessage="1" prompt="Esta fila contiene los nombres de los días de la semana de este calendario. Esta celda contiene el primer día de la semana. Para cambiar el día de inicio, seleccione un nuevo día de inicio de la semana en la hoja de cálculo configuración del calendario." sqref="B2" xr:uid="{E826EFD1-0017-496E-9163-316AF662415A}"/>
    <dataValidation allowBlank="1" showInputMessage="1" showErrorMessage="1" prompt="El día del calendario de esta fila y de las filas 5, 7, 9, 11 y 13 se actualiza automáticamente. Si esta celda no contiene el número 1, ese día pertenece a un día del mes anterior." sqref="B3" xr:uid="{3F5D988D-2E58-4306-AE02-AE398B1AD8FF}"/>
    <dataValidation allowBlank="1" showInputMessage="1" showErrorMessage="1" prompt="Escriba las notas del mes en la celda inferior." sqref="J2" xr:uid="{44802BC3-97E3-4181-BE5F-759F6EA2DF2F}"/>
    <dataValidation allowBlank="1" showInputMessage="1" showErrorMessage="1" prompt="Escriba notas diarias según el día y la fecha del calendario en esta fila y en las filas 6, 8, 10, 12 y 14, desde la columna B hasta la H." sqref="B4" xr:uid="{BC750A5F-5928-4EB9-AD45-1E52C3707144}"/>
    <dataValidation allowBlank="1" showInputMessage="1" showErrorMessage="1" prompt="Escriba las notas del mes en esta celda." sqref="J3:J4" xr:uid="{68565FB9-71F1-4CB5-8CF3-6714352B3125}"/>
  </dataValidations>
  <printOptions horizontalCentered="1" verticalCentered="1"/>
  <pageMargins left="0.7" right="0.7" top="0.75" bottom="0.75" header="0.3" footer="0.3"/>
  <pageSetup paperSize="9" orientation="landscape" r:id="rId1"/>
  <headerFooter differentFirst="1" alignWithMargins="0">
    <oddFooter>Page &amp;P of &amp;N</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13</vt:i4>
      </vt:variant>
      <vt:variant>
        <vt:lpstr>Rangos con nombre</vt:lpstr>
      </vt:variant>
      <vt:variant>
        <vt:i4>3</vt:i4>
      </vt:variant>
    </vt:vector>
  </HeadingPairs>
  <TitlesOfParts>
    <vt:vector size="16" baseType="lpstr">
      <vt:lpstr>configuración del calendario</vt:lpstr>
      <vt:lpstr>enero</vt:lpstr>
      <vt:lpstr>febrero</vt:lpstr>
      <vt:lpstr>marzo</vt:lpstr>
      <vt:lpstr>abril</vt:lpstr>
      <vt:lpstr>mayo</vt:lpstr>
      <vt:lpstr>junio</vt:lpstr>
      <vt:lpstr>julio</vt:lpstr>
      <vt:lpstr>agosto</vt:lpstr>
      <vt:lpstr>septiembre</vt:lpstr>
      <vt:lpstr>octubre</vt:lpstr>
      <vt:lpstr>noviembre</vt:lpstr>
      <vt:lpstr>diciembre</vt:lpstr>
      <vt:lpstr>'configuración del calendario'!Área_de_impresión</vt:lpstr>
      <vt:lpstr>CalendarYear</vt:lpstr>
      <vt:lpstr>inicio_de_la_semana</vt:lpstr>
    </vt:vector>
  </TitlesOfParts>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01</dc:creator>
  <cp:keywords/>
  <cp:lastModifiedBy>01</cp:lastModifiedBy>
  <dcterms:created xsi:type="dcterms:W3CDTF">2018-01-24T04:53:32Z</dcterms:created>
  <dcterms:modified xsi:type="dcterms:W3CDTF">2020-04-23T02:14:09Z</dcterms:modified>
  <cp:version/>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42aa342-8706-4288-bd11-ebb85995028c_Enabled">
    <vt:lpwstr>True</vt:lpwstr>
  </property>
  <property fmtid="{D5CDD505-2E9C-101B-9397-08002B2CF9AE}" pid="3" name="MSIP_Label_f42aa342-8706-4288-bd11-ebb85995028c_SiteId">
    <vt:lpwstr>72f988bf-86f1-41af-91ab-2d7cd011db47</vt:lpwstr>
  </property>
  <property fmtid="{D5CDD505-2E9C-101B-9397-08002B2CF9AE}" pid="4" name="MSIP_Label_f42aa342-8706-4288-bd11-ebb85995028c_Owner">
    <vt:lpwstr>v-audrs@microsoft.com</vt:lpwstr>
  </property>
  <property fmtid="{D5CDD505-2E9C-101B-9397-08002B2CF9AE}" pid="5" name="MSIP_Label_f42aa342-8706-4288-bd11-ebb85995028c_SetDate">
    <vt:lpwstr>2018-01-24T04:53:36.0171938Z</vt:lpwstr>
  </property>
  <property fmtid="{D5CDD505-2E9C-101B-9397-08002B2CF9AE}" pid="6" name="MSIP_Label_f42aa342-8706-4288-bd11-ebb85995028c_Name">
    <vt:lpwstr>General</vt:lpwstr>
  </property>
  <property fmtid="{D5CDD505-2E9C-101B-9397-08002B2CF9AE}" pid="7" name="MSIP_Label_f42aa342-8706-4288-bd11-ebb85995028c_Application">
    <vt:lpwstr>Microsoft Azure Information Protection</vt:lpwstr>
  </property>
  <property fmtid="{D5CDD505-2E9C-101B-9397-08002B2CF9AE}" pid="8" name="MSIP_Label_f42aa342-8706-4288-bd11-ebb85995028c_Extended_MSFT_Method">
    <vt:lpwstr>Automatic</vt:lpwstr>
  </property>
  <property fmtid="{D5CDD505-2E9C-101B-9397-08002B2CF9AE}" pid="9" name="Sensitivity">
    <vt:lpwstr>General</vt:lpwstr>
  </property>
</Properties>
</file>