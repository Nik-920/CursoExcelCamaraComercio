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747BA01E-D5F0-492E-A83F-2935DAC5C74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ualquier año" sheetId="4" r:id="rId1"/>
  </sheets>
  <definedNames>
    <definedName name="AprSun1">DATEVALUE("1/4/"&amp;ElAño)-WEEKDAY(DATEVALUE("1/4/"&amp;ElAño)-1)+1</definedName>
    <definedName name="_xlnm.Print_Area" localSheetId="0">'Cualquier año'!$B$2:$AH$31</definedName>
    <definedName name="AugSun1">DATEVALUE("1/8/"&amp;ElAño)-WEEKDAY(DATEVALUE("1/8/"&amp;ElAño)-1)+1</definedName>
    <definedName name="DecSun1">DATEVALUE("1/12/"&amp;ElAño)-WEEKDAY(DATEVALUE("1/12/"&amp;ElAño)-1)+1</definedName>
    <definedName name="ElAño">'Cualquier año'!$B$2</definedName>
    <definedName name="FebSun1">DATEVALUE("1/2/"&amp;ElAño)-WEEKDAY(DATEVALUE("1/2/"&amp;ElAño)-1)+1</definedName>
    <definedName name="JanSun1">DATEVALUE("1/1/"&amp;ElAño)-WEEKDAY(DATEVALUE("1/1/"&amp;ElAño)-1)+1</definedName>
    <definedName name="JulSun1">DATEVALUE("1/7/"&amp;ElAño)-WEEKDAY(DATEVALUE("1/7/"&amp;ElAño)-1)+1</definedName>
    <definedName name="JunSun1">DATEVALUE("1/6/"&amp;ElAño)-WEEKDAY(DATEVALUE("1/6/"&amp;ElAño)-1)+1</definedName>
    <definedName name="MarSun1">DATEVALUE("1/3/"&amp;ElAño)-WEEKDAY(DATEVALUE("1/3/"&amp;ElAño)-1)+1</definedName>
    <definedName name="MaySun1">DATEVALUE("1/5/"&amp;ElAño)-WEEKDAY(DATEVALUE("1/5/"&amp;ElAño)-1)+1</definedName>
    <definedName name="NovSun1">DATEVALUE("1/11/"&amp;ElAño)-WEEKDAY(DATEVALUE("1/11/"&amp;ElAño)-1)+1</definedName>
    <definedName name="OctSun1">DATEVALUE("1/10/"&amp;ElAño)-WEEKDAY(DATEVALUE("1/10/"&amp;ElAño)-1)+1</definedName>
    <definedName name="SepSun1">DATEVALUE("1/9/"&amp;ElAño)-WEEKDAY(DATEVALUE("1/9/"&amp;ElAño)-1)+1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7" i="4" l="1"/>
  <c r="AG30" i="4"/>
  <c r="AF30" i="4"/>
  <c r="AE30" i="4"/>
  <c r="AD30" i="4"/>
  <c r="AC30" i="4"/>
  <c r="AB30" i="4"/>
  <c r="AA30" i="4"/>
  <c r="Y30" i="4"/>
  <c r="X30" i="4"/>
  <c r="W30" i="4"/>
  <c r="V30" i="4"/>
  <c r="U30" i="4"/>
  <c r="T30" i="4"/>
  <c r="S30" i="4"/>
  <c r="Q30" i="4"/>
  <c r="P30" i="4"/>
  <c r="O30" i="4"/>
  <c r="N30" i="4"/>
  <c r="M30" i="4"/>
  <c r="L30" i="4"/>
  <c r="K30" i="4"/>
  <c r="I30" i="4"/>
  <c r="H30" i="4"/>
  <c r="G30" i="4"/>
  <c r="F30" i="4"/>
  <c r="E30" i="4"/>
  <c r="D30" i="4"/>
  <c r="C30" i="4"/>
  <c r="AG29" i="4"/>
  <c r="AF29" i="4"/>
  <c r="AE29" i="4"/>
  <c r="AD29" i="4"/>
  <c r="AC29" i="4"/>
  <c r="AB29" i="4"/>
  <c r="AA29" i="4"/>
  <c r="Y29" i="4"/>
  <c r="X29" i="4"/>
  <c r="W29" i="4"/>
  <c r="V29" i="4"/>
  <c r="U29" i="4"/>
  <c r="T29" i="4"/>
  <c r="S29" i="4"/>
  <c r="Q29" i="4"/>
  <c r="P29" i="4"/>
  <c r="O29" i="4"/>
  <c r="N29" i="4"/>
  <c r="M29" i="4"/>
  <c r="L29" i="4"/>
  <c r="K29" i="4"/>
  <c r="I29" i="4"/>
  <c r="H29" i="4"/>
  <c r="G29" i="4"/>
  <c r="F29" i="4"/>
  <c r="E29" i="4"/>
  <c r="D29" i="4"/>
  <c r="C29" i="4"/>
  <c r="AG28" i="4"/>
  <c r="AF28" i="4"/>
  <c r="AE28" i="4"/>
  <c r="AD28" i="4"/>
  <c r="AC28" i="4"/>
  <c r="AB28" i="4"/>
  <c r="AA28" i="4"/>
  <c r="Y28" i="4"/>
  <c r="X28" i="4"/>
  <c r="W28" i="4"/>
  <c r="V28" i="4"/>
  <c r="U28" i="4"/>
  <c r="T28" i="4"/>
  <c r="S28" i="4"/>
  <c r="Q28" i="4"/>
  <c r="P28" i="4"/>
  <c r="O28" i="4"/>
  <c r="N28" i="4"/>
  <c r="M28" i="4"/>
  <c r="L28" i="4"/>
  <c r="K28" i="4"/>
  <c r="I28" i="4"/>
  <c r="H28" i="4"/>
  <c r="G28" i="4"/>
  <c r="F28" i="4"/>
  <c r="E28" i="4"/>
  <c r="D28" i="4"/>
  <c r="C28" i="4"/>
  <c r="AG27" i="4"/>
  <c r="AF27" i="4"/>
  <c r="AE27" i="4"/>
  <c r="AD27" i="4"/>
  <c r="AC27" i="4"/>
  <c r="AB27" i="4"/>
  <c r="AA27" i="4"/>
  <c r="Y27" i="4"/>
  <c r="X27" i="4"/>
  <c r="W27" i="4"/>
  <c r="V27" i="4"/>
  <c r="U27" i="4"/>
  <c r="T27" i="4"/>
  <c r="S27" i="4"/>
  <c r="Q27" i="4"/>
  <c r="P27" i="4"/>
  <c r="O27" i="4"/>
  <c r="N27" i="4"/>
  <c r="M27" i="4"/>
  <c r="L27" i="4"/>
  <c r="K27" i="4"/>
  <c r="I27" i="4"/>
  <c r="H27" i="4"/>
  <c r="G27" i="4"/>
  <c r="F27" i="4"/>
  <c r="E27" i="4"/>
  <c r="D27" i="4"/>
  <c r="C27" i="4"/>
  <c r="AG26" i="4"/>
  <c r="AF26" i="4"/>
  <c r="AE26" i="4"/>
  <c r="AD26" i="4"/>
  <c r="AC26" i="4"/>
  <c r="AB26" i="4"/>
  <c r="AA26" i="4"/>
  <c r="Y26" i="4"/>
  <c r="X26" i="4"/>
  <c r="W26" i="4"/>
  <c r="V26" i="4"/>
  <c r="U26" i="4"/>
  <c r="T26" i="4"/>
  <c r="S26" i="4"/>
  <c r="Q26" i="4"/>
  <c r="P26" i="4"/>
  <c r="O26" i="4"/>
  <c r="N26" i="4"/>
  <c r="M26" i="4"/>
  <c r="L26" i="4"/>
  <c r="K26" i="4"/>
  <c r="I26" i="4"/>
  <c r="H26" i="4"/>
  <c r="G26" i="4"/>
  <c r="F26" i="4"/>
  <c r="E26" i="4"/>
  <c r="D26" i="4"/>
  <c r="C26" i="4"/>
  <c r="AG25" i="4"/>
  <c r="AF25" i="4"/>
  <c r="AE25" i="4"/>
  <c r="AD25" i="4"/>
  <c r="AC25" i="4"/>
  <c r="AB25" i="4"/>
  <c r="AA25" i="4"/>
  <c r="Y25" i="4"/>
  <c r="X25" i="4"/>
  <c r="W25" i="4"/>
  <c r="V25" i="4"/>
  <c r="U25" i="4"/>
  <c r="T25" i="4"/>
  <c r="S25" i="4"/>
  <c r="Q25" i="4"/>
  <c r="P25" i="4"/>
  <c r="O25" i="4"/>
  <c r="N25" i="4"/>
  <c r="M25" i="4"/>
  <c r="L25" i="4"/>
  <c r="K25" i="4"/>
  <c r="I25" i="4"/>
  <c r="H25" i="4"/>
  <c r="G25" i="4"/>
  <c r="F25" i="4"/>
  <c r="E25" i="4"/>
  <c r="D25" i="4"/>
  <c r="C25" i="4"/>
  <c r="AG21" i="4"/>
  <c r="AF21" i="4"/>
  <c r="AE21" i="4"/>
  <c r="AD21" i="4"/>
  <c r="AC21" i="4"/>
  <c r="AB21" i="4"/>
  <c r="AA21" i="4"/>
  <c r="Y21" i="4"/>
  <c r="X21" i="4"/>
  <c r="W21" i="4"/>
  <c r="V21" i="4"/>
  <c r="U21" i="4"/>
  <c r="T21" i="4"/>
  <c r="S21" i="4"/>
  <c r="Q21" i="4"/>
  <c r="P21" i="4"/>
  <c r="O21" i="4"/>
  <c r="N21" i="4"/>
  <c r="M21" i="4"/>
  <c r="L21" i="4"/>
  <c r="K21" i="4"/>
  <c r="I21" i="4"/>
  <c r="H21" i="4"/>
  <c r="G21" i="4"/>
  <c r="F21" i="4"/>
  <c r="E21" i="4"/>
  <c r="D21" i="4"/>
  <c r="C21" i="4"/>
  <c r="AG20" i="4"/>
  <c r="AF20" i="4"/>
  <c r="AE20" i="4"/>
  <c r="AD20" i="4"/>
  <c r="AC20" i="4"/>
  <c r="AB20" i="4"/>
  <c r="AA20" i="4"/>
  <c r="Y20" i="4"/>
  <c r="X20" i="4"/>
  <c r="W20" i="4"/>
  <c r="V20" i="4"/>
  <c r="U20" i="4"/>
  <c r="T20" i="4"/>
  <c r="S20" i="4"/>
  <c r="Q20" i="4"/>
  <c r="P20" i="4"/>
  <c r="O20" i="4"/>
  <c r="N20" i="4"/>
  <c r="M20" i="4"/>
  <c r="L20" i="4"/>
  <c r="K20" i="4"/>
  <c r="I20" i="4"/>
  <c r="H20" i="4"/>
  <c r="G20" i="4"/>
  <c r="F20" i="4"/>
  <c r="E20" i="4"/>
  <c r="D20" i="4"/>
  <c r="C20" i="4"/>
  <c r="AG19" i="4"/>
  <c r="AF19" i="4"/>
  <c r="AE19" i="4"/>
  <c r="AD19" i="4"/>
  <c r="AC19" i="4"/>
  <c r="AB19" i="4"/>
  <c r="AA19" i="4"/>
  <c r="Y19" i="4"/>
  <c r="X19" i="4"/>
  <c r="W19" i="4"/>
  <c r="V19" i="4"/>
  <c r="U19" i="4"/>
  <c r="T19" i="4"/>
  <c r="S19" i="4"/>
  <c r="Q19" i="4"/>
  <c r="P19" i="4"/>
  <c r="O19" i="4"/>
  <c r="N19" i="4"/>
  <c r="M19" i="4"/>
  <c r="L19" i="4"/>
  <c r="K19" i="4"/>
  <c r="I19" i="4"/>
  <c r="H19" i="4"/>
  <c r="G19" i="4"/>
  <c r="F19" i="4"/>
  <c r="E19" i="4"/>
  <c r="D19" i="4"/>
  <c r="C19" i="4"/>
  <c r="AG18" i="4"/>
  <c r="AF18" i="4"/>
  <c r="AE18" i="4"/>
  <c r="AD18" i="4"/>
  <c r="AC18" i="4"/>
  <c r="AB18" i="4"/>
  <c r="AA18" i="4"/>
  <c r="Y18" i="4"/>
  <c r="X18" i="4"/>
  <c r="W18" i="4"/>
  <c r="V18" i="4"/>
  <c r="U18" i="4"/>
  <c r="T18" i="4"/>
  <c r="S18" i="4"/>
  <c r="Q18" i="4"/>
  <c r="P18" i="4"/>
  <c r="O18" i="4"/>
  <c r="N18" i="4"/>
  <c r="M18" i="4"/>
  <c r="L18" i="4"/>
  <c r="K18" i="4"/>
  <c r="I18" i="4"/>
  <c r="H18" i="4"/>
  <c r="G18" i="4"/>
  <c r="F18" i="4"/>
  <c r="E18" i="4"/>
  <c r="D18" i="4"/>
  <c r="C18" i="4"/>
  <c r="AG17" i="4"/>
  <c r="AF17" i="4"/>
  <c r="AE17" i="4"/>
  <c r="AD17" i="4"/>
  <c r="AC17" i="4"/>
  <c r="AB17" i="4"/>
  <c r="AA17" i="4"/>
  <c r="Y17" i="4"/>
  <c r="X17" i="4"/>
  <c r="W17" i="4"/>
  <c r="V17" i="4"/>
  <c r="U17" i="4"/>
  <c r="T17" i="4"/>
  <c r="S17" i="4"/>
  <c r="Q17" i="4"/>
  <c r="P17" i="4"/>
  <c r="O17" i="4"/>
  <c r="N17" i="4"/>
  <c r="M17" i="4"/>
  <c r="L17" i="4"/>
  <c r="K17" i="4"/>
  <c r="I17" i="4"/>
  <c r="H17" i="4"/>
  <c r="G17" i="4"/>
  <c r="F17" i="4"/>
  <c r="E17" i="4"/>
  <c r="D17" i="4"/>
  <c r="C17" i="4"/>
  <c r="AG16" i="4"/>
  <c r="AF16" i="4"/>
  <c r="AE16" i="4"/>
  <c r="AD16" i="4"/>
  <c r="AC16" i="4"/>
  <c r="AB16" i="4"/>
  <c r="AA16" i="4"/>
  <c r="Y16" i="4"/>
  <c r="X16" i="4"/>
  <c r="W16" i="4"/>
  <c r="V16" i="4"/>
  <c r="U16" i="4"/>
  <c r="T16" i="4"/>
  <c r="S16" i="4"/>
  <c r="Q16" i="4"/>
  <c r="P16" i="4"/>
  <c r="O16" i="4"/>
  <c r="N16" i="4"/>
  <c r="M16" i="4"/>
  <c r="L16" i="4"/>
  <c r="K16" i="4"/>
  <c r="I16" i="4"/>
  <c r="H16" i="4"/>
  <c r="G16" i="4"/>
  <c r="F16" i="4"/>
  <c r="E16" i="4"/>
  <c r="D16" i="4"/>
  <c r="C16" i="4"/>
  <c r="AG12" i="4"/>
  <c r="AF12" i="4"/>
  <c r="AE12" i="4"/>
  <c r="AD12" i="4"/>
  <c r="AC12" i="4"/>
  <c r="AB12" i="4"/>
  <c r="AA12" i="4"/>
  <c r="Y12" i="4"/>
  <c r="X12" i="4"/>
  <c r="W12" i="4"/>
  <c r="V12" i="4"/>
  <c r="U12" i="4"/>
  <c r="T12" i="4"/>
  <c r="S12" i="4"/>
  <c r="Q12" i="4"/>
  <c r="P12" i="4"/>
  <c r="O12" i="4"/>
  <c r="N12" i="4"/>
  <c r="M12" i="4"/>
  <c r="L12" i="4"/>
  <c r="K12" i="4"/>
  <c r="I12" i="4"/>
  <c r="H12" i="4"/>
  <c r="G12" i="4"/>
  <c r="F12" i="4"/>
  <c r="E12" i="4"/>
  <c r="D12" i="4"/>
  <c r="C12" i="4"/>
  <c r="AG11" i="4"/>
  <c r="AF11" i="4"/>
  <c r="AE11" i="4"/>
  <c r="AD11" i="4"/>
  <c r="AC11" i="4"/>
  <c r="AB11" i="4"/>
  <c r="AA11" i="4"/>
  <c r="Y11" i="4"/>
  <c r="X11" i="4"/>
  <c r="W11" i="4"/>
  <c r="V11" i="4"/>
  <c r="U11" i="4"/>
  <c r="T11" i="4"/>
  <c r="S11" i="4"/>
  <c r="Q11" i="4"/>
  <c r="P11" i="4"/>
  <c r="O11" i="4"/>
  <c r="N11" i="4"/>
  <c r="M11" i="4"/>
  <c r="L11" i="4"/>
  <c r="K11" i="4"/>
  <c r="I11" i="4"/>
  <c r="H11" i="4"/>
  <c r="G11" i="4"/>
  <c r="F11" i="4"/>
  <c r="E11" i="4"/>
  <c r="D11" i="4"/>
  <c r="C11" i="4"/>
  <c r="AG10" i="4"/>
  <c r="AF10" i="4"/>
  <c r="AE10" i="4"/>
  <c r="AD10" i="4"/>
  <c r="AC10" i="4"/>
  <c r="AB10" i="4"/>
  <c r="AA10" i="4"/>
  <c r="Y10" i="4"/>
  <c r="X10" i="4"/>
  <c r="W10" i="4"/>
  <c r="V10" i="4"/>
  <c r="U10" i="4"/>
  <c r="T10" i="4"/>
  <c r="S10" i="4"/>
  <c r="Q10" i="4"/>
  <c r="P10" i="4"/>
  <c r="O10" i="4"/>
  <c r="N10" i="4"/>
  <c r="M10" i="4"/>
  <c r="L10" i="4"/>
  <c r="K10" i="4"/>
  <c r="I10" i="4"/>
  <c r="H10" i="4"/>
  <c r="G10" i="4"/>
  <c r="F10" i="4"/>
  <c r="E10" i="4"/>
  <c r="D10" i="4"/>
  <c r="C10" i="4"/>
  <c r="AG9" i="4"/>
  <c r="AF9" i="4"/>
  <c r="AE9" i="4"/>
  <c r="AD9" i="4"/>
  <c r="AC9" i="4"/>
  <c r="AB9" i="4"/>
  <c r="AA9" i="4"/>
  <c r="Y9" i="4"/>
  <c r="X9" i="4"/>
  <c r="W9" i="4"/>
  <c r="V9" i="4"/>
  <c r="U9" i="4"/>
  <c r="T9" i="4"/>
  <c r="S9" i="4"/>
  <c r="Q9" i="4"/>
  <c r="P9" i="4"/>
  <c r="O9" i="4"/>
  <c r="N9" i="4"/>
  <c r="M9" i="4"/>
  <c r="L9" i="4"/>
  <c r="K9" i="4"/>
  <c r="I9" i="4"/>
  <c r="H9" i="4"/>
  <c r="G9" i="4"/>
  <c r="F9" i="4"/>
  <c r="E9" i="4"/>
  <c r="D9" i="4"/>
  <c r="C9" i="4"/>
  <c r="AG8" i="4"/>
  <c r="AF8" i="4"/>
  <c r="AE8" i="4"/>
  <c r="AD8" i="4"/>
  <c r="AC8" i="4"/>
  <c r="AB8" i="4"/>
  <c r="AA8" i="4"/>
  <c r="Y8" i="4"/>
  <c r="X8" i="4"/>
  <c r="W8" i="4"/>
  <c r="V8" i="4"/>
  <c r="U8" i="4"/>
  <c r="T8" i="4"/>
  <c r="S8" i="4"/>
  <c r="Q8" i="4"/>
  <c r="P8" i="4"/>
  <c r="O8" i="4"/>
  <c r="N8" i="4"/>
  <c r="M8" i="4"/>
  <c r="L8" i="4"/>
  <c r="K8" i="4"/>
  <c r="I8" i="4"/>
  <c r="H8" i="4"/>
  <c r="G8" i="4"/>
  <c r="F8" i="4"/>
  <c r="E8" i="4"/>
  <c r="D8" i="4"/>
  <c r="C8" i="4"/>
  <c r="AG7" i="4"/>
  <c r="AF7" i="4"/>
  <c r="AE7" i="4"/>
  <c r="AD7" i="4"/>
  <c r="AC7" i="4"/>
  <c r="AB7" i="4"/>
  <c r="AA7" i="4"/>
  <c r="Y7" i="4"/>
  <c r="X7" i="4"/>
  <c r="W7" i="4"/>
  <c r="V7" i="4"/>
  <c r="U7" i="4"/>
  <c r="T7" i="4"/>
  <c r="S7" i="4"/>
  <c r="Q7" i="4"/>
  <c r="P7" i="4"/>
  <c r="O7" i="4"/>
  <c r="N7" i="4"/>
  <c r="M7" i="4"/>
  <c r="L7" i="4"/>
  <c r="K7" i="4"/>
  <c r="I7" i="4"/>
  <c r="H7" i="4"/>
  <c r="G7" i="4"/>
  <c r="F7" i="4"/>
  <c r="E7" i="4"/>
  <c r="D7" i="4"/>
</calcChain>
</file>

<file path=xl/sharedStrings.xml><?xml version="1.0" encoding="utf-8"?>
<sst xmlns="http://schemas.openxmlformats.org/spreadsheetml/2006/main" count="97" uniqueCount="20">
  <si>
    <t>Enero</t>
  </si>
  <si>
    <t>Lu</t>
  </si>
  <si>
    <t>Febrero</t>
  </si>
  <si>
    <t>Marzo</t>
  </si>
  <si>
    <t>Ma</t>
  </si>
  <si>
    <t>Ju</t>
  </si>
  <si>
    <t>Mi</t>
  </si>
  <si>
    <t>Vi</t>
  </si>
  <si>
    <t>Sá</t>
  </si>
  <si>
    <t>Do</t>
  </si>
  <si>
    <t>Usar el control deslizante para seleccionar el año deseado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</si>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</sst>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d"/>
  </numFmts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2060"/>
      <name val="Arial"/>
      <family val="2"/>
    </font>
    <font>
      <b/>
      <sz val="10"/>
      <color theme="0"/>
      <name val="Arial"/>
      <family val="2"/>
    </font>
    <font>
      <b/>
      <sz val="28"/>
      <color theme="0" tint="-0.14999847407452621"/>
      <name val="Cambria"/>
      <family val="1"/>
      <scheme val="major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/>
      <top/>
      <bottom/>
      <diagonal/>
    </border>
    <border>
      <left/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4" applyNumberFormat="0" applyFill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7" applyNumberFormat="0" applyAlignment="0" applyProtection="0"/>
    <xf numFmtId="0" fontId="14" fillId="9" borderId="18" applyNumberFormat="0" applyAlignment="0" applyProtection="0"/>
    <xf numFmtId="0" fontId="15" fillId="9" borderId="17" applyNumberFormat="0" applyAlignment="0" applyProtection="0"/>
    <xf numFmtId="0" fontId="16" fillId="0" borderId="19" applyNumberFormat="0" applyFill="0" applyAlignment="0" applyProtection="0"/>
    <xf numFmtId="0" fontId="17" fillId="10" borderId="20" applyNumberFormat="0" applyAlignment="0" applyProtection="0"/>
    <xf numFmtId="0" fontId="18" fillId="0" borderId="0" applyNumberFormat="0" applyFill="0" applyBorder="0" applyAlignment="0" applyProtection="0"/>
    <xf numFmtId="0" fontId="22" fillId="11" borderId="21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2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0" borderId="9" xfId="0" applyNumberFormat="1" applyBorder="1"/>
    <xf numFmtId="0" fontId="0" fillId="0" borderId="0" xfId="0" applyNumberFormat="1" applyBorder="1"/>
    <xf numFmtId="0" fontId="0" fillId="0" borderId="10" xfId="0" applyNumberFormat="1" applyBorder="1"/>
    <xf numFmtId="168" fontId="2" fillId="0" borderId="3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">
    <dxf>
      <border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4EE00"/>
      <color rgb="FFFFFF99"/>
      <color rgb="FFAED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FD181E0-5E2F-11CE-A449-00AA004A803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19050</xdr:colOff>
          <xdr:row>0</xdr:row>
          <xdr:rowOff>66675</xdr:rowOff>
        </xdr:from>
        <xdr:to>
          <xdr:col>7</xdr:col>
          <xdr:colOff>85725</xdr:colOff>
          <xdr:row>0</xdr:row>
          <xdr:rowOff>238125</xdr:rowOff>
        </xdr:to>
        <xdr:sp macro="" textlink="">
          <xdr:nvSpPr>
            <xdr:cNvPr id="2049" name="Barra de desplazamiento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H32"/>
  <sheetViews>
    <sheetView showGridLines="0" tabSelected="1" zoomScaleNormal="100" workbookViewId="0"/>
  </sheetViews>
  <sheetFormatPr baseColWidth="10" defaultColWidth="9.140625" defaultRowHeight="12.75" x14ac:dyDescent="0.2"/>
  <cols>
    <col min="1" max="5" width="3.28515625" style="13" customWidth="1"/>
    <col min="6" max="6" width="3.42578125" style="13" customWidth="1"/>
    <col min="7" max="17" width="3" style="13" customWidth="1"/>
    <col min="18" max="18" width="3.140625" style="13" customWidth="1"/>
    <col min="19" max="25" width="3" style="13" customWidth="1"/>
    <col min="26" max="26" width="2.7109375" style="13" customWidth="1"/>
    <col min="27" max="33" width="3" style="13" customWidth="1"/>
    <col min="34" max="35" width="3.28515625" style="13" customWidth="1"/>
    <col min="36" max="16384" width="9.140625" style="13"/>
  </cols>
  <sheetData>
    <row r="1" spans="2:34" ht="24" customHeight="1" x14ac:dyDescent="0.2">
      <c r="I1" s="14" t="s">
        <v>10</v>
      </c>
    </row>
    <row r="2" spans="2:34" ht="27" customHeight="1" x14ac:dyDescent="0.2">
      <c r="B2" s="20">
        <v>2019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spans="2:34" ht="9" customHeight="1" thickBot="1" x14ac:dyDescent="0.25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spans="2:34" ht="14.25" customHeight="1" thickTop="1" x14ac:dyDescent="0.2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7"/>
    </row>
    <row r="5" spans="2:34" x14ac:dyDescent="0.2">
      <c r="B5" s="8"/>
      <c r="C5" s="22" t="s">
        <v>0</v>
      </c>
      <c r="D5" s="22"/>
      <c r="E5" s="22"/>
      <c r="F5" s="22"/>
      <c r="G5" s="22"/>
      <c r="H5" s="22"/>
      <c r="I5" s="22"/>
      <c r="J5" s="1"/>
      <c r="K5" s="22" t="s">
        <v>11</v>
      </c>
      <c r="L5" s="22"/>
      <c r="M5" s="22"/>
      <c r="N5" s="22"/>
      <c r="O5" s="22"/>
      <c r="P5" s="22"/>
      <c r="Q5" s="22"/>
      <c r="R5" s="1"/>
      <c r="S5" s="22" t="s">
        <v>14</v>
      </c>
      <c r="T5" s="22"/>
      <c r="U5" s="22"/>
      <c r="V5" s="22"/>
      <c r="W5" s="22"/>
      <c r="X5" s="22"/>
      <c r="Y5" s="22"/>
      <c r="Z5" s="1"/>
      <c r="AA5" s="22" t="s">
        <v>17</v>
      </c>
      <c r="AB5" s="22"/>
      <c r="AC5" s="22"/>
      <c r="AD5" s="22"/>
      <c r="AE5" s="22"/>
      <c r="AF5" s="22"/>
      <c r="AG5" s="22"/>
      <c r="AH5" s="9"/>
    </row>
    <row r="6" spans="2:34" x14ac:dyDescent="0.2">
      <c r="B6" s="8"/>
      <c r="C6" s="3" t="s">
        <v>1</v>
      </c>
      <c r="D6" s="3" t="s">
        <v>4</v>
      </c>
      <c r="E6" s="3" t="s">
        <v>6</v>
      </c>
      <c r="F6" s="3" t="s">
        <v>5</v>
      </c>
      <c r="G6" s="3" t="s">
        <v>7</v>
      </c>
      <c r="H6" s="4" t="s">
        <v>8</v>
      </c>
      <c r="I6" s="4" t="s">
        <v>9</v>
      </c>
      <c r="J6" s="1"/>
      <c r="K6" s="3" t="s">
        <v>1</v>
      </c>
      <c r="L6" s="3" t="s">
        <v>4</v>
      </c>
      <c r="M6" s="3" t="s">
        <v>6</v>
      </c>
      <c r="N6" s="3" t="s">
        <v>5</v>
      </c>
      <c r="O6" s="3" t="s">
        <v>7</v>
      </c>
      <c r="P6" s="4" t="s">
        <v>8</v>
      </c>
      <c r="Q6" s="4" t="s">
        <v>9</v>
      </c>
      <c r="R6" s="1"/>
      <c r="S6" s="3" t="s">
        <v>1</v>
      </c>
      <c r="T6" s="3" t="s">
        <v>4</v>
      </c>
      <c r="U6" s="3" t="s">
        <v>6</v>
      </c>
      <c r="V6" s="3" t="s">
        <v>5</v>
      </c>
      <c r="W6" s="3" t="s">
        <v>7</v>
      </c>
      <c r="X6" s="4" t="s">
        <v>8</v>
      </c>
      <c r="Y6" s="4" t="s">
        <v>9</v>
      </c>
      <c r="Z6" s="1"/>
      <c r="AA6" s="3" t="s">
        <v>1</v>
      </c>
      <c r="AB6" s="3" t="s">
        <v>4</v>
      </c>
      <c r="AC6" s="3" t="s">
        <v>6</v>
      </c>
      <c r="AD6" s="3" t="s">
        <v>5</v>
      </c>
      <c r="AE6" s="3" t="s">
        <v>7</v>
      </c>
      <c r="AF6" s="4" t="s">
        <v>8</v>
      </c>
      <c r="AG6" s="4" t="s">
        <v>9</v>
      </c>
      <c r="AH6" s="9"/>
    </row>
    <row r="7" spans="2:34" x14ac:dyDescent="0.2">
      <c r="B7" s="8"/>
      <c r="C7" s="18" t="str">
        <f>IF(AND(YEAR(JanSun1)=ElAño,MONTH(JanSun1)=1),JanSun1, "")</f>
        <v/>
      </c>
      <c r="D7" s="18">
        <f>IF(AND(YEAR(JanSun1+1)=ElAño,MONTH(JanSun1+1)=1),JanSun1+1, "")</f>
        <v>43466</v>
      </c>
      <c r="E7" s="18">
        <f>IF(AND(YEAR(JanSun1+2)=ElAño,MONTH(JanSun1+2)=1),JanSun1+2, "")</f>
        <v>43467</v>
      </c>
      <c r="F7" s="18">
        <f>IF(AND(YEAR(JanSun1+3)=ElAño,MONTH(JanSun1+3)=1),JanSun1+3, "")</f>
        <v>43468</v>
      </c>
      <c r="G7" s="18">
        <f>IF(AND(YEAR(JanSun1+4)=ElAño,MONTH(JanSun1+4)=1),JanSun1+4, "")</f>
        <v>43469</v>
      </c>
      <c r="H7" s="18">
        <f>IF(AND(YEAR(JanSun1+5)=ElAño,MONTH(JanSun1+5)=1),JanSun1+5, "")</f>
        <v>43470</v>
      </c>
      <c r="I7" s="18">
        <f>IF(AND(YEAR(JanSun1+6)=ElAño,MONTH(JanSun1+6)=1),JanSun1+6, "")</f>
        <v>43471</v>
      </c>
      <c r="J7" s="1"/>
      <c r="K7" s="18">
        <f>IF(AND(YEAR(AprSun1)=ElAño,MONTH(AprSun1)=4),AprSun1, "")</f>
        <v>43556</v>
      </c>
      <c r="L7" s="18">
        <f>IF(AND(YEAR(AprSun1+1)=ElAño,MONTH(AprSun1+1)=4),AprSun1+1, "")</f>
        <v>43557</v>
      </c>
      <c r="M7" s="18">
        <f>IF(AND(YEAR(AprSun1+2)=ElAño,MONTH(AprSun1+2)=4),AprSun1+2, "")</f>
        <v>43558</v>
      </c>
      <c r="N7" s="18">
        <f>IF(AND(YEAR(AprSun1+3)=ElAño,MONTH(AprSun1+3)=4),AprSun1+3, "")</f>
        <v>43559</v>
      </c>
      <c r="O7" s="18">
        <f>IF(AND(YEAR(AprSun1+4)=ElAño,MONTH(AprSun1+4)=4),AprSun1+4, "")</f>
        <v>43560</v>
      </c>
      <c r="P7" s="18">
        <f>IF(AND(YEAR(AprSun1+5)=ElAño,MONTH(AprSun1+5)=4),AprSun1+5, "")</f>
        <v>43561</v>
      </c>
      <c r="Q7" s="18">
        <f>IF(AND(YEAR(AprSun1+6)=ElAño,MONTH(AprSun1+6)=4),AprSun1+6, "")</f>
        <v>43562</v>
      </c>
      <c r="R7" s="1"/>
      <c r="S7" s="18">
        <f>IF(AND(YEAR(JulSun1)=ElAño,MONTH(JulSun1)=7),JulSun1, "")</f>
        <v>43647</v>
      </c>
      <c r="T7" s="18">
        <f>IF(AND(YEAR(JulSun1+1)=ElAño,MONTH(JulSun1+1)=7),JulSun1+1, "")</f>
        <v>43648</v>
      </c>
      <c r="U7" s="18">
        <f>IF(AND(YEAR(JulSun1+2)=ElAño,MONTH(JulSun1+2)=7),JulSun1+2, "")</f>
        <v>43649</v>
      </c>
      <c r="V7" s="18">
        <f>IF(AND(YEAR(JulSun1+3)=ElAño,MONTH(JulSun1+3)=7),JulSun1+3, "")</f>
        <v>43650</v>
      </c>
      <c r="W7" s="18">
        <f>IF(AND(YEAR(JulSun1+4)=ElAño,MONTH(JulSun1+4)=7),JulSun1+4, "")</f>
        <v>43651</v>
      </c>
      <c r="X7" s="18">
        <f>IF(AND(YEAR(JulSun1+5)=ElAño,MONTH(JulSun1+5)=7),JulSun1+5, "")</f>
        <v>43652</v>
      </c>
      <c r="Y7" s="18">
        <f>IF(AND(YEAR(JulSun1+6)=ElAño,MONTH(JulSun1+6)=7),JulSun1+6, "")</f>
        <v>43653</v>
      </c>
      <c r="Z7" s="1"/>
      <c r="AA7" s="18" t="str">
        <f>IF(AND(YEAR(OctSun1)=ElAño,MONTH(OctSun1)=10),OctSun1, "")</f>
        <v/>
      </c>
      <c r="AB7" s="18">
        <f>IF(AND(YEAR(OctSun1+1)=ElAño,MONTH(OctSun1+1)=10),OctSun1+1, "")</f>
        <v>43739</v>
      </c>
      <c r="AC7" s="18">
        <f>IF(AND(YEAR(OctSun1+2)=ElAño,MONTH(OctSun1+2)=10),OctSun1+2, "")</f>
        <v>43740</v>
      </c>
      <c r="AD7" s="18">
        <f>IF(AND(YEAR(OctSun1+3)=ElAño,MONTH(OctSun1+3)=10),OctSun1+3, "")</f>
        <v>43741</v>
      </c>
      <c r="AE7" s="18">
        <f>IF(AND(YEAR(OctSun1+4)=ElAño,MONTH(OctSun1+4)=10),OctSun1+4, "")</f>
        <v>43742</v>
      </c>
      <c r="AF7" s="18">
        <f>IF(AND(YEAR(OctSun1+5)=ElAño,MONTH(OctSun1+5)=10),OctSun1+5, "")</f>
        <v>43743</v>
      </c>
      <c r="AG7" s="18">
        <f>IF(AND(YEAR(OctSun1+6)=ElAño,MONTH(OctSun1+6)=10),OctSun1+6, "")</f>
        <v>43744</v>
      </c>
      <c r="AH7" s="9"/>
    </row>
    <row r="8" spans="2:34" x14ac:dyDescent="0.2">
      <c r="B8" s="8"/>
      <c r="C8" s="19">
        <f>IF(AND(YEAR(JanSun1+7)=ElAño,MONTH(JanSun1+7)=1),JanSun1+7, "")</f>
        <v>43472</v>
      </c>
      <c r="D8" s="19">
        <f>IF(AND(YEAR(JanSun1+8)=ElAño,MONTH(JanSun1+8)=1),JanSun1+8, "")</f>
        <v>43473</v>
      </c>
      <c r="E8" s="19">
        <f>IF(AND(YEAR(JanSun1+9)=ElAño,MONTH(JanSun1+9)=1),JanSun1+9, "")</f>
        <v>43474</v>
      </c>
      <c r="F8" s="19">
        <f>IF(AND(YEAR(JanSun1+10)=ElAño,MONTH(JanSun1+10)=1),JanSun1+10, "")</f>
        <v>43475</v>
      </c>
      <c r="G8" s="19">
        <f>IF(AND(YEAR(JanSun1+11)=ElAño,MONTH(JanSun1+11)=1),JanSun1+11, "")</f>
        <v>43476</v>
      </c>
      <c r="H8" s="19">
        <f>IF(AND(YEAR(JanSun1+12)=ElAño,MONTH(JanSun1+12)=1),JanSun1+12, "")</f>
        <v>43477</v>
      </c>
      <c r="I8" s="19">
        <f>IF(AND(YEAR(JanSun1+13)=ElAño,MONTH(JanSun1+13)=1),JanSun1+13, "")</f>
        <v>43478</v>
      </c>
      <c r="J8" s="1"/>
      <c r="K8" s="19">
        <f>IF(AND(YEAR(AprSun1+7)=ElAño,MONTH(AprSun1+7)=4),AprSun1+7, "")</f>
        <v>43563</v>
      </c>
      <c r="L8" s="19">
        <f>IF(AND(YEAR(AprSun1+8)=ElAño,MONTH(AprSun1+8)=4),AprSun1+8, "")</f>
        <v>43564</v>
      </c>
      <c r="M8" s="19">
        <f>IF(AND(YEAR(AprSun1+9)=ElAño,MONTH(AprSun1+9)=4),AprSun1+9, "")</f>
        <v>43565</v>
      </c>
      <c r="N8" s="19">
        <f>IF(AND(YEAR(AprSun1+10)=ElAño,MONTH(AprSun1+10)=4),AprSun1+10, "")</f>
        <v>43566</v>
      </c>
      <c r="O8" s="19">
        <f>IF(AND(YEAR(AprSun1+11)=ElAño,MONTH(AprSun1+11)=4),AprSun1+11, "")</f>
        <v>43567</v>
      </c>
      <c r="P8" s="19">
        <f>IF(AND(YEAR(AprSun1+12)=ElAño,MONTH(AprSun1+12)=4),AprSun1+12, "")</f>
        <v>43568</v>
      </c>
      <c r="Q8" s="19">
        <f>IF(AND(YEAR(AprSun1+13)=ElAño,MONTH(AprSun1+13)=4),AprSun1+13, "")</f>
        <v>43569</v>
      </c>
      <c r="R8" s="1"/>
      <c r="S8" s="19">
        <f>IF(AND(YEAR(JulSun1+7)=ElAño,MONTH(JulSun1+7)=7),JulSun1+7, "")</f>
        <v>43654</v>
      </c>
      <c r="T8" s="19">
        <f>IF(AND(YEAR(JulSun1+8)=ElAño,MONTH(JulSun1+8)=7),JulSun1+8, "")</f>
        <v>43655</v>
      </c>
      <c r="U8" s="19">
        <f>IF(AND(YEAR(JulSun1+9)=ElAño,MONTH(JulSun1+9)=7),JulSun1+9, "")</f>
        <v>43656</v>
      </c>
      <c r="V8" s="19">
        <f>IF(AND(YEAR(JulSun1+10)=ElAño,MONTH(JulSun1+10)=7),JulSun1+10, "")</f>
        <v>43657</v>
      </c>
      <c r="W8" s="19">
        <f>IF(AND(YEAR(JulSun1+11)=ElAño,MONTH(JulSun1+11)=7),JulSun1+11, "")</f>
        <v>43658</v>
      </c>
      <c r="X8" s="19">
        <f>IF(AND(YEAR(JulSun1+12)=ElAño,MONTH(JulSun1+12)=7),JulSun1+12, "")</f>
        <v>43659</v>
      </c>
      <c r="Y8" s="19">
        <f>IF(AND(YEAR(JulSun1+13)=ElAño,MONTH(JulSun1+13)=7),JulSun1+13, "")</f>
        <v>43660</v>
      </c>
      <c r="Z8" s="1"/>
      <c r="AA8" s="19">
        <f>IF(AND(YEAR(OctSun1+7)=ElAño,MONTH(OctSun1+7)=10),OctSun1+7, "")</f>
        <v>43745</v>
      </c>
      <c r="AB8" s="19">
        <f>IF(AND(YEAR(OctSun1+8)=ElAño,MONTH(OctSun1+8)=10),OctSun1+8, "")</f>
        <v>43746</v>
      </c>
      <c r="AC8" s="19">
        <f>IF(AND(YEAR(OctSun1+9)=ElAño,MONTH(OctSun1+9)=10),OctSun1+9, "")</f>
        <v>43747</v>
      </c>
      <c r="AD8" s="19">
        <f>IF(AND(YEAR(OctSun1+10)=ElAño,MONTH(OctSun1+10)=10),OctSun1+10, "")</f>
        <v>43748</v>
      </c>
      <c r="AE8" s="19">
        <f>IF(AND(YEAR(OctSun1+11)=ElAño,MONTH(OctSun1+11)=10),OctSun1+11, "")</f>
        <v>43749</v>
      </c>
      <c r="AF8" s="19">
        <f>IF(AND(YEAR(OctSun1+12)=ElAño,MONTH(OctSun1+12)=10),OctSun1+12, "")</f>
        <v>43750</v>
      </c>
      <c r="AG8" s="19">
        <f>IF(AND(YEAR(OctSun1+13)=ElAño,MONTH(OctSun1+13)=10),OctSun1+13, "")</f>
        <v>43751</v>
      </c>
      <c r="AH8" s="9"/>
    </row>
    <row r="9" spans="2:34" x14ac:dyDescent="0.2">
      <c r="B9" s="8"/>
      <c r="C9" s="19">
        <f>IF(AND(YEAR(JanSun1+14)=ElAño,MONTH(JanSun1+14)=1),JanSun1+14, "")</f>
        <v>43479</v>
      </c>
      <c r="D9" s="19">
        <f>IF(AND(YEAR(JanSun1+15)=ElAño,MONTH(JanSun1+15)=1),JanSun1+15, "")</f>
        <v>43480</v>
      </c>
      <c r="E9" s="19">
        <f>IF(AND(YEAR(JanSun1+16)=ElAño,MONTH(JanSun1+16)=1),JanSun1+16, "")</f>
        <v>43481</v>
      </c>
      <c r="F9" s="19">
        <f>IF(AND(YEAR(JanSun1+17)=ElAño,MONTH(JanSun1+17)=1),JanSun1+17, "")</f>
        <v>43482</v>
      </c>
      <c r="G9" s="19">
        <f>IF(AND(YEAR(JanSun1+18)=ElAño,MONTH(JanSun1+18)=1),JanSun1+18, "")</f>
        <v>43483</v>
      </c>
      <c r="H9" s="19">
        <f>IF(AND(YEAR(JanSun1+19)=ElAño,MONTH(JanSun1+19)=1),JanSun1+19, "")</f>
        <v>43484</v>
      </c>
      <c r="I9" s="19">
        <f>IF(AND(YEAR(JanSun1+20)=ElAño,MONTH(JanSun1+20)=1),JanSun1+20, "")</f>
        <v>43485</v>
      </c>
      <c r="J9" s="1"/>
      <c r="K9" s="19">
        <f>IF(AND(YEAR(AprSun1+14)=ElAño,MONTH(AprSun1+14)=4),AprSun1+14, "")</f>
        <v>43570</v>
      </c>
      <c r="L9" s="19">
        <f>IF(AND(YEAR(AprSun1+15)=ElAño,MONTH(AprSun1+15)=4),AprSun1+15, "")</f>
        <v>43571</v>
      </c>
      <c r="M9" s="19">
        <f>IF(AND(YEAR(AprSun1+16)=ElAño,MONTH(AprSun1+16)=4),AprSun1+16, "")</f>
        <v>43572</v>
      </c>
      <c r="N9" s="19">
        <f>IF(AND(YEAR(AprSun1+17)=ElAño,MONTH(AprSun1+17)=4),AprSun1+17, "")</f>
        <v>43573</v>
      </c>
      <c r="O9" s="19">
        <f>IF(AND(YEAR(AprSun1+18)=ElAño,MONTH(AprSun1+18)=4),AprSun1+18, "")</f>
        <v>43574</v>
      </c>
      <c r="P9" s="19">
        <f>IF(AND(YEAR(AprSun1+19)=ElAño,MONTH(AprSun1+19)=4),AprSun1+19, "")</f>
        <v>43575</v>
      </c>
      <c r="Q9" s="19">
        <f>IF(AND(YEAR(AprSun1+20)=ElAño,MONTH(AprSun1+20)=4),AprSun1+20, "")</f>
        <v>43576</v>
      </c>
      <c r="R9" s="1"/>
      <c r="S9" s="19">
        <f>IF(AND(YEAR(JulSun1+14)=ElAño,MONTH(JulSun1+14)=7),JulSun1+14, "")</f>
        <v>43661</v>
      </c>
      <c r="T9" s="19">
        <f>IF(AND(YEAR(JulSun1+15)=ElAño,MONTH(JulSun1+15)=7),JulSun1+15, "")</f>
        <v>43662</v>
      </c>
      <c r="U9" s="19">
        <f>IF(AND(YEAR(JulSun1+16)=ElAño,MONTH(JulSun1+16)=7),JulSun1+16, "")</f>
        <v>43663</v>
      </c>
      <c r="V9" s="19">
        <f>IF(AND(YEAR(JulSun1+17)=ElAño,MONTH(JulSun1+17)=7),JulSun1+17, "")</f>
        <v>43664</v>
      </c>
      <c r="W9" s="19">
        <f>IF(AND(YEAR(JulSun1+18)=ElAño,MONTH(JulSun1+18)=7),JulSun1+18, "")</f>
        <v>43665</v>
      </c>
      <c r="X9" s="19">
        <f>IF(AND(YEAR(JulSun1+19)=ElAño,MONTH(JulSun1+19)=7),JulSun1+19, "")</f>
        <v>43666</v>
      </c>
      <c r="Y9" s="19">
        <f>IF(AND(YEAR(JulSun1+20)=ElAño,MONTH(JulSun1+20)=7),JulSun1+20, "")</f>
        <v>43667</v>
      </c>
      <c r="Z9" s="1"/>
      <c r="AA9" s="19">
        <f>IF(AND(YEAR(OctSun1+14)=ElAño,MONTH(OctSun1+14)=10),OctSun1+14, "")</f>
        <v>43752</v>
      </c>
      <c r="AB9" s="19">
        <f>IF(AND(YEAR(OctSun1+15)=ElAño,MONTH(OctSun1+15)=10),OctSun1+15, "")</f>
        <v>43753</v>
      </c>
      <c r="AC9" s="19">
        <f>IF(AND(YEAR(OctSun1+16)=ElAño,MONTH(OctSun1+16)=10),OctSun1+16, "")</f>
        <v>43754</v>
      </c>
      <c r="AD9" s="19">
        <f>IF(AND(YEAR(OctSun1+17)=ElAño,MONTH(OctSun1+17)=10),OctSun1+17, "")</f>
        <v>43755</v>
      </c>
      <c r="AE9" s="19">
        <f>IF(AND(YEAR(OctSun1+18)=ElAño,MONTH(OctSun1+18)=10),OctSun1+18, "")</f>
        <v>43756</v>
      </c>
      <c r="AF9" s="19">
        <f>IF(AND(YEAR(OctSun1+19)=ElAño,MONTH(OctSun1+19)=10),OctSun1+19, "")</f>
        <v>43757</v>
      </c>
      <c r="AG9" s="19">
        <f>IF(AND(YEAR(OctSun1+20)=ElAño,MONTH(OctSun1+20)=10),OctSun1+20, "")</f>
        <v>43758</v>
      </c>
      <c r="AH9" s="9"/>
    </row>
    <row r="10" spans="2:34" x14ac:dyDescent="0.2">
      <c r="B10" s="8"/>
      <c r="C10" s="19">
        <f>IF(AND(YEAR(JanSun1+21)=ElAño,MONTH(JanSun1+21)=1),JanSun1+21, "")</f>
        <v>43486</v>
      </c>
      <c r="D10" s="19">
        <f>IF(AND(YEAR(JanSun1+22)=ElAño,MONTH(JanSun1+22)=1),JanSun1+22, "")</f>
        <v>43487</v>
      </c>
      <c r="E10" s="19">
        <f>IF(AND(YEAR(JanSun1+23)=ElAño,MONTH(JanSun1+23)=1),JanSun1+23, "")</f>
        <v>43488</v>
      </c>
      <c r="F10" s="19">
        <f>IF(AND(YEAR(JanSun1+24)=ElAño,MONTH(JanSun1+24)=1),JanSun1+24, "")</f>
        <v>43489</v>
      </c>
      <c r="G10" s="19">
        <f>IF(AND(YEAR(JanSun1+25)=ElAño,MONTH(JanSun1+25)=1),JanSun1+25, "")</f>
        <v>43490</v>
      </c>
      <c r="H10" s="19">
        <f>IF(AND(YEAR(JanSun1+26)=ElAño,MONTH(JanSun1+26)=1),JanSun1+26, "")</f>
        <v>43491</v>
      </c>
      <c r="I10" s="19">
        <f>IF(AND(YEAR(JanSun1+27)=ElAño,MONTH(JanSun1+27)=1),JanSun1+27, "")</f>
        <v>43492</v>
      </c>
      <c r="J10" s="1"/>
      <c r="K10" s="19">
        <f>IF(AND(YEAR(AprSun1+21)=ElAño,MONTH(AprSun1+21)=4),AprSun1+21, "")</f>
        <v>43577</v>
      </c>
      <c r="L10" s="19">
        <f>IF(AND(YEAR(AprSun1+22)=ElAño,MONTH(AprSun1+22)=4),AprSun1+22, "")</f>
        <v>43578</v>
      </c>
      <c r="M10" s="19">
        <f>IF(AND(YEAR(AprSun1+23)=ElAño,MONTH(AprSun1+23)=4),AprSun1+23, "")</f>
        <v>43579</v>
      </c>
      <c r="N10" s="19">
        <f>IF(AND(YEAR(AprSun1+24)=ElAño,MONTH(AprSun1+24)=4),AprSun1+24, "")</f>
        <v>43580</v>
      </c>
      <c r="O10" s="19">
        <f>IF(AND(YEAR(AprSun1+25)=ElAño,MONTH(AprSun1+25)=4),AprSun1+25, "")</f>
        <v>43581</v>
      </c>
      <c r="P10" s="19">
        <f>IF(AND(YEAR(AprSun1+26)=ElAño,MONTH(AprSun1+26)=4),AprSun1+26, "")</f>
        <v>43582</v>
      </c>
      <c r="Q10" s="19">
        <f>IF(AND(YEAR(AprSun1+27)=ElAño,MONTH(AprSun1+27)=4),AprSun1+27, "")</f>
        <v>43583</v>
      </c>
      <c r="R10" s="1"/>
      <c r="S10" s="19">
        <f>IF(AND(YEAR(JulSun1+21)=ElAño,MONTH(JulSun1+21)=7),JulSun1+21, "")</f>
        <v>43668</v>
      </c>
      <c r="T10" s="19">
        <f>IF(AND(YEAR(JulSun1+22)=ElAño,MONTH(JulSun1+22)=7),JulSun1+22, "")</f>
        <v>43669</v>
      </c>
      <c r="U10" s="19">
        <f>IF(AND(YEAR(JulSun1+23)=ElAño,MONTH(JulSun1+23)=7),JulSun1+23, "")</f>
        <v>43670</v>
      </c>
      <c r="V10" s="19">
        <f>IF(AND(YEAR(JulSun1+24)=ElAño,MONTH(JulSun1+24)=7),JulSun1+24, "")</f>
        <v>43671</v>
      </c>
      <c r="W10" s="19">
        <f>IF(AND(YEAR(JulSun1+25)=ElAño,MONTH(JulSun1+25)=7),JulSun1+25, "")</f>
        <v>43672</v>
      </c>
      <c r="X10" s="19">
        <f>IF(AND(YEAR(JulSun1+26)=ElAño,MONTH(JulSun1+26)=7),JulSun1+26, "")</f>
        <v>43673</v>
      </c>
      <c r="Y10" s="19">
        <f>IF(AND(YEAR(JulSun1+27)=ElAño,MONTH(JulSun1+27)=7),JulSun1+27, "")</f>
        <v>43674</v>
      </c>
      <c r="Z10" s="1"/>
      <c r="AA10" s="19">
        <f>IF(AND(YEAR(OctSun1+21)=ElAño,MONTH(OctSun1+21)=10),OctSun1+21, "")</f>
        <v>43759</v>
      </c>
      <c r="AB10" s="19">
        <f>IF(AND(YEAR(OctSun1+22)=ElAño,MONTH(OctSun1+22)=10),OctSun1+22, "")</f>
        <v>43760</v>
      </c>
      <c r="AC10" s="19">
        <f>IF(AND(YEAR(OctSun1+23)=ElAño,MONTH(OctSun1+23)=10),OctSun1+23, "")</f>
        <v>43761</v>
      </c>
      <c r="AD10" s="19">
        <f>IF(AND(YEAR(OctSun1+24)=ElAño,MONTH(OctSun1+24)=10),OctSun1+24, "")</f>
        <v>43762</v>
      </c>
      <c r="AE10" s="19">
        <f>IF(AND(YEAR(OctSun1+25)=ElAño,MONTH(OctSun1+25)=10),OctSun1+25, "")</f>
        <v>43763</v>
      </c>
      <c r="AF10" s="19">
        <f>IF(AND(YEAR(OctSun1+26)=ElAño,MONTH(OctSun1+26)=10),OctSun1+26, "")</f>
        <v>43764</v>
      </c>
      <c r="AG10" s="19">
        <f>IF(AND(YEAR(OctSun1+27)=ElAño,MONTH(OctSun1+27)=10),OctSun1+27, "")</f>
        <v>43765</v>
      </c>
      <c r="AH10" s="9"/>
    </row>
    <row r="11" spans="2:34" x14ac:dyDescent="0.2">
      <c r="B11" s="8"/>
      <c r="C11" s="19">
        <f>IF(AND(YEAR(JanSun1+28)=ElAño,MONTH(JanSun1+28)=1),JanSun1+28, "")</f>
        <v>43493</v>
      </c>
      <c r="D11" s="19">
        <f>IF(AND(YEAR(JanSun1+29)=ElAño,MONTH(JanSun1+29)=1),JanSun1+29, "")</f>
        <v>43494</v>
      </c>
      <c r="E11" s="19">
        <f>IF(AND(YEAR(JanSun1+30)=ElAño,MONTH(JanSun1+30)=1),JanSun1+30, "")</f>
        <v>43495</v>
      </c>
      <c r="F11" s="19">
        <f>IF(AND(YEAR(JanSun1+31)=ElAño,MONTH(JanSun1+31)=1),JanSun1+31, "")</f>
        <v>43496</v>
      </c>
      <c r="G11" s="19" t="str">
        <f>IF(AND(YEAR(JanSun1+32)=ElAño,MONTH(JanSun1+32)=1),JanSun1+32, "")</f>
        <v/>
      </c>
      <c r="H11" s="19" t="str">
        <f>IF(AND(YEAR(JanSun1+33)=ElAño,MONTH(JanSun1+33)=1),JanSun1+33, "")</f>
        <v/>
      </c>
      <c r="I11" s="19" t="str">
        <f>IF(AND(YEAR(JanSun1+34)=ElAño,MONTH(JanSun1+34)=1),JanSun1+34, "")</f>
        <v/>
      </c>
      <c r="J11" s="1"/>
      <c r="K11" s="19">
        <f>IF(AND(YEAR(AprSun1+28)=ElAño,MONTH(AprSun1+28)=4),AprSun1+28, "")</f>
        <v>43584</v>
      </c>
      <c r="L11" s="19">
        <f>IF(AND(YEAR(AprSun1+29)=ElAño,MONTH(AprSun1+29)=4),AprSun1+29, "")</f>
        <v>43585</v>
      </c>
      <c r="M11" s="19" t="str">
        <f>IF(AND(YEAR(AprSun1+30)=ElAño,MONTH(AprSun1+30)=4),AprSun1+30, "")</f>
        <v/>
      </c>
      <c r="N11" s="19" t="str">
        <f>IF(AND(YEAR(AprSun1+31)=ElAño,MONTH(AprSun1+31)=4),AprSun1+31, "")</f>
        <v/>
      </c>
      <c r="O11" s="19" t="str">
        <f>IF(AND(YEAR(AprSun1+32)=ElAño,MONTH(AprSun1+32)=4),AprSun1+32, "")</f>
        <v/>
      </c>
      <c r="P11" s="19" t="str">
        <f>IF(AND(YEAR(AprSun1+33)=ElAño,MONTH(AprSun1+33)=4),AprSun1+33, "")</f>
        <v/>
      </c>
      <c r="Q11" s="19" t="str">
        <f>IF(AND(YEAR(AprSun1+34)=ElAño,MONTH(AprSun1+34)=4),AprSun1+34, "")</f>
        <v/>
      </c>
      <c r="R11" s="1"/>
      <c r="S11" s="19">
        <f>IF(AND(YEAR(JulSun1+28)=ElAño,MONTH(JulSun1+28)=7),JulSun1+28, "")</f>
        <v>43675</v>
      </c>
      <c r="T11" s="19">
        <f>IF(AND(YEAR(JulSun1+29)=ElAño,MONTH(JulSun1+29)=7),JulSun1+29, "")</f>
        <v>43676</v>
      </c>
      <c r="U11" s="19">
        <f>IF(AND(YEAR(JulSun1+30)=ElAño,MONTH(JulSun1+30)=7),JulSun1+30, "")</f>
        <v>43677</v>
      </c>
      <c r="V11" s="19" t="str">
        <f>IF(AND(YEAR(JulSun1+31)=ElAño,MONTH(JulSun1+31)=7),JulSun1+31, "")</f>
        <v/>
      </c>
      <c r="W11" s="19" t="str">
        <f>IF(AND(YEAR(JulSun1+32)=ElAño,MONTH(JulSun1+32)=7),JulSun1+32, "")</f>
        <v/>
      </c>
      <c r="X11" s="19" t="str">
        <f>IF(AND(YEAR(JulSun1+33)=ElAño,MONTH(JulSun1+33)=7),JulSun1+33, "")</f>
        <v/>
      </c>
      <c r="Y11" s="19" t="str">
        <f>IF(AND(YEAR(JulSun1+34)=ElAño,MONTH(JulSun1+34)=7),JulSun1+34, "")</f>
        <v/>
      </c>
      <c r="Z11" s="1"/>
      <c r="AA11" s="19">
        <f>IF(AND(YEAR(OctSun1+28)=ElAño,MONTH(OctSun1+28)=10),OctSun1+28, "")</f>
        <v>43766</v>
      </c>
      <c r="AB11" s="19">
        <f>IF(AND(YEAR(OctSun1+29)=ElAño,MONTH(OctSun1+29)=10),OctSun1+29, "")</f>
        <v>43767</v>
      </c>
      <c r="AC11" s="19">
        <f>IF(AND(YEAR(OctSun1+30)=ElAño,MONTH(OctSun1+30)=10),OctSun1+30, "")</f>
        <v>43768</v>
      </c>
      <c r="AD11" s="19">
        <f>IF(AND(YEAR(OctSun1+31)=ElAño,MONTH(OctSun1+31)=10),OctSun1+31, "")</f>
        <v>43769</v>
      </c>
      <c r="AE11" s="19" t="str">
        <f>IF(AND(YEAR(OctSun1+32)=ElAño,MONTH(OctSun1+32)=10),OctSun1+32, "")</f>
        <v/>
      </c>
      <c r="AF11" s="19" t="str">
        <f>IF(AND(YEAR(OctSun1+33)=ElAño,MONTH(OctSun1+33)=10),OctSun1+33, "")</f>
        <v/>
      </c>
      <c r="AG11" s="19" t="str">
        <f>IF(AND(YEAR(OctSun1+34)=ElAño,MONTH(OctSun1+34)=10),OctSun1+34, "")</f>
        <v/>
      </c>
      <c r="AH11" s="9"/>
    </row>
    <row r="12" spans="2:34" x14ac:dyDescent="0.2">
      <c r="B12" s="15"/>
      <c r="C12" s="19" t="str">
        <f>IF(AND(YEAR(JanSun1+35)=ElAño,MONTH(JanSun1+35)=1),JanSun1+35, "")</f>
        <v/>
      </c>
      <c r="D12" s="19" t="str">
        <f>IF(AND(YEAR(JanSun1+36)=ElAño,MONTH(JanSun1+36)=1),JanSun1+36, "")</f>
        <v/>
      </c>
      <c r="E12" s="19" t="str">
        <f>IF(AND(YEAR(JanSun1+37)=ElAño,MONTH(JanSun1+37)=1),JanSun1+37, "")</f>
        <v/>
      </c>
      <c r="F12" s="19" t="str">
        <f>IF(AND(YEAR(JanSun1+38)=ElAño,MONTH(JanSun1+38)=1),JanSun1+38, "")</f>
        <v/>
      </c>
      <c r="G12" s="19" t="str">
        <f>IF(AND(YEAR(JanSun1+39)=ElAño,MONTH(JanSun1+39)=1),JanSun1+39, "")</f>
        <v/>
      </c>
      <c r="H12" s="19" t="str">
        <f>IF(AND(YEAR(JanSun1+40)=ElAño,MONTH(JanSun1+40)=1),JanSun1+40, "")</f>
        <v/>
      </c>
      <c r="I12" s="19" t="str">
        <f>IF(AND(YEAR(JanSun1+41)=ElAño,MONTH(JanSun1+41)=1),JanSun1+41, "")</f>
        <v/>
      </c>
      <c r="J12" s="16"/>
      <c r="K12" s="19" t="str">
        <f>IF(AND(YEAR(AprSun1+35)=ElAño,MONTH(AprSun1+35)=4),AprSun1+35, "")</f>
        <v/>
      </c>
      <c r="L12" s="19" t="str">
        <f>IF(AND(YEAR(AprSun1+36)=ElAño,MONTH(AprSun1+36)=4),AprSun1+36, "")</f>
        <v/>
      </c>
      <c r="M12" s="19" t="str">
        <f>IF(AND(YEAR(AprSun1+37)=ElAño,MONTH(AprSun1+37)=4),AprSun1+37, "")</f>
        <v/>
      </c>
      <c r="N12" s="19" t="str">
        <f>IF(AND(YEAR(AprSun1+38)=ElAño,MONTH(AprSun1+38)=4),AprSun1+38, "")</f>
        <v/>
      </c>
      <c r="O12" s="19" t="str">
        <f>IF(AND(YEAR(AprSun1+39)=ElAño,MONTH(AprSun1+39)=4),AprSun1+39, "")</f>
        <v/>
      </c>
      <c r="P12" s="19" t="str">
        <f>IF(AND(YEAR(AprSun1+40)=ElAño,MONTH(AprSun1+40)=4),AprSun1+40, "")</f>
        <v/>
      </c>
      <c r="Q12" s="19" t="str">
        <f>IF(AND(YEAR(AprSun1+41)=ElAño,MONTH(AprSun1+41)=4),AprSun1+41, "")</f>
        <v/>
      </c>
      <c r="R12" s="16"/>
      <c r="S12" s="19" t="str">
        <f>IF(AND(YEAR(JulSun1+35)=ElAño,MONTH(JulSun1+35)=7),JulSun1+35, "")</f>
        <v/>
      </c>
      <c r="T12" s="19" t="str">
        <f>IF(AND(YEAR(JulSun1+36)=ElAño,MONTH(JulSun1+36)=7),JulSun1+36, "")</f>
        <v/>
      </c>
      <c r="U12" s="19" t="str">
        <f>IF(AND(YEAR(JulSun1+37)=ElAño,MONTH(JulSun1+37)=7),JulSun1+37, "")</f>
        <v/>
      </c>
      <c r="V12" s="19" t="str">
        <f>IF(AND(YEAR(JulSun1+38)=ElAño,MONTH(JulSun1+38)=7),JulSun1+38, "")</f>
        <v/>
      </c>
      <c r="W12" s="19" t="str">
        <f>IF(AND(YEAR(JulSun1+39)=ElAño,MONTH(JulSun1+39)=7),JulSun1+39, "")</f>
        <v/>
      </c>
      <c r="X12" s="19" t="str">
        <f>IF(AND(YEAR(JulSun1+40)=ElAño,MONTH(JulSun1+40)=7),JulSun1+40, "")</f>
        <v/>
      </c>
      <c r="Y12" s="19" t="str">
        <f>IF(AND(YEAR(JulSun1+41)=ElAño,MONTH(JulSun1+41)=7),JulSun1+41, "")</f>
        <v/>
      </c>
      <c r="Z12" s="16"/>
      <c r="AA12" s="19" t="str">
        <f>IF(AND(YEAR(OctSun1+35)=ElAño,MONTH(OctSun1+35)=10),OctSun1+35, "")</f>
        <v/>
      </c>
      <c r="AB12" s="19" t="str">
        <f>IF(AND(YEAR(OctSun1+36)=ElAño,MONTH(OctSun1+36)=10),OctSun1+36, "")</f>
        <v/>
      </c>
      <c r="AC12" s="19" t="str">
        <f>IF(AND(YEAR(OctSun1+37)=ElAño,MONTH(OctSun1+37)=10),OctSun1+37, "")</f>
        <v/>
      </c>
      <c r="AD12" s="19" t="str">
        <f>IF(AND(YEAR(OctSun1+38)=ElAño,MONTH(OctSun1+38)=10),OctSun1+38, "")</f>
        <v/>
      </c>
      <c r="AE12" s="19" t="str">
        <f>IF(AND(YEAR(OctSun1+39)=ElAño,MONTH(OctSun1+39)=10),OctSun1+39, "")</f>
        <v/>
      </c>
      <c r="AF12" s="19" t="str">
        <f>IF(AND(YEAR(OctSun1+40)=ElAño,MONTH(OctSun1+40)=10),OctSun1+40, "")</f>
        <v/>
      </c>
      <c r="AG12" s="19" t="str">
        <f>IF(AND(YEAR(OctSun1+41)=ElAño,MONTH(OctSun1+41)=10),OctSun1+41, "")</f>
        <v/>
      </c>
      <c r="AH12" s="17"/>
    </row>
    <row r="13" spans="2:34" ht="3.75" customHeight="1" x14ac:dyDescent="0.2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7"/>
    </row>
    <row r="14" spans="2:34" x14ac:dyDescent="0.2">
      <c r="B14" s="8"/>
      <c r="C14" s="22" t="s">
        <v>2</v>
      </c>
      <c r="D14" s="22"/>
      <c r="E14" s="22"/>
      <c r="F14" s="22"/>
      <c r="G14" s="22"/>
      <c r="H14" s="22"/>
      <c r="I14" s="22"/>
      <c r="J14" s="1"/>
      <c r="K14" s="22" t="s">
        <v>12</v>
      </c>
      <c r="L14" s="22"/>
      <c r="M14" s="22"/>
      <c r="N14" s="22"/>
      <c r="O14" s="22"/>
      <c r="P14" s="22"/>
      <c r="Q14" s="22"/>
      <c r="R14" s="1"/>
      <c r="S14" s="22" t="s">
        <v>15</v>
      </c>
      <c r="T14" s="22"/>
      <c r="U14" s="22"/>
      <c r="V14" s="22"/>
      <c r="W14" s="22"/>
      <c r="X14" s="22"/>
      <c r="Y14" s="22"/>
      <c r="Z14" s="1"/>
      <c r="AA14" s="22" t="s">
        <v>18</v>
      </c>
      <c r="AB14" s="22"/>
      <c r="AC14" s="22"/>
      <c r="AD14" s="22"/>
      <c r="AE14" s="22"/>
      <c r="AF14" s="22"/>
      <c r="AG14" s="22"/>
      <c r="AH14" s="9"/>
    </row>
    <row r="15" spans="2:34" x14ac:dyDescent="0.2">
      <c r="B15" s="8"/>
      <c r="C15" s="3" t="s">
        <v>1</v>
      </c>
      <c r="D15" s="3" t="s">
        <v>4</v>
      </c>
      <c r="E15" s="3" t="s">
        <v>6</v>
      </c>
      <c r="F15" s="3" t="s">
        <v>5</v>
      </c>
      <c r="G15" s="3" t="s">
        <v>7</v>
      </c>
      <c r="H15" s="4" t="s">
        <v>8</v>
      </c>
      <c r="I15" s="4" t="s">
        <v>9</v>
      </c>
      <c r="J15" s="1"/>
      <c r="K15" s="3" t="s">
        <v>1</v>
      </c>
      <c r="L15" s="3" t="s">
        <v>4</v>
      </c>
      <c r="M15" s="3" t="s">
        <v>6</v>
      </c>
      <c r="N15" s="3" t="s">
        <v>5</v>
      </c>
      <c r="O15" s="3" t="s">
        <v>7</v>
      </c>
      <c r="P15" s="4" t="s">
        <v>8</v>
      </c>
      <c r="Q15" s="4" t="s">
        <v>9</v>
      </c>
      <c r="R15" s="1"/>
      <c r="S15" s="3" t="s">
        <v>1</v>
      </c>
      <c r="T15" s="3" t="s">
        <v>4</v>
      </c>
      <c r="U15" s="3" t="s">
        <v>6</v>
      </c>
      <c r="V15" s="3" t="s">
        <v>5</v>
      </c>
      <c r="W15" s="3" t="s">
        <v>7</v>
      </c>
      <c r="X15" s="4" t="s">
        <v>8</v>
      </c>
      <c r="Y15" s="4" t="s">
        <v>9</v>
      </c>
      <c r="Z15" s="1"/>
      <c r="AA15" s="3" t="s">
        <v>1</v>
      </c>
      <c r="AB15" s="3" t="s">
        <v>4</v>
      </c>
      <c r="AC15" s="3" t="s">
        <v>6</v>
      </c>
      <c r="AD15" s="3" t="s">
        <v>5</v>
      </c>
      <c r="AE15" s="3" t="s">
        <v>7</v>
      </c>
      <c r="AF15" s="4" t="s">
        <v>8</v>
      </c>
      <c r="AG15" s="4" t="s">
        <v>9</v>
      </c>
      <c r="AH15" s="9"/>
    </row>
    <row r="16" spans="2:34" x14ac:dyDescent="0.2">
      <c r="B16" s="8"/>
      <c r="C16" s="18" t="str">
        <f>IF(AND(YEAR(FebSun1)=ElAño,MONTH(FebSun1)=2),FebSun1, "")</f>
        <v/>
      </c>
      <c r="D16" s="18" t="str">
        <f>IF(AND(YEAR(FebSun1+1)=ElAño,MONTH(FebSun1+1)=2),FebSun1+1, "")</f>
        <v/>
      </c>
      <c r="E16" s="18" t="str">
        <f>IF(AND(YEAR(FebSun1+2)=ElAño,MONTH(FebSun1+2)=2),FebSun1+2, "")</f>
        <v/>
      </c>
      <c r="F16" s="18" t="str">
        <f>IF(AND(YEAR(FebSun1+3)=ElAño,MONTH(FebSun1+3)=2),FebSun1+3, "")</f>
        <v/>
      </c>
      <c r="G16" s="18">
        <f>IF(AND(YEAR(FebSun1+4)=ElAño,MONTH(FebSun1+4)=2),FebSun1+4, "")</f>
        <v>43497</v>
      </c>
      <c r="H16" s="18">
        <f>IF(AND(YEAR(FebSun1+5)=ElAño,MONTH(FebSun1+5)=2),FebSun1+5, "")</f>
        <v>43498</v>
      </c>
      <c r="I16" s="18">
        <f>IF(AND(YEAR(FebSun1+6)=ElAño,MONTH(FebSun1+6)=2),FebSun1+6, "")</f>
        <v>43499</v>
      </c>
      <c r="J16" s="1"/>
      <c r="K16" s="18" t="str">
        <f>IF(AND(YEAR(MaySun1)=ElAño,MONTH(MaySun1)=5),MaySun1, "")</f>
        <v/>
      </c>
      <c r="L16" s="18" t="str">
        <f>IF(AND(YEAR(MaySun1+1)=ElAño,MONTH(MaySun1+1)=5),MaySun1+1, "")</f>
        <v/>
      </c>
      <c r="M16" s="18">
        <f>IF(AND(YEAR(MaySun1+2)=ElAño,MONTH(MaySun1+2)=5),MaySun1+2, "")</f>
        <v>43586</v>
      </c>
      <c r="N16" s="18">
        <f>IF(AND(YEAR(MaySun1+3)=ElAño,MONTH(MaySun1+3)=5),MaySun1+3, "")</f>
        <v>43587</v>
      </c>
      <c r="O16" s="18">
        <f>IF(AND(YEAR(MaySun1+4)=ElAño,MONTH(MaySun1+4)=5),MaySun1+4, "")</f>
        <v>43588</v>
      </c>
      <c r="P16" s="18">
        <f>IF(AND(YEAR(MaySun1+5)=ElAño,MONTH(MaySun1+5)=5),MaySun1+5, "")</f>
        <v>43589</v>
      </c>
      <c r="Q16" s="18">
        <f>IF(AND(YEAR(MaySun1+6)=ElAño,MONTH(MaySun1+6)=5),MaySun1+6, "")</f>
        <v>43590</v>
      </c>
      <c r="R16" s="1"/>
      <c r="S16" s="18" t="str">
        <f>IF(AND(YEAR(AugSun1)=ElAño,MONTH(AugSun1)=8),AugSun1, "")</f>
        <v/>
      </c>
      <c r="T16" s="18" t="str">
        <f>IF(AND(YEAR(AugSun1+1)=ElAño,MONTH(AugSun1+1)=8),AugSun1+1, "")</f>
        <v/>
      </c>
      <c r="U16" s="18" t="str">
        <f>IF(AND(YEAR(AugSun1+2)=ElAño,MONTH(AugSun1+2)=8),AugSun1+2, "")</f>
        <v/>
      </c>
      <c r="V16" s="18">
        <f>IF(AND(YEAR(AugSun1+3)=ElAño,MONTH(AugSun1+3)=8),AugSun1+3, "")</f>
        <v>43678</v>
      </c>
      <c r="W16" s="18">
        <f>IF(AND(YEAR(AugSun1+4)=ElAño,MONTH(AugSun1+4)=8),AugSun1+4, "")</f>
        <v>43679</v>
      </c>
      <c r="X16" s="18">
        <f>IF(AND(YEAR(AugSun1+5)=ElAño,MONTH(AugSun1+5)=8),AugSun1+5, "")</f>
        <v>43680</v>
      </c>
      <c r="Y16" s="18">
        <f>IF(AND(YEAR(AugSun1+6)=ElAño,MONTH(AugSun1+6)=8),AugSun1+6, "")</f>
        <v>43681</v>
      </c>
      <c r="Z16" s="1"/>
      <c r="AA16" s="18" t="str">
        <f>IF(AND(YEAR(NovSun1)=ElAño,MONTH(NovSun1)=11),NovSun1, "")</f>
        <v/>
      </c>
      <c r="AB16" s="18" t="str">
        <f>IF(AND(YEAR(NovSun1+1)=ElAño,MONTH(NovSun1+1)=11),NovSun1+1, "")</f>
        <v/>
      </c>
      <c r="AC16" s="18" t="str">
        <f>IF(AND(YEAR(NovSun1+2)=ElAño,MONTH(NovSun1+2)=11),NovSun1+2, "")</f>
        <v/>
      </c>
      <c r="AD16" s="18" t="str">
        <f>IF(AND(YEAR(NovSun1+3)=ElAño,MONTH(NovSun1+3)=11),NovSun1+3, "")</f>
        <v/>
      </c>
      <c r="AE16" s="18">
        <f>IF(AND(YEAR(NovSun1+4)=ElAño,MONTH(NovSun1+4)=11),NovSun1+4, "")</f>
        <v>43770</v>
      </c>
      <c r="AF16" s="18">
        <f>IF(AND(YEAR(NovSun1+5)=ElAño,MONTH(NovSun1+5)=11),NovSun1+5, "")</f>
        <v>43771</v>
      </c>
      <c r="AG16" s="18">
        <f>IF(AND(YEAR(NovSun1+6)=ElAño,MONTH(NovSun1+6)=11),NovSun1+6, "")</f>
        <v>43772</v>
      </c>
      <c r="AH16" s="9"/>
    </row>
    <row r="17" spans="2:34" x14ac:dyDescent="0.2">
      <c r="B17" s="8"/>
      <c r="C17" s="19">
        <f>IF(AND(YEAR(FebSun1+7)=ElAño,MONTH(FebSun1+7)=2),FebSun1+7, "")</f>
        <v>43500</v>
      </c>
      <c r="D17" s="19">
        <f>IF(AND(YEAR(FebSun1+8)=ElAño,MONTH(FebSun1+8)=2),FebSun1+8, "")</f>
        <v>43501</v>
      </c>
      <c r="E17" s="19">
        <f>IF(AND(YEAR(FebSun1+9)=ElAño,MONTH(FebSun1+9)=2),FebSun1+9, "")</f>
        <v>43502</v>
      </c>
      <c r="F17" s="19">
        <f>IF(AND(YEAR(FebSun1+10)=ElAño,MONTH(FebSun1+10)=2),FebSun1+10, "")</f>
        <v>43503</v>
      </c>
      <c r="G17" s="19">
        <f>IF(AND(YEAR(FebSun1+11)=ElAño,MONTH(FebSun1+11)=2),FebSun1+11, "")</f>
        <v>43504</v>
      </c>
      <c r="H17" s="19">
        <f>IF(AND(YEAR(FebSun1+12)=ElAño,MONTH(FebSun1+12)=2),FebSun1+12, "")</f>
        <v>43505</v>
      </c>
      <c r="I17" s="19">
        <f>IF(AND(YEAR(FebSun1+13)=ElAño,MONTH(FebSun1+13)=2),FebSun1+13, "")</f>
        <v>43506</v>
      </c>
      <c r="J17" s="1"/>
      <c r="K17" s="19">
        <f>IF(AND(YEAR(MaySun1+7)=ElAño,MONTH(MaySun1+7)=5),MaySun1+7, "")</f>
        <v>43591</v>
      </c>
      <c r="L17" s="19">
        <f>IF(AND(YEAR(MaySun1+8)=ElAño,MONTH(MaySun1+8)=5),MaySun1+8, "")</f>
        <v>43592</v>
      </c>
      <c r="M17" s="19">
        <f>IF(AND(YEAR(MaySun1+9)=ElAño,MONTH(MaySun1+9)=5),MaySun1+9, "")</f>
        <v>43593</v>
      </c>
      <c r="N17" s="19">
        <f>IF(AND(YEAR(MaySun1+10)=ElAño,MONTH(MaySun1+10)=5),MaySun1+10, "")</f>
        <v>43594</v>
      </c>
      <c r="O17" s="19">
        <f>IF(AND(YEAR(MaySun1+11)=ElAño,MONTH(MaySun1+11)=5),MaySun1+11, "")</f>
        <v>43595</v>
      </c>
      <c r="P17" s="19">
        <f>IF(AND(YEAR(MaySun1+12)=ElAño,MONTH(MaySun1+12)=5),MaySun1+12, "")</f>
        <v>43596</v>
      </c>
      <c r="Q17" s="19">
        <f>IF(AND(YEAR(MaySun1+13)=ElAño,MONTH(MaySun1+13)=5),MaySun1+13, "")</f>
        <v>43597</v>
      </c>
      <c r="R17" s="1"/>
      <c r="S17" s="19">
        <f>IF(AND(YEAR(AugSun1+7)=ElAño,MONTH(AugSun1+7)=8),AugSun1+7, "")</f>
        <v>43682</v>
      </c>
      <c r="T17" s="19">
        <f>IF(AND(YEAR(AugSun1+8)=ElAño,MONTH(AugSun1+8)=8),AugSun1+8, "")</f>
        <v>43683</v>
      </c>
      <c r="U17" s="19">
        <f>IF(AND(YEAR(AugSun1+9)=ElAño,MONTH(AugSun1+9)=8),AugSun1+9, "")</f>
        <v>43684</v>
      </c>
      <c r="V17" s="19">
        <f>IF(AND(YEAR(AugSun1+10)=ElAño,MONTH(AugSun1+10)=8),AugSun1+10, "")</f>
        <v>43685</v>
      </c>
      <c r="W17" s="19">
        <f>IF(AND(YEAR(AugSun1+11)=ElAño,MONTH(AugSun1+11)=8),AugSun1+11, "")</f>
        <v>43686</v>
      </c>
      <c r="X17" s="19">
        <f>IF(AND(YEAR(AugSun1+12)=ElAño,MONTH(AugSun1+12)=8),AugSun1+12, "")</f>
        <v>43687</v>
      </c>
      <c r="Y17" s="19">
        <f>IF(AND(YEAR(AugSun1+13)=ElAño,MONTH(AugSun1+13)=8),AugSun1+13, "")</f>
        <v>43688</v>
      </c>
      <c r="Z17" s="1"/>
      <c r="AA17" s="19">
        <f>IF(AND(YEAR(NovSun1+7)=ElAño,MONTH(NovSun1+7)=11),NovSun1+7, "")</f>
        <v>43773</v>
      </c>
      <c r="AB17" s="19">
        <f>IF(AND(YEAR(NovSun1+8)=ElAño,MONTH(NovSun1+8)=11),NovSun1+8, "")</f>
        <v>43774</v>
      </c>
      <c r="AC17" s="19">
        <f>IF(AND(YEAR(NovSun1+9)=ElAño,MONTH(NovSun1+9)=11),NovSun1+9, "")</f>
        <v>43775</v>
      </c>
      <c r="AD17" s="19">
        <f>IF(AND(YEAR(NovSun1+10)=ElAño,MONTH(NovSun1+10)=11),NovSun1+10, "")</f>
        <v>43776</v>
      </c>
      <c r="AE17" s="19">
        <f>IF(AND(YEAR(NovSun1+11)=ElAño,MONTH(NovSun1+11)=11),NovSun1+11, "")</f>
        <v>43777</v>
      </c>
      <c r="AF17" s="19">
        <f>IF(AND(YEAR(NovSun1+12)=ElAño,MONTH(NovSun1+12)=11),NovSun1+12, "")</f>
        <v>43778</v>
      </c>
      <c r="AG17" s="19">
        <f>IF(AND(YEAR(NovSun1+13)=ElAño,MONTH(NovSun1+13)=11),NovSun1+13, "")</f>
        <v>43779</v>
      </c>
      <c r="AH17" s="9"/>
    </row>
    <row r="18" spans="2:34" x14ac:dyDescent="0.2">
      <c r="B18" s="8"/>
      <c r="C18" s="19">
        <f>IF(AND(YEAR(FebSun1+14)=ElAño,MONTH(FebSun1+14)=2),FebSun1+14, "")</f>
        <v>43507</v>
      </c>
      <c r="D18" s="19">
        <f>IF(AND(YEAR(FebSun1+15)=ElAño,MONTH(FebSun1+15)=2),FebSun1+15, "")</f>
        <v>43508</v>
      </c>
      <c r="E18" s="19">
        <f>IF(AND(YEAR(FebSun1+16)=ElAño,MONTH(FebSun1+16)=2),FebSun1+16, "")</f>
        <v>43509</v>
      </c>
      <c r="F18" s="19">
        <f>IF(AND(YEAR(FebSun1+17)=ElAño,MONTH(FebSun1+17)=2),FebSun1+17, "")</f>
        <v>43510</v>
      </c>
      <c r="G18" s="19">
        <f>IF(AND(YEAR(FebSun1+18)=ElAño,MONTH(FebSun1+18)=2),FebSun1+18, "")</f>
        <v>43511</v>
      </c>
      <c r="H18" s="19">
        <f>IF(AND(YEAR(FebSun1+19)=ElAño,MONTH(FebSun1+19)=2),FebSun1+19, "")</f>
        <v>43512</v>
      </c>
      <c r="I18" s="19">
        <f>IF(AND(YEAR(FebSun1+20)=ElAño,MONTH(FebSun1+20)=2),FebSun1+20, "")</f>
        <v>43513</v>
      </c>
      <c r="J18" s="1"/>
      <c r="K18" s="19">
        <f>IF(AND(YEAR(MaySun1+14)=ElAño,MONTH(MaySun1+14)=5),MaySun1+14, "")</f>
        <v>43598</v>
      </c>
      <c r="L18" s="19">
        <f>IF(AND(YEAR(MaySun1+15)=ElAño,MONTH(MaySun1+15)=5),MaySun1+15, "")</f>
        <v>43599</v>
      </c>
      <c r="M18" s="19">
        <f>IF(AND(YEAR(MaySun1+16)=ElAño,MONTH(MaySun1+16)=5),MaySun1+16, "")</f>
        <v>43600</v>
      </c>
      <c r="N18" s="19">
        <f>IF(AND(YEAR(MaySun1+17)=ElAño,MONTH(MaySun1+17)=5),MaySun1+17, "")</f>
        <v>43601</v>
      </c>
      <c r="O18" s="19">
        <f>IF(AND(YEAR(MaySun1+18)=ElAño,MONTH(MaySun1+18)=5),MaySun1+18, "")</f>
        <v>43602</v>
      </c>
      <c r="P18" s="19">
        <f>IF(AND(YEAR(MaySun1+19)=ElAño,MONTH(MaySun1+19)=5),MaySun1+19, "")</f>
        <v>43603</v>
      </c>
      <c r="Q18" s="19">
        <f>IF(AND(YEAR(MaySun1+20)=ElAño,MONTH(MaySun1+20)=5),MaySun1+20, "")</f>
        <v>43604</v>
      </c>
      <c r="R18" s="1"/>
      <c r="S18" s="19">
        <f>IF(AND(YEAR(AugSun1+14)=ElAño,MONTH(AugSun1+14)=8),AugSun1+14, "")</f>
        <v>43689</v>
      </c>
      <c r="T18" s="19">
        <f>IF(AND(YEAR(AugSun1+15)=ElAño,MONTH(AugSun1+15)=8),AugSun1+15, "")</f>
        <v>43690</v>
      </c>
      <c r="U18" s="19">
        <f>IF(AND(YEAR(AugSun1+16)=ElAño,MONTH(AugSun1+16)=8),AugSun1+16, "")</f>
        <v>43691</v>
      </c>
      <c r="V18" s="19">
        <f>IF(AND(YEAR(AugSun1+17)=ElAño,MONTH(AugSun1+17)=8),AugSun1+17, "")</f>
        <v>43692</v>
      </c>
      <c r="W18" s="19">
        <f>IF(AND(YEAR(AugSun1+18)=ElAño,MONTH(AugSun1+18)=8),AugSun1+18, "")</f>
        <v>43693</v>
      </c>
      <c r="X18" s="19">
        <f>IF(AND(YEAR(AugSun1+19)=ElAño,MONTH(AugSun1+19)=8),AugSun1+19, "")</f>
        <v>43694</v>
      </c>
      <c r="Y18" s="19">
        <f>IF(AND(YEAR(AugSun1+20)=ElAño,MONTH(AugSun1+20)=8),AugSun1+20, "")</f>
        <v>43695</v>
      </c>
      <c r="Z18" s="1"/>
      <c r="AA18" s="19">
        <f>IF(AND(YEAR(NovSun1+14)=ElAño,MONTH(NovSun1+14)=11),NovSun1+14, "")</f>
        <v>43780</v>
      </c>
      <c r="AB18" s="19">
        <f>IF(AND(YEAR(NovSun1+15)=ElAño,MONTH(NovSun1+15)=11),NovSun1+15, "")</f>
        <v>43781</v>
      </c>
      <c r="AC18" s="19">
        <f>IF(AND(YEAR(NovSun1+16)=ElAño,MONTH(NovSun1+16)=11),NovSun1+16, "")</f>
        <v>43782</v>
      </c>
      <c r="AD18" s="19">
        <f>IF(AND(YEAR(NovSun1+17)=ElAño,MONTH(NovSun1+17)=11),NovSun1+17, "")</f>
        <v>43783</v>
      </c>
      <c r="AE18" s="19">
        <f>IF(AND(YEAR(NovSun1+18)=ElAño,MONTH(NovSun1+18)=11),NovSun1+18, "")</f>
        <v>43784</v>
      </c>
      <c r="AF18" s="19">
        <f>IF(AND(YEAR(NovSun1+19)=ElAño,MONTH(NovSun1+19)=11),NovSun1+19, "")</f>
        <v>43785</v>
      </c>
      <c r="AG18" s="19">
        <f>IF(AND(YEAR(NovSun1+20)=ElAño,MONTH(NovSun1+20)=11),NovSun1+20, "")</f>
        <v>43786</v>
      </c>
      <c r="AH18" s="9"/>
    </row>
    <row r="19" spans="2:34" x14ac:dyDescent="0.2">
      <c r="B19" s="8"/>
      <c r="C19" s="19">
        <f>IF(AND(YEAR(FebSun1+21)=ElAño,MONTH(FebSun1+21)=2),FebSun1+21, "")</f>
        <v>43514</v>
      </c>
      <c r="D19" s="19">
        <f>IF(AND(YEAR(FebSun1+22)=ElAño,MONTH(FebSun1+22)=2),FebSun1+22, "")</f>
        <v>43515</v>
      </c>
      <c r="E19" s="19">
        <f>IF(AND(YEAR(FebSun1+23)=ElAño,MONTH(FebSun1+23)=2),FebSun1+23, "")</f>
        <v>43516</v>
      </c>
      <c r="F19" s="19">
        <f>IF(AND(YEAR(FebSun1+24)=ElAño,MONTH(FebSun1+24)=2),FebSun1+24, "")</f>
        <v>43517</v>
      </c>
      <c r="G19" s="19">
        <f>IF(AND(YEAR(FebSun1+25)=ElAño,MONTH(FebSun1+25)=2),FebSun1+25, "")</f>
        <v>43518</v>
      </c>
      <c r="H19" s="19">
        <f>IF(AND(YEAR(FebSun1+26)=ElAño,MONTH(FebSun1+26)=2),FebSun1+26, "")</f>
        <v>43519</v>
      </c>
      <c r="I19" s="19">
        <f>IF(AND(YEAR(FebSun1+27)=ElAño,MONTH(FebSun1+27)=2),FebSun1+27, "")</f>
        <v>43520</v>
      </c>
      <c r="J19" s="1"/>
      <c r="K19" s="19">
        <f>IF(AND(YEAR(MaySun1+21)=ElAño,MONTH(MaySun1+21)=5),MaySun1+21, "")</f>
        <v>43605</v>
      </c>
      <c r="L19" s="19">
        <f>IF(AND(YEAR(MaySun1+22)=ElAño,MONTH(MaySun1+22)=5),MaySun1+22, "")</f>
        <v>43606</v>
      </c>
      <c r="M19" s="19">
        <f>IF(AND(YEAR(MaySun1+23)=ElAño,MONTH(MaySun1+23)=5),MaySun1+23, "")</f>
        <v>43607</v>
      </c>
      <c r="N19" s="19">
        <f>IF(AND(YEAR(MaySun1+24)=ElAño,MONTH(MaySun1+24)=5),MaySun1+24, "")</f>
        <v>43608</v>
      </c>
      <c r="O19" s="19">
        <f>IF(AND(YEAR(MaySun1+25)=ElAño,MONTH(MaySun1+25)=5),MaySun1+25, "")</f>
        <v>43609</v>
      </c>
      <c r="P19" s="19">
        <f>IF(AND(YEAR(MaySun1+26)=ElAño,MONTH(MaySun1+26)=5),MaySun1+26, "")</f>
        <v>43610</v>
      </c>
      <c r="Q19" s="19">
        <f>IF(AND(YEAR(MaySun1+27)=ElAño,MONTH(MaySun1+27)=5),MaySun1+27, "")</f>
        <v>43611</v>
      </c>
      <c r="R19" s="1"/>
      <c r="S19" s="19">
        <f>IF(AND(YEAR(AugSun1+21)=ElAño,MONTH(AugSun1+21)=8),AugSun1+21, "")</f>
        <v>43696</v>
      </c>
      <c r="T19" s="19">
        <f>IF(AND(YEAR(AugSun1+22)=ElAño,MONTH(AugSun1+22)=8),AugSun1+22, "")</f>
        <v>43697</v>
      </c>
      <c r="U19" s="19">
        <f>IF(AND(YEAR(AugSun1+23)=ElAño,MONTH(AugSun1+23)=8),AugSun1+23, "")</f>
        <v>43698</v>
      </c>
      <c r="V19" s="19">
        <f>IF(AND(YEAR(AugSun1+24)=ElAño,MONTH(AugSun1+24)=8),AugSun1+24, "")</f>
        <v>43699</v>
      </c>
      <c r="W19" s="19">
        <f>IF(AND(YEAR(AugSun1+25)=ElAño,MONTH(AugSun1+25)=8),AugSun1+25, "")</f>
        <v>43700</v>
      </c>
      <c r="X19" s="19">
        <f>IF(AND(YEAR(AugSun1+26)=ElAño,MONTH(AugSun1+26)=8),AugSun1+26, "")</f>
        <v>43701</v>
      </c>
      <c r="Y19" s="19">
        <f>IF(AND(YEAR(AugSun1+27)=ElAño,MONTH(AugSun1+27)=8),AugSun1+27, "")</f>
        <v>43702</v>
      </c>
      <c r="Z19" s="1"/>
      <c r="AA19" s="19">
        <f>IF(AND(YEAR(NovSun1+21)=ElAño,MONTH(NovSun1+21)=11),NovSun1+21, "")</f>
        <v>43787</v>
      </c>
      <c r="AB19" s="19">
        <f>IF(AND(YEAR(NovSun1+22)=ElAño,MONTH(NovSun1+22)=11),NovSun1+22, "")</f>
        <v>43788</v>
      </c>
      <c r="AC19" s="19">
        <f>IF(AND(YEAR(NovSun1+23)=ElAño,MONTH(NovSun1+23)=11),NovSun1+23, "")</f>
        <v>43789</v>
      </c>
      <c r="AD19" s="19">
        <f>IF(AND(YEAR(NovSun1+24)=ElAño,MONTH(NovSun1+24)=11),NovSun1+24, "")</f>
        <v>43790</v>
      </c>
      <c r="AE19" s="19">
        <f>IF(AND(YEAR(NovSun1+25)=ElAño,MONTH(NovSun1+25)=11),NovSun1+25, "")</f>
        <v>43791</v>
      </c>
      <c r="AF19" s="19">
        <f>IF(AND(YEAR(NovSun1+26)=ElAño,MONTH(NovSun1+26)=11),NovSun1+26, "")</f>
        <v>43792</v>
      </c>
      <c r="AG19" s="19">
        <f>IF(AND(YEAR(NovSun1+27)=ElAño,MONTH(NovSun1+27)=11),NovSun1+27, "")</f>
        <v>43793</v>
      </c>
      <c r="AH19" s="9"/>
    </row>
    <row r="20" spans="2:34" x14ac:dyDescent="0.2">
      <c r="B20" s="8"/>
      <c r="C20" s="19">
        <f>IF(AND(YEAR(FebSun1+28)=ElAño,MONTH(FebSun1+28)=2),FebSun1+28, "")</f>
        <v>43521</v>
      </c>
      <c r="D20" s="19">
        <f>IF(AND(YEAR(FebSun1+29)=ElAño,MONTH(FebSun1+29)=2),FebSun1+29, "")</f>
        <v>43522</v>
      </c>
      <c r="E20" s="19">
        <f>IF(AND(YEAR(FebSun1+30)=ElAño,MONTH(FebSun1+30)=2),FebSun1+30, "")</f>
        <v>43523</v>
      </c>
      <c r="F20" s="19">
        <f>IF(AND(YEAR(FebSun1+31)=ElAño,MONTH(FebSun1+31)=2),FebSun1+31, "")</f>
        <v>43524</v>
      </c>
      <c r="G20" s="19" t="str">
        <f>IF(AND(YEAR(FebSun1+32)=ElAño,MONTH(FebSun1+32)=2),FebSun1+32, "")</f>
        <v/>
      </c>
      <c r="H20" s="19" t="str">
        <f>IF(AND(YEAR(FebSun1+33)=ElAño,MONTH(FebSun1+33)=2),FebSun1+33, "")</f>
        <v/>
      </c>
      <c r="I20" s="19" t="str">
        <f>IF(AND(YEAR(FebSun1+34)=ElAño,MONTH(FebSun1+34)=2),FebSun1+34, "")</f>
        <v/>
      </c>
      <c r="J20" s="1"/>
      <c r="K20" s="19">
        <f>IF(AND(YEAR(MaySun1+28)=ElAño,MONTH(MaySun1+28)=5),MaySun1+28, "")</f>
        <v>43612</v>
      </c>
      <c r="L20" s="19">
        <f>IF(AND(YEAR(MaySun1+29)=ElAño,MONTH(MaySun1+29)=5),MaySun1+29, "")</f>
        <v>43613</v>
      </c>
      <c r="M20" s="19">
        <f>IF(AND(YEAR(MaySun1+30)=ElAño,MONTH(MaySun1+30)=5),MaySun1+30, "")</f>
        <v>43614</v>
      </c>
      <c r="N20" s="19">
        <f>IF(AND(YEAR(MaySun1+31)=ElAño,MONTH(MaySun1+31)=5),MaySun1+31, "")</f>
        <v>43615</v>
      </c>
      <c r="O20" s="19">
        <f>IF(AND(YEAR(MaySun1+32)=ElAño,MONTH(MaySun1+32)=5),MaySun1+32, "")</f>
        <v>43616</v>
      </c>
      <c r="P20" s="19" t="str">
        <f>IF(AND(YEAR(MaySun1+33)=ElAño,MONTH(MaySun1+33)=5),MaySun1+33, "")</f>
        <v/>
      </c>
      <c r="Q20" s="19" t="str">
        <f>IF(AND(YEAR(MaySun1+34)=ElAño,MONTH(MaySun1+34)=5),MaySun1+34, "")</f>
        <v/>
      </c>
      <c r="R20" s="1"/>
      <c r="S20" s="19">
        <f>IF(AND(YEAR(AugSun1+28)=ElAño,MONTH(AugSun1+28)=8),AugSun1+28, "")</f>
        <v>43703</v>
      </c>
      <c r="T20" s="19">
        <f>IF(AND(YEAR(AugSun1+29)=ElAño,MONTH(AugSun1+29)=8),AugSun1+29, "")</f>
        <v>43704</v>
      </c>
      <c r="U20" s="19">
        <f>IF(AND(YEAR(AugSun1+30)=ElAño,MONTH(AugSun1+30)=8),AugSun1+30, "")</f>
        <v>43705</v>
      </c>
      <c r="V20" s="19">
        <f>IF(AND(YEAR(AugSun1+31)=ElAño,MONTH(AugSun1+31)=8),AugSun1+31, "")</f>
        <v>43706</v>
      </c>
      <c r="W20" s="19">
        <f>IF(AND(YEAR(AugSun1+32)=ElAño,MONTH(AugSun1+32)=8),AugSun1+32, "")</f>
        <v>43707</v>
      </c>
      <c r="X20" s="19">
        <f>IF(AND(YEAR(AugSun1+33)=ElAño,MONTH(AugSun1+33)=8),AugSun1+33, "")</f>
        <v>43708</v>
      </c>
      <c r="Y20" s="19" t="str">
        <f>IF(AND(YEAR(AugSun1+34)=ElAño,MONTH(AugSun1+34)=8),AugSun1+34, "")</f>
        <v/>
      </c>
      <c r="Z20" s="1"/>
      <c r="AA20" s="19">
        <f>IF(AND(YEAR(NovSun1+28)=ElAño,MONTH(NovSun1+28)=11),NovSun1+28, "")</f>
        <v>43794</v>
      </c>
      <c r="AB20" s="19">
        <f>IF(AND(YEAR(NovSun1+29)=ElAño,MONTH(NovSun1+29)=11),NovSun1+29, "")</f>
        <v>43795</v>
      </c>
      <c r="AC20" s="19">
        <f>IF(AND(YEAR(NovSun1+30)=ElAño,MONTH(NovSun1+30)=11),NovSun1+30, "")</f>
        <v>43796</v>
      </c>
      <c r="AD20" s="19">
        <f>IF(AND(YEAR(NovSun1+31)=ElAño,MONTH(NovSun1+31)=11),NovSun1+31, "")</f>
        <v>43797</v>
      </c>
      <c r="AE20" s="19">
        <f>IF(AND(YEAR(NovSun1+32)=ElAño,MONTH(NovSun1+32)=11),NovSun1+32, "")</f>
        <v>43798</v>
      </c>
      <c r="AF20" s="19">
        <f>IF(AND(YEAR(NovSun1+33)=ElAño,MONTH(NovSun1+33)=11),NovSun1+33, "")</f>
        <v>43799</v>
      </c>
      <c r="AG20" s="19" t="str">
        <f>IF(AND(YEAR(NovSun1+34)=ElAño,MONTH(NovSun1+34)=11),NovSun1+34, "")</f>
        <v/>
      </c>
      <c r="AH20" s="9"/>
    </row>
    <row r="21" spans="2:34" x14ac:dyDescent="0.2">
      <c r="B21" s="15"/>
      <c r="C21" s="19" t="str">
        <f>IF(AND(YEAR(FebSun1+35)=ElAño,MONTH(FebSun1+35)=2),FebSun1+35, "")</f>
        <v/>
      </c>
      <c r="D21" s="19" t="str">
        <f>IF(AND(YEAR(FebSun1+36)=ElAño,MONTH(FebSun1+36)=2),FebSun1+36, "")</f>
        <v/>
      </c>
      <c r="E21" s="19" t="str">
        <f>IF(AND(YEAR(FebSun1+37)=ElAño,MONTH(FebSun1+37)=2),FebSun1+37, "")</f>
        <v/>
      </c>
      <c r="F21" s="19" t="str">
        <f>IF(AND(YEAR(FebSun1+38)=ElAño,MONTH(FebSun1+38)=2),FebSun1+38, "")</f>
        <v/>
      </c>
      <c r="G21" s="19" t="str">
        <f>IF(AND(YEAR(FebSun1+39)=ElAño,MONTH(FebSun1+39)=2),FebSun1+39, "")</f>
        <v/>
      </c>
      <c r="H21" s="19" t="str">
        <f>IF(AND(YEAR(FebSun1+40)=ElAño,MONTH(FebSun1+40)=2),FebSun1+40, "")</f>
        <v/>
      </c>
      <c r="I21" s="19" t="str">
        <f>IF(AND(YEAR(FebSun1+41)=ElAño,MONTH(FebSun1+41)=2),FebSun1+41, "")</f>
        <v/>
      </c>
      <c r="J21" s="16"/>
      <c r="K21" s="19" t="str">
        <f>IF(AND(YEAR(MaySun1+35)=ElAño,MONTH(MaySun1+35)=5),MaySun1+35, "")</f>
        <v/>
      </c>
      <c r="L21" s="19" t="str">
        <f>IF(AND(YEAR(MaySun1+36)=ElAño,MONTH(MaySun1+36)=5),MaySun1+36, "")</f>
        <v/>
      </c>
      <c r="M21" s="19" t="str">
        <f>IF(AND(YEAR(MaySun1+37)=ElAño,MONTH(MaySun1+37)=5),MaySun1+37, "")</f>
        <v/>
      </c>
      <c r="N21" s="19" t="str">
        <f>IF(AND(YEAR(MaySun1+38)=ElAño,MONTH(MaySun1+38)=5),MaySun1+38, "")</f>
        <v/>
      </c>
      <c r="O21" s="19" t="str">
        <f>IF(AND(YEAR(MaySun1+39)=ElAño,MONTH(MaySun1+39)=5),MaySun1+39, "")</f>
        <v/>
      </c>
      <c r="P21" s="19" t="str">
        <f>IF(AND(YEAR(MaySun1+40)=ElAño,MONTH(MaySun1+40)=5),MaySun1+40, "")</f>
        <v/>
      </c>
      <c r="Q21" s="19" t="str">
        <f>IF(AND(YEAR(MaySun1+41)=ElAño,MONTH(MaySun1+41)=5),MaySun1+41, "")</f>
        <v/>
      </c>
      <c r="R21" s="16"/>
      <c r="S21" s="19" t="str">
        <f>IF(AND(YEAR(AugSun1+35)=ElAño,MONTH(AugSun1+35)=8),AugSun1+35, "")</f>
        <v/>
      </c>
      <c r="T21" s="19" t="str">
        <f>IF(AND(YEAR(AugSun1+36)=ElAño,MONTH(AugSun1+36)=8),AugSun1+36, "")</f>
        <v/>
      </c>
      <c r="U21" s="19" t="str">
        <f>IF(AND(YEAR(AugSun1+37)=ElAño,MONTH(AugSun1+37)=8),AugSun1+37, "")</f>
        <v/>
      </c>
      <c r="V21" s="19" t="str">
        <f>IF(AND(YEAR(AugSun1+38)=ElAño,MONTH(AugSun1+38)=8),AugSun1+38, "")</f>
        <v/>
      </c>
      <c r="W21" s="19" t="str">
        <f>IF(AND(YEAR(AugSun1+39)=ElAño,MONTH(AugSun1+39)=8),AugSun1+39, "")</f>
        <v/>
      </c>
      <c r="X21" s="19" t="str">
        <f>IF(AND(YEAR(AugSun1+40)=ElAño,MONTH(AugSun1+40)=8),AugSun1+40, "")</f>
        <v/>
      </c>
      <c r="Y21" s="19" t="str">
        <f>IF(AND(YEAR(AugSun1+41)=ElAño,MONTH(AugSun1+41)=8),AugSun1+41, "")</f>
        <v/>
      </c>
      <c r="Z21" s="16"/>
      <c r="AA21" s="19" t="str">
        <f>IF(AND(YEAR(NovSun1+35)=ElAño,MONTH(NovSun1+35)=11),NovSun1+35, "")</f>
        <v/>
      </c>
      <c r="AB21" s="19" t="str">
        <f>IF(AND(YEAR(NovSun1+36)=ElAño,MONTH(NovSun1+36)=11),NovSun1+36, "")</f>
        <v/>
      </c>
      <c r="AC21" s="19" t="str">
        <f>IF(AND(YEAR(NovSun1+37)=ElAño,MONTH(NovSun1+37)=11),NovSun1+37, "")</f>
        <v/>
      </c>
      <c r="AD21" s="19" t="str">
        <f>IF(AND(YEAR(NovSun1+38)=ElAño,MONTH(NovSun1+38)=11),NovSun1+38, "")</f>
        <v/>
      </c>
      <c r="AE21" s="19" t="str">
        <f>IF(AND(YEAR(NovSun1+39)=ElAño,MONTH(NovSun1+39)=11),NovSun1+39, "")</f>
        <v/>
      </c>
      <c r="AF21" s="19" t="str">
        <f>IF(AND(YEAR(NovSun1+40)=ElAño,MONTH(NovSun1+40)=11),NovSun1+40, "")</f>
        <v/>
      </c>
      <c r="AG21" s="19" t="str">
        <f>IF(AND(YEAR(NovSun1+41)=ElAño,MONTH(NovSun1+41)=11),NovSun1+41, "")</f>
        <v/>
      </c>
      <c r="AH21" s="17"/>
    </row>
    <row r="22" spans="2:34" ht="4.5" customHeight="1" x14ac:dyDescent="0.2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7"/>
    </row>
    <row r="23" spans="2:34" x14ac:dyDescent="0.2">
      <c r="B23" s="8"/>
      <c r="C23" s="22" t="s">
        <v>3</v>
      </c>
      <c r="D23" s="22"/>
      <c r="E23" s="22"/>
      <c r="F23" s="22"/>
      <c r="G23" s="22"/>
      <c r="H23" s="22"/>
      <c r="I23" s="22"/>
      <c r="J23" s="1"/>
      <c r="K23" s="22" t="s">
        <v>13</v>
      </c>
      <c r="L23" s="22"/>
      <c r="M23" s="22"/>
      <c r="N23" s="22"/>
      <c r="O23" s="22"/>
      <c r="P23" s="22"/>
      <c r="Q23" s="22"/>
      <c r="R23" s="1"/>
      <c r="S23" s="22" t="s">
        <v>16</v>
      </c>
      <c r="T23" s="22"/>
      <c r="U23" s="22"/>
      <c r="V23" s="22"/>
      <c r="W23" s="22"/>
      <c r="X23" s="22"/>
      <c r="Y23" s="22"/>
      <c r="Z23" s="1"/>
      <c r="AA23" s="22" t="s">
        <v>19</v>
      </c>
      <c r="AB23" s="22"/>
      <c r="AC23" s="22"/>
      <c r="AD23" s="22"/>
      <c r="AE23" s="22"/>
      <c r="AF23" s="22"/>
      <c r="AG23" s="22"/>
      <c r="AH23" s="9"/>
    </row>
    <row r="24" spans="2:34" x14ac:dyDescent="0.2">
      <c r="B24" s="8"/>
      <c r="C24" s="3" t="s">
        <v>1</v>
      </c>
      <c r="D24" s="3" t="s">
        <v>4</v>
      </c>
      <c r="E24" s="3" t="s">
        <v>6</v>
      </c>
      <c r="F24" s="3" t="s">
        <v>5</v>
      </c>
      <c r="G24" s="3" t="s">
        <v>7</v>
      </c>
      <c r="H24" s="4" t="s">
        <v>8</v>
      </c>
      <c r="I24" s="4" t="s">
        <v>9</v>
      </c>
      <c r="J24" s="1"/>
      <c r="K24" s="3" t="s">
        <v>1</v>
      </c>
      <c r="L24" s="3" t="s">
        <v>4</v>
      </c>
      <c r="M24" s="3" t="s">
        <v>6</v>
      </c>
      <c r="N24" s="3" t="s">
        <v>5</v>
      </c>
      <c r="O24" s="3" t="s">
        <v>7</v>
      </c>
      <c r="P24" s="4" t="s">
        <v>8</v>
      </c>
      <c r="Q24" s="4" t="s">
        <v>9</v>
      </c>
      <c r="R24" s="1"/>
      <c r="S24" s="3" t="s">
        <v>1</v>
      </c>
      <c r="T24" s="3" t="s">
        <v>4</v>
      </c>
      <c r="U24" s="3" t="s">
        <v>6</v>
      </c>
      <c r="V24" s="3" t="s">
        <v>5</v>
      </c>
      <c r="W24" s="3" t="s">
        <v>7</v>
      </c>
      <c r="X24" s="4" t="s">
        <v>8</v>
      </c>
      <c r="Y24" s="4" t="s">
        <v>9</v>
      </c>
      <c r="Z24" s="1"/>
      <c r="AA24" s="3" t="s">
        <v>1</v>
      </c>
      <c r="AB24" s="3" t="s">
        <v>4</v>
      </c>
      <c r="AC24" s="3" t="s">
        <v>6</v>
      </c>
      <c r="AD24" s="3" t="s">
        <v>5</v>
      </c>
      <c r="AE24" s="3" t="s">
        <v>7</v>
      </c>
      <c r="AF24" s="4" t="s">
        <v>8</v>
      </c>
      <c r="AG24" s="4" t="s">
        <v>9</v>
      </c>
      <c r="AH24" s="9"/>
    </row>
    <row r="25" spans="2:34" x14ac:dyDescent="0.2">
      <c r="B25" s="8"/>
      <c r="C25" s="18" t="str">
        <f>IF(AND(YEAR(MarSun1)=ElAño,MONTH(MarSun1)=3),MarSun1, "")</f>
        <v/>
      </c>
      <c r="D25" s="18" t="str">
        <f>IF(AND(YEAR(MarSun1+1)=ElAño,MONTH(MarSun1+1)=3),MarSun1+1, "")</f>
        <v/>
      </c>
      <c r="E25" s="18" t="str">
        <f>IF(AND(YEAR(MarSun1+2)=ElAño,MONTH(MarSun1+2)=3),MarSun1+2, "")</f>
        <v/>
      </c>
      <c r="F25" s="18" t="str">
        <f>IF(AND(YEAR(MarSun1+3)=ElAño,MONTH(MarSun1+3)=3),MarSun1+3, "")</f>
        <v/>
      </c>
      <c r="G25" s="18">
        <f>IF(AND(YEAR(MarSun1+4)=ElAño,MONTH(MarSun1+4)=3),MarSun1+4, "")</f>
        <v>43525</v>
      </c>
      <c r="H25" s="18">
        <f>IF(AND(YEAR(MarSun1+5)=ElAño,MONTH(MarSun1+5)=3),MarSun1+5, "")</f>
        <v>43526</v>
      </c>
      <c r="I25" s="18">
        <f>IF(AND(YEAR(MarSun1+6)=ElAño,MONTH(MarSun1+6)=3),MarSun1+6, "")</f>
        <v>43527</v>
      </c>
      <c r="J25" s="1"/>
      <c r="K25" s="18" t="str">
        <f>IF(AND(YEAR(JunSun1)=ElAño,MONTH(JunSun1)=6),JunSun1, "")</f>
        <v/>
      </c>
      <c r="L25" s="18" t="str">
        <f>IF(AND(YEAR(JunSun1+1)=ElAño,MONTH(JunSun1+1)=6),JunSun1+1, "")</f>
        <v/>
      </c>
      <c r="M25" s="18" t="str">
        <f>IF(AND(YEAR(JunSun1+2)=ElAño,MONTH(JunSun1+2)=6),JunSun1+2, "")</f>
        <v/>
      </c>
      <c r="N25" s="18" t="str">
        <f>IF(AND(YEAR(JunSun1+3)=ElAño,MONTH(JunSun1+3)=6),JunSun1+3, "")</f>
        <v/>
      </c>
      <c r="O25" s="18" t="str">
        <f>IF(AND(YEAR(JunSun1+4)=ElAño,MONTH(JunSun1+4)=6),JunSun1+4, "")</f>
        <v/>
      </c>
      <c r="P25" s="18">
        <f>IF(AND(YEAR(JunSun1+5)=ElAño,MONTH(JunSun1+5)=6),JunSun1+5, "")</f>
        <v>43617</v>
      </c>
      <c r="Q25" s="18">
        <f>IF(AND(YEAR(JunSun1+6)=ElAño,MONTH(JunSun1+6)=6),JunSun1+6, "")</f>
        <v>43618</v>
      </c>
      <c r="R25" s="1"/>
      <c r="S25" s="18" t="str">
        <f>IF(AND(YEAR(SepSun1)=ElAño,MONTH(SepSun1)=9),SepSun1, "")</f>
        <v/>
      </c>
      <c r="T25" s="18" t="str">
        <f>IF(AND(YEAR(SepSun1+1)=ElAño,MONTH(SepSun1+1)=9),SepSun1+1, "")</f>
        <v/>
      </c>
      <c r="U25" s="18" t="str">
        <f>IF(AND(YEAR(SepSun1+2)=ElAño,MONTH(SepSun1+2)=9),SepSun1+2, "")</f>
        <v/>
      </c>
      <c r="V25" s="18" t="str">
        <f>IF(AND(YEAR(SepSun1+3)=ElAño,MONTH(SepSun1+3)=9),SepSun1+3, "")</f>
        <v/>
      </c>
      <c r="W25" s="18" t="str">
        <f>IF(AND(YEAR(SepSun1+4)=ElAño,MONTH(SepSun1+4)=9),SepSun1+4, "")</f>
        <v/>
      </c>
      <c r="X25" s="18" t="str">
        <f>IF(AND(YEAR(SepSun1+5)=ElAño,MONTH(SepSun1+5)=9),SepSun1+5, "")</f>
        <v/>
      </c>
      <c r="Y25" s="18">
        <f>IF(AND(YEAR(SepSun1+6)=ElAño,MONTH(SepSun1+6)=9),SepSun1+6, "")</f>
        <v>43709</v>
      </c>
      <c r="Z25" s="1"/>
      <c r="AA25" s="18" t="str">
        <f>IF(AND(YEAR(DecSun1)=ElAño,MONTH(DecSun1)=12),DecSun1, "")</f>
        <v/>
      </c>
      <c r="AB25" s="18" t="str">
        <f>IF(AND(YEAR(DecSun1+1)=ElAño,MONTH(DecSun1+1)=12),DecSun1+1, "")</f>
        <v/>
      </c>
      <c r="AC25" s="18" t="str">
        <f>IF(AND(YEAR(DecSun1+2)=ElAño,MONTH(DecSun1+2)=12),DecSun1+2, "")</f>
        <v/>
      </c>
      <c r="AD25" s="18" t="str">
        <f>IF(AND(YEAR(DecSun1+3)=ElAño,MONTH(DecSun1+3)=12),DecSun1+3, "")</f>
        <v/>
      </c>
      <c r="AE25" s="18" t="str">
        <f>IF(AND(YEAR(DecSun1+4)=ElAño,MONTH(DecSun1+4)=12),DecSun1+4, "")</f>
        <v/>
      </c>
      <c r="AF25" s="18" t="str">
        <f>IF(AND(YEAR(DecSun1+5)=ElAño,MONTH(DecSun1+5)=12),DecSun1+5, "")</f>
        <v/>
      </c>
      <c r="AG25" s="18">
        <f>IF(AND(YEAR(DecSun1+6)=ElAño,MONTH(DecSun1+6)=12),DecSun1+6, "")</f>
        <v>43800</v>
      </c>
      <c r="AH25" s="9"/>
    </row>
    <row r="26" spans="2:34" x14ac:dyDescent="0.2">
      <c r="B26" s="8"/>
      <c r="C26" s="19">
        <f>IF(AND(YEAR(MarSun1+7)=ElAño,MONTH(MarSun1+7)=3),MarSun1+7, "")</f>
        <v>43528</v>
      </c>
      <c r="D26" s="19">
        <f>IF(AND(YEAR(MarSun1+8)=ElAño,MONTH(MarSun1+8)=3),MarSun1+8, "")</f>
        <v>43529</v>
      </c>
      <c r="E26" s="19">
        <f>IF(AND(YEAR(MarSun1+9)=ElAño,MONTH(MarSun1+9)=3),MarSun1+9, "")</f>
        <v>43530</v>
      </c>
      <c r="F26" s="19">
        <f>IF(AND(YEAR(MarSun1+10)=ElAño,MONTH(MarSun1+10)=3),MarSun1+10, "")</f>
        <v>43531</v>
      </c>
      <c r="G26" s="19">
        <f>IF(AND(YEAR(MarSun1+11)=ElAño,MONTH(MarSun1+11)=3),MarSun1+11, "")</f>
        <v>43532</v>
      </c>
      <c r="H26" s="19">
        <f>IF(AND(YEAR(MarSun1+12)=ElAño,MONTH(MarSun1+12)=3),MarSun1+12, "")</f>
        <v>43533</v>
      </c>
      <c r="I26" s="19">
        <f>IF(AND(YEAR(MarSun1+13)=ElAño,MONTH(MarSun1+13)=3),MarSun1+13, "")</f>
        <v>43534</v>
      </c>
      <c r="J26" s="1"/>
      <c r="K26" s="19">
        <f>IF(AND(YEAR(JunSun1+7)=ElAño,MONTH(JunSun1+7)=6),JunSun1+7, "")</f>
        <v>43619</v>
      </c>
      <c r="L26" s="19">
        <f>IF(AND(YEAR(JunSun1+8)=ElAño,MONTH(JunSun1+8)=6),JunSun1+8, "")</f>
        <v>43620</v>
      </c>
      <c r="M26" s="19">
        <f>IF(AND(YEAR(JunSun1+9)=ElAño,MONTH(JunSun1+9)=6),JunSun1+9, "")</f>
        <v>43621</v>
      </c>
      <c r="N26" s="19">
        <f>IF(AND(YEAR(JunSun1+10)=ElAño,MONTH(JunSun1+10)=6),JunSun1+10, "")</f>
        <v>43622</v>
      </c>
      <c r="O26" s="19">
        <f>IF(AND(YEAR(JunSun1+11)=ElAño,MONTH(JunSun1+11)=6),JunSun1+11, "")</f>
        <v>43623</v>
      </c>
      <c r="P26" s="19">
        <f>IF(AND(YEAR(JunSun1+12)=ElAño,MONTH(JunSun1+12)=6),JunSun1+12, "")</f>
        <v>43624</v>
      </c>
      <c r="Q26" s="19">
        <f>IF(AND(YEAR(JunSun1+13)=ElAño,MONTH(JunSun1+13)=6),JunSun1+13, "")</f>
        <v>43625</v>
      </c>
      <c r="R26" s="1"/>
      <c r="S26" s="19">
        <f>IF(AND(YEAR(SepSun1+7)=ElAño,MONTH(SepSun1+7)=9),SepSun1+7, "")</f>
        <v>43710</v>
      </c>
      <c r="T26" s="19">
        <f>IF(AND(YEAR(SepSun1+8)=ElAño,MONTH(SepSun1+8)=9),SepSun1+8, "")</f>
        <v>43711</v>
      </c>
      <c r="U26" s="19">
        <f>IF(AND(YEAR(SepSun1+9)=ElAño,MONTH(SepSun1+9)=9),SepSun1+9, "")</f>
        <v>43712</v>
      </c>
      <c r="V26" s="19">
        <f>IF(AND(YEAR(SepSun1+10)=ElAño,MONTH(SepSun1+10)=9),SepSun1+10, "")</f>
        <v>43713</v>
      </c>
      <c r="W26" s="19">
        <f>IF(AND(YEAR(SepSun1+11)=ElAño,MONTH(SepSun1+11)=9),SepSun1+11, "")</f>
        <v>43714</v>
      </c>
      <c r="X26" s="19">
        <f>IF(AND(YEAR(SepSun1+12)=ElAño,MONTH(SepSun1+12)=9),SepSun1+12, "")</f>
        <v>43715</v>
      </c>
      <c r="Y26" s="19">
        <f>IF(AND(YEAR(SepSun1+13)=ElAño,MONTH(SepSun1+13)=9),SepSun1+13, "")</f>
        <v>43716</v>
      </c>
      <c r="Z26" s="1"/>
      <c r="AA26" s="19">
        <f>IF(AND(YEAR(DecSun1+7)=ElAño,MONTH(DecSun1+7)=12),DecSun1+7, "")</f>
        <v>43801</v>
      </c>
      <c r="AB26" s="19">
        <f>IF(AND(YEAR(DecSun1+8)=ElAño,MONTH(DecSun1+8)=12),DecSun1+8, "")</f>
        <v>43802</v>
      </c>
      <c r="AC26" s="19">
        <f>IF(AND(YEAR(DecSun1+9)=ElAño,MONTH(DecSun1+9)=12),DecSun1+9, "")</f>
        <v>43803</v>
      </c>
      <c r="AD26" s="19">
        <f>IF(AND(YEAR(DecSun1+10)=ElAño,MONTH(DecSun1+10)=12),DecSun1+10, "")</f>
        <v>43804</v>
      </c>
      <c r="AE26" s="19">
        <f>IF(AND(YEAR(DecSun1+11)=ElAño,MONTH(DecSun1+11)=12),DecSun1+11, "")</f>
        <v>43805</v>
      </c>
      <c r="AF26" s="19">
        <f>IF(AND(YEAR(DecSun1+12)=ElAño,MONTH(DecSun1+12)=12),DecSun1+12, "")</f>
        <v>43806</v>
      </c>
      <c r="AG26" s="19">
        <f>IF(AND(YEAR(DecSun1+13)=ElAño,MONTH(DecSun1+13)=12),DecSun1+13, "")</f>
        <v>43807</v>
      </c>
      <c r="AH26" s="9"/>
    </row>
    <row r="27" spans="2:34" x14ac:dyDescent="0.2">
      <c r="B27" s="8"/>
      <c r="C27" s="19">
        <f>IF(AND(YEAR(MarSun1+14)=ElAño,MONTH(MarSun1+14)=3),MarSun1+14, "")</f>
        <v>43535</v>
      </c>
      <c r="D27" s="19">
        <f>IF(AND(YEAR(MarSun1+15)=ElAño,MONTH(MarSun1+15)=3),MarSun1+15, "")</f>
        <v>43536</v>
      </c>
      <c r="E27" s="19">
        <f>IF(AND(YEAR(MarSun1+16)=ElAño,MONTH(MarSun1+16)=3),MarSun1+16, "")</f>
        <v>43537</v>
      </c>
      <c r="F27" s="19">
        <f>IF(AND(YEAR(MarSun1+17)=ElAño,MONTH(MarSun1+17)=3),MarSun1+17, "")</f>
        <v>43538</v>
      </c>
      <c r="G27" s="19">
        <f>IF(AND(YEAR(MarSun1+18)=ElAño,MONTH(MarSun1+18)=3),MarSun1+18, "")</f>
        <v>43539</v>
      </c>
      <c r="H27" s="19">
        <f>IF(AND(YEAR(MarSun1+19)=ElAño,MONTH(MarSun1+19)=3),MarSun1+19, "")</f>
        <v>43540</v>
      </c>
      <c r="I27" s="19">
        <f>IF(AND(YEAR(MarSun1+20)=ElAño,MONTH(MarSun1+20)=3),MarSun1+20, "")</f>
        <v>43541</v>
      </c>
      <c r="J27" s="1"/>
      <c r="K27" s="19">
        <f>IF(AND(YEAR(JunSun1+14)=ElAño,MONTH(JunSun1+14)=6),JunSun1+14, "")</f>
        <v>43626</v>
      </c>
      <c r="L27" s="19">
        <f>IF(AND(YEAR(JunSun1+15)=ElAño,MONTH(JunSun1+15)=6),JunSun1+15, "")</f>
        <v>43627</v>
      </c>
      <c r="M27" s="19">
        <f>IF(AND(YEAR(JunSun1+16)=ElAño,MONTH(JunSun1+16)=6),JunSun1+16, "")</f>
        <v>43628</v>
      </c>
      <c r="N27" s="19">
        <f>IF(AND(YEAR(JunSun1+17)=ElAño,MONTH(JunSun1+17)=6),JunSun1+17, "")</f>
        <v>43629</v>
      </c>
      <c r="O27" s="19">
        <f>IF(AND(YEAR(JunSun1+18)=ElAño,MONTH(JunSun1+18)=6),JunSun1+18, "")</f>
        <v>43630</v>
      </c>
      <c r="P27" s="19">
        <f>IF(AND(YEAR(JunSun1+19)=ElAño,MONTH(JunSun1+19)=6),JunSun1+19, "")</f>
        <v>43631</v>
      </c>
      <c r="Q27" s="19">
        <f>IF(AND(YEAR(JunSun1+20)=ElAño,MONTH(JunSun1+20)=6),JunSun1+20, "")</f>
        <v>43632</v>
      </c>
      <c r="R27" s="1"/>
      <c r="S27" s="19">
        <f>IF(AND(YEAR(SepSun1+14)=ElAño,MONTH(SepSun1+14)=9),SepSun1+14, "")</f>
        <v>43717</v>
      </c>
      <c r="T27" s="19">
        <f>IF(AND(YEAR(SepSun1+15)=ElAño,MONTH(SepSun1+15)=9),SepSun1+15, "")</f>
        <v>43718</v>
      </c>
      <c r="U27" s="19">
        <f>IF(AND(YEAR(SepSun1+16)=ElAño,MONTH(SepSun1+16)=9),SepSun1+16, "")</f>
        <v>43719</v>
      </c>
      <c r="V27" s="19">
        <f>IF(AND(YEAR(SepSun1+17)=ElAño,MONTH(SepSun1+17)=9),SepSun1+17, "")</f>
        <v>43720</v>
      </c>
      <c r="W27" s="19">
        <f>IF(AND(YEAR(SepSun1+18)=ElAño,MONTH(SepSun1+18)=9),SepSun1+18, "")</f>
        <v>43721</v>
      </c>
      <c r="X27" s="19">
        <f>IF(AND(YEAR(SepSun1+19)=ElAño,MONTH(SepSun1+19)=9),SepSun1+19, "")</f>
        <v>43722</v>
      </c>
      <c r="Y27" s="19">
        <f>IF(AND(YEAR(SepSun1+20)=ElAño,MONTH(SepSun1+20)=9),SepSun1+20, "")</f>
        <v>43723</v>
      </c>
      <c r="Z27" s="1"/>
      <c r="AA27" s="19">
        <f>IF(AND(YEAR(DecSun1+14)=ElAño,MONTH(DecSun1+14)=12),DecSun1+14, "")</f>
        <v>43808</v>
      </c>
      <c r="AB27" s="19">
        <f>IF(AND(YEAR(DecSun1+15)=ElAño,MONTH(DecSun1+15)=12),DecSun1+15, "")</f>
        <v>43809</v>
      </c>
      <c r="AC27" s="19">
        <f>IF(AND(YEAR(DecSun1+16)=ElAño,MONTH(DecSun1+16)=12),DecSun1+16, "")</f>
        <v>43810</v>
      </c>
      <c r="AD27" s="19">
        <f>IF(AND(YEAR(DecSun1+17)=ElAño,MONTH(DecSun1+17)=12),DecSun1+17, "")</f>
        <v>43811</v>
      </c>
      <c r="AE27" s="19">
        <f>IF(AND(YEAR(DecSun1+18)=ElAño,MONTH(DecSun1+18)=12),DecSun1+18, "")</f>
        <v>43812</v>
      </c>
      <c r="AF27" s="19">
        <f>IF(AND(YEAR(DecSun1+19)=ElAño,MONTH(DecSun1+19)=12),DecSun1+19, "")</f>
        <v>43813</v>
      </c>
      <c r="AG27" s="19">
        <f>IF(AND(YEAR(DecSun1+20)=ElAño,MONTH(DecSun1+20)=12),DecSun1+20, "")</f>
        <v>43814</v>
      </c>
      <c r="AH27" s="9"/>
    </row>
    <row r="28" spans="2:34" x14ac:dyDescent="0.2">
      <c r="B28" s="8"/>
      <c r="C28" s="19">
        <f>IF(AND(YEAR(MarSun1+21)=ElAño,MONTH(MarSun1+21)=3),MarSun1+21, "")</f>
        <v>43542</v>
      </c>
      <c r="D28" s="19">
        <f>IF(AND(YEAR(MarSun1+22)=ElAño,MONTH(MarSun1+22)=3),MarSun1+22, "")</f>
        <v>43543</v>
      </c>
      <c r="E28" s="19">
        <f>IF(AND(YEAR(MarSun1+23)=ElAño,MONTH(MarSun1+23)=3),MarSun1+23, "")</f>
        <v>43544</v>
      </c>
      <c r="F28" s="19">
        <f>IF(AND(YEAR(MarSun1+24)=ElAño,MONTH(MarSun1+24)=3),MarSun1+24, "")</f>
        <v>43545</v>
      </c>
      <c r="G28" s="19">
        <f>IF(AND(YEAR(MarSun1+25)=ElAño,MONTH(MarSun1+25)=3),MarSun1+25, "")</f>
        <v>43546</v>
      </c>
      <c r="H28" s="19">
        <f>IF(AND(YEAR(MarSun1+26)=ElAño,MONTH(MarSun1+26)=3),MarSun1+26, "")</f>
        <v>43547</v>
      </c>
      <c r="I28" s="19">
        <f>IF(AND(YEAR(MarSun1+27)=ElAño,MONTH(MarSun1+27)=3),MarSun1+27, "")</f>
        <v>43548</v>
      </c>
      <c r="J28" s="1"/>
      <c r="K28" s="19">
        <f>IF(AND(YEAR(JunSun1+21)=ElAño,MONTH(JunSun1+21)=6),JunSun1+21, "")</f>
        <v>43633</v>
      </c>
      <c r="L28" s="19">
        <f>IF(AND(YEAR(JunSun1+22)=ElAño,MONTH(JunSun1+22)=6),JunSun1+22, "")</f>
        <v>43634</v>
      </c>
      <c r="M28" s="19">
        <f>IF(AND(YEAR(JunSun1+23)=ElAño,MONTH(JunSun1+23)=6),JunSun1+23, "")</f>
        <v>43635</v>
      </c>
      <c r="N28" s="19">
        <f>IF(AND(YEAR(JunSun1+24)=ElAño,MONTH(JunSun1+24)=6),JunSun1+24, "")</f>
        <v>43636</v>
      </c>
      <c r="O28" s="19">
        <f>IF(AND(YEAR(JunSun1+25)=ElAño,MONTH(JunSun1+25)=6),JunSun1+25, "")</f>
        <v>43637</v>
      </c>
      <c r="P28" s="19">
        <f>IF(AND(YEAR(JunSun1+26)=ElAño,MONTH(JunSun1+26)=6),JunSun1+26, "")</f>
        <v>43638</v>
      </c>
      <c r="Q28" s="19">
        <f>IF(AND(YEAR(JunSun1+27)=ElAño,MONTH(JunSun1+27)=6),JunSun1+27, "")</f>
        <v>43639</v>
      </c>
      <c r="R28" s="1"/>
      <c r="S28" s="19">
        <f>IF(AND(YEAR(SepSun1+21)=ElAño,MONTH(SepSun1+21)=9),SepSun1+21, "")</f>
        <v>43724</v>
      </c>
      <c r="T28" s="19">
        <f>IF(AND(YEAR(SepSun1+22)=ElAño,MONTH(SepSun1+22)=9),SepSun1+22, "")</f>
        <v>43725</v>
      </c>
      <c r="U28" s="19">
        <f>IF(AND(YEAR(SepSun1+23)=ElAño,MONTH(SepSun1+23)=9),SepSun1+23, "")</f>
        <v>43726</v>
      </c>
      <c r="V28" s="19">
        <f>IF(AND(YEAR(SepSun1+24)=ElAño,MONTH(SepSun1+24)=9),SepSun1+24, "")</f>
        <v>43727</v>
      </c>
      <c r="W28" s="19">
        <f>IF(AND(YEAR(SepSun1+25)=ElAño,MONTH(SepSun1+25)=9),SepSun1+25, "")</f>
        <v>43728</v>
      </c>
      <c r="X28" s="19">
        <f>IF(AND(YEAR(SepSun1+26)=ElAño,MONTH(SepSun1+26)=9),SepSun1+26, "")</f>
        <v>43729</v>
      </c>
      <c r="Y28" s="19">
        <f>IF(AND(YEAR(SepSun1+27)=ElAño,MONTH(SepSun1+27)=9),SepSun1+27, "")</f>
        <v>43730</v>
      </c>
      <c r="Z28" s="1"/>
      <c r="AA28" s="19">
        <f>IF(AND(YEAR(DecSun1+21)=ElAño,MONTH(DecSun1+21)=12),DecSun1+21, "")</f>
        <v>43815</v>
      </c>
      <c r="AB28" s="19">
        <f>IF(AND(YEAR(DecSun1+22)=ElAño,MONTH(DecSun1+22)=12),DecSun1+22, "")</f>
        <v>43816</v>
      </c>
      <c r="AC28" s="19">
        <f>IF(AND(YEAR(DecSun1+23)=ElAño,MONTH(DecSun1+23)=12),DecSun1+23, "")</f>
        <v>43817</v>
      </c>
      <c r="AD28" s="19">
        <f>IF(AND(YEAR(DecSun1+24)=ElAño,MONTH(DecSun1+24)=12),DecSun1+24, "")</f>
        <v>43818</v>
      </c>
      <c r="AE28" s="19">
        <f>IF(AND(YEAR(DecSun1+25)=ElAño,MONTH(DecSun1+25)=12),DecSun1+25, "")</f>
        <v>43819</v>
      </c>
      <c r="AF28" s="19">
        <f>IF(AND(YEAR(DecSun1+26)=ElAño,MONTH(DecSun1+26)=12),DecSun1+26, "")</f>
        <v>43820</v>
      </c>
      <c r="AG28" s="19">
        <f>IF(AND(YEAR(DecSun1+27)=ElAño,MONTH(DecSun1+27)=12),DecSun1+27, "")</f>
        <v>43821</v>
      </c>
      <c r="AH28" s="9"/>
    </row>
    <row r="29" spans="2:34" x14ac:dyDescent="0.2">
      <c r="B29" s="8"/>
      <c r="C29" s="19">
        <f>IF(AND(YEAR(MarSun1+28)=ElAño,MONTH(MarSun1+28)=3),MarSun1+28, "")</f>
        <v>43549</v>
      </c>
      <c r="D29" s="19">
        <f>IF(AND(YEAR(MarSun1+29)=ElAño,MONTH(MarSun1+29)=3),MarSun1+29, "")</f>
        <v>43550</v>
      </c>
      <c r="E29" s="19">
        <f>IF(AND(YEAR(MarSun1+30)=ElAño,MONTH(MarSun1+30)=3),MarSun1+30, "")</f>
        <v>43551</v>
      </c>
      <c r="F29" s="19">
        <f>IF(AND(YEAR(MarSun1+31)=ElAño,MONTH(MarSun1+31)=3),MarSun1+31, "")</f>
        <v>43552</v>
      </c>
      <c r="G29" s="19">
        <f>IF(AND(YEAR(MarSun1+32)=ElAño,MONTH(MarSun1+32)=3),MarSun1+32, "")</f>
        <v>43553</v>
      </c>
      <c r="H29" s="19">
        <f>IF(AND(YEAR(MarSun1+33)=ElAño,MONTH(MarSun1+33)=3),MarSun1+33, "")</f>
        <v>43554</v>
      </c>
      <c r="I29" s="19">
        <f>IF(AND(YEAR(MarSun1+34)=ElAño,MONTH(MarSun1+34)=3),MarSun1+34, "")</f>
        <v>43555</v>
      </c>
      <c r="J29" s="1"/>
      <c r="K29" s="19">
        <f>IF(AND(YEAR(JunSun1+28)=ElAño,MONTH(JunSun1+28)=6),JunSun1+28, "")</f>
        <v>43640</v>
      </c>
      <c r="L29" s="19">
        <f>IF(AND(YEAR(JunSun1+29)=ElAño,MONTH(JunSun1+29)=6),JunSun1+29, "")</f>
        <v>43641</v>
      </c>
      <c r="M29" s="19">
        <f>IF(AND(YEAR(JunSun1+30)=ElAño,MONTH(JunSun1+30)=6),JunSun1+30, "")</f>
        <v>43642</v>
      </c>
      <c r="N29" s="19">
        <f>IF(AND(YEAR(JunSun1+31)=ElAño,MONTH(JunSun1+31)=6),JunSun1+31, "")</f>
        <v>43643</v>
      </c>
      <c r="O29" s="19">
        <f>IF(AND(YEAR(JunSun1+32)=ElAño,MONTH(JunSun1+32)=6),JunSun1+32, "")</f>
        <v>43644</v>
      </c>
      <c r="P29" s="19">
        <f>IF(AND(YEAR(JunSun1+33)=ElAño,MONTH(JunSun1+33)=6),JunSun1+33, "")</f>
        <v>43645</v>
      </c>
      <c r="Q29" s="19">
        <f>IF(AND(YEAR(JunSun1+34)=ElAño,MONTH(JunSun1+34)=6),JunSun1+34, "")</f>
        <v>43646</v>
      </c>
      <c r="R29" s="1"/>
      <c r="S29" s="19">
        <f>IF(AND(YEAR(SepSun1+28)=ElAño,MONTH(SepSun1+28)=9),SepSun1+28, "")</f>
        <v>43731</v>
      </c>
      <c r="T29" s="19">
        <f>IF(AND(YEAR(SepSun1+29)=ElAño,MONTH(SepSun1+29)=9),SepSun1+29, "")</f>
        <v>43732</v>
      </c>
      <c r="U29" s="19">
        <f>IF(AND(YEAR(SepSun1+30)=ElAño,MONTH(SepSun1+30)=9),SepSun1+30, "")</f>
        <v>43733</v>
      </c>
      <c r="V29" s="19">
        <f>IF(AND(YEAR(SepSun1+31)=ElAño,MONTH(SepSun1+31)=9),SepSun1+31, "")</f>
        <v>43734</v>
      </c>
      <c r="W29" s="19">
        <f>IF(AND(YEAR(SepSun1+32)=ElAño,MONTH(SepSun1+32)=9),SepSun1+32, "")</f>
        <v>43735</v>
      </c>
      <c r="X29" s="19">
        <f>IF(AND(YEAR(SepSun1+33)=ElAño,MONTH(SepSun1+33)=9),SepSun1+33, "")</f>
        <v>43736</v>
      </c>
      <c r="Y29" s="19">
        <f>IF(AND(YEAR(SepSun1+34)=ElAño,MONTH(SepSun1+34)=9),SepSun1+34, "")</f>
        <v>43737</v>
      </c>
      <c r="Z29" s="1"/>
      <c r="AA29" s="19">
        <f>IF(AND(YEAR(DecSun1+28)=ElAño,MONTH(DecSun1+28)=12),DecSun1+28, "")</f>
        <v>43822</v>
      </c>
      <c r="AB29" s="19">
        <f>IF(AND(YEAR(DecSun1+29)=ElAño,MONTH(DecSun1+29)=12),DecSun1+29, "")</f>
        <v>43823</v>
      </c>
      <c r="AC29" s="19">
        <f>IF(AND(YEAR(DecSun1+30)=ElAño,MONTH(DecSun1+30)=12),DecSun1+30, "")</f>
        <v>43824</v>
      </c>
      <c r="AD29" s="19">
        <f>IF(AND(YEAR(DecSun1+31)=ElAño,MONTH(DecSun1+31)=12),DecSun1+31, "")</f>
        <v>43825</v>
      </c>
      <c r="AE29" s="19">
        <f>IF(AND(YEAR(DecSun1+32)=ElAño,MONTH(DecSun1+32)=12),DecSun1+32, "")</f>
        <v>43826</v>
      </c>
      <c r="AF29" s="19">
        <f>IF(AND(YEAR(DecSun1+33)=ElAño,MONTH(DecSun1+33)=12),DecSun1+33, "")</f>
        <v>43827</v>
      </c>
      <c r="AG29" s="19">
        <f>IF(AND(YEAR(DecSun1+34)=ElAño,MONTH(DecSun1+34)=12),DecSun1+34, "")</f>
        <v>43828</v>
      </c>
      <c r="AH29" s="9"/>
    </row>
    <row r="30" spans="2:34" x14ac:dyDescent="0.2">
      <c r="B30" s="8"/>
      <c r="C30" s="19" t="str">
        <f>IF(AND(YEAR(MarSun1+35)=ElAño,MONTH(MarSun1+35)=3),MarSun1+35, "")</f>
        <v/>
      </c>
      <c r="D30" s="19" t="str">
        <f>IF(AND(YEAR(MarSun1+36)=ElAño,MONTH(MarSun1+36)=3),MarSun1+36, "")</f>
        <v/>
      </c>
      <c r="E30" s="19" t="str">
        <f>IF(AND(YEAR(MarSun1+37)=ElAño,MONTH(MarSun1+37)=3),MarSun1+37, "")</f>
        <v/>
      </c>
      <c r="F30" s="19" t="str">
        <f>IF(AND(YEAR(MarSun1+38)=ElAño,MONTH(MarSun1+38)=3),MarSun1+38, "")</f>
        <v/>
      </c>
      <c r="G30" s="19" t="str">
        <f>IF(AND(YEAR(MarSun1+39)=ElAño,MONTH(MarSun1+39)=3),MarSun1+39, "")</f>
        <v/>
      </c>
      <c r="H30" s="19" t="str">
        <f>IF(AND(YEAR(MarSun1+40)=ElAño,MONTH(MarSun1+40)=3),MarSun1+40, "")</f>
        <v/>
      </c>
      <c r="I30" s="19" t="str">
        <f>IF(AND(YEAR(MarSun1+41)=ElAño,MONTH(MarSun1+41)=3),MarSun1+41, "")</f>
        <v/>
      </c>
      <c r="J30" s="2"/>
      <c r="K30" s="19" t="str">
        <f>IF(AND(YEAR(JunSun1+35)=ElAño,MONTH(JunSun1+35)=6),JunSun1+35, "")</f>
        <v/>
      </c>
      <c r="L30" s="19" t="str">
        <f>IF(AND(YEAR(JunSun1+36)=ElAño,MONTH(JunSun1+36)=6),JunSun1+36, "")</f>
        <v/>
      </c>
      <c r="M30" s="19" t="str">
        <f>IF(AND(YEAR(JunSun1+37)=ElAño,MONTH(JunSun1+37)=6),JunSun1+37, "")</f>
        <v/>
      </c>
      <c r="N30" s="19" t="str">
        <f>IF(AND(YEAR(JunSun1+38)=ElAño,MONTH(JunSun1+38)=6),JunSun1+38, "")</f>
        <v/>
      </c>
      <c r="O30" s="19" t="str">
        <f>IF(AND(YEAR(JunSun1+39)=ElAño,MONTH(JunSun1+39)=6),JunSun1+39, "")</f>
        <v/>
      </c>
      <c r="P30" s="19" t="str">
        <f>IF(AND(YEAR(JunSun1+40)=ElAño,MONTH(JunSun1+40)=6),JunSun1+40, "")</f>
        <v/>
      </c>
      <c r="Q30" s="19" t="str">
        <f>IF(AND(YEAR(JunSun1+41)=ElAño,MONTH(JunSun1+41)=6),JunSun1+41, "")</f>
        <v/>
      </c>
      <c r="R30" s="2"/>
      <c r="S30" s="19">
        <f>IF(AND(YEAR(SepSun1+35)=ElAño,MONTH(SepSun1+35)=9),SepSun1+35, "")</f>
        <v>43738</v>
      </c>
      <c r="T30" s="19" t="str">
        <f>IF(AND(YEAR(SepSun1+36)=ElAño,MONTH(SepSun1+36)=9),SepSun1+36, "")</f>
        <v/>
      </c>
      <c r="U30" s="19" t="str">
        <f>IF(AND(YEAR(SepSun1+37)=ElAño,MONTH(SepSun1+37)=9),SepSun1+37, "")</f>
        <v/>
      </c>
      <c r="V30" s="19" t="str">
        <f>IF(AND(YEAR(SepSun1+38)=ElAño,MONTH(SepSun1+38)=9),SepSun1+38, "")</f>
        <v/>
      </c>
      <c r="W30" s="19" t="str">
        <f>IF(AND(YEAR(SepSun1+39)=ElAño,MONTH(SepSun1+39)=9),SepSun1+39, "")</f>
        <v/>
      </c>
      <c r="X30" s="19" t="str">
        <f>IF(AND(YEAR(SepSun1+40)=ElAño,MONTH(SepSun1+40)=9),SepSun1+40, "")</f>
        <v/>
      </c>
      <c r="Y30" s="19" t="str">
        <f>IF(AND(YEAR(SepSun1+41)=ElAño,MONTH(SepSun1+41)=9),SepSun1+41, "")</f>
        <v/>
      </c>
      <c r="Z30" s="2"/>
      <c r="AA30" s="19">
        <f>IF(AND(YEAR(DecSun1+35)=ElAño,MONTH(DecSun1+35)=12),DecSun1+35, "")</f>
        <v>43829</v>
      </c>
      <c r="AB30" s="19">
        <f>IF(AND(YEAR(DecSun1+36)=ElAño,MONTH(DecSun1+36)=12),DecSun1+36, "")</f>
        <v>43830</v>
      </c>
      <c r="AC30" s="19" t="str">
        <f>IF(AND(YEAR(DecSun1+37)=ElAño,MONTH(DecSun1+37)=12),DecSun1+37, "")</f>
        <v/>
      </c>
      <c r="AD30" s="19" t="str">
        <f>IF(AND(YEAR(DecSun1+38)=ElAño,MONTH(DecSun1+38)=12),DecSun1+38, "")</f>
        <v/>
      </c>
      <c r="AE30" s="19" t="str">
        <f>IF(AND(YEAR(DecSun1+39)=ElAño,MONTH(DecSun1+39)=12),DecSun1+39, "")</f>
        <v/>
      </c>
      <c r="AF30" s="19" t="str">
        <f>IF(AND(YEAR(DecSun1+40)=ElAño,MONTH(DecSun1+40)=12),DecSun1+40, "")</f>
        <v/>
      </c>
      <c r="AG30" s="19" t="str">
        <f>IF(AND(YEAR(DecSun1+41)=ElAño,MONTH(DecSun1+41)=12),DecSun1+41, "")</f>
        <v/>
      </c>
      <c r="AH30" s="9"/>
    </row>
    <row r="31" spans="2:34" ht="13.5" customHeight="1" thickBot="1" x14ac:dyDescent="0.25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2"/>
    </row>
    <row r="32" spans="2:34" ht="13.5" thickTop="1" x14ac:dyDescent="0.2"/>
  </sheetData>
  <mergeCells count="13">
    <mergeCell ref="B2:AH3"/>
    <mergeCell ref="C23:I23"/>
    <mergeCell ref="K23:Q23"/>
    <mergeCell ref="S23:Y23"/>
    <mergeCell ref="AA23:AG23"/>
    <mergeCell ref="C5:I5"/>
    <mergeCell ref="K5:Q5"/>
    <mergeCell ref="S5:Y5"/>
    <mergeCell ref="AA5:AG5"/>
    <mergeCell ref="C14:I14"/>
    <mergeCell ref="K14:Q14"/>
    <mergeCell ref="S14:Y14"/>
    <mergeCell ref="AA14:AG14"/>
  </mergeCells>
  <conditionalFormatting sqref="C5:AG30">
    <cfRule type="containsErrors" dxfId="1" priority="13">
      <formula>ISERROR(C5)</formula>
    </cfRule>
    <cfRule type="containsBlanks" dxfId="0" priority="14">
      <formula>LEN(TRIM(C5))=0</formula>
    </cfRule>
  </conditionalFormatting>
  <dataValidations disablePrompts="1" count="1">
    <dataValidation type="whole" allowBlank="1" showInputMessage="1" showErrorMessage="1" errorTitle="Año no válido" error="Escriba un año entre 1900 y 9999 o use la barra de desplazamiento para buscar un año." sqref="B2:AH3" xr:uid="{00000000-0002-0000-0000-000000000000}">
      <formula1>1900</formula1>
      <formula2>9999</formula2>
    </dataValidation>
  </dataValidations>
  <printOptions horizontalCentered="1" verticalCentered="1"/>
  <pageMargins left="0.5" right="0.5" top="0.5" bottom="0.5" header="0.3" footer="0.3"/>
  <pageSetup paperSize="9" orientation="landscape" horizontalDpi="300" verticalDpi="300" r:id="rId1"/>
  <drawing r:id="rId2"/>
  <legacyDrawing r:id="rId3"/>
  <controls>
    <mc:AlternateContent xmlns:mc="http://schemas.openxmlformats.org/markup-compatibility/2006">
      <mc:Choice Requires="x14">
        <control shapeId="2049" r:id="rId4" name="ScrollBar1">
          <controlPr print="0" autoFill="0" autoLine="0" autoPict="0" altText="" linkedCell="B2" r:id="rId5">
            <anchor>
              <from>
                <xdr:col>1</xdr:col>
                <xdr:colOff>19050</xdr:colOff>
                <xdr:row>0</xdr:row>
                <xdr:rowOff>66675</xdr:rowOff>
              </from>
              <to>
                <xdr:col>7</xdr:col>
                <xdr:colOff>85725</xdr:colOff>
                <xdr:row>0</xdr:row>
                <xdr:rowOff>238125</xdr:rowOff>
              </to>
            </anchor>
          </controlPr>
        </control>
      </mc:Choice>
      <mc:Fallback>
        <control shapeId="2049" r:id="rId4" name="ScrollBar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Cualquier año</vt:lpstr>
      <vt:lpstr>'Cualquier año'!Área_de_impresión</vt:lpstr>
      <vt:lpstr>ElAño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2017-11-29T09:28:09Z</dcterms:created>
  <dcterms:modified xsi:type="dcterms:W3CDTF">2020-04-23T21:54:33Z</dcterms:modified>
</cp:coreProperties>
</file>