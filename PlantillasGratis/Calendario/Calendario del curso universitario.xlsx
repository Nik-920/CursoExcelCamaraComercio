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C4D9416F-B2D1-4A97-937D-C7559B176A0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ner anual" sheetId="4" r:id="rId1"/>
    <sheet name="Citas" sheetId="2" r:id="rId2"/>
    <sheet name="cálculos" sheetId="3" state="hidden" r:id="rId3"/>
  </sheets>
  <externalReferences>
    <externalReference r:id="rId4"/>
    <externalReference r:id="rId5"/>
  </externalReferences>
  <definedNames>
    <definedName name="_xlnm._FilterDatabase" localSheetId="1" hidden="1">[1]Appointments!$B$4:$D$15</definedName>
    <definedName name="_xlnm._FilterDatabase" localSheetId="0" hidden="1">'[2]Yearly Planner'!$B$5:$N$42</definedName>
    <definedName name="AppointmentDate">cálculos!$P$2</definedName>
    <definedName name="CalendarGrid">'Planner anual'!$C$6:$N$42</definedName>
    <definedName name="Calendario">cálculos!$C$6:$N$43</definedName>
    <definedName name="Citas">IF(LEN(cálculos!$C$7:$N$43),COUNTIFS(Citas!$B$5:$B$18,cálculos!$C$7:$N$43,Citas!$B$5:$B$18,"&gt;0"),0)</definedName>
    <definedName name="_xlnm.Criteria" localSheetId="2">cálculos!$P$1:$P$2</definedName>
    <definedName name="DateCriteria">cálculos!$P$1:$P$2</definedName>
    <definedName name="DayGlance">'Planner anual'!$Q$3:$Q$5</definedName>
    <definedName name="DayHeader_Values">ROW(cálculos!$1:$32)</definedName>
    <definedName name="DayHeaders">'Planner anual'!$B$6:$B$36</definedName>
    <definedName name="MonthHeader_Values">EOMONTH(DATE('Planner anual'!StartYear,8,1),{0,1,2,3,4,5,6,7,8,9,10,11})+1</definedName>
    <definedName name="MonthHeaders">'Planner anual'!$C$5:$N$5</definedName>
    <definedName name="MonthNumbers">{9,10,11,12,1,2,3,4,5,6,7,8}</definedName>
    <definedName name="StartYear" localSheetId="0">'Planner anual'!$C$3</definedName>
    <definedName name="_xlnm.Print_Titles" localSheetId="1">Citas!$4:$4</definedName>
    <definedName name="TodaysDate">'Planner anual'!$Q$5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6" i="4" l="1" a="1"/>
  <c r="B40" i="4" s="1"/>
  <c r="B9" i="4" l="1"/>
  <c r="B13" i="4"/>
  <c r="B17" i="4"/>
  <c r="B21" i="4"/>
  <c r="B25" i="4"/>
  <c r="B29" i="4"/>
  <c r="B33" i="4"/>
  <c r="B37" i="4"/>
  <c r="B41" i="4"/>
  <c r="B6" i="4"/>
  <c r="B10" i="4"/>
  <c r="B14" i="4"/>
  <c r="B18" i="4"/>
  <c r="B22" i="4"/>
  <c r="B26" i="4"/>
  <c r="B30" i="4"/>
  <c r="B34" i="4"/>
  <c r="B38" i="4"/>
  <c r="B42" i="4"/>
  <c r="B7" i="4"/>
  <c r="B11" i="4"/>
  <c r="B15" i="4"/>
  <c r="B19" i="4"/>
  <c r="B23" i="4"/>
  <c r="B27" i="4"/>
  <c r="B31" i="4"/>
  <c r="B35" i="4"/>
  <c r="B39" i="4"/>
  <c r="B8" i="4"/>
  <c r="B12" i="4"/>
  <c r="B16" i="4"/>
  <c r="B20" i="4"/>
  <c r="B24" i="4"/>
  <c r="B28" i="4"/>
  <c r="B32" i="4"/>
  <c r="B36" i="4"/>
  <c r="C3" i="4"/>
  <c r="B16" i="2" l="1"/>
  <c r="B15" i="2"/>
  <c r="B14" i="2"/>
  <c r="B13" i="2"/>
  <c r="B12" i="2"/>
  <c r="B11" i="2"/>
  <c r="B10" i="2"/>
  <c r="B9" i="2"/>
  <c r="B8" i="2"/>
  <c r="B7" i="2"/>
  <c r="B6" i="2"/>
  <c r="B5" i="2"/>
  <c r="Q5" i="4" l="1"/>
  <c r="T11" i="3" s="1" a="1"/>
  <c r="T11" i="3" s="1"/>
  <c r="T17" i="3" l="1" a="1"/>
  <c r="T17" i="3" s="1"/>
  <c r="S17" i="3" s="1"/>
  <c r="T14" i="3" a="1"/>
  <c r="T14" i="3" s="1"/>
  <c r="S14" i="3" s="1"/>
  <c r="U7" i="3" a="1"/>
  <c r="U7" i="3" s="1"/>
  <c r="U23" i="3" a="1"/>
  <c r="U23" i="3" s="1"/>
  <c r="U10" i="3" a="1"/>
  <c r="U10" i="3" s="1"/>
  <c r="U18" i="3" a="1"/>
  <c r="U18" i="3" s="1"/>
  <c r="U15" i="3" a="1"/>
  <c r="U15" i="3" s="1"/>
  <c r="U8" i="3" a="1"/>
  <c r="U8" i="3" s="1"/>
  <c r="T12" i="3" a="1"/>
  <c r="T12" i="3" s="1"/>
  <c r="S12" i="3" s="1"/>
  <c r="T15" i="3" a="1"/>
  <c r="T15" i="3" s="1"/>
  <c r="S15" i="3" s="1"/>
  <c r="U13" i="3" a="1"/>
  <c r="U13" i="3" s="1"/>
  <c r="U16" i="3" a="1"/>
  <c r="U16" i="3" s="1"/>
  <c r="T20" i="3" a="1"/>
  <c r="T20" i="3" s="1"/>
  <c r="S20" i="3" s="1"/>
  <c r="T23" i="3" a="1"/>
  <c r="T23" i="3" s="1"/>
  <c r="S23" i="3" s="1"/>
  <c r="T7" i="3" a="1"/>
  <c r="T7" i="3" s="1"/>
  <c r="S7" i="3" s="1"/>
  <c r="U17" i="3" a="1"/>
  <c r="U17" i="3" s="1"/>
  <c r="U9" i="3" a="1"/>
  <c r="U9" i="3" s="1"/>
  <c r="U20" i="3" a="1"/>
  <c r="U20" i="3" s="1"/>
  <c r="U12" i="3" a="1"/>
  <c r="U12" i="3" s="1"/>
  <c r="U21" i="3" a="1"/>
  <c r="U21" i="3" s="1"/>
  <c r="U24" i="3" a="1"/>
  <c r="U24" i="3" s="1"/>
  <c r="T22" i="3" a="1"/>
  <c r="T22" i="3" s="1"/>
  <c r="S22" i="3" s="1"/>
  <c r="T6" i="3" a="1"/>
  <c r="T6" i="3" s="1"/>
  <c r="T9" i="3" a="1"/>
  <c r="T9" i="3" s="1"/>
  <c r="S9" i="3" s="1"/>
  <c r="U19" i="3" a="1"/>
  <c r="U19" i="3" s="1"/>
  <c r="U11" i="3" a="1"/>
  <c r="U11" i="3" s="1"/>
  <c r="U22" i="3" a="1"/>
  <c r="U22" i="3" s="1"/>
  <c r="U14" i="3" a="1"/>
  <c r="U14" i="3" s="1"/>
  <c r="U6" i="3" a="1"/>
  <c r="U6" i="3" s="1"/>
  <c r="T18" i="3" a="1"/>
  <c r="T18" i="3" s="1"/>
  <c r="S18" i="3" s="1"/>
  <c r="T10" i="3" a="1"/>
  <c r="T10" i="3" s="1"/>
  <c r="S10" i="3" s="1"/>
  <c r="T21" i="3" a="1"/>
  <c r="T21" i="3" s="1"/>
  <c r="S21" i="3" s="1"/>
  <c r="T13" i="3" a="1"/>
  <c r="T13" i="3" s="1"/>
  <c r="S13" i="3" s="1"/>
  <c r="T24" i="3" a="1"/>
  <c r="T24" i="3" s="1"/>
  <c r="S24" i="3" s="1"/>
  <c r="T16" i="3" a="1"/>
  <c r="T16" i="3" s="1"/>
  <c r="S16" i="3" s="1"/>
  <c r="T8" i="3" a="1"/>
  <c r="T8" i="3" s="1"/>
  <c r="S8" i="3" s="1"/>
  <c r="T19" i="3" a="1"/>
  <c r="T19" i="3" s="1"/>
  <c r="S19" i="3" s="1"/>
  <c r="U5" i="3" a="1"/>
  <c r="U5" i="3" s="1"/>
  <c r="S11" i="3"/>
  <c r="T5" i="3" a="1"/>
  <c r="T5" i="3" s="1"/>
  <c r="S6" i="3" l="1"/>
  <c r="S5" i="3"/>
  <c r="P2" i="3"/>
  <c r="C5" i="4" a="1"/>
  <c r="L5" i="4" s="1"/>
  <c r="C6" i="3" a="1"/>
  <c r="C6" i="3" s="1"/>
  <c r="B1" i="4"/>
  <c r="R24" i="3" l="1"/>
  <c r="R7" i="3"/>
  <c r="R18" i="3"/>
  <c r="R5" i="3"/>
  <c r="R17" i="3"/>
  <c r="R10" i="3"/>
  <c r="R11" i="3"/>
  <c r="R19" i="3"/>
  <c r="R6" i="3"/>
  <c r="R13" i="3"/>
  <c r="R22" i="3"/>
  <c r="R8" i="3"/>
  <c r="R15" i="3"/>
  <c r="R12" i="3"/>
  <c r="R9" i="3"/>
  <c r="R21" i="3"/>
  <c r="R20" i="3"/>
  <c r="R14" i="3"/>
  <c r="R23" i="3"/>
  <c r="R16" i="3"/>
  <c r="N6" i="3"/>
  <c r="G5" i="4"/>
  <c r="N5" i="4"/>
  <c r="J5" i="4"/>
  <c r="G6" i="3"/>
  <c r="J6" i="3"/>
  <c r="K5" i="4"/>
  <c r="F5" i="4"/>
  <c r="K6" i="3"/>
  <c r="E5" i="4"/>
  <c r="M5" i="4"/>
  <c r="H5" i="4"/>
  <c r="C5" i="4"/>
  <c r="F6" i="3"/>
  <c r="I5" i="4"/>
  <c r="D5" i="4"/>
  <c r="E6" i="3"/>
  <c r="I6" i="3"/>
  <c r="M6" i="3"/>
  <c r="D6" i="3"/>
  <c r="H6" i="3"/>
  <c r="L6" i="3"/>
  <c r="Y6" i="3" l="1"/>
  <c r="Q7" i="4" s="1" a="1"/>
  <c r="Q7" i="4" s="1"/>
  <c r="Y10" i="3"/>
  <c r="Q11" i="4" s="1" a="1"/>
  <c r="Q11" i="4" s="1"/>
  <c r="Y14" i="3"/>
  <c r="Q15" i="4" s="1" a="1"/>
  <c r="Q15" i="4" s="1"/>
  <c r="Y18" i="3"/>
  <c r="Q19" i="4" s="1" a="1"/>
  <c r="Q19" i="4" s="1"/>
  <c r="Y22" i="3"/>
  <c r="Q23" i="4" s="1" a="1"/>
  <c r="Q23" i="4" s="1"/>
  <c r="Y15" i="3"/>
  <c r="Q16" i="4" s="1" a="1"/>
  <c r="Q16" i="4" s="1"/>
  <c r="Y8" i="3"/>
  <c r="Q9" i="4" s="1" a="1"/>
  <c r="Q9" i="4" s="1"/>
  <c r="Y12" i="3"/>
  <c r="Q13" i="4" s="1" a="1"/>
  <c r="Q13" i="4" s="1"/>
  <c r="Y16" i="3"/>
  <c r="Q17" i="4" s="1" a="1"/>
  <c r="Q17" i="4" s="1"/>
  <c r="Y20" i="3"/>
  <c r="Q21" i="4" s="1" a="1"/>
  <c r="Q21" i="4" s="1"/>
  <c r="Y24" i="3"/>
  <c r="Q25" i="4" s="1" a="1"/>
  <c r="Q25" i="4" s="1"/>
  <c r="Y11" i="3"/>
  <c r="Q12" i="4" s="1" a="1"/>
  <c r="Q12" i="4" s="1"/>
  <c r="Y23" i="3"/>
  <c r="Q24" i="4" s="1" a="1"/>
  <c r="Q24" i="4" s="1"/>
  <c r="Y9" i="3"/>
  <c r="Q10" i="4" s="1" a="1"/>
  <c r="Q10" i="4" s="1"/>
  <c r="Y13" i="3"/>
  <c r="Q14" i="4" s="1" a="1"/>
  <c r="Q14" i="4" s="1"/>
  <c r="Y17" i="3"/>
  <c r="Q18" i="4" s="1" a="1"/>
  <c r="Q18" i="4" s="1"/>
  <c r="Y21" i="3"/>
  <c r="Q22" i="4" s="1" a="1"/>
  <c r="Q22" i="4" s="1"/>
  <c r="Y7" i="3"/>
  <c r="Q8" i="4" s="1" a="1"/>
  <c r="Q8" i="4" s="1"/>
  <c r="Y19" i="3"/>
  <c r="Q20" i="4" s="1" a="1"/>
  <c r="Q20" i="4" s="1"/>
  <c r="Y5" i="3"/>
  <c r="Q6" i="4" s="1" a="1"/>
  <c r="Q6" i="4" s="1"/>
  <c r="X6" i="3"/>
  <c r="P7" i="4" s="1" a="1"/>
  <c r="P7" i="4" s="1"/>
  <c r="X10" i="3"/>
  <c r="P11" i="4" s="1" a="1"/>
  <c r="P11" i="4" s="1"/>
  <c r="X14" i="3"/>
  <c r="P15" i="4" s="1" a="1"/>
  <c r="P15" i="4" s="1"/>
  <c r="X18" i="3"/>
  <c r="P19" i="4" s="1" a="1"/>
  <c r="P19" i="4" s="1"/>
  <c r="X22" i="3"/>
  <c r="P23" i="4" s="1" a="1"/>
  <c r="P23" i="4" s="1"/>
  <c r="X11" i="3"/>
  <c r="P12" i="4" s="1" a="1"/>
  <c r="P12" i="4" s="1"/>
  <c r="X15" i="3"/>
  <c r="P16" i="4" s="1" a="1"/>
  <c r="P16" i="4" s="1"/>
  <c r="X23" i="3"/>
  <c r="P24" i="4" s="1" a="1"/>
  <c r="P24" i="4" s="1"/>
  <c r="X12" i="3"/>
  <c r="P13" i="4" s="1" a="1"/>
  <c r="P13" i="4" s="1"/>
  <c r="X20" i="3"/>
  <c r="P21" i="4" s="1" a="1"/>
  <c r="P21" i="4" s="1"/>
  <c r="X9" i="3"/>
  <c r="P10" i="4" s="1" a="1"/>
  <c r="P10" i="4" s="1"/>
  <c r="X13" i="3"/>
  <c r="P14" i="4" s="1" a="1"/>
  <c r="P14" i="4" s="1"/>
  <c r="X17" i="3"/>
  <c r="P18" i="4" s="1" a="1"/>
  <c r="P18" i="4" s="1"/>
  <c r="X21" i="3"/>
  <c r="P22" i="4" s="1" a="1"/>
  <c r="P22" i="4" s="1"/>
  <c r="X7" i="3"/>
  <c r="P8" i="4" s="1" a="1"/>
  <c r="P8" i="4" s="1"/>
  <c r="X19" i="3"/>
  <c r="P20" i="4" s="1" a="1"/>
  <c r="P20" i="4" s="1"/>
  <c r="X8" i="3"/>
  <c r="P9" i="4" s="1" a="1"/>
  <c r="P9" i="4" s="1"/>
  <c r="X16" i="3"/>
  <c r="P17" i="4" s="1" a="1"/>
  <c r="P17" i="4" s="1"/>
  <c r="X24" i="3"/>
  <c r="P25" i="4" s="1" a="1"/>
  <c r="P25" i="4" s="1"/>
  <c r="X5" i="3"/>
  <c r="P6" i="4" s="1" a="1"/>
  <c r="P6" i="4" s="1"/>
  <c r="C7" i="3" a="1"/>
  <c r="F40" i="3" s="1"/>
  <c r="M40" i="3" l="1"/>
  <c r="H27" i="3"/>
  <c r="L34" i="3"/>
  <c r="E30" i="3"/>
  <c r="C25" i="3"/>
  <c r="I32" i="3"/>
  <c r="F29" i="3"/>
  <c r="E20" i="3"/>
  <c r="K22" i="3"/>
  <c r="C19" i="3"/>
  <c r="H26" i="3"/>
  <c r="K38" i="3"/>
  <c r="N35" i="3"/>
  <c r="E12" i="3"/>
  <c r="F21" i="3"/>
  <c r="L43" i="3"/>
  <c r="M27" i="3"/>
  <c r="N36" i="3"/>
  <c r="N18" i="3"/>
  <c r="M17" i="3"/>
  <c r="K7" i="3"/>
  <c r="G35" i="3"/>
  <c r="F28" i="3"/>
  <c r="N30" i="3"/>
  <c r="F12" i="3"/>
  <c r="C40" i="3"/>
  <c r="N41" i="3"/>
  <c r="L36" i="3"/>
  <c r="M38" i="3"/>
  <c r="L24" i="3"/>
  <c r="N16" i="3"/>
  <c r="C22" i="3"/>
  <c r="E9" i="3"/>
  <c r="H17" i="3"/>
  <c r="K35" i="3"/>
  <c r="D25" i="3"/>
  <c r="M31" i="3"/>
  <c r="D29" i="3"/>
  <c r="J11" i="3"/>
  <c r="J40" i="3"/>
  <c r="N28" i="3"/>
  <c r="G18" i="3"/>
  <c r="E31" i="3"/>
  <c r="D33" i="3"/>
  <c r="M39" i="3"/>
  <c r="M35" i="3"/>
  <c r="F16" i="3"/>
  <c r="J16" i="3"/>
  <c r="L14" i="3"/>
  <c r="F19" i="3"/>
  <c r="C37" i="3"/>
  <c r="H28" i="3"/>
  <c r="K13" i="3"/>
  <c r="D43" i="3"/>
  <c r="F10" i="3"/>
  <c r="H14" i="3"/>
  <c r="D34" i="3"/>
  <c r="M33" i="3"/>
  <c r="I7" i="3"/>
  <c r="G39" i="3"/>
  <c r="E38" i="3"/>
  <c r="G21" i="3"/>
  <c r="C10" i="3"/>
  <c r="M43" i="3"/>
  <c r="M25" i="3"/>
  <c r="D39" i="3"/>
  <c r="N22" i="3"/>
  <c r="C9" i="3"/>
  <c r="N34" i="3"/>
  <c r="I39" i="3"/>
  <c r="K26" i="3"/>
  <c r="E35" i="3"/>
  <c r="L37" i="3"/>
  <c r="C8" i="3"/>
  <c r="I34" i="3"/>
  <c r="G17" i="3"/>
  <c r="J41" i="3"/>
  <c r="G15" i="3"/>
  <c r="H13" i="3"/>
  <c r="L18" i="3"/>
  <c r="J14" i="3"/>
  <c r="N24" i="3"/>
  <c r="E34" i="3"/>
  <c r="L38" i="3"/>
  <c r="F32" i="3"/>
  <c r="G26" i="3"/>
  <c r="M8" i="3"/>
  <c r="I41" i="3"/>
  <c r="D41" i="3"/>
  <c r="H29" i="3"/>
  <c r="J18" i="3"/>
  <c r="L32" i="3"/>
  <c r="H39" i="3"/>
  <c r="D18" i="3"/>
  <c r="D26" i="3"/>
  <c r="J12" i="3"/>
  <c r="H20" i="3"/>
  <c r="G19" i="3"/>
  <c r="G27" i="3"/>
  <c r="I43" i="3"/>
  <c r="L20" i="3"/>
  <c r="K31" i="3"/>
  <c r="C43" i="3"/>
  <c r="H32" i="3"/>
  <c r="I42" i="3"/>
  <c r="N23" i="3"/>
  <c r="I21" i="3"/>
  <c r="F39" i="3"/>
  <c r="D38" i="3"/>
  <c r="G30" i="3"/>
  <c r="C26" i="3"/>
  <c r="G42" i="3"/>
  <c r="N43" i="3"/>
  <c r="J31" i="3"/>
  <c r="J13" i="3"/>
  <c r="H18" i="3"/>
  <c r="I22" i="3"/>
  <c r="N9" i="3"/>
  <c r="D13" i="3"/>
  <c r="H41" i="3"/>
  <c r="M11" i="3"/>
  <c r="N25" i="3"/>
  <c r="I37" i="3"/>
  <c r="K24" i="3"/>
  <c r="F8" i="3"/>
  <c r="I15" i="3"/>
  <c r="L28" i="3"/>
  <c r="F43" i="3"/>
  <c r="L30" i="3"/>
  <c r="E13" i="3"/>
  <c r="C11" i="3"/>
  <c r="G12" i="3"/>
  <c r="C41" i="3"/>
  <c r="E23" i="3"/>
  <c r="L16" i="3"/>
  <c r="I33" i="3"/>
  <c r="L9" i="3"/>
  <c r="H36" i="3"/>
  <c r="L27" i="3"/>
  <c r="E24" i="3"/>
  <c r="E32" i="3"/>
  <c r="C30" i="3"/>
  <c r="N20" i="3"/>
  <c r="L42" i="3"/>
  <c r="F27" i="3"/>
  <c r="M9" i="3"/>
  <c r="G33" i="3"/>
  <c r="H35" i="3"/>
  <c r="M19" i="3"/>
  <c r="G40" i="3"/>
  <c r="M24" i="3"/>
  <c r="E39" i="3"/>
  <c r="J27" i="3"/>
  <c r="D12" i="3"/>
  <c r="J32" i="3"/>
  <c r="E19" i="3"/>
  <c r="G29" i="3"/>
  <c r="K32" i="3"/>
  <c r="I40" i="3"/>
  <c r="D27" i="3"/>
  <c r="F23" i="3"/>
  <c r="G23" i="3"/>
  <c r="H37" i="3"/>
  <c r="D21" i="3"/>
  <c r="C12" i="3"/>
  <c r="N31" i="3"/>
  <c r="G43" i="3"/>
  <c r="L29" i="3"/>
  <c r="D8" i="3"/>
  <c r="M37" i="3"/>
  <c r="G22" i="3"/>
  <c r="H38" i="3"/>
  <c r="K8" i="3"/>
  <c r="I36" i="3"/>
  <c r="G9" i="3"/>
  <c r="L19" i="3"/>
  <c r="E41" i="3"/>
  <c r="G14" i="3"/>
  <c r="H34" i="3"/>
  <c r="M20" i="3"/>
  <c r="J19" i="3"/>
  <c r="J28" i="3"/>
  <c r="H23" i="3"/>
  <c r="F13" i="3"/>
  <c r="D32" i="3"/>
  <c r="F22" i="3"/>
  <c r="F36" i="3"/>
  <c r="C31" i="3"/>
  <c r="J25" i="3"/>
  <c r="M15" i="3"/>
  <c r="J24" i="3"/>
  <c r="E27" i="3"/>
  <c r="C14" i="3"/>
  <c r="E29" i="3"/>
  <c r="K12" i="3"/>
  <c r="J8" i="3"/>
  <c r="F15" i="3"/>
  <c r="I38" i="3"/>
  <c r="L15" i="3"/>
  <c r="E10" i="3"/>
  <c r="E15" i="3"/>
  <c r="C18" i="3"/>
  <c r="J37" i="3"/>
  <c r="F41" i="3"/>
  <c r="N42" i="3"/>
  <c r="C7" i="3"/>
  <c r="K43" i="3"/>
  <c r="K17" i="3"/>
  <c r="G10" i="3"/>
  <c r="M30" i="3"/>
  <c r="N8" i="3"/>
  <c r="H21" i="3"/>
  <c r="J33" i="3"/>
  <c r="E17" i="3"/>
  <c r="L11" i="3"/>
  <c r="E25" i="3"/>
  <c r="E40" i="3"/>
  <c r="L21" i="3"/>
  <c r="K36" i="3"/>
  <c r="L26" i="3"/>
  <c r="H42" i="3"/>
  <c r="H10" i="3"/>
  <c r="I18" i="3"/>
  <c r="C39" i="3"/>
  <c r="I26" i="3"/>
  <c r="D31" i="3"/>
  <c r="C42" i="3"/>
  <c r="I28" i="3"/>
  <c r="F26" i="3"/>
  <c r="E33" i="3"/>
  <c r="D14" i="3"/>
  <c r="J36" i="3"/>
  <c r="I27" i="3"/>
  <c r="F38" i="3"/>
  <c r="M22" i="3"/>
  <c r="F9" i="3"/>
  <c r="C27" i="3"/>
  <c r="I14" i="3"/>
  <c r="L39" i="3"/>
  <c r="D15" i="3"/>
  <c r="N21" i="3"/>
  <c r="J9" i="3"/>
  <c r="M21" i="3"/>
  <c r="F11" i="3"/>
  <c r="C17" i="3"/>
  <c r="L17" i="3"/>
  <c r="I16" i="3"/>
  <c r="G34" i="3"/>
  <c r="I11" i="3"/>
  <c r="G13" i="3"/>
  <c r="C35" i="3"/>
  <c r="H30" i="3"/>
  <c r="D42" i="3"/>
  <c r="M14" i="3"/>
  <c r="N13" i="3"/>
  <c r="C15" i="3"/>
  <c r="F18" i="3"/>
  <c r="N27" i="3"/>
  <c r="D23" i="3"/>
  <c r="D9" i="3"/>
  <c r="J21" i="3"/>
  <c r="E21" i="3"/>
  <c r="G24" i="3"/>
  <c r="G8" i="3"/>
  <c r="D35" i="3"/>
  <c r="I12" i="3"/>
  <c r="K27" i="3"/>
  <c r="E26" i="3"/>
  <c r="I35" i="3"/>
  <c r="H33" i="3"/>
  <c r="H16" i="3"/>
  <c r="G41" i="3"/>
  <c r="I9" i="3"/>
  <c r="J23" i="3"/>
  <c r="F20" i="3"/>
  <c r="N33" i="3"/>
  <c r="K37" i="3"/>
  <c r="G25" i="3"/>
  <c r="I24" i="3"/>
  <c r="J38" i="3"/>
  <c r="F35" i="3"/>
  <c r="M41" i="3"/>
  <c r="H25" i="3"/>
  <c r="K11" i="3"/>
  <c r="F42" i="3"/>
  <c r="N15" i="3"/>
  <c r="N26" i="3"/>
  <c r="M34" i="3"/>
  <c r="C34" i="3"/>
  <c r="E11" i="3"/>
  <c r="L41" i="3"/>
  <c r="H15" i="3"/>
  <c r="D20" i="3"/>
  <c r="E28" i="3"/>
  <c r="H31" i="3"/>
  <c r="E22" i="3"/>
  <c r="I25" i="3"/>
  <c r="J42" i="3"/>
  <c r="M36" i="3"/>
  <c r="K18" i="3"/>
  <c r="L35" i="3"/>
  <c r="H43" i="3"/>
  <c r="G28" i="3"/>
  <c r="M12" i="3"/>
  <c r="G36" i="3"/>
  <c r="N38" i="3"/>
  <c r="J15" i="3"/>
  <c r="D36" i="3"/>
  <c r="K19" i="3"/>
  <c r="E7" i="3"/>
  <c r="H24" i="3"/>
  <c r="K30" i="3"/>
  <c r="E14" i="3"/>
  <c r="L8" i="3"/>
  <c r="K39" i="3"/>
  <c r="G37" i="3"/>
  <c r="N12" i="3"/>
  <c r="C21" i="3"/>
  <c r="I8" i="3"/>
  <c r="F25" i="3"/>
  <c r="M10" i="3"/>
  <c r="J7" i="3"/>
  <c r="M13" i="3"/>
  <c r="J29" i="3"/>
  <c r="J26" i="3"/>
  <c r="D17" i="3"/>
  <c r="L40" i="3"/>
  <c r="G11" i="3"/>
  <c r="N29" i="3"/>
  <c r="E42" i="3"/>
  <c r="H19" i="3"/>
  <c r="L10" i="3"/>
  <c r="I19" i="3"/>
  <c r="I31" i="3"/>
  <c r="D16" i="3"/>
  <c r="M18" i="3"/>
  <c r="K33" i="3"/>
  <c r="G31" i="3"/>
  <c r="J22" i="3"/>
  <c r="F14" i="3"/>
  <c r="I10" i="3"/>
  <c r="N14" i="3"/>
  <c r="H7" i="3"/>
  <c r="E16" i="3"/>
  <c r="K34" i="3"/>
  <c r="F31" i="3"/>
  <c r="N32" i="3"/>
  <c r="K25" i="3"/>
  <c r="L25" i="3"/>
  <c r="H40" i="3"/>
  <c r="K16" i="3"/>
  <c r="L22" i="3"/>
  <c r="D7" i="3"/>
  <c r="F37" i="3"/>
  <c r="M23" i="3"/>
  <c r="F34" i="3"/>
  <c r="J34" i="3"/>
  <c r="J10" i="3"/>
  <c r="E43" i="3"/>
  <c r="I30" i="3"/>
  <c r="K15" i="3"/>
  <c r="C23" i="3"/>
  <c r="D19" i="3"/>
  <c r="L7" i="3"/>
  <c r="D24" i="3"/>
  <c r="G16" i="3"/>
  <c r="M28" i="3"/>
  <c r="D37" i="3"/>
  <c r="M7" i="3"/>
  <c r="F30" i="3"/>
  <c r="F7" i="3"/>
  <c r="E36" i="3"/>
  <c r="K28" i="3"/>
  <c r="H22" i="3"/>
  <c r="K14" i="3"/>
  <c r="G7" i="3"/>
  <c r="N19" i="3"/>
  <c r="J20" i="3"/>
  <c r="F17" i="3"/>
  <c r="N37" i="3"/>
  <c r="N40" i="3"/>
  <c r="J30" i="3"/>
  <c r="F24" i="3"/>
  <c r="M42" i="3"/>
  <c r="K41" i="3"/>
  <c r="M16" i="3"/>
  <c r="C16" i="3"/>
  <c r="D30" i="3"/>
  <c r="L23" i="3"/>
  <c r="E18" i="3"/>
  <c r="K29" i="3"/>
  <c r="K9" i="3"/>
  <c r="N39" i="3"/>
  <c r="F33" i="3"/>
  <c r="L31" i="3"/>
  <c r="N10" i="3"/>
  <c r="G38" i="3"/>
  <c r="I17" i="3"/>
  <c r="J39" i="3"/>
  <c r="K42" i="3"/>
  <c r="D28" i="3"/>
  <c r="G20" i="3"/>
  <c r="H11" i="3"/>
  <c r="D22" i="3"/>
  <c r="K40" i="3"/>
  <c r="K20" i="3"/>
  <c r="J35" i="3"/>
  <c r="I20" i="3"/>
  <c r="C29" i="3"/>
  <c r="D40" i="3"/>
  <c r="N7" i="3"/>
  <c r="I23" i="3"/>
  <c r="L33" i="3"/>
  <c r="H12" i="3"/>
  <c r="G32" i="3"/>
  <c r="C32" i="3"/>
  <c r="H9" i="3"/>
  <c r="E8" i="3"/>
  <c r="J17" i="3"/>
  <c r="C20" i="3"/>
  <c r="E37" i="3"/>
  <c r="K21" i="3"/>
  <c r="N11" i="3"/>
  <c r="C36" i="3"/>
  <c r="M32" i="3"/>
  <c r="N17" i="3"/>
  <c r="D10" i="3"/>
  <c r="L13" i="3"/>
  <c r="C28" i="3"/>
  <c r="C33" i="3"/>
  <c r="M29" i="3"/>
  <c r="D11" i="3"/>
  <c r="C13" i="3"/>
  <c r="C24" i="3"/>
  <c r="M26" i="3"/>
  <c r="H8" i="3"/>
  <c r="L12" i="3"/>
  <c r="K10" i="3"/>
  <c r="I29" i="3"/>
  <c r="C38" i="3"/>
  <c r="K23" i="3"/>
  <c r="I13" i="3"/>
  <c r="J43" i="3"/>
  <c r="C6" i="4" l="1" a="1"/>
  <c r="N42" i="4" l="1"/>
  <c r="J42" i="4"/>
  <c r="F42" i="4"/>
  <c r="N41" i="4"/>
  <c r="J41" i="4"/>
  <c r="F41" i="4"/>
  <c r="N40" i="4"/>
  <c r="J40" i="4"/>
  <c r="F40" i="4"/>
  <c r="N39" i="4"/>
  <c r="J39" i="4"/>
  <c r="F39" i="4"/>
  <c r="N38" i="4"/>
  <c r="J38" i="4"/>
  <c r="F38" i="4"/>
  <c r="N37" i="4"/>
  <c r="J37" i="4"/>
  <c r="F37" i="4"/>
  <c r="N36" i="4"/>
  <c r="J36" i="4"/>
  <c r="F36" i="4"/>
  <c r="N35" i="4"/>
  <c r="J35" i="4"/>
  <c r="F35" i="4"/>
  <c r="N34" i="4"/>
  <c r="J34" i="4"/>
  <c r="F34" i="4"/>
  <c r="N33" i="4"/>
  <c r="J33" i="4"/>
  <c r="F33" i="4"/>
  <c r="N32" i="4"/>
  <c r="J32" i="4"/>
  <c r="F32" i="4"/>
  <c r="N31" i="4"/>
  <c r="J31" i="4"/>
  <c r="F31" i="4"/>
  <c r="N30" i="4"/>
  <c r="J30" i="4"/>
  <c r="F30" i="4"/>
  <c r="N29" i="4"/>
  <c r="J29" i="4"/>
  <c r="F29" i="4"/>
  <c r="N28" i="4"/>
  <c r="J28" i="4"/>
  <c r="F28" i="4"/>
  <c r="N27" i="4"/>
  <c r="J27" i="4"/>
  <c r="F27" i="4"/>
  <c r="N26" i="4"/>
  <c r="J26" i="4"/>
  <c r="F26" i="4"/>
  <c r="N25" i="4"/>
  <c r="J25" i="4"/>
  <c r="F25" i="4"/>
  <c r="N24" i="4"/>
  <c r="J24" i="4"/>
  <c r="F24" i="4"/>
  <c r="N23" i="4"/>
  <c r="J23" i="4"/>
  <c r="F23" i="4"/>
  <c r="N22" i="4"/>
  <c r="J22" i="4"/>
  <c r="F22" i="4"/>
  <c r="N21" i="4"/>
  <c r="J21" i="4"/>
  <c r="F21" i="4"/>
  <c r="N20" i="4"/>
  <c r="J20" i="4"/>
  <c r="F20" i="4"/>
  <c r="N19" i="4"/>
  <c r="J19" i="4"/>
  <c r="F19" i="4"/>
  <c r="N18" i="4"/>
  <c r="J18" i="4"/>
  <c r="F18" i="4"/>
  <c r="N17" i="4"/>
  <c r="J17" i="4"/>
  <c r="F17" i="4"/>
  <c r="N16" i="4"/>
  <c r="J16" i="4"/>
  <c r="F16" i="4"/>
  <c r="N15" i="4"/>
  <c r="J15" i="4"/>
  <c r="F15" i="4"/>
  <c r="N14" i="4"/>
  <c r="M42" i="4"/>
  <c r="I42" i="4"/>
  <c r="E42" i="4"/>
  <c r="M41" i="4"/>
  <c r="H42" i="4"/>
  <c r="L41" i="4"/>
  <c r="G41" i="4"/>
  <c r="M40" i="4"/>
  <c r="H40" i="4"/>
  <c r="C40" i="4"/>
  <c r="I39" i="4"/>
  <c r="D39" i="4"/>
  <c r="K38" i="4"/>
  <c r="E38" i="4"/>
  <c r="L37" i="4"/>
  <c r="G37" i="4"/>
  <c r="M36" i="4"/>
  <c r="H36" i="4"/>
  <c r="C36" i="4"/>
  <c r="I35" i="4"/>
  <c r="D35" i="4"/>
  <c r="K34" i="4"/>
  <c r="E34" i="4"/>
  <c r="L33" i="4"/>
  <c r="G33" i="4"/>
  <c r="M32" i="4"/>
  <c r="H32" i="4"/>
  <c r="C32" i="4"/>
  <c r="I31" i="4"/>
  <c r="D31" i="4"/>
  <c r="K30" i="4"/>
  <c r="E30" i="4"/>
  <c r="L29" i="4"/>
  <c r="G29" i="4"/>
  <c r="M28" i="4"/>
  <c r="H28" i="4"/>
  <c r="C28" i="4"/>
  <c r="I27" i="4"/>
  <c r="D27" i="4"/>
  <c r="K26" i="4"/>
  <c r="E26" i="4"/>
  <c r="L25" i="4"/>
  <c r="G25" i="4"/>
  <c r="M24" i="4"/>
  <c r="H24" i="4"/>
  <c r="C24" i="4"/>
  <c r="I23" i="4"/>
  <c r="D23" i="4"/>
  <c r="K22" i="4"/>
  <c r="E22" i="4"/>
  <c r="L21" i="4"/>
  <c r="G21" i="4"/>
  <c r="M20" i="4"/>
  <c r="H20" i="4"/>
  <c r="C20" i="4"/>
  <c r="I19" i="4"/>
  <c r="D19" i="4"/>
  <c r="K18" i="4"/>
  <c r="E18" i="4"/>
  <c r="L17" i="4"/>
  <c r="G17" i="4"/>
  <c r="M16" i="4"/>
  <c r="H16" i="4"/>
  <c r="C16" i="4"/>
  <c r="I15" i="4"/>
  <c r="D15" i="4"/>
  <c r="K14" i="4"/>
  <c r="G14" i="4"/>
  <c r="C14" i="4"/>
  <c r="K13" i="4"/>
  <c r="G13" i="4"/>
  <c r="C13" i="4"/>
  <c r="K12" i="4"/>
  <c r="G12" i="4"/>
  <c r="C12" i="4"/>
  <c r="K11" i="4"/>
  <c r="G11" i="4"/>
  <c r="C11" i="4"/>
  <c r="K10" i="4"/>
  <c r="G10" i="4"/>
  <c r="C10" i="4"/>
  <c r="K9" i="4"/>
  <c r="G9" i="4"/>
  <c r="C9" i="4"/>
  <c r="K8" i="4"/>
  <c r="G8" i="4"/>
  <c r="C8" i="4"/>
  <c r="K7" i="4"/>
  <c r="G7" i="4"/>
  <c r="G42" i="4"/>
  <c r="K41" i="4"/>
  <c r="E41" i="4"/>
  <c r="L40" i="4"/>
  <c r="G40" i="4"/>
  <c r="M39" i="4"/>
  <c r="H39" i="4"/>
  <c r="C39" i="4"/>
  <c r="I38" i="4"/>
  <c r="D38" i="4"/>
  <c r="K37" i="4"/>
  <c r="E37" i="4"/>
  <c r="L36" i="4"/>
  <c r="G36" i="4"/>
  <c r="M35" i="4"/>
  <c r="H35" i="4"/>
  <c r="C35" i="4"/>
  <c r="I34" i="4"/>
  <c r="D34" i="4"/>
  <c r="K33" i="4"/>
  <c r="E33" i="4"/>
  <c r="L32" i="4"/>
  <c r="G32" i="4"/>
  <c r="M31" i="4"/>
  <c r="H31" i="4"/>
  <c r="C31" i="4"/>
  <c r="I30" i="4"/>
  <c r="D30" i="4"/>
  <c r="K29" i="4"/>
  <c r="E29" i="4"/>
  <c r="L28" i="4"/>
  <c r="G28" i="4"/>
  <c r="M27" i="4"/>
  <c r="H27" i="4"/>
  <c r="C27" i="4"/>
  <c r="I26" i="4"/>
  <c r="D26" i="4"/>
  <c r="K25" i="4"/>
  <c r="E25" i="4"/>
  <c r="L24" i="4"/>
  <c r="G24" i="4"/>
  <c r="M23" i="4"/>
  <c r="H23" i="4"/>
  <c r="C23" i="4"/>
  <c r="I22" i="4"/>
  <c r="D22" i="4"/>
  <c r="K21" i="4"/>
  <c r="E21" i="4"/>
  <c r="L20" i="4"/>
  <c r="G20" i="4"/>
  <c r="M19" i="4"/>
  <c r="H19" i="4"/>
  <c r="C19" i="4"/>
  <c r="I18" i="4"/>
  <c r="D18" i="4"/>
  <c r="K17" i="4"/>
  <c r="E17" i="4"/>
  <c r="L16" i="4"/>
  <c r="G16" i="4"/>
  <c r="M15" i="4"/>
  <c r="H15" i="4"/>
  <c r="C15" i="4"/>
  <c r="J14" i="4"/>
  <c r="F14" i="4"/>
  <c r="N13" i="4"/>
  <c r="J13" i="4"/>
  <c r="F13" i="4"/>
  <c r="N12" i="4"/>
  <c r="J12" i="4"/>
  <c r="F12" i="4"/>
  <c r="N11" i="4"/>
  <c r="J11" i="4"/>
  <c r="F11" i="4"/>
  <c r="N10" i="4"/>
  <c r="J10" i="4"/>
  <c r="F10" i="4"/>
  <c r="N9" i="4"/>
  <c r="J9" i="4"/>
  <c r="F9" i="4"/>
  <c r="N8" i="4"/>
  <c r="J8" i="4"/>
  <c r="F8" i="4"/>
  <c r="N7" i="4"/>
  <c r="J7" i="4"/>
  <c r="F7" i="4"/>
  <c r="D41" i="4"/>
  <c r="G39" i="4"/>
  <c r="I37" i="4"/>
  <c r="L35" i="4"/>
  <c r="E32" i="4"/>
  <c r="H30" i="4"/>
  <c r="K28" i="4"/>
  <c r="M26" i="4"/>
  <c r="D25" i="4"/>
  <c r="G23" i="4"/>
  <c r="I21" i="4"/>
  <c r="L19" i="4"/>
  <c r="C18" i="4"/>
  <c r="E16" i="4"/>
  <c r="I14" i="4"/>
  <c r="E13" i="4"/>
  <c r="M11" i="4"/>
  <c r="I10" i="4"/>
  <c r="E9" i="4"/>
  <c r="M7" i="4"/>
  <c r="M6" i="4"/>
  <c r="E6" i="4"/>
  <c r="D42" i="4"/>
  <c r="E40" i="4"/>
  <c r="H38" i="4"/>
  <c r="K36" i="4"/>
  <c r="M34" i="4"/>
  <c r="C34" i="4"/>
  <c r="D33" i="4"/>
  <c r="G31" i="4"/>
  <c r="I29" i="4"/>
  <c r="L27" i="4"/>
  <c r="C26" i="4"/>
  <c r="E24" i="4"/>
  <c r="H22" i="4"/>
  <c r="K20" i="4"/>
  <c r="M18" i="4"/>
  <c r="D17" i="4"/>
  <c r="G15" i="4"/>
  <c r="M13" i="4"/>
  <c r="I12" i="4"/>
  <c r="E11" i="4"/>
  <c r="M9" i="4"/>
  <c r="I8" i="4"/>
  <c r="E7" i="4"/>
  <c r="I6" i="4"/>
  <c r="C42" i="4"/>
  <c r="C41" i="4"/>
  <c r="D40" i="4"/>
  <c r="E39" i="4"/>
  <c r="G38" i="4"/>
  <c r="H37" i="4"/>
  <c r="I36" i="4"/>
  <c r="K35" i="4"/>
  <c r="L34" i="4"/>
  <c r="M33" i="4"/>
  <c r="C33" i="4"/>
  <c r="D32" i="4"/>
  <c r="E31" i="4"/>
  <c r="G30" i="4"/>
  <c r="H29" i="4"/>
  <c r="I28" i="4"/>
  <c r="K27" i="4"/>
  <c r="L26" i="4"/>
  <c r="M25" i="4"/>
  <c r="C25" i="4"/>
  <c r="D24" i="4"/>
  <c r="E23" i="4"/>
  <c r="G22" i="4"/>
  <c r="H21" i="4"/>
  <c r="I20" i="4"/>
  <c r="K19" i="4"/>
  <c r="L18" i="4"/>
  <c r="M17" i="4"/>
  <c r="C17" i="4"/>
  <c r="D16" i="4"/>
  <c r="E15" i="4"/>
  <c r="H14" i="4"/>
  <c r="L13" i="4"/>
  <c r="D13" i="4"/>
  <c r="H12" i="4"/>
  <c r="L11" i="4"/>
  <c r="D11" i="4"/>
  <c r="H10" i="4"/>
  <c r="L9" i="4"/>
  <c r="D9" i="4"/>
  <c r="H8" i="4"/>
  <c r="L7" i="4"/>
  <c r="D7" i="4"/>
  <c r="L6" i="4"/>
  <c r="H6" i="4"/>
  <c r="D6" i="4"/>
  <c r="L42" i="4"/>
  <c r="I41" i="4"/>
  <c r="K40" i="4"/>
  <c r="L39" i="4"/>
  <c r="M38" i="4"/>
  <c r="C38" i="4"/>
  <c r="D37" i="4"/>
  <c r="E36" i="4"/>
  <c r="G35" i="4"/>
  <c r="H34" i="4"/>
  <c r="I33" i="4"/>
  <c r="K32" i="4"/>
  <c r="L31" i="4"/>
  <c r="M30" i="4"/>
  <c r="C30" i="4"/>
  <c r="D29" i="4"/>
  <c r="E28" i="4"/>
  <c r="G27" i="4"/>
  <c r="H26" i="4"/>
  <c r="I25" i="4"/>
  <c r="K24" i="4"/>
  <c r="L23" i="4"/>
  <c r="M22" i="4"/>
  <c r="C22" i="4"/>
  <c r="D21" i="4"/>
  <c r="E20" i="4"/>
  <c r="G19" i="4"/>
  <c r="H18" i="4"/>
  <c r="I17" i="4"/>
  <c r="K16" i="4"/>
  <c r="L15" i="4"/>
  <c r="M14" i="4"/>
  <c r="E14" i="4"/>
  <c r="I13" i="4"/>
  <c r="M12" i="4"/>
  <c r="E12" i="4"/>
  <c r="I11" i="4"/>
  <c r="M10" i="4"/>
  <c r="E10" i="4"/>
  <c r="I9" i="4"/>
  <c r="M8" i="4"/>
  <c r="E8" i="4"/>
  <c r="I7" i="4"/>
  <c r="C7" i="4"/>
  <c r="K6" i="4"/>
  <c r="G6" i="4"/>
  <c r="C6" i="4"/>
  <c r="K42" i="4"/>
  <c r="H41" i="4"/>
  <c r="I40" i="4"/>
  <c r="K39" i="4"/>
  <c r="L38" i="4"/>
  <c r="M37" i="4"/>
  <c r="C37" i="4"/>
  <c r="D36" i="4"/>
  <c r="E35" i="4"/>
  <c r="G34" i="4"/>
  <c r="H33" i="4"/>
  <c r="I32" i="4"/>
  <c r="K31" i="4"/>
  <c r="L30" i="4"/>
  <c r="M29" i="4"/>
  <c r="C29" i="4"/>
  <c r="D28" i="4"/>
  <c r="E27" i="4"/>
  <c r="G26" i="4"/>
  <c r="H25" i="4"/>
  <c r="I24" i="4"/>
  <c r="K23" i="4"/>
  <c r="L22" i="4"/>
  <c r="M21" i="4"/>
  <c r="C21" i="4"/>
  <c r="D20" i="4"/>
  <c r="E19" i="4"/>
  <c r="G18" i="4"/>
  <c r="H17" i="4"/>
  <c r="I16" i="4"/>
  <c r="K15" i="4"/>
  <c r="L14" i="4"/>
  <c r="D14" i="4"/>
  <c r="H13" i="4"/>
  <c r="L12" i="4"/>
  <c r="D12" i="4"/>
  <c r="H11" i="4"/>
  <c r="L10" i="4"/>
  <c r="D10" i="4"/>
  <c r="H9" i="4"/>
  <c r="L8" i="4"/>
  <c r="D8" i="4"/>
  <c r="H7" i="4"/>
  <c r="N6" i="4"/>
  <c r="J6" i="4"/>
  <c r="F6" i="4"/>
</calcChain>
</file>

<file path=xl/sharedStrings.xml><?xml version="1.0" encoding="utf-8"?>
<sst xmlns="http://schemas.openxmlformats.org/spreadsheetml/2006/main" count="69" uniqueCount="33">
  <si>
    <t>MAR</t>
  </si>
  <si>
    <t>MIÉ</t>
  </si>
  <si>
    <t>JUE</t>
  </si>
  <si>
    <t>VIE</t>
  </si>
  <si>
    <t>SÁB</t>
  </si>
  <si>
    <t>DOM</t>
  </si>
  <si>
    <t>LUN.</t>
  </si>
  <si>
    <t xml:space="preserve"> Año de inicio</t>
  </si>
  <si>
    <t>CALENDARIO DEL AÑO DE LA UNIVERSIDAD</t>
  </si>
  <si>
    <t>VISTA DE HOY</t>
  </si>
  <si>
    <t>CITAS</t>
  </si>
  <si>
    <t>FECHA</t>
  </si>
  <si>
    <t>HORA</t>
  </si>
  <si>
    <t>DESCRIPCIÓN</t>
  </si>
  <si>
    <t>Dentista</t>
  </si>
  <si>
    <t>Fiesta de cumpleaños de Ana</t>
  </si>
  <si>
    <t>Grupo de estudio</t>
  </si>
  <si>
    <t>Repartir folletos en el Centro juvenil</t>
  </si>
  <si>
    <t>Parcial</t>
  </si>
  <si>
    <t>Fiesta del campus</t>
  </si>
  <si>
    <t>Quedar con Alberto en el gimnasio</t>
  </si>
  <si>
    <t>Carrera nocturna</t>
  </si>
  <si>
    <t>LUN</t>
  </si>
  <si>
    <t>Cálculos ocultos</t>
  </si>
  <si>
    <t>*** Esta hoja debe permanecer oculta ***</t>
  </si>
  <si>
    <t>Fecha</t>
  </si>
  <si>
    <t>Salto de tiempo</t>
  </si>
  <si>
    <t>Clasificación de ordenación automática de tareas diarias, los elementos idénticos están en el mismo día</t>
  </si>
  <si>
    <t>funciona con hasta 20 citas en un mismo día</t>
  </si>
  <si>
    <t>RANGO</t>
  </si>
  <si>
    <t>Hora</t>
  </si>
  <si>
    <t>Cita</t>
  </si>
  <si>
    <t>Jerarquía ordenada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</si>
</sst>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mmm"/>
    <numFmt numFmtId="165" formatCode=";;"/>
    <numFmt numFmtId="166" formatCode="ddd\ \ mm/dd/yyyy"/>
    <numFmt numFmtId="167" formatCode="h:mm;@"/>
    <numFmt numFmtId="168" formatCode="[$-409]h:mm\ AM/PM;@"/>
    <numFmt numFmtId="169" formatCode="[$-F400]h:mm:ss\ AM/PM"/>
    <numFmt numFmtId="170" formatCode="ddd\ \ dd/mm/yyyy"/>
    <numFmt numFmtId="171" formatCode="[$-C0A]ddd\,\ d&quot; de &quot;mmm&quot; de &quot;yyyy"/>
    <numFmt numFmtId="172" formatCode="dd/mm/yy"/>
  </numFmts>
  <fonts count="14" x14ac:knownFonts="1">
    <font>
      <sz val="10"/>
      <color theme="1" tint="0.2499465926084170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 tint="0.34998626667073579"/>
      <name val="Arial"/>
      <family val="2"/>
      <scheme val="minor"/>
    </font>
    <font>
      <b/>
      <sz val="8"/>
      <color theme="0"/>
      <name val="Arial"/>
      <family val="2"/>
      <scheme val="minor"/>
    </font>
    <font>
      <b/>
      <sz val="20"/>
      <color theme="0"/>
      <name val="Arial"/>
      <family val="2"/>
      <scheme val="major"/>
    </font>
    <font>
      <b/>
      <sz val="12"/>
      <color theme="1"/>
      <name val="Arial"/>
      <family val="2"/>
      <scheme val="minor"/>
    </font>
    <font>
      <b/>
      <sz val="9"/>
      <color theme="1" tint="0.34998626667073579"/>
      <name val="Arial"/>
      <family val="2"/>
      <scheme val="minor"/>
    </font>
    <font>
      <b/>
      <sz val="11"/>
      <color theme="1" tint="0.249977111117893"/>
      <name val="Arial"/>
      <family val="2"/>
      <scheme val="minor"/>
    </font>
    <font>
      <b/>
      <sz val="10"/>
      <color theme="1" tint="0.24994659260841701"/>
      <name val="Arial"/>
      <family val="2"/>
      <scheme val="minor"/>
    </font>
    <font>
      <b/>
      <sz val="12"/>
      <color theme="1" tint="0.24994659260841701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2"/>
      <color theme="1" tint="0.24994659260841701"/>
      <name val="Arial"/>
      <family val="2"/>
      <scheme val="major"/>
    </font>
    <font>
      <b/>
      <sz val="16"/>
      <color theme="0"/>
      <name val="Arial"/>
      <family val="2"/>
      <scheme val="major"/>
    </font>
    <font>
      <b/>
      <sz val="16"/>
      <color theme="4"/>
      <name val="Aria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4659260841701"/>
        <bgColor theme="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</borders>
  <cellStyleXfs count="4">
    <xf numFmtId="0" fontId="0" fillId="0" borderId="0"/>
    <xf numFmtId="0" fontId="1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1" applyNumberFormat="0" applyFill="0" applyProtection="0">
      <alignment horizontal="left" vertical="center" indent="1"/>
    </xf>
  </cellStyleXfs>
  <cellXfs count="54">
    <xf numFmtId="0" fontId="0" fillId="0" borderId="0" xfId="0"/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quotePrefix="1" applyFont="1" applyFill="1" applyBorder="1" applyAlignment="1">
      <alignment horizontal="center" vertical="center"/>
    </xf>
    <xf numFmtId="14" fontId="0" fillId="0" borderId="0" xfId="0" applyNumberFormat="1"/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164" fontId="9" fillId="0" borderId="1" xfId="3" applyNumberFormat="1" applyBorder="1" applyAlignment="1">
      <alignment horizontal="center" vertical="center"/>
    </xf>
    <xf numFmtId="164" fontId="9" fillId="4" borderId="1" xfId="3" applyNumberFormat="1" applyFill="1" applyBorder="1" applyAlignment="1">
      <alignment horizontal="center" vertical="center"/>
    </xf>
    <xf numFmtId="167" fontId="0" fillId="0" borderId="0" xfId="0" applyNumberFormat="1" applyAlignment="1">
      <alignment horizontal="right" vertical="center" indent="1"/>
    </xf>
    <xf numFmtId="0" fontId="0" fillId="0" borderId="0" xfId="0" applyFill="1" applyAlignment="1">
      <alignment horizontal="center" vertical="center"/>
    </xf>
    <xf numFmtId="167" fontId="0" fillId="0" borderId="0" xfId="0" applyNumberFormat="1" applyFill="1" applyAlignment="1">
      <alignment horizontal="center" vertical="center"/>
    </xf>
    <xf numFmtId="0" fontId="11" fillId="0" borderId="0" xfId="2"/>
    <xf numFmtId="0" fontId="9" fillId="0" borderId="0" xfId="2" applyFont="1" applyAlignment="1">
      <alignment horizontal="left" vertical="center"/>
    </xf>
    <xf numFmtId="0" fontId="0" fillId="0" borderId="0" xfId="0" applyFill="1" applyAlignment="1">
      <alignment vertical="center"/>
    </xf>
    <xf numFmtId="166" fontId="4" fillId="2" borderId="0" xfId="1" applyNumberFormat="1" applyFont="1" applyFill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0" fontId="0" fillId="2" borderId="0" xfId="0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67" fontId="0" fillId="2" borderId="0" xfId="0" applyNumberFormat="1" applyFill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0" fontId="8" fillId="0" borderId="3" xfId="0" applyNumberFormat="1" applyFont="1" applyBorder="1" applyAlignment="1">
      <alignment horizontal="left" vertical="center" indent="1"/>
    </xf>
    <xf numFmtId="0" fontId="8" fillId="0" borderId="1" xfId="0" applyNumberFormat="1" applyFont="1" applyBorder="1" applyAlignment="1">
      <alignment horizontal="left" vertical="center" indent="1"/>
    </xf>
    <xf numFmtId="0" fontId="7" fillId="0" borderId="1" xfId="0" applyNumberFormat="1" applyFont="1" applyBorder="1" applyAlignment="1" applyProtection="1">
      <alignment horizontal="center" vertical="center"/>
      <protection locked="0"/>
    </xf>
    <xf numFmtId="166" fontId="10" fillId="5" borderId="5" xfId="0" applyNumberFormat="1" applyFont="1" applyFill="1" applyBorder="1" applyAlignment="1">
      <alignment horizontal="left" vertical="center" indent="1"/>
    </xf>
    <xf numFmtId="168" fontId="10" fillId="5" borderId="5" xfId="0" applyNumberFormat="1" applyFont="1" applyFill="1" applyBorder="1" applyAlignment="1">
      <alignment horizontal="left" vertical="center" indent="1"/>
    </xf>
    <xf numFmtId="0" fontId="10" fillId="5" borderId="6" xfId="0" applyNumberFormat="1" applyFont="1" applyFill="1" applyBorder="1" applyAlignment="1">
      <alignment horizontal="left" vertical="center" indent="1"/>
    </xf>
    <xf numFmtId="0" fontId="0" fillId="0" borderId="0" xfId="0" applyNumberFormat="1" applyFont="1" applyFill="1" applyBorder="1" applyAlignment="1">
      <alignment horizontal="left" vertical="center" wrapText="1" indent="1"/>
    </xf>
    <xf numFmtId="169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Font="1"/>
    <xf numFmtId="0" fontId="0" fillId="0" borderId="0" xfId="0" applyProtection="1">
      <protection locked="0"/>
    </xf>
    <xf numFmtId="0" fontId="2" fillId="0" borderId="0" xfId="0" applyFont="1" applyBorder="1" applyAlignment="1" applyProtection="1">
      <alignment horizontal="center" vertical="center"/>
    </xf>
    <xf numFmtId="0" fontId="12" fillId="2" borderId="0" xfId="1" applyFont="1" applyFill="1" applyAlignment="1">
      <alignment vertical="center"/>
    </xf>
    <xf numFmtId="0" fontId="13" fillId="2" borderId="0" xfId="1" applyFont="1" applyFill="1" applyAlignment="1">
      <alignment horizontal="left" vertical="center" indent="1"/>
    </xf>
    <xf numFmtId="167" fontId="10" fillId="3" borderId="4" xfId="0" applyNumberFormat="1" applyFont="1" applyFill="1" applyBorder="1" applyAlignment="1">
      <alignment horizontal="right" vertical="center" indent="1"/>
    </xf>
    <xf numFmtId="167" fontId="0" fillId="0" borderId="0" xfId="0" applyNumberFormat="1" applyFont="1" applyFill="1" applyBorder="1" applyAlignment="1">
      <alignment horizontal="right" vertical="center" indent="1"/>
    </xf>
    <xf numFmtId="167" fontId="0" fillId="0" borderId="0" xfId="0" applyNumberFormat="1"/>
    <xf numFmtId="170" fontId="0" fillId="0" borderId="0" xfId="0" applyNumberFormat="1" applyFont="1" applyFill="1" applyBorder="1" applyAlignment="1">
      <alignment horizontal="right" vertical="center" indent="2"/>
    </xf>
    <xf numFmtId="170" fontId="0" fillId="0" borderId="0" xfId="0" applyNumberFormat="1" applyAlignment="1">
      <alignment horizontal="right" vertical="center" indent="2"/>
    </xf>
    <xf numFmtId="171" fontId="9" fillId="0" borderId="1" xfId="3" applyNumberFormat="1">
      <alignment horizontal="left" vertical="center" indent="1"/>
    </xf>
    <xf numFmtId="172" fontId="0" fillId="0" borderId="0" xfId="0" applyNumberFormat="1"/>
  </cellXfs>
  <cellStyles count="4">
    <cellStyle name="Encabezado 1" xfId="2" builtinId="16" customBuiltin="1"/>
    <cellStyle name="Normal" xfId="0" builtinId="0" customBuiltin="1"/>
    <cellStyle name="Título" xfId="1" builtinId="15" customBuiltin="1"/>
    <cellStyle name="Título 2" xfId="3" builtinId="17" customBuiltin="1"/>
  </cellStyles>
  <dxfs count="54">
    <dxf>
      <numFmt numFmtId="0" formatCode="General"/>
    </dxf>
    <dxf>
      <numFmt numFmtId="167" formatCode="h:mm;@"/>
    </dxf>
    <dxf>
      <numFmt numFmtId="169" formatCode="[$-F400]h:mm:ss\ AM/PM"/>
    </dxf>
    <dxf>
      <numFmt numFmtId="167" formatCode="h:mm;@"/>
    </dxf>
    <dxf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465926084170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4659260841701"/>
        <name val="Arial"/>
        <scheme val="minor"/>
      </font>
      <numFmt numFmtId="167" formatCode="h:mm;@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4659260841701"/>
        <name val="Arial"/>
        <scheme val="minor"/>
      </font>
      <numFmt numFmtId="170" formatCode="ddd\ \ dd/mm/yyyy"/>
      <fill>
        <patternFill patternType="none">
          <fgColor indexed="64"/>
          <bgColor indexed="65"/>
        </patternFill>
      </fill>
      <alignment horizontal="right" vertical="center" textRotation="0" wrapText="0" indent="2" justifyLastLine="0" shrinkToFit="0" readingOrder="0"/>
    </dxf>
    <dxf>
      <border outline="0">
        <top style="thin">
          <color theme="1" tint="0.24994659260841701"/>
        </top>
      </border>
    </dxf>
    <dxf>
      <fill>
        <patternFill>
          <bgColor theme="4" tint="0.5999633777886288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173" formatCode="&quot;31&quot;"/>
    </dxf>
    <dxf>
      <numFmt numFmtId="174" formatCode="&quot;30&quot;"/>
    </dxf>
    <dxf>
      <numFmt numFmtId="175" formatCode="&quot;29&quot;"/>
    </dxf>
    <dxf>
      <numFmt numFmtId="176" formatCode="&quot;28&quot;"/>
    </dxf>
    <dxf>
      <numFmt numFmtId="177" formatCode="&quot;27&quot;"/>
    </dxf>
    <dxf>
      <numFmt numFmtId="178" formatCode="&quot;26&quot;"/>
    </dxf>
    <dxf>
      <numFmt numFmtId="179" formatCode="&quot;25&quot;"/>
    </dxf>
    <dxf>
      <numFmt numFmtId="180" formatCode="&quot;24&quot;"/>
    </dxf>
    <dxf>
      <numFmt numFmtId="181" formatCode="&quot;23&quot;"/>
    </dxf>
    <dxf>
      <numFmt numFmtId="182" formatCode="&quot;22&quot;"/>
    </dxf>
    <dxf>
      <numFmt numFmtId="183" formatCode="&quot;21&quot;"/>
    </dxf>
    <dxf>
      <numFmt numFmtId="184" formatCode="&quot;20&quot;"/>
    </dxf>
    <dxf>
      <numFmt numFmtId="185" formatCode="&quot;19&quot;"/>
    </dxf>
    <dxf>
      <numFmt numFmtId="186" formatCode="&quot;18&quot;"/>
    </dxf>
    <dxf>
      <numFmt numFmtId="187" formatCode="&quot;17&quot;"/>
    </dxf>
    <dxf>
      <numFmt numFmtId="188" formatCode="&quot;16&quot;"/>
    </dxf>
    <dxf>
      <numFmt numFmtId="189" formatCode="&quot;15&quot;"/>
    </dxf>
    <dxf>
      <numFmt numFmtId="190" formatCode="&quot;14&quot;"/>
    </dxf>
    <dxf>
      <numFmt numFmtId="191" formatCode="&quot;13&quot;"/>
    </dxf>
    <dxf>
      <numFmt numFmtId="192" formatCode="&quot;12&quot;"/>
    </dxf>
    <dxf>
      <numFmt numFmtId="193" formatCode="&quot;11&quot;"/>
    </dxf>
    <dxf>
      <numFmt numFmtId="194" formatCode="&quot;10&quot;"/>
    </dxf>
    <dxf>
      <numFmt numFmtId="195" formatCode="&quot;9&quot;"/>
    </dxf>
    <dxf>
      <numFmt numFmtId="196" formatCode="&quot;8&quot;"/>
    </dxf>
    <dxf>
      <numFmt numFmtId="197" formatCode="&quot;7&quot;"/>
    </dxf>
    <dxf>
      <numFmt numFmtId="198" formatCode="&quot;6&quot;"/>
    </dxf>
    <dxf>
      <numFmt numFmtId="199" formatCode="&quot;5&quot;"/>
    </dxf>
    <dxf>
      <numFmt numFmtId="200" formatCode="&quot;4&quot;"/>
    </dxf>
    <dxf>
      <numFmt numFmtId="201" formatCode="&quot;3&quot;"/>
    </dxf>
    <dxf>
      <numFmt numFmtId="202" formatCode="&quot;2&quot;"/>
    </dxf>
    <dxf>
      <numFmt numFmtId="203" formatCode="&quot;1&quot;"/>
    </dxf>
    <dxf>
      <numFmt numFmtId="165" formatCode=";;"/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24994659260841701"/>
      </font>
      <fill>
        <patternFill>
          <bgColor theme="2" tint="-9.9948118533890809E-2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24994659260841701"/>
      </font>
      <fill>
        <patternFill>
          <bgColor theme="2" tint="-9.9948118533890809E-2"/>
        </patternFill>
      </fill>
    </dxf>
    <dxf>
      <fill>
        <patternFill>
          <bgColor theme="4"/>
        </patternFill>
      </fill>
      <border>
        <horizontal/>
      </border>
    </dxf>
    <dxf>
      <fill>
        <patternFill>
          <bgColor theme="4" tint="0.59996337778862885"/>
        </patternFill>
      </fill>
    </dxf>
    <dxf>
      <font>
        <b/>
        <i val="0"/>
        <color theme="0"/>
      </font>
      <fill>
        <patternFill>
          <bgColor theme="4"/>
        </patternFill>
      </fill>
      <border>
        <horizontal/>
      </border>
    </dxf>
    <dxf>
      <font>
        <b/>
        <color theme="0"/>
      </font>
      <fill>
        <patternFill patternType="solid">
          <fgColor theme="4"/>
          <bgColor theme="1" tint="0.24994659260841701"/>
        </patternFill>
      </fill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vertical style="thin">
          <color theme="1" tint="0.24994659260841701"/>
        </vertical>
      </border>
    </dxf>
    <dxf>
      <font>
        <color theme="1" tint="0.24994659260841701"/>
      </font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1" defaultTableStyle="TableStyleMedium2" defaultPivotStyle="PivotStyleLight16">
    <tableStyle name="AppointmentDetails" pivot="0" count="5" xr9:uid="{00000000-0011-0000-FFFF-FFFF00000000}">
      <tableStyleElement type="wholeTable" dxfId="53"/>
      <tableStyleElement type="headerRow" dxfId="52"/>
      <tableStyleElement type="firstColumn" dxfId="51"/>
      <tableStyleElement type="secondRowStripe" dxfId="50"/>
      <tableStyleElement type="firstColumnStripe" size="2" dxfId="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pointmen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arly%20Plann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intmen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arly Planner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ointmentDetails" displayName="AppointmentDetails" ref="B4:D16" totalsRowShown="0" tableBorderDxfId="8">
  <autoFilter ref="B4:D16" xr:uid="{00000000-0009-0000-0100-000001000000}"/>
  <sortState ref="B5:D16">
    <sortCondition ref="B5:B16"/>
    <sortCondition ref="C5:C16"/>
  </sortState>
  <tableColumns count="3">
    <tableColumn id="2" xr3:uid="{00000000-0010-0000-0000-000002000000}" name="FECHA" dataDxfId="7"/>
    <tableColumn id="3" xr3:uid="{00000000-0010-0000-0000-000003000000}" name="HORA" dataDxfId="6"/>
    <tableColumn id="4" xr3:uid="{00000000-0010-0000-0000-000004000000}" name="DESCRIPCIÓN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rtTable" displayName="SortTable" ref="R4:U24" totalsRowShown="0">
  <autoFilter ref="R4:U24" xr:uid="{00000000-0009-0000-0100-000002000000}"/>
  <tableColumns count="4">
    <tableColumn id="1" xr3:uid="{00000000-0010-0000-0100-000001000000}" name="Salto de tiempo">
      <calculatedColumnFormula>IFERROR(RANK(S5,cálculos!$S$5:$S$24,1)+SUMPRODUCT(--(S5=cálculos!$S$5:$S$24),--(U5&gt;cálculos!$U$5:$U$24)),"")</calculatedColumnFormula>
    </tableColumn>
    <tableColumn id="2" xr3:uid="{00000000-0010-0000-0100-000002000000}" name="RANGO" dataDxfId="4">
      <calculatedColumnFormula>IFERROR(RANK($T5,cálculos!$T$5:$T$24,1),"")</calculatedColumnFormula>
    </tableColumn>
    <tableColumn id="3" xr3:uid="{00000000-0010-0000-0100-000003000000}" name="Hora" dataDxfId="3">
      <calculatedColumnFormula array="1">IFERROR(INDEX(AppointmentDetails[],SMALL(IF(AppointmentDetails[FECHA]=TodaysDate,ROW(AppointmentDetails[FECHA])-4),ROW(A1)),2),"")</calculatedColumnFormula>
    </tableColumn>
    <tableColumn id="4" xr3:uid="{00000000-0010-0000-0100-000004000000}" name="Cita" dataDxfId="2">
      <calculatedColumnFormula array="1">IFERROR(INDEX(AppointmentDetails[],SMALL(IF(AppointmentDetails[FECHA]=TodaysDate,ROW(AppointmentDetails[FECHA])-4),ROW(A1)),3),"")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daysApptsSorted" displayName="TodaysApptsSorted" ref="W4:Y24" totalsRowShown="0">
  <autoFilter ref="W4:Y24" xr:uid="{00000000-0009-0000-0100-000003000000}"/>
  <tableColumns count="3">
    <tableColumn id="1" xr3:uid="{00000000-0010-0000-0200-000001000000}" name="Jerarquía ordenada"/>
    <tableColumn id="2" xr3:uid="{00000000-0010-0000-0200-000002000000}" name="Hora" dataDxfId="1">
      <calculatedColumnFormula>IFERROR(VLOOKUP(W5,SortTable[],3,FALSE),"")</calculatedColumnFormula>
    </tableColumn>
    <tableColumn id="3" xr3:uid="{00000000-0010-0000-0200-000003000000}" name="Cita" dataDxfId="0">
      <calculatedColumnFormula>IFERROR(VLOOKUP(W5,SortTable[],4,FALSE),"")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ollege Year Calendar">
      <a:dk1>
        <a:sysClr val="windowText" lastClr="000000"/>
      </a:dk1>
      <a:lt1>
        <a:sysClr val="window" lastClr="FFFFFF"/>
      </a:lt1>
      <a:dk2>
        <a:srgbClr val="005A66"/>
      </a:dk2>
      <a:lt2>
        <a:srgbClr val="EBF4DC"/>
      </a:lt2>
      <a:accent1>
        <a:srgbClr val="9EC851"/>
      </a:accent1>
      <a:accent2>
        <a:srgbClr val="00B4CC"/>
      </a:accent2>
      <a:accent3>
        <a:srgbClr val="F09912"/>
      </a:accent3>
      <a:accent4>
        <a:srgbClr val="DB4D75"/>
      </a:accent4>
      <a:accent5>
        <a:srgbClr val="95519D"/>
      </a:accent5>
      <a:accent6>
        <a:srgbClr val="EBC747"/>
      </a:accent6>
      <a:hlink>
        <a:srgbClr val="00B4CC"/>
      </a:hlink>
      <a:folHlink>
        <a:srgbClr val="95519D"/>
      </a:folHlink>
    </a:clrScheme>
    <a:fontScheme name="College Year Calendar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A1:R42"/>
  <sheetViews>
    <sheetView showGridLines="0" tabSelected="1" zoomScaleNormal="100" workbookViewId="0">
      <selection activeCell="C3" sqref="C3"/>
    </sheetView>
  </sheetViews>
  <sheetFormatPr baseColWidth="10" defaultColWidth="9.140625" defaultRowHeight="15.75" customHeight="1" x14ac:dyDescent="0.2"/>
  <cols>
    <col min="1" max="1" width="2" style="5" customWidth="1"/>
    <col min="2" max="2" width="6.85546875" style="5" customWidth="1"/>
    <col min="3" max="14" width="8" style="5" customWidth="1"/>
    <col min="15" max="15" width="2" style="5" customWidth="1"/>
    <col min="16" max="16" width="11.42578125" style="6" customWidth="1"/>
    <col min="17" max="17" width="54.28515625" style="16" customWidth="1"/>
    <col min="18" max="18" width="9.140625" customWidth="1"/>
    <col min="19" max="16384" width="9.140625" style="5"/>
  </cols>
  <sheetData>
    <row r="1" spans="1:17" ht="35.25" customHeight="1" x14ac:dyDescent="0.2">
      <c r="A1" s="25"/>
      <c r="B1" s="46" t="str">
        <f ca="1">StartYear&amp;" - "&amp;StartYear+1</f>
        <v>2020 - 2021</v>
      </c>
      <c r="C1" s="4"/>
      <c r="D1" s="4"/>
      <c r="E1" s="4"/>
      <c r="F1" s="45" t="s">
        <v>8</v>
      </c>
      <c r="G1" s="4"/>
      <c r="H1" s="4"/>
      <c r="I1" s="4"/>
      <c r="J1" s="4"/>
      <c r="K1" s="4"/>
      <c r="L1" s="4"/>
      <c r="M1" s="4"/>
      <c r="N1" s="4"/>
      <c r="O1" s="25"/>
      <c r="P1" s="21"/>
      <c r="Q1" s="22"/>
    </row>
    <row r="3" spans="1:17" ht="15.75" customHeight="1" x14ac:dyDescent="0.25">
      <c r="C3" s="35">
        <f ca="1">YEAR(TODAY())</f>
        <v>2020</v>
      </c>
      <c r="D3" s="24" t="s">
        <v>7</v>
      </c>
      <c r="P3"/>
      <c r="Q3" s="23" t="s">
        <v>9</v>
      </c>
    </row>
    <row r="4" spans="1:17" ht="15.75" customHeight="1" x14ac:dyDescent="0.2">
      <c r="C4" s="43"/>
      <c r="M4" s="6"/>
      <c r="N4" s="44"/>
      <c r="P4" s="1"/>
      <c r="Q4" s="1"/>
    </row>
    <row r="5" spans="1:17" ht="21" customHeight="1" x14ac:dyDescent="0.2">
      <c r="B5" s="7"/>
      <c r="C5" s="18">
        <f t="array" aca="1" ref="C5:N5" ca="1">MonthHeader_Values</f>
        <v>44075</v>
      </c>
      <c r="D5" s="19">
        <f ca="1"/>
        <v>44105</v>
      </c>
      <c r="E5" s="18">
        <f ca="1"/>
        <v>44136</v>
      </c>
      <c r="F5" s="19">
        <f ca="1"/>
        <v>44166</v>
      </c>
      <c r="G5" s="18">
        <f ca="1"/>
        <v>44197</v>
      </c>
      <c r="H5" s="19">
        <f ca="1"/>
        <v>44228</v>
      </c>
      <c r="I5" s="18">
        <f ca="1"/>
        <v>44256</v>
      </c>
      <c r="J5" s="19">
        <f ca="1"/>
        <v>44287</v>
      </c>
      <c r="K5" s="18">
        <f ca="1"/>
        <v>44317</v>
      </c>
      <c r="L5" s="19">
        <f ca="1"/>
        <v>44348</v>
      </c>
      <c r="M5" s="18">
        <f ca="1"/>
        <v>44378</v>
      </c>
      <c r="N5" s="19">
        <f ca="1"/>
        <v>44409</v>
      </c>
      <c r="P5" s="1"/>
      <c r="Q5" s="52">
        <f ca="1">TODAY()</f>
        <v>43944</v>
      </c>
    </row>
    <row r="6" spans="1:17" ht="15.75" customHeight="1" x14ac:dyDescent="0.2">
      <c r="B6" s="8" t="str">
        <f t="array" ref="B6:B42">cálculos!B7:B43</f>
        <v>LUN</v>
      </c>
      <c r="C6" s="9">
        <f t="array" aca="1" ref="C6:N42" ca="1">Citas</f>
        <v>0</v>
      </c>
      <c r="D6" s="12">
        <f ca="1"/>
        <v>0</v>
      </c>
      <c r="E6" s="9">
        <f ca="1"/>
        <v>0</v>
      </c>
      <c r="F6" s="12">
        <f ca="1"/>
        <v>0</v>
      </c>
      <c r="G6" s="9">
        <f ca="1"/>
        <v>0</v>
      </c>
      <c r="H6" s="12">
        <f ca="1"/>
        <v>0</v>
      </c>
      <c r="I6" s="9">
        <f ca="1"/>
        <v>0</v>
      </c>
      <c r="J6" s="12">
        <f ca="1"/>
        <v>0</v>
      </c>
      <c r="K6" s="9">
        <f ca="1"/>
        <v>0</v>
      </c>
      <c r="L6" s="12">
        <f ca="1"/>
        <v>0</v>
      </c>
      <c r="M6" s="9">
        <f ca="1"/>
        <v>0</v>
      </c>
      <c r="N6" s="12">
        <f ca="1"/>
        <v>0</v>
      </c>
      <c r="P6" s="47">
        <f t="array" aca="1" ref="P6" ca="1">IFERROR(VLOOKUP(1,TodaysApptsSorted[],2,FALSE),"")</f>
        <v>0.41666666666666669</v>
      </c>
      <c r="Q6" s="33" t="str">
        <f t="array" aca="1" ref="Q6" ca="1">IFERROR(VLOOKUP(1,TodaysApptsSorted[],3,FALSE),"")</f>
        <v>Dentista</v>
      </c>
    </row>
    <row r="7" spans="1:17" ht="15.75" customHeight="1" x14ac:dyDescent="0.2">
      <c r="B7" s="8" t="str">
        <v>MAR</v>
      </c>
      <c r="C7" s="9">
        <f ca="1"/>
        <v>0</v>
      </c>
      <c r="D7" s="12">
        <f ca="1"/>
        <v>0</v>
      </c>
      <c r="E7" s="9">
        <f ca="1"/>
        <v>0</v>
      </c>
      <c r="F7" s="12">
        <f ca="1"/>
        <v>0</v>
      </c>
      <c r="G7" s="9">
        <f ca="1"/>
        <v>0</v>
      </c>
      <c r="H7" s="12">
        <f ca="1"/>
        <v>0</v>
      </c>
      <c r="I7" s="9">
        <f ca="1"/>
        <v>0</v>
      </c>
      <c r="J7" s="12">
        <f ca="1"/>
        <v>0</v>
      </c>
      <c r="K7" s="9">
        <f ca="1"/>
        <v>0</v>
      </c>
      <c r="L7" s="12">
        <f ca="1"/>
        <v>0</v>
      </c>
      <c r="M7" s="9">
        <f ca="1"/>
        <v>0</v>
      </c>
      <c r="N7" s="12">
        <f ca="1"/>
        <v>0</v>
      </c>
      <c r="P7" s="47">
        <f t="array" aca="1" ref="P7" ca="1">IFERROR(VLOOKUP(2,TodaysApptsSorted[],2,FALSE),"")</f>
        <v>0.875</v>
      </c>
      <c r="Q7" s="33" t="str">
        <f t="array" aca="1" ref="Q7" ca="1">IFERROR(VLOOKUP(2,TodaysApptsSorted[],3,FALSE),"")</f>
        <v>Fiesta de cumpleaños de Ana</v>
      </c>
    </row>
    <row r="8" spans="1:17" ht="15.75" customHeight="1" x14ac:dyDescent="0.2">
      <c r="B8" s="8" t="str">
        <v>MIÉ</v>
      </c>
      <c r="C8" s="9">
        <f ca="1"/>
        <v>0</v>
      </c>
      <c r="D8" s="12">
        <f ca="1"/>
        <v>0</v>
      </c>
      <c r="E8" s="9">
        <f ca="1"/>
        <v>0</v>
      </c>
      <c r="F8" s="12">
        <f ca="1"/>
        <v>0</v>
      </c>
      <c r="G8" s="9">
        <f ca="1"/>
        <v>0</v>
      </c>
      <c r="H8" s="12">
        <f ca="1"/>
        <v>0</v>
      </c>
      <c r="I8" s="9">
        <f ca="1"/>
        <v>0</v>
      </c>
      <c r="J8" s="12">
        <f ca="1"/>
        <v>0</v>
      </c>
      <c r="K8" s="9">
        <f ca="1"/>
        <v>0</v>
      </c>
      <c r="L8" s="12">
        <f ca="1"/>
        <v>0</v>
      </c>
      <c r="M8" s="9">
        <f ca="1"/>
        <v>0</v>
      </c>
      <c r="N8" s="12">
        <f ca="1"/>
        <v>0</v>
      </c>
      <c r="P8" s="47" t="str">
        <f t="array" aca="1" ref="P8" ca="1">IFERROR(VLOOKUP(3,TodaysApptsSorted[],2,FALSE),"")</f>
        <v/>
      </c>
      <c r="Q8" s="33" t="str">
        <f t="array" aca="1" ref="Q8" ca="1">IFERROR(VLOOKUP(3,TodaysApptsSorted[],3,FALSE),"")</f>
        <v/>
      </c>
    </row>
    <row r="9" spans="1:17" ht="15.75" customHeight="1" x14ac:dyDescent="0.2">
      <c r="B9" s="8" t="str">
        <v>JUE</v>
      </c>
      <c r="C9" s="9">
        <f ca="1"/>
        <v>0</v>
      </c>
      <c r="D9" s="12">
        <f ca="1"/>
        <v>0</v>
      </c>
      <c r="E9" s="9">
        <f ca="1"/>
        <v>0</v>
      </c>
      <c r="F9" s="12">
        <f ca="1"/>
        <v>0</v>
      </c>
      <c r="G9" s="9">
        <f ca="1"/>
        <v>0</v>
      </c>
      <c r="H9" s="12">
        <f ca="1"/>
        <v>0</v>
      </c>
      <c r="I9" s="9">
        <f ca="1"/>
        <v>0</v>
      </c>
      <c r="J9" s="12">
        <f ca="1"/>
        <v>0</v>
      </c>
      <c r="K9" s="9">
        <f ca="1"/>
        <v>0</v>
      </c>
      <c r="L9" s="12">
        <f ca="1"/>
        <v>0</v>
      </c>
      <c r="M9" s="9">
        <f ca="1"/>
        <v>0</v>
      </c>
      <c r="N9" s="12">
        <f ca="1"/>
        <v>0</v>
      </c>
      <c r="P9" s="47" t="str">
        <f t="array" aca="1" ref="P9" ca="1">IFERROR(VLOOKUP(4,TodaysApptsSorted[],2,FALSE),"")</f>
        <v/>
      </c>
      <c r="Q9" s="33" t="str">
        <f t="array" aca="1" ref="Q9" ca="1">IFERROR(VLOOKUP(4,TodaysApptsSorted[],3,FALSE),"")</f>
        <v/>
      </c>
    </row>
    <row r="10" spans="1:17" ht="15.75" customHeight="1" x14ac:dyDescent="0.2">
      <c r="B10" s="8" t="str">
        <v>VIE</v>
      </c>
      <c r="C10" s="9">
        <f ca="1"/>
        <v>0</v>
      </c>
      <c r="D10" s="12">
        <f ca="1"/>
        <v>0</v>
      </c>
      <c r="E10" s="9">
        <f ca="1"/>
        <v>0</v>
      </c>
      <c r="F10" s="12">
        <f ca="1"/>
        <v>0</v>
      </c>
      <c r="G10" s="9">
        <f ca="1"/>
        <v>0</v>
      </c>
      <c r="H10" s="12">
        <f ca="1"/>
        <v>0</v>
      </c>
      <c r="I10" s="9">
        <f ca="1"/>
        <v>0</v>
      </c>
      <c r="J10" s="12">
        <f ca="1"/>
        <v>0</v>
      </c>
      <c r="K10" s="9">
        <f ca="1"/>
        <v>0</v>
      </c>
      <c r="L10" s="12">
        <f ca="1"/>
        <v>0</v>
      </c>
      <c r="M10" s="9">
        <f ca="1"/>
        <v>0</v>
      </c>
      <c r="N10" s="12">
        <f ca="1"/>
        <v>0</v>
      </c>
      <c r="P10" s="47" t="str">
        <f t="array" aca="1" ref="P10" ca="1">IFERROR(VLOOKUP(5,TodaysApptsSorted[],2,FALSE),"")</f>
        <v/>
      </c>
      <c r="Q10" s="33" t="str">
        <f t="array" aca="1" ref="Q10" ca="1">IFERROR(VLOOKUP(5,TodaysApptsSorted[],3,FALSE),"")</f>
        <v/>
      </c>
    </row>
    <row r="11" spans="1:17" ht="15.75" customHeight="1" x14ac:dyDescent="0.2">
      <c r="B11" s="8" t="str">
        <v>SÁB</v>
      </c>
      <c r="C11" s="9">
        <f ca="1"/>
        <v>0</v>
      </c>
      <c r="D11" s="12">
        <f ca="1"/>
        <v>0</v>
      </c>
      <c r="E11" s="9">
        <f ca="1"/>
        <v>0</v>
      </c>
      <c r="F11" s="12">
        <f ca="1"/>
        <v>0</v>
      </c>
      <c r="G11" s="9">
        <f ca="1"/>
        <v>0</v>
      </c>
      <c r="H11" s="12">
        <f ca="1"/>
        <v>0</v>
      </c>
      <c r="I11" s="9">
        <f ca="1"/>
        <v>0</v>
      </c>
      <c r="J11" s="12">
        <f ca="1"/>
        <v>0</v>
      </c>
      <c r="K11" s="9">
        <f ca="1"/>
        <v>0</v>
      </c>
      <c r="L11" s="12">
        <f ca="1"/>
        <v>0</v>
      </c>
      <c r="M11" s="9">
        <f ca="1"/>
        <v>0</v>
      </c>
      <c r="N11" s="12">
        <f ca="1"/>
        <v>0</v>
      </c>
      <c r="P11" s="47" t="str">
        <f t="array" aca="1" ref="P11" ca="1">IFERROR(VLOOKUP(6,TodaysApptsSorted[],2,FALSE),"")</f>
        <v/>
      </c>
      <c r="Q11" s="33" t="str">
        <f t="array" aca="1" ref="Q11" ca="1">IFERROR(VLOOKUP(6,TodaysApptsSorted[],3,FALSE),"")</f>
        <v/>
      </c>
    </row>
    <row r="12" spans="1:17" ht="15.75" customHeight="1" x14ac:dyDescent="0.2">
      <c r="B12" s="8" t="str">
        <v>DOM</v>
      </c>
      <c r="C12" s="9">
        <f ca="1"/>
        <v>0</v>
      </c>
      <c r="D12" s="12">
        <f ca="1"/>
        <v>0</v>
      </c>
      <c r="E12" s="9">
        <f ca="1"/>
        <v>0</v>
      </c>
      <c r="F12" s="12">
        <f ca="1"/>
        <v>0</v>
      </c>
      <c r="G12" s="9">
        <f ca="1"/>
        <v>0</v>
      </c>
      <c r="H12" s="12">
        <f ca="1"/>
        <v>0</v>
      </c>
      <c r="I12" s="9">
        <f ca="1"/>
        <v>0</v>
      </c>
      <c r="J12" s="12">
        <f ca="1"/>
        <v>0</v>
      </c>
      <c r="K12" s="9">
        <f ca="1"/>
        <v>0</v>
      </c>
      <c r="L12" s="12">
        <f ca="1"/>
        <v>0</v>
      </c>
      <c r="M12" s="9">
        <f ca="1"/>
        <v>0</v>
      </c>
      <c r="N12" s="12">
        <f ca="1"/>
        <v>0</v>
      </c>
      <c r="P12" s="47" t="str">
        <f t="array" aca="1" ref="P12" ca="1">IFERROR(VLOOKUP(7,TodaysApptsSorted[],2,FALSE),"")</f>
        <v/>
      </c>
      <c r="Q12" s="33" t="str">
        <f t="array" aca="1" ref="Q12" ca="1">IFERROR(VLOOKUP(7,TodaysApptsSorted[],3,FALSE),"")</f>
        <v/>
      </c>
    </row>
    <row r="13" spans="1:17" ht="15.75" customHeight="1" x14ac:dyDescent="0.2">
      <c r="B13" s="8" t="str">
        <v>LUN.</v>
      </c>
      <c r="C13" s="9">
        <f ca="1"/>
        <v>0</v>
      </c>
      <c r="D13" s="12">
        <f ca="1"/>
        <v>0</v>
      </c>
      <c r="E13" s="9">
        <f ca="1"/>
        <v>0</v>
      </c>
      <c r="F13" s="12">
        <f ca="1"/>
        <v>0</v>
      </c>
      <c r="G13" s="9">
        <f ca="1"/>
        <v>0</v>
      </c>
      <c r="H13" s="12">
        <f ca="1"/>
        <v>0</v>
      </c>
      <c r="I13" s="9">
        <f ca="1"/>
        <v>0</v>
      </c>
      <c r="J13" s="12">
        <f ca="1"/>
        <v>0</v>
      </c>
      <c r="K13" s="9">
        <f ca="1"/>
        <v>0</v>
      </c>
      <c r="L13" s="12">
        <f ca="1"/>
        <v>0</v>
      </c>
      <c r="M13" s="9">
        <f ca="1"/>
        <v>0</v>
      </c>
      <c r="N13" s="12">
        <f ca="1"/>
        <v>0</v>
      </c>
      <c r="P13" s="47" t="str">
        <f t="array" aca="1" ref="P13" ca="1">IFERROR(VLOOKUP(8,TodaysApptsSorted[],2,FALSE),"")</f>
        <v/>
      </c>
      <c r="Q13" s="33" t="str">
        <f t="array" aca="1" ref="Q13" ca="1">IFERROR(VLOOKUP(8,TodaysApptsSorted[],3,FALSE),"")</f>
        <v/>
      </c>
    </row>
    <row r="14" spans="1:17" ht="15.75" customHeight="1" x14ac:dyDescent="0.2">
      <c r="B14" s="8" t="str">
        <v>MAR</v>
      </c>
      <c r="C14" s="9">
        <f ca="1"/>
        <v>0</v>
      </c>
      <c r="D14" s="12">
        <f ca="1"/>
        <v>0</v>
      </c>
      <c r="E14" s="9">
        <f ca="1"/>
        <v>0</v>
      </c>
      <c r="F14" s="12">
        <f ca="1"/>
        <v>0</v>
      </c>
      <c r="G14" s="9">
        <f ca="1"/>
        <v>0</v>
      </c>
      <c r="H14" s="12">
        <f ca="1"/>
        <v>0</v>
      </c>
      <c r="I14" s="9">
        <f ca="1"/>
        <v>0</v>
      </c>
      <c r="J14" s="12">
        <f ca="1"/>
        <v>0</v>
      </c>
      <c r="K14" s="9">
        <f ca="1"/>
        <v>0</v>
      </c>
      <c r="L14" s="12">
        <f ca="1"/>
        <v>0</v>
      </c>
      <c r="M14" s="9">
        <f ca="1"/>
        <v>0</v>
      </c>
      <c r="N14" s="12">
        <f ca="1"/>
        <v>0</v>
      </c>
      <c r="P14" s="47" t="str">
        <f t="array" aca="1" ref="P14" ca="1">IFERROR(VLOOKUP(9,TodaysApptsSorted[],2,FALSE),"")</f>
        <v/>
      </c>
      <c r="Q14" s="33" t="str">
        <f t="array" aca="1" ref="Q14" ca="1">IFERROR(VLOOKUP(9,TodaysApptsSorted[],3,FALSE),"")</f>
        <v/>
      </c>
    </row>
    <row r="15" spans="1:17" ht="15.75" customHeight="1" x14ac:dyDescent="0.2">
      <c r="B15" s="8" t="str">
        <v>MIÉ</v>
      </c>
      <c r="C15" s="9">
        <f ca="1"/>
        <v>0</v>
      </c>
      <c r="D15" s="12">
        <f ca="1"/>
        <v>0</v>
      </c>
      <c r="E15" s="9">
        <f ca="1"/>
        <v>0</v>
      </c>
      <c r="F15" s="12">
        <f ca="1"/>
        <v>0</v>
      </c>
      <c r="G15" s="9">
        <f ca="1"/>
        <v>0</v>
      </c>
      <c r="H15" s="12">
        <f ca="1"/>
        <v>0</v>
      </c>
      <c r="I15" s="9">
        <f ca="1"/>
        <v>0</v>
      </c>
      <c r="J15" s="12">
        <f ca="1"/>
        <v>0</v>
      </c>
      <c r="K15" s="9">
        <f ca="1"/>
        <v>0</v>
      </c>
      <c r="L15" s="12">
        <f ca="1"/>
        <v>0</v>
      </c>
      <c r="M15" s="9">
        <f ca="1"/>
        <v>0</v>
      </c>
      <c r="N15" s="12">
        <f ca="1"/>
        <v>0</v>
      </c>
      <c r="P15" s="47" t="str">
        <f t="array" aca="1" ref="P15" ca="1">IFERROR(VLOOKUP(10,TodaysApptsSorted[],2,FALSE),"")</f>
        <v/>
      </c>
      <c r="Q15" s="34" t="str">
        <f t="array" aca="1" ref="Q15" ca="1">IFERROR(VLOOKUP(10,TodaysApptsSorted[],3,FALSE),"")</f>
        <v/>
      </c>
    </row>
    <row r="16" spans="1:17" ht="15.75" customHeight="1" x14ac:dyDescent="0.2">
      <c r="B16" s="8" t="str">
        <v>JUE</v>
      </c>
      <c r="C16" s="9">
        <f ca="1"/>
        <v>0</v>
      </c>
      <c r="D16" s="12">
        <f ca="1"/>
        <v>0</v>
      </c>
      <c r="E16" s="9">
        <f ca="1"/>
        <v>0</v>
      </c>
      <c r="F16" s="12">
        <f ca="1"/>
        <v>0</v>
      </c>
      <c r="G16" s="9">
        <f ca="1"/>
        <v>0</v>
      </c>
      <c r="H16" s="12">
        <f ca="1"/>
        <v>0</v>
      </c>
      <c r="I16" s="9">
        <f ca="1"/>
        <v>0</v>
      </c>
      <c r="J16" s="12">
        <f ca="1"/>
        <v>0</v>
      </c>
      <c r="K16" s="9">
        <f ca="1"/>
        <v>0</v>
      </c>
      <c r="L16" s="12">
        <f ca="1"/>
        <v>0</v>
      </c>
      <c r="M16" s="9">
        <f ca="1"/>
        <v>0</v>
      </c>
      <c r="N16" s="12">
        <f ca="1"/>
        <v>0</v>
      </c>
      <c r="P16" s="47" t="str">
        <f t="array" aca="1" ref="P16" ca="1">IFERROR(VLOOKUP(11,TodaysApptsSorted[],2,FALSE),"")</f>
        <v/>
      </c>
      <c r="Q16" s="34" t="str">
        <f t="array" aca="1" ref="Q16" ca="1">IFERROR(VLOOKUP(11,TodaysApptsSorted[],3,FALSE),"")</f>
        <v/>
      </c>
    </row>
    <row r="17" spans="2:17" ht="15.75" customHeight="1" x14ac:dyDescent="0.2">
      <c r="B17" s="8" t="str">
        <v>VIE</v>
      </c>
      <c r="C17" s="9">
        <f ca="1"/>
        <v>0</v>
      </c>
      <c r="D17" s="12">
        <f ca="1"/>
        <v>0</v>
      </c>
      <c r="E17" s="9">
        <f ca="1"/>
        <v>0</v>
      </c>
      <c r="F17" s="12">
        <f ca="1"/>
        <v>0</v>
      </c>
      <c r="G17" s="9">
        <f ca="1"/>
        <v>0</v>
      </c>
      <c r="H17" s="12">
        <f ca="1"/>
        <v>0</v>
      </c>
      <c r="I17" s="9">
        <f ca="1"/>
        <v>0</v>
      </c>
      <c r="J17" s="12">
        <f ca="1"/>
        <v>0</v>
      </c>
      <c r="K17" s="9">
        <f ca="1"/>
        <v>0</v>
      </c>
      <c r="L17" s="12">
        <f ca="1"/>
        <v>0</v>
      </c>
      <c r="M17" s="9">
        <f ca="1"/>
        <v>0</v>
      </c>
      <c r="N17" s="12">
        <f ca="1"/>
        <v>0</v>
      </c>
      <c r="P17" s="47" t="str">
        <f t="array" aca="1" ref="P17" ca="1">IFERROR(VLOOKUP(12,TodaysApptsSorted[],2,FALSE),"")</f>
        <v/>
      </c>
      <c r="Q17" s="34" t="str">
        <f t="array" aca="1" ref="Q17" ca="1">IFERROR(VLOOKUP(12,TodaysApptsSorted[],3,FALSE),"")</f>
        <v/>
      </c>
    </row>
    <row r="18" spans="2:17" ht="15.75" customHeight="1" x14ac:dyDescent="0.2">
      <c r="B18" s="8" t="str">
        <v>SÁB</v>
      </c>
      <c r="C18" s="9">
        <f ca="1"/>
        <v>0</v>
      </c>
      <c r="D18" s="12">
        <f ca="1"/>
        <v>0</v>
      </c>
      <c r="E18" s="9">
        <f ca="1"/>
        <v>0</v>
      </c>
      <c r="F18" s="12">
        <f ca="1"/>
        <v>0</v>
      </c>
      <c r="G18" s="9">
        <f ca="1"/>
        <v>0</v>
      </c>
      <c r="H18" s="12">
        <f ca="1"/>
        <v>0</v>
      </c>
      <c r="I18" s="9">
        <f ca="1"/>
        <v>0</v>
      </c>
      <c r="J18" s="12">
        <f ca="1"/>
        <v>0</v>
      </c>
      <c r="K18" s="9">
        <f ca="1"/>
        <v>0</v>
      </c>
      <c r="L18" s="12">
        <f ca="1"/>
        <v>0</v>
      </c>
      <c r="M18" s="9">
        <f ca="1"/>
        <v>0</v>
      </c>
      <c r="N18" s="12">
        <f ca="1"/>
        <v>0</v>
      </c>
      <c r="P18" s="47" t="str">
        <f t="array" aca="1" ref="P18" ca="1">IFERROR(VLOOKUP(13,TodaysApptsSorted[],2,FALSE),"")</f>
        <v/>
      </c>
      <c r="Q18" s="34" t="str">
        <f t="array" aca="1" ref="Q18" ca="1">IFERROR(VLOOKUP(13,TodaysApptsSorted[],3,FALSE),"")</f>
        <v/>
      </c>
    </row>
    <row r="19" spans="2:17" ht="15.75" customHeight="1" x14ac:dyDescent="0.2">
      <c r="B19" s="8" t="str">
        <v>DOM</v>
      </c>
      <c r="C19" s="9">
        <f ca="1"/>
        <v>0</v>
      </c>
      <c r="D19" s="12">
        <f ca="1"/>
        <v>0</v>
      </c>
      <c r="E19" s="9">
        <f ca="1"/>
        <v>0</v>
      </c>
      <c r="F19" s="12">
        <f ca="1"/>
        <v>0</v>
      </c>
      <c r="G19" s="9">
        <f ca="1"/>
        <v>0</v>
      </c>
      <c r="H19" s="12">
        <f ca="1"/>
        <v>0</v>
      </c>
      <c r="I19" s="9">
        <f ca="1"/>
        <v>0</v>
      </c>
      <c r="J19" s="12">
        <f ca="1"/>
        <v>0</v>
      </c>
      <c r="K19" s="9">
        <f ca="1"/>
        <v>0</v>
      </c>
      <c r="L19" s="12">
        <f ca="1"/>
        <v>0</v>
      </c>
      <c r="M19" s="9">
        <f ca="1"/>
        <v>0</v>
      </c>
      <c r="N19" s="12">
        <f ca="1"/>
        <v>0</v>
      </c>
      <c r="P19" s="47" t="str">
        <f t="array" aca="1" ref="P19" ca="1">IFERROR(VLOOKUP(14,TodaysApptsSorted[],2,FALSE),"")</f>
        <v/>
      </c>
      <c r="Q19" s="34" t="str">
        <f t="array" aca="1" ref="Q19" ca="1">IFERROR(VLOOKUP(14,TodaysApptsSorted[],3,FALSE),"")</f>
        <v/>
      </c>
    </row>
    <row r="20" spans="2:17" ht="15.75" customHeight="1" x14ac:dyDescent="0.2">
      <c r="B20" s="8" t="str">
        <v>LUN.</v>
      </c>
      <c r="C20" s="9">
        <f ca="1"/>
        <v>0</v>
      </c>
      <c r="D20" s="12">
        <f ca="1"/>
        <v>0</v>
      </c>
      <c r="E20" s="9">
        <f ca="1"/>
        <v>0</v>
      </c>
      <c r="F20" s="12">
        <f ca="1"/>
        <v>0</v>
      </c>
      <c r="G20" s="9">
        <f ca="1"/>
        <v>0</v>
      </c>
      <c r="H20" s="12">
        <f ca="1"/>
        <v>0</v>
      </c>
      <c r="I20" s="9">
        <f ca="1"/>
        <v>0</v>
      </c>
      <c r="J20" s="12">
        <f ca="1"/>
        <v>0</v>
      </c>
      <c r="K20" s="9">
        <f ca="1"/>
        <v>0</v>
      </c>
      <c r="L20" s="12">
        <f ca="1"/>
        <v>0</v>
      </c>
      <c r="M20" s="9">
        <f ca="1"/>
        <v>0</v>
      </c>
      <c r="N20" s="12">
        <f ca="1"/>
        <v>0</v>
      </c>
      <c r="P20" s="47" t="str">
        <f t="array" aca="1" ref="P20" ca="1">IFERROR(VLOOKUP(15,TodaysApptsSorted[],2,FALSE),"")</f>
        <v/>
      </c>
      <c r="Q20" s="34" t="str">
        <f t="array" aca="1" ref="Q20" ca="1">IFERROR(VLOOKUP(15,TodaysApptsSorted[],3,FALSE),"")</f>
        <v/>
      </c>
    </row>
    <row r="21" spans="2:17" ht="15.75" customHeight="1" x14ac:dyDescent="0.2">
      <c r="B21" s="8" t="str">
        <v>MAR</v>
      </c>
      <c r="C21" s="9">
        <f ca="1"/>
        <v>0</v>
      </c>
      <c r="D21" s="12">
        <f ca="1"/>
        <v>0</v>
      </c>
      <c r="E21" s="9">
        <f ca="1"/>
        <v>0</v>
      </c>
      <c r="F21" s="12">
        <f ca="1"/>
        <v>0</v>
      </c>
      <c r="G21" s="9">
        <f ca="1"/>
        <v>0</v>
      </c>
      <c r="H21" s="12">
        <f ca="1"/>
        <v>0</v>
      </c>
      <c r="I21" s="9">
        <f ca="1"/>
        <v>0</v>
      </c>
      <c r="J21" s="12">
        <f ca="1"/>
        <v>0</v>
      </c>
      <c r="K21" s="9">
        <f ca="1"/>
        <v>0</v>
      </c>
      <c r="L21" s="12">
        <f ca="1"/>
        <v>0</v>
      </c>
      <c r="M21" s="9">
        <f ca="1"/>
        <v>0</v>
      </c>
      <c r="N21" s="12">
        <f ca="1"/>
        <v>0</v>
      </c>
      <c r="P21" s="47" t="str">
        <f t="array" aca="1" ref="P21" ca="1">IFERROR(VLOOKUP(16,TodaysApptsSorted[],2,FALSE),"")</f>
        <v/>
      </c>
      <c r="Q21" s="34" t="str">
        <f t="array" aca="1" ref="Q21" ca="1">IFERROR(VLOOKUP(16,TodaysApptsSorted[],3,FALSE),"")</f>
        <v/>
      </c>
    </row>
    <row r="22" spans="2:17" ht="15.75" customHeight="1" x14ac:dyDescent="0.2">
      <c r="B22" s="8" t="str">
        <v>MIÉ</v>
      </c>
      <c r="C22" s="9">
        <f ca="1"/>
        <v>0</v>
      </c>
      <c r="D22" s="12">
        <f ca="1"/>
        <v>0</v>
      </c>
      <c r="E22" s="9">
        <f ca="1"/>
        <v>0</v>
      </c>
      <c r="F22" s="12">
        <f ca="1"/>
        <v>0</v>
      </c>
      <c r="G22" s="9">
        <f ca="1"/>
        <v>0</v>
      </c>
      <c r="H22" s="12">
        <f ca="1"/>
        <v>0</v>
      </c>
      <c r="I22" s="9">
        <f ca="1"/>
        <v>0</v>
      </c>
      <c r="J22" s="12">
        <f ca="1"/>
        <v>0</v>
      </c>
      <c r="K22" s="9">
        <f ca="1"/>
        <v>0</v>
      </c>
      <c r="L22" s="12">
        <f ca="1"/>
        <v>0</v>
      </c>
      <c r="M22" s="9">
        <f ca="1"/>
        <v>0</v>
      </c>
      <c r="N22" s="12">
        <f ca="1"/>
        <v>0</v>
      </c>
      <c r="P22" s="47" t="str">
        <f t="array" aca="1" ref="P22" ca="1">IFERROR(VLOOKUP(17,TodaysApptsSorted[],2,FALSE),"")</f>
        <v/>
      </c>
      <c r="Q22" s="34" t="str">
        <f t="array" aca="1" ref="Q22" ca="1">IFERROR(VLOOKUP(17,TodaysApptsSorted[],3,FALSE),"")</f>
        <v/>
      </c>
    </row>
    <row r="23" spans="2:17" ht="15.75" customHeight="1" x14ac:dyDescent="0.2">
      <c r="B23" s="8" t="str">
        <v>JUE</v>
      </c>
      <c r="C23" s="9">
        <f ca="1"/>
        <v>0</v>
      </c>
      <c r="D23" s="12">
        <f ca="1"/>
        <v>0</v>
      </c>
      <c r="E23" s="9">
        <f ca="1"/>
        <v>0</v>
      </c>
      <c r="F23" s="12">
        <f ca="1"/>
        <v>0</v>
      </c>
      <c r="G23" s="9">
        <f ca="1"/>
        <v>0</v>
      </c>
      <c r="H23" s="12">
        <f ca="1"/>
        <v>0</v>
      </c>
      <c r="I23" s="9">
        <f ca="1"/>
        <v>0</v>
      </c>
      <c r="J23" s="12">
        <f ca="1"/>
        <v>0</v>
      </c>
      <c r="K23" s="9">
        <f ca="1"/>
        <v>0</v>
      </c>
      <c r="L23" s="12">
        <f ca="1"/>
        <v>0</v>
      </c>
      <c r="M23" s="9">
        <f ca="1"/>
        <v>0</v>
      </c>
      <c r="N23" s="12">
        <f ca="1"/>
        <v>0</v>
      </c>
      <c r="P23" s="47" t="str">
        <f t="array" aca="1" ref="P23" ca="1">IFERROR(VLOOKUP(18,TodaysApptsSorted[],2,FALSE),"")</f>
        <v/>
      </c>
      <c r="Q23" s="34" t="str">
        <f t="array" aca="1" ref="Q23" ca="1">IFERROR(VLOOKUP(18,TodaysApptsSorted[],3,FALSE),"")</f>
        <v/>
      </c>
    </row>
    <row r="24" spans="2:17" ht="15.75" customHeight="1" x14ac:dyDescent="0.2">
      <c r="B24" s="8" t="str">
        <v>VIE</v>
      </c>
      <c r="C24" s="9">
        <f ca="1"/>
        <v>0</v>
      </c>
      <c r="D24" s="12">
        <f ca="1"/>
        <v>0</v>
      </c>
      <c r="E24" s="9">
        <f ca="1"/>
        <v>0</v>
      </c>
      <c r="F24" s="12">
        <f ca="1"/>
        <v>0</v>
      </c>
      <c r="G24" s="9">
        <f ca="1"/>
        <v>0</v>
      </c>
      <c r="H24" s="12">
        <f ca="1"/>
        <v>0</v>
      </c>
      <c r="I24" s="9">
        <f ca="1"/>
        <v>0</v>
      </c>
      <c r="J24" s="12">
        <f ca="1"/>
        <v>0</v>
      </c>
      <c r="K24" s="9">
        <f ca="1"/>
        <v>0</v>
      </c>
      <c r="L24" s="12">
        <f ca="1"/>
        <v>0</v>
      </c>
      <c r="M24" s="9">
        <f ca="1"/>
        <v>0</v>
      </c>
      <c r="N24" s="12">
        <f ca="1"/>
        <v>0</v>
      </c>
      <c r="P24" s="47" t="str">
        <f t="array" aca="1" ref="P24" ca="1">IFERROR(VLOOKUP(19,TodaysApptsSorted[],2,FALSE),"")</f>
        <v/>
      </c>
      <c r="Q24" s="34" t="str">
        <f t="array" aca="1" ref="Q24" ca="1">IFERROR(VLOOKUP(19,TodaysApptsSorted[],3,FALSE),"")</f>
        <v/>
      </c>
    </row>
    <row r="25" spans="2:17" ht="15.75" customHeight="1" x14ac:dyDescent="0.2">
      <c r="B25" s="8" t="str">
        <v>SÁB</v>
      </c>
      <c r="C25" s="9">
        <f ca="1"/>
        <v>0</v>
      </c>
      <c r="D25" s="12">
        <f ca="1"/>
        <v>0</v>
      </c>
      <c r="E25" s="9">
        <f ca="1"/>
        <v>0</v>
      </c>
      <c r="F25" s="12">
        <f ca="1"/>
        <v>0</v>
      </c>
      <c r="G25" s="9">
        <f ca="1"/>
        <v>0</v>
      </c>
      <c r="H25" s="12">
        <f ca="1"/>
        <v>0</v>
      </c>
      <c r="I25" s="9">
        <f ca="1"/>
        <v>0</v>
      </c>
      <c r="J25" s="12">
        <f ca="1"/>
        <v>0</v>
      </c>
      <c r="K25" s="9">
        <f ca="1"/>
        <v>0</v>
      </c>
      <c r="L25" s="12">
        <f ca="1"/>
        <v>0</v>
      </c>
      <c r="M25" s="9">
        <f ca="1"/>
        <v>0</v>
      </c>
      <c r="N25" s="12">
        <f ca="1"/>
        <v>0</v>
      </c>
      <c r="P25" s="47" t="str">
        <f t="array" aca="1" ref="P25" ca="1">IFERROR(VLOOKUP(20,TodaysApptsSorted[],2,FALSE),"")</f>
        <v/>
      </c>
      <c r="Q25" s="34" t="str">
        <f t="array" aca="1" ref="Q25" ca="1">IFERROR(VLOOKUP(20,TodaysApptsSorted[],3,FALSE),"")</f>
        <v/>
      </c>
    </row>
    <row r="26" spans="2:17" ht="15.75" customHeight="1" x14ac:dyDescent="0.2">
      <c r="B26" s="8" t="str">
        <v>DOM</v>
      </c>
      <c r="C26" s="9">
        <f ca="1"/>
        <v>0</v>
      </c>
      <c r="D26" s="12">
        <f ca="1"/>
        <v>0</v>
      </c>
      <c r="E26" s="9">
        <f ca="1"/>
        <v>0</v>
      </c>
      <c r="F26" s="12">
        <f ca="1"/>
        <v>0</v>
      </c>
      <c r="G26" s="9">
        <f ca="1"/>
        <v>0</v>
      </c>
      <c r="H26" s="12">
        <f ca="1"/>
        <v>0</v>
      </c>
      <c r="I26" s="9">
        <f ca="1"/>
        <v>0</v>
      </c>
      <c r="J26" s="12">
        <f ca="1"/>
        <v>0</v>
      </c>
      <c r="K26" s="9">
        <f ca="1"/>
        <v>0</v>
      </c>
      <c r="L26" s="12">
        <f ca="1"/>
        <v>0</v>
      </c>
      <c r="M26" s="9">
        <f ca="1"/>
        <v>0</v>
      </c>
      <c r="N26" s="12">
        <f ca="1"/>
        <v>0</v>
      </c>
      <c r="Q26" s="17"/>
    </row>
    <row r="27" spans="2:17" ht="15.75" customHeight="1" x14ac:dyDescent="0.2">
      <c r="B27" s="8" t="str">
        <v>LUN.</v>
      </c>
      <c r="C27" s="9">
        <f ca="1"/>
        <v>0</v>
      </c>
      <c r="D27" s="12">
        <f ca="1"/>
        <v>0</v>
      </c>
      <c r="E27" s="9">
        <f ca="1"/>
        <v>0</v>
      </c>
      <c r="F27" s="12">
        <f ca="1"/>
        <v>0</v>
      </c>
      <c r="G27" s="9">
        <f ca="1"/>
        <v>0</v>
      </c>
      <c r="H27" s="12">
        <f ca="1"/>
        <v>0</v>
      </c>
      <c r="I27" s="9">
        <f ca="1"/>
        <v>0</v>
      </c>
      <c r="J27" s="12">
        <f ca="1"/>
        <v>0</v>
      </c>
      <c r="K27" s="9">
        <f ca="1"/>
        <v>0</v>
      </c>
      <c r="L27" s="12">
        <f ca="1"/>
        <v>0</v>
      </c>
      <c r="M27" s="9">
        <f ca="1"/>
        <v>0</v>
      </c>
      <c r="N27" s="12">
        <f ca="1"/>
        <v>0</v>
      </c>
      <c r="Q27" s="17"/>
    </row>
    <row r="28" spans="2:17" ht="15.75" customHeight="1" x14ac:dyDescent="0.2">
      <c r="B28" s="8" t="str">
        <v>MAR</v>
      </c>
      <c r="C28" s="9">
        <f ca="1"/>
        <v>0</v>
      </c>
      <c r="D28" s="12">
        <f ca="1"/>
        <v>0</v>
      </c>
      <c r="E28" s="9">
        <f ca="1"/>
        <v>0</v>
      </c>
      <c r="F28" s="12">
        <f ca="1"/>
        <v>0</v>
      </c>
      <c r="G28" s="9">
        <f ca="1"/>
        <v>0</v>
      </c>
      <c r="H28" s="12">
        <f ca="1"/>
        <v>0</v>
      </c>
      <c r="I28" s="9">
        <f ca="1"/>
        <v>0</v>
      </c>
      <c r="J28" s="12">
        <f ca="1"/>
        <v>0</v>
      </c>
      <c r="K28" s="9">
        <f ca="1"/>
        <v>0</v>
      </c>
      <c r="L28" s="12">
        <f ca="1"/>
        <v>0</v>
      </c>
      <c r="M28" s="9">
        <f ca="1"/>
        <v>0</v>
      </c>
      <c r="N28" s="12">
        <f ca="1"/>
        <v>0</v>
      </c>
      <c r="Q28" s="17"/>
    </row>
    <row r="29" spans="2:17" ht="15.75" customHeight="1" x14ac:dyDescent="0.2">
      <c r="B29" s="8" t="str">
        <v>MIÉ</v>
      </c>
      <c r="C29" s="9">
        <f ca="1"/>
        <v>0</v>
      </c>
      <c r="D29" s="12">
        <f ca="1"/>
        <v>0</v>
      </c>
      <c r="E29" s="9">
        <f ca="1"/>
        <v>0</v>
      </c>
      <c r="F29" s="12">
        <f ca="1"/>
        <v>0</v>
      </c>
      <c r="G29" s="9">
        <f ca="1"/>
        <v>0</v>
      </c>
      <c r="H29" s="12">
        <f ca="1"/>
        <v>0</v>
      </c>
      <c r="I29" s="9">
        <f ca="1"/>
        <v>0</v>
      </c>
      <c r="J29" s="12">
        <f ca="1"/>
        <v>0</v>
      </c>
      <c r="K29" s="9">
        <f ca="1"/>
        <v>0</v>
      </c>
      <c r="L29" s="12">
        <f ca="1"/>
        <v>0</v>
      </c>
      <c r="M29" s="9">
        <f ca="1"/>
        <v>0</v>
      </c>
      <c r="N29" s="12">
        <f ca="1"/>
        <v>0</v>
      </c>
      <c r="Q29" s="17"/>
    </row>
    <row r="30" spans="2:17" ht="15.75" customHeight="1" x14ac:dyDescent="0.2">
      <c r="B30" s="8" t="str">
        <v>JUE</v>
      </c>
      <c r="C30" s="9">
        <f ca="1"/>
        <v>0</v>
      </c>
      <c r="D30" s="12">
        <f ca="1"/>
        <v>0</v>
      </c>
      <c r="E30" s="9">
        <f ca="1"/>
        <v>0</v>
      </c>
      <c r="F30" s="12">
        <f ca="1"/>
        <v>0</v>
      </c>
      <c r="G30" s="9">
        <f ca="1"/>
        <v>0</v>
      </c>
      <c r="H30" s="12">
        <f ca="1"/>
        <v>0</v>
      </c>
      <c r="I30" s="9">
        <f ca="1"/>
        <v>0</v>
      </c>
      <c r="J30" s="12">
        <f ca="1"/>
        <v>0</v>
      </c>
      <c r="K30" s="9">
        <f ca="1"/>
        <v>0</v>
      </c>
      <c r="L30" s="12">
        <f ca="1"/>
        <v>0</v>
      </c>
      <c r="M30" s="9">
        <f ca="1"/>
        <v>0</v>
      </c>
      <c r="N30" s="12">
        <f ca="1"/>
        <v>0</v>
      </c>
      <c r="Q30" s="17"/>
    </row>
    <row r="31" spans="2:17" ht="15.75" customHeight="1" x14ac:dyDescent="0.2">
      <c r="B31" s="8" t="str">
        <v>VIE</v>
      </c>
      <c r="C31" s="9">
        <f ca="1"/>
        <v>0</v>
      </c>
      <c r="D31" s="12">
        <f ca="1"/>
        <v>0</v>
      </c>
      <c r="E31" s="9">
        <f ca="1"/>
        <v>0</v>
      </c>
      <c r="F31" s="12">
        <f ca="1"/>
        <v>0</v>
      </c>
      <c r="G31" s="9">
        <f ca="1"/>
        <v>0</v>
      </c>
      <c r="H31" s="12">
        <f ca="1"/>
        <v>0</v>
      </c>
      <c r="I31" s="9">
        <f ca="1"/>
        <v>0</v>
      </c>
      <c r="J31" s="12">
        <f ca="1"/>
        <v>0</v>
      </c>
      <c r="K31" s="9">
        <f ca="1"/>
        <v>0</v>
      </c>
      <c r="L31" s="12">
        <f ca="1"/>
        <v>0</v>
      </c>
      <c r="M31" s="9">
        <f ca="1"/>
        <v>0</v>
      </c>
      <c r="N31" s="12">
        <f ca="1"/>
        <v>0</v>
      </c>
      <c r="Q31" s="17"/>
    </row>
    <row r="32" spans="2:17" ht="15.75" customHeight="1" x14ac:dyDescent="0.2">
      <c r="B32" s="8" t="str">
        <v>SÁB</v>
      </c>
      <c r="C32" s="9">
        <f ca="1"/>
        <v>0</v>
      </c>
      <c r="D32" s="12">
        <f ca="1"/>
        <v>0</v>
      </c>
      <c r="E32" s="9">
        <f ca="1"/>
        <v>0</v>
      </c>
      <c r="F32" s="12">
        <f ca="1"/>
        <v>0</v>
      </c>
      <c r="G32" s="9">
        <f ca="1"/>
        <v>0</v>
      </c>
      <c r="H32" s="12">
        <f ca="1"/>
        <v>0</v>
      </c>
      <c r="I32" s="9">
        <f ca="1"/>
        <v>0</v>
      </c>
      <c r="J32" s="12">
        <f ca="1"/>
        <v>0</v>
      </c>
      <c r="K32" s="9">
        <f ca="1"/>
        <v>0</v>
      </c>
      <c r="L32" s="12">
        <f ca="1"/>
        <v>0</v>
      </c>
      <c r="M32" s="9">
        <f ca="1"/>
        <v>0</v>
      </c>
      <c r="N32" s="12">
        <f ca="1"/>
        <v>0</v>
      </c>
    </row>
    <row r="33" spans="2:14" ht="15.75" customHeight="1" x14ac:dyDescent="0.2">
      <c r="B33" s="8" t="str">
        <v>DOM</v>
      </c>
      <c r="C33" s="9">
        <f ca="1"/>
        <v>0</v>
      </c>
      <c r="D33" s="12">
        <f ca="1"/>
        <v>0</v>
      </c>
      <c r="E33" s="9">
        <f ca="1"/>
        <v>0</v>
      </c>
      <c r="F33" s="12">
        <f ca="1"/>
        <v>0</v>
      </c>
      <c r="G33" s="9">
        <f ca="1"/>
        <v>0</v>
      </c>
      <c r="H33" s="12">
        <f ca="1"/>
        <v>0</v>
      </c>
      <c r="I33" s="9">
        <f ca="1"/>
        <v>0</v>
      </c>
      <c r="J33" s="12">
        <f ca="1"/>
        <v>0</v>
      </c>
      <c r="K33" s="9">
        <f ca="1"/>
        <v>0</v>
      </c>
      <c r="L33" s="12">
        <f ca="1"/>
        <v>0</v>
      </c>
      <c r="M33" s="9">
        <f ca="1"/>
        <v>0</v>
      </c>
      <c r="N33" s="12">
        <f ca="1"/>
        <v>0</v>
      </c>
    </row>
    <row r="34" spans="2:14" ht="15.75" customHeight="1" x14ac:dyDescent="0.2">
      <c r="B34" s="8" t="str">
        <v>LUN.</v>
      </c>
      <c r="C34" s="9">
        <f ca="1"/>
        <v>0</v>
      </c>
      <c r="D34" s="12">
        <f ca="1"/>
        <v>0</v>
      </c>
      <c r="E34" s="9">
        <f ca="1"/>
        <v>0</v>
      </c>
      <c r="F34" s="12">
        <f ca="1"/>
        <v>0</v>
      </c>
      <c r="G34" s="9">
        <f ca="1"/>
        <v>0</v>
      </c>
      <c r="H34" s="12">
        <f ca="1"/>
        <v>0</v>
      </c>
      <c r="I34" s="9">
        <f ca="1"/>
        <v>0</v>
      </c>
      <c r="J34" s="12">
        <f ca="1"/>
        <v>0</v>
      </c>
      <c r="K34" s="9">
        <f ca="1"/>
        <v>0</v>
      </c>
      <c r="L34" s="12">
        <f ca="1"/>
        <v>0</v>
      </c>
      <c r="M34" s="9">
        <f ca="1"/>
        <v>0</v>
      </c>
      <c r="N34" s="12">
        <f ca="1"/>
        <v>0</v>
      </c>
    </row>
    <row r="35" spans="2:14" ht="15.75" customHeight="1" x14ac:dyDescent="0.2">
      <c r="B35" s="8" t="str">
        <v>MAR</v>
      </c>
      <c r="C35" s="9">
        <f ca="1"/>
        <v>0</v>
      </c>
      <c r="D35" s="12">
        <f ca="1"/>
        <v>0</v>
      </c>
      <c r="E35" s="9">
        <f ca="1"/>
        <v>0</v>
      </c>
      <c r="F35" s="12">
        <f ca="1"/>
        <v>0</v>
      </c>
      <c r="G35" s="9">
        <f ca="1"/>
        <v>0</v>
      </c>
      <c r="H35" s="12">
        <f ca="1"/>
        <v>0</v>
      </c>
      <c r="I35" s="9">
        <f ca="1"/>
        <v>0</v>
      </c>
      <c r="J35" s="12">
        <f ca="1"/>
        <v>0</v>
      </c>
      <c r="K35" s="9">
        <f ca="1"/>
        <v>0</v>
      </c>
      <c r="L35" s="12">
        <f ca="1"/>
        <v>0</v>
      </c>
      <c r="M35" s="9">
        <f ca="1"/>
        <v>0</v>
      </c>
      <c r="N35" s="12">
        <f ca="1"/>
        <v>0</v>
      </c>
    </row>
    <row r="36" spans="2:14" ht="15.75" customHeight="1" x14ac:dyDescent="0.2">
      <c r="B36" s="8" t="str">
        <v>MIÉ</v>
      </c>
      <c r="C36" s="9">
        <f ca="1"/>
        <v>0</v>
      </c>
      <c r="D36" s="12">
        <f ca="1"/>
        <v>0</v>
      </c>
      <c r="E36" s="9">
        <f ca="1"/>
        <v>0</v>
      </c>
      <c r="F36" s="12">
        <f ca="1"/>
        <v>0</v>
      </c>
      <c r="G36" s="9">
        <f ca="1"/>
        <v>0</v>
      </c>
      <c r="H36" s="12">
        <f ca="1"/>
        <v>0</v>
      </c>
      <c r="I36" s="9">
        <f ca="1"/>
        <v>0</v>
      </c>
      <c r="J36" s="12">
        <f ca="1"/>
        <v>0</v>
      </c>
      <c r="K36" s="9">
        <f ca="1"/>
        <v>0</v>
      </c>
      <c r="L36" s="12">
        <f ca="1"/>
        <v>0</v>
      </c>
      <c r="M36" s="9">
        <f ca="1"/>
        <v>0</v>
      </c>
      <c r="N36" s="12">
        <f ca="1"/>
        <v>0</v>
      </c>
    </row>
    <row r="37" spans="2:14" ht="15.75" customHeight="1" x14ac:dyDescent="0.2">
      <c r="B37" s="8" t="str">
        <v>JUE</v>
      </c>
      <c r="C37" s="10">
        <f ca="1"/>
        <v>0</v>
      </c>
      <c r="D37" s="13">
        <f ca="1"/>
        <v>0</v>
      </c>
      <c r="E37" s="10">
        <f ca="1"/>
        <v>0</v>
      </c>
      <c r="F37" s="13">
        <f ca="1"/>
        <v>0</v>
      </c>
      <c r="G37" s="10">
        <f ca="1"/>
        <v>0</v>
      </c>
      <c r="H37" s="13">
        <f ca="1"/>
        <v>0</v>
      </c>
      <c r="I37" s="10">
        <f ca="1"/>
        <v>0</v>
      </c>
      <c r="J37" s="13">
        <f ca="1"/>
        <v>0</v>
      </c>
      <c r="K37" s="10">
        <f ca="1"/>
        <v>0</v>
      </c>
      <c r="L37" s="13">
        <f ca="1"/>
        <v>0</v>
      </c>
      <c r="M37" s="10">
        <f ca="1"/>
        <v>0</v>
      </c>
      <c r="N37" s="13">
        <f ca="1"/>
        <v>0</v>
      </c>
    </row>
    <row r="38" spans="2:14" ht="15.75" customHeight="1" x14ac:dyDescent="0.2">
      <c r="B38" s="8" t="str">
        <v>VIE</v>
      </c>
      <c r="C38" s="10">
        <f ca="1"/>
        <v>0</v>
      </c>
      <c r="D38" s="13">
        <f ca="1"/>
        <v>0</v>
      </c>
      <c r="E38" s="10">
        <f ca="1"/>
        <v>0</v>
      </c>
      <c r="F38" s="13">
        <f ca="1"/>
        <v>0</v>
      </c>
      <c r="G38" s="10">
        <f ca="1"/>
        <v>0</v>
      </c>
      <c r="H38" s="13">
        <f ca="1"/>
        <v>0</v>
      </c>
      <c r="I38" s="10">
        <f ca="1"/>
        <v>0</v>
      </c>
      <c r="J38" s="13">
        <f ca="1"/>
        <v>0</v>
      </c>
      <c r="K38" s="10">
        <f ca="1"/>
        <v>0</v>
      </c>
      <c r="L38" s="13">
        <f ca="1"/>
        <v>0</v>
      </c>
      <c r="M38" s="10">
        <f ca="1"/>
        <v>0</v>
      </c>
      <c r="N38" s="13">
        <f ca="1"/>
        <v>0</v>
      </c>
    </row>
    <row r="39" spans="2:14" ht="15.75" customHeight="1" x14ac:dyDescent="0.2">
      <c r="B39" s="8" t="str">
        <v>SÁB</v>
      </c>
      <c r="C39" s="10">
        <f ca="1"/>
        <v>0</v>
      </c>
      <c r="D39" s="13">
        <f ca="1"/>
        <v>0</v>
      </c>
      <c r="E39" s="10">
        <f ca="1"/>
        <v>0</v>
      </c>
      <c r="F39" s="13">
        <f ca="1"/>
        <v>0</v>
      </c>
      <c r="G39" s="10">
        <f ca="1"/>
        <v>0</v>
      </c>
      <c r="H39" s="13">
        <f ca="1"/>
        <v>0</v>
      </c>
      <c r="I39" s="10">
        <f ca="1"/>
        <v>0</v>
      </c>
      <c r="J39" s="13">
        <f ca="1"/>
        <v>0</v>
      </c>
      <c r="K39" s="10">
        <f ca="1"/>
        <v>0</v>
      </c>
      <c r="L39" s="13">
        <f ca="1"/>
        <v>0</v>
      </c>
      <c r="M39" s="10">
        <f ca="1"/>
        <v>0</v>
      </c>
      <c r="N39" s="13">
        <f ca="1"/>
        <v>0</v>
      </c>
    </row>
    <row r="40" spans="2:14" ht="15.75" customHeight="1" x14ac:dyDescent="0.2">
      <c r="B40" s="8" t="str">
        <v>DOM</v>
      </c>
      <c r="C40" s="10">
        <f ca="1"/>
        <v>0</v>
      </c>
      <c r="D40" s="13">
        <f ca="1"/>
        <v>0</v>
      </c>
      <c r="E40" s="10">
        <f ca="1"/>
        <v>0</v>
      </c>
      <c r="F40" s="13">
        <f ca="1"/>
        <v>0</v>
      </c>
      <c r="G40" s="10">
        <f ca="1"/>
        <v>0</v>
      </c>
      <c r="H40" s="13">
        <f ca="1"/>
        <v>0</v>
      </c>
      <c r="I40" s="10">
        <f ca="1"/>
        <v>0</v>
      </c>
      <c r="J40" s="13">
        <f ca="1"/>
        <v>0</v>
      </c>
      <c r="K40" s="10">
        <f ca="1"/>
        <v>0</v>
      </c>
      <c r="L40" s="13">
        <f ca="1"/>
        <v>0</v>
      </c>
      <c r="M40" s="10">
        <f ca="1"/>
        <v>0</v>
      </c>
      <c r="N40" s="13">
        <f ca="1"/>
        <v>0</v>
      </c>
    </row>
    <row r="41" spans="2:14" ht="15.75" customHeight="1" x14ac:dyDescent="0.2">
      <c r="B41" s="8" t="str">
        <v>LUN.</v>
      </c>
      <c r="C41" s="10">
        <f ca="1"/>
        <v>0</v>
      </c>
      <c r="D41" s="13">
        <f ca="1"/>
        <v>0</v>
      </c>
      <c r="E41" s="10">
        <f ca="1"/>
        <v>0</v>
      </c>
      <c r="F41" s="13">
        <f ca="1"/>
        <v>0</v>
      </c>
      <c r="G41" s="11">
        <f ca="1"/>
        <v>0</v>
      </c>
      <c r="H41" s="14">
        <f ca="1"/>
        <v>0</v>
      </c>
      <c r="I41" s="10">
        <f ca="1"/>
        <v>0</v>
      </c>
      <c r="J41" s="13">
        <f ca="1"/>
        <v>0</v>
      </c>
      <c r="K41" s="10">
        <f ca="1"/>
        <v>0</v>
      </c>
      <c r="L41" s="13">
        <f ca="1"/>
        <v>0</v>
      </c>
      <c r="M41" s="10">
        <f ca="1"/>
        <v>0</v>
      </c>
      <c r="N41" s="13">
        <f ca="1"/>
        <v>0</v>
      </c>
    </row>
    <row r="42" spans="2:14" ht="15.75" customHeight="1" x14ac:dyDescent="0.2">
      <c r="B42" s="8" t="str">
        <v>MAR</v>
      </c>
      <c r="C42" s="10">
        <f ca="1"/>
        <v>0</v>
      </c>
      <c r="D42" s="13">
        <f ca="1"/>
        <v>0</v>
      </c>
      <c r="E42" s="10">
        <f ca="1"/>
        <v>0</v>
      </c>
      <c r="F42" s="13">
        <f ca="1"/>
        <v>0</v>
      </c>
      <c r="G42" s="11">
        <f ca="1"/>
        <v>0</v>
      </c>
      <c r="H42" s="13">
        <f ca="1"/>
        <v>0</v>
      </c>
      <c r="I42" s="10">
        <f ca="1"/>
        <v>0</v>
      </c>
      <c r="J42" s="13">
        <f ca="1"/>
        <v>0</v>
      </c>
      <c r="K42" s="10">
        <f ca="1"/>
        <v>0</v>
      </c>
      <c r="L42" s="13">
        <f ca="1"/>
        <v>0</v>
      </c>
      <c r="M42" s="10">
        <f ca="1"/>
        <v>0</v>
      </c>
      <c r="N42" s="13">
        <f ca="1"/>
        <v>0</v>
      </c>
    </row>
  </sheetData>
  <sheetProtection sheet="1" selectLockedCells="1"/>
  <conditionalFormatting sqref="C6:N42">
    <cfRule type="expression" dxfId="48" priority="4">
      <formula>LEFT($B6,2)="MA"</formula>
    </cfRule>
    <cfRule type="expression" dxfId="47" priority="6">
      <formula>LEFT($B6,1)="s"</formula>
    </cfRule>
    <cfRule type="expression" dxfId="46" priority="2">
      <formula>LEFT($B6,1)="J"</formula>
    </cfRule>
    <cfRule type="expression" dxfId="45" priority="5">
      <formula>LEFT($B6,1)="D"</formula>
    </cfRule>
  </conditionalFormatting>
  <printOptions horizontalCentered="1"/>
  <pageMargins left="0.5" right="0.5" top="0.5" bottom="0.5" header="0.5" footer="0.5"/>
  <pageSetup paperSize="9" fitToHeight="0" orientation="landscape" r:id="rId1"/>
  <colBreaks count="1" manualBreakCount="1">
    <brk id="14" max="1048575" man="1"/>
  </colBreaks>
  <ignoredErrors>
    <ignoredError sqref="C3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E5BB6BD-3B2A-4671-991F-2E83EDBF3086}">
            <x14:iconSet iconSet="3Sign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TrafficLights1" iconId="1"/>
            </x14:iconSet>
          </x14:cfRule>
          <x14:cfRule type="expression" priority="7" id="{E1105EB4-4027-46C5-8622-1AB4E408060F}">
            <xm:f>LEN(cálculos!C7)=0</xm:f>
            <x14:dxf>
              <numFmt numFmtId="165" formatCode=";;"/>
            </x14:dxf>
          </x14:cfRule>
          <x14:cfRule type="expression" priority="8" id="{35E10730-A314-49B5-A231-3E51A79780C0}">
            <xm:f>DAY(cálculos!C7)=1</xm:f>
            <x14:dxf>
              <numFmt numFmtId="203" formatCode="&quot;1&quot;"/>
            </x14:dxf>
          </x14:cfRule>
          <x14:cfRule type="expression" priority="9" id="{65604235-F29E-4553-B8B3-BA572D0A8536}">
            <xm:f>DAY(cálculos!C7)=2</xm:f>
            <x14:dxf>
              <numFmt numFmtId="202" formatCode="&quot;2&quot;"/>
            </x14:dxf>
          </x14:cfRule>
          <x14:cfRule type="expression" priority="10" id="{43824BC3-4172-4F91-858A-06C6964A7ACC}">
            <xm:f>DAY(cálculos!C7)=3</xm:f>
            <x14:dxf>
              <numFmt numFmtId="201" formatCode="&quot;3&quot;"/>
            </x14:dxf>
          </x14:cfRule>
          <x14:cfRule type="expression" priority="11" id="{31016F1A-E9F7-4E70-8E35-8A690EB7F9A0}">
            <xm:f>DAY(cálculos!C7)=4</xm:f>
            <x14:dxf>
              <numFmt numFmtId="200" formatCode="&quot;4&quot;"/>
            </x14:dxf>
          </x14:cfRule>
          <x14:cfRule type="expression" priority="12" id="{9BAADB87-BD1B-4BEB-A596-E533E1D08C16}">
            <xm:f>DAY(cálculos!C7)=5</xm:f>
            <x14:dxf>
              <numFmt numFmtId="199" formatCode="&quot;5&quot;"/>
            </x14:dxf>
          </x14:cfRule>
          <x14:cfRule type="expression" priority="13" id="{1FBD8A24-C6B3-4795-98FB-9E6E2F21B1FF}">
            <xm:f>DAY(cálculos!C7)=6</xm:f>
            <x14:dxf>
              <numFmt numFmtId="198" formatCode="&quot;6&quot;"/>
            </x14:dxf>
          </x14:cfRule>
          <x14:cfRule type="expression" priority="14" id="{42553FFA-8809-4155-A1FF-BA4813E892C2}">
            <xm:f>DAY(cálculos!C7)=7</xm:f>
            <x14:dxf>
              <numFmt numFmtId="197" formatCode="&quot;7&quot;"/>
            </x14:dxf>
          </x14:cfRule>
          <x14:cfRule type="expression" priority="15" id="{4A1F2C46-2DFF-4C32-887B-AC9A8FAF12E7}">
            <xm:f>DAY(cálculos!C7)=8</xm:f>
            <x14:dxf>
              <numFmt numFmtId="196" formatCode="&quot;8&quot;"/>
            </x14:dxf>
          </x14:cfRule>
          <x14:cfRule type="expression" priority="16" id="{C212F643-AA7D-4EB3-8A5E-76C3CC05AE17}">
            <xm:f>DAY(cálculos!C7)=9</xm:f>
            <x14:dxf>
              <numFmt numFmtId="195" formatCode="&quot;9&quot;"/>
            </x14:dxf>
          </x14:cfRule>
          <x14:cfRule type="expression" priority="17" id="{31ACA9CA-BA1A-4505-9B69-5FFB956C5BB4}">
            <xm:f>DAY(cálculos!C7)=10</xm:f>
            <x14:dxf>
              <numFmt numFmtId="194" formatCode="&quot;10&quot;"/>
            </x14:dxf>
          </x14:cfRule>
          <x14:cfRule type="expression" priority="18" id="{D0DDC460-53F4-4B85-82C3-BAB5ABD211AC}">
            <xm:f>DAY(cálculos!C7)=11</xm:f>
            <x14:dxf>
              <numFmt numFmtId="193" formatCode="&quot;11&quot;"/>
            </x14:dxf>
          </x14:cfRule>
          <x14:cfRule type="expression" priority="19" id="{948B3F05-1DEA-41CA-8735-9559651162E7}">
            <xm:f>DAY(cálculos!C7)=12</xm:f>
            <x14:dxf>
              <numFmt numFmtId="192" formatCode="&quot;12&quot;"/>
            </x14:dxf>
          </x14:cfRule>
          <x14:cfRule type="expression" priority="20" id="{3823A358-04BF-4A3A-8CE8-937DC05EBD83}">
            <xm:f>DAY(cálculos!C7)=13</xm:f>
            <x14:dxf>
              <numFmt numFmtId="191" formatCode="&quot;13&quot;"/>
            </x14:dxf>
          </x14:cfRule>
          <x14:cfRule type="expression" priority="21" id="{CD83BAB4-E673-4AB0-B6CF-09289134C028}">
            <xm:f>DAY(cálculos!C7)=14</xm:f>
            <x14:dxf>
              <numFmt numFmtId="190" formatCode="&quot;14&quot;"/>
            </x14:dxf>
          </x14:cfRule>
          <x14:cfRule type="expression" priority="22" id="{AA9F33C7-3C21-49DD-9C19-D15B71837CDC}">
            <xm:f>DAY(cálculos!C7)=15</xm:f>
            <x14:dxf>
              <numFmt numFmtId="189" formatCode="&quot;15&quot;"/>
            </x14:dxf>
          </x14:cfRule>
          <x14:cfRule type="expression" priority="23" id="{F88F829E-8C4D-4490-BB9B-76DB4E42A491}">
            <xm:f>DAY(cálculos!C7)=16</xm:f>
            <x14:dxf>
              <numFmt numFmtId="188" formatCode="&quot;16&quot;"/>
            </x14:dxf>
          </x14:cfRule>
          <x14:cfRule type="expression" priority="24" id="{11AC6B6F-4D32-465E-9749-186E0ABF4B83}">
            <xm:f>DAY(cálculos!C7)=17</xm:f>
            <x14:dxf>
              <numFmt numFmtId="187" formatCode="&quot;17&quot;"/>
            </x14:dxf>
          </x14:cfRule>
          <x14:cfRule type="expression" priority="25" id="{9D35BAAC-6DDB-4336-9109-E2CAE68367C1}">
            <xm:f>DAY(cálculos!C7)=18</xm:f>
            <x14:dxf>
              <numFmt numFmtId="186" formatCode="&quot;18&quot;"/>
            </x14:dxf>
          </x14:cfRule>
          <x14:cfRule type="expression" priority="26" id="{47EB833D-5039-45B8-A43D-1DEA6331527D}">
            <xm:f>DAY(cálculos!C7)=19</xm:f>
            <x14:dxf>
              <numFmt numFmtId="185" formatCode="&quot;19&quot;"/>
            </x14:dxf>
          </x14:cfRule>
          <x14:cfRule type="expression" priority="27" id="{E198F57B-3B97-41F1-B532-5DE8F1DB0D7F}">
            <xm:f>DAY(cálculos!C7)=20</xm:f>
            <x14:dxf>
              <numFmt numFmtId="184" formatCode="&quot;20&quot;"/>
            </x14:dxf>
          </x14:cfRule>
          <x14:cfRule type="expression" priority="28" id="{595F1B2D-9A40-449D-8B94-A17108AF22E8}">
            <xm:f>DAY(cálculos!C7)=21</xm:f>
            <x14:dxf>
              <numFmt numFmtId="183" formatCode="&quot;21&quot;"/>
            </x14:dxf>
          </x14:cfRule>
          <x14:cfRule type="expression" priority="29" id="{5313963C-9769-448A-BFFB-181DD3DD2AB6}">
            <xm:f>DAY(cálculos!C7)=22</xm:f>
            <x14:dxf>
              <numFmt numFmtId="182" formatCode="&quot;22&quot;"/>
            </x14:dxf>
          </x14:cfRule>
          <x14:cfRule type="expression" priority="30" id="{5B3C817A-4663-452F-B7E0-38C58C185241}">
            <xm:f>DAY(cálculos!C7)=23</xm:f>
            <x14:dxf>
              <numFmt numFmtId="181" formatCode="&quot;23&quot;"/>
            </x14:dxf>
          </x14:cfRule>
          <x14:cfRule type="expression" priority="31" id="{8C945BF4-66F6-41B2-9E04-5A5777A31BCD}">
            <xm:f>DAY(cálculos!C7)=24</xm:f>
            <x14:dxf>
              <numFmt numFmtId="180" formatCode="&quot;24&quot;"/>
            </x14:dxf>
          </x14:cfRule>
          <x14:cfRule type="expression" priority="32" id="{7A7B99EC-5BDD-4248-BFC8-73E9D5195706}">
            <xm:f>DAY(cálculos!C7)=25</xm:f>
            <x14:dxf>
              <numFmt numFmtId="179" formatCode="&quot;25&quot;"/>
            </x14:dxf>
          </x14:cfRule>
          <x14:cfRule type="expression" priority="33" id="{E97641B7-92C6-4468-8460-5A03B4026FE5}">
            <xm:f>DAY(cálculos!C7)=26</xm:f>
            <x14:dxf>
              <numFmt numFmtId="178" formatCode="&quot;26&quot;"/>
            </x14:dxf>
          </x14:cfRule>
          <x14:cfRule type="expression" priority="34" id="{05AF6714-704A-4A41-A2AA-90EA4E625A17}">
            <xm:f>DAY(cálculos!C7)=27</xm:f>
            <x14:dxf>
              <numFmt numFmtId="177" formatCode="&quot;27&quot;"/>
            </x14:dxf>
          </x14:cfRule>
          <x14:cfRule type="expression" priority="35" id="{C6561B13-9C42-450A-8744-7D18C690DAF3}">
            <xm:f>DAY(cálculos!C7)=28</xm:f>
            <x14:dxf>
              <numFmt numFmtId="176" formatCode="&quot;28&quot;"/>
            </x14:dxf>
          </x14:cfRule>
          <x14:cfRule type="expression" priority="36" id="{1B62D602-DA53-4425-9410-1553D6101A8E}">
            <xm:f>DAY(cálculos!C7)=29</xm:f>
            <x14:dxf>
              <numFmt numFmtId="175" formatCode="&quot;29&quot;"/>
            </x14:dxf>
          </x14:cfRule>
          <x14:cfRule type="expression" priority="37" id="{6BD57097-443B-4C44-82B8-115EF4346091}">
            <xm:f>DAY(cálculos!C7)=30</xm:f>
            <x14:dxf>
              <numFmt numFmtId="174" formatCode="&quot;30&quot;"/>
            </x14:dxf>
          </x14:cfRule>
          <x14:cfRule type="expression" priority="38" id="{A39794A1-EC3A-4287-8729-07D459176B70}">
            <xm:f>DAY(cálculos!C7)=31</xm:f>
            <x14:dxf>
              <numFmt numFmtId="173" formatCode="&quot;31&quot;"/>
            </x14:dxf>
          </x14:cfRule>
          <xm:sqref>C6:N42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0" tint="-0.249977111117893"/>
    <pageSetUpPr autoPageBreaks="0" fitToPage="1"/>
  </sheetPr>
  <dimension ref="A1:D16"/>
  <sheetViews>
    <sheetView showGridLines="0" workbookViewId="0"/>
  </sheetViews>
  <sheetFormatPr baseColWidth="10" defaultColWidth="9.140625" defaultRowHeight="30" customHeight="1" x14ac:dyDescent="0.2"/>
  <cols>
    <col min="1" max="1" width="2.28515625" style="5" customWidth="1"/>
    <col min="2" max="2" width="21.28515625" style="51" customWidth="1"/>
    <col min="3" max="3" width="20.85546875" style="20" customWidth="1"/>
    <col min="4" max="4" width="51.5703125" style="30" customWidth="1"/>
    <col min="5" max="16384" width="9.140625" style="5"/>
  </cols>
  <sheetData>
    <row r="1" spans="1:4" ht="35.25" customHeight="1" x14ac:dyDescent="0.2">
      <c r="A1" s="4"/>
      <c r="B1" s="26" t="s">
        <v>10</v>
      </c>
      <c r="C1" s="31"/>
      <c r="D1" s="29"/>
    </row>
    <row r="2" spans="1:4" ht="15.75" customHeight="1" x14ac:dyDescent="0.2">
      <c r="B2" s="27"/>
      <c r="C2" s="32"/>
    </row>
    <row r="3" spans="1:4" ht="22.5" customHeight="1" x14ac:dyDescent="0.2">
      <c r="B3" s="28" t="s">
        <v>10</v>
      </c>
      <c r="C3" s="32"/>
    </row>
    <row r="4" spans="1:4" ht="20.45" customHeight="1" x14ac:dyDescent="0.2">
      <c r="B4" s="36" t="s">
        <v>11</v>
      </c>
      <c r="C4" s="37" t="s">
        <v>12</v>
      </c>
      <c r="D4" s="38" t="s">
        <v>13</v>
      </c>
    </row>
    <row r="5" spans="1:4" ht="30" customHeight="1" x14ac:dyDescent="0.2">
      <c r="B5" s="50">
        <f ca="1">TODAY()</f>
        <v>43944</v>
      </c>
      <c r="C5" s="48">
        <v>0.41666666666666669</v>
      </c>
      <c r="D5" s="39" t="s">
        <v>14</v>
      </c>
    </row>
    <row r="6" spans="1:4" ht="30" customHeight="1" x14ac:dyDescent="0.2">
      <c r="B6" s="50">
        <f ca="1">TODAY()</f>
        <v>43944</v>
      </c>
      <c r="C6" s="48">
        <v>0.875</v>
      </c>
      <c r="D6" s="39" t="s">
        <v>15</v>
      </c>
    </row>
    <row r="7" spans="1:4" ht="30" customHeight="1" x14ac:dyDescent="0.2">
      <c r="B7" s="50">
        <f ca="1">TODAY()+1</f>
        <v>43945</v>
      </c>
      <c r="C7" s="48">
        <v>0.66666666666666663</v>
      </c>
      <c r="D7" s="39" t="s">
        <v>16</v>
      </c>
    </row>
    <row r="8" spans="1:4" ht="30" customHeight="1" x14ac:dyDescent="0.2">
      <c r="B8" s="50">
        <f ca="1">TODAY()+2</f>
        <v>43946</v>
      </c>
      <c r="C8" s="48">
        <v>0.875</v>
      </c>
      <c r="D8" s="39" t="s">
        <v>17</v>
      </c>
    </row>
    <row r="9" spans="1:4" ht="30" customHeight="1" x14ac:dyDescent="0.2">
      <c r="B9" s="50">
        <f ca="1">TODAY()+3</f>
        <v>43947</v>
      </c>
      <c r="C9" s="48">
        <v>0.41666666666666669</v>
      </c>
      <c r="D9" s="39" t="s">
        <v>16</v>
      </c>
    </row>
    <row r="10" spans="1:4" ht="30" customHeight="1" x14ac:dyDescent="0.2">
      <c r="B10" s="50">
        <f ca="1">TODAY()+4</f>
        <v>43948</v>
      </c>
      <c r="C10" s="48">
        <v>0.54166666666666663</v>
      </c>
      <c r="D10" s="39" t="s">
        <v>18</v>
      </c>
    </row>
    <row r="11" spans="1:4" ht="30" customHeight="1" x14ac:dyDescent="0.2">
      <c r="B11" s="50">
        <f ca="1">TODAY()+5</f>
        <v>43949</v>
      </c>
      <c r="C11" s="48">
        <v>0.625</v>
      </c>
      <c r="D11" s="39" t="s">
        <v>18</v>
      </c>
    </row>
    <row r="12" spans="1:4" ht="30" customHeight="1" x14ac:dyDescent="0.2">
      <c r="B12" s="50">
        <f ca="1">TODAY()+7</f>
        <v>43951</v>
      </c>
      <c r="C12" s="48">
        <v>0.75</v>
      </c>
      <c r="D12" s="39" t="s">
        <v>19</v>
      </c>
    </row>
    <row r="13" spans="1:4" ht="30" customHeight="1" x14ac:dyDescent="0.2">
      <c r="B13" s="50">
        <f ca="1">TODAY()+8</f>
        <v>43952</v>
      </c>
      <c r="C13" s="48">
        <v>0.4375</v>
      </c>
      <c r="D13" s="39" t="s">
        <v>20</v>
      </c>
    </row>
    <row r="14" spans="1:4" ht="30" customHeight="1" x14ac:dyDescent="0.2">
      <c r="B14" s="50">
        <f ca="1">TODAY()+9</f>
        <v>43953</v>
      </c>
      <c r="C14" s="48">
        <v>0.41666666666666669</v>
      </c>
      <c r="D14" s="39" t="s">
        <v>18</v>
      </c>
    </row>
    <row r="15" spans="1:4" ht="30" customHeight="1" x14ac:dyDescent="0.2">
      <c r="B15" s="50">
        <f ca="1">TODAY()+10</f>
        <v>43954</v>
      </c>
      <c r="C15" s="48">
        <v>0.79166666666666663</v>
      </c>
      <c r="D15" s="39" t="s">
        <v>16</v>
      </c>
    </row>
    <row r="16" spans="1:4" ht="30" customHeight="1" x14ac:dyDescent="0.2">
      <c r="B16" s="50">
        <f ca="1">TODAY()+11</f>
        <v>43955</v>
      </c>
      <c r="C16" s="48">
        <v>0.875</v>
      </c>
      <c r="D16" s="39" t="s">
        <v>21</v>
      </c>
    </row>
  </sheetData>
  <conditionalFormatting sqref="B17:D18">
    <cfRule type="expression" dxfId="12" priority="5">
      <formula>AND(ODD(ROW())=ROW(),$C17&lt;&gt;"")</formula>
    </cfRule>
    <cfRule type="expression" dxfId="11" priority="6">
      <formula>AND(EVEN(ROW())=ROW(),$B17&lt;&gt;"")</formula>
    </cfRule>
  </conditionalFormatting>
  <conditionalFormatting sqref="B5:D16">
    <cfRule type="expression" dxfId="10" priority="1">
      <formula>AND(ODD(ROW())=ROW(),$D5&lt;&gt;"")</formula>
    </cfRule>
    <cfRule type="expression" dxfId="9" priority="2">
      <formula>AND(EVEN(ROW())=ROW(),$C5&lt;&gt;"")</formula>
    </cfRule>
  </conditionalFormatting>
  <dataValidations count="1">
    <dataValidation type="time" allowBlank="1" showInputMessage="1" showErrorMessage="1" errorTitle="Entrada de hora" error="Debe escribirse una hora entre las 12:00 y 23:59 para que este calendario funcione correctamente. " sqref="C5:C18" xr:uid="{00000000-0002-0000-0100-000000000000}">
      <formula1>0</formula1>
      <formula2>0.999988425925926</formula2>
    </dataValidation>
  </dataValidations>
  <printOptions horizontalCentered="1"/>
  <pageMargins left="0.5" right="0.5" top="0.5" bottom="0.5" header="0.5" footer="0.5"/>
  <pageSetup paperSize="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Z190"/>
  <sheetViews>
    <sheetView workbookViewId="0"/>
  </sheetViews>
  <sheetFormatPr baseColWidth="10" defaultColWidth="9.140625" defaultRowHeight="12.75" x14ac:dyDescent="0.2"/>
  <cols>
    <col min="1" max="1" width="9.140625" style="1"/>
    <col min="3" max="14" width="10.140625" bestFit="1" customWidth="1"/>
    <col min="16" max="16" width="12.42578125" customWidth="1"/>
    <col min="17" max="17" width="12.42578125" style="1" customWidth="1"/>
    <col min="18" max="18" width="17.5703125" customWidth="1"/>
    <col min="19" max="19" width="17.42578125" customWidth="1"/>
    <col min="20" max="20" width="11.5703125" style="40" bestFit="1" customWidth="1"/>
    <col min="21" max="21" width="26" style="1" customWidth="1"/>
    <col min="22" max="22" width="11.5703125" customWidth="1"/>
    <col min="23" max="23" width="21.140625" customWidth="1"/>
    <col min="24" max="24" width="12.42578125" customWidth="1"/>
    <col min="25" max="25" width="26.85546875" customWidth="1"/>
  </cols>
  <sheetData>
    <row r="1" spans="2:26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 t="s">
        <v>25</v>
      </c>
    </row>
    <row r="2" spans="2:26" ht="15" x14ac:dyDescent="0.25">
      <c r="B2" s="1"/>
      <c r="C2" s="3" t="s">
        <v>23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5">
        <f ca="1">TODAY()</f>
        <v>43944</v>
      </c>
      <c r="Q2" s="15"/>
      <c r="S2" t="s">
        <v>27</v>
      </c>
    </row>
    <row r="3" spans="2:26" s="1" customFormat="1" ht="15" x14ac:dyDescent="0.25">
      <c r="C3" s="3"/>
      <c r="S3" s="1" t="s">
        <v>28</v>
      </c>
      <c r="T3" s="40"/>
    </row>
    <row r="4" spans="2:26" x14ac:dyDescent="0.2">
      <c r="B4" s="1"/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t="s">
        <v>26</v>
      </c>
      <c r="S4" s="5" t="s">
        <v>29</v>
      </c>
      <c r="T4" s="40" t="s">
        <v>30</v>
      </c>
      <c r="U4" s="1" t="s">
        <v>31</v>
      </c>
      <c r="W4" t="s">
        <v>32</v>
      </c>
      <c r="X4" t="s">
        <v>30</v>
      </c>
      <c r="Y4" t="s">
        <v>31</v>
      </c>
    </row>
    <row r="5" spans="2:26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>
        <f ca="1">IFERROR(RANK(S5,cálculos!$S$5:$S$24,1)+SUMPRODUCT(--(S5=cálculos!$S$5:$S$24),--(U5&gt;cálculos!$U$5:$U$24)),"")</f>
        <v>1</v>
      </c>
      <c r="S5" s="41">
        <f ca="1">IFERROR(RANK($T5,cálculos!$T$5:$T$24,1),"")</f>
        <v>1</v>
      </c>
      <c r="T5" s="49">
        <f t="array" aca="1" ref="T5" ca="1">IFERROR(INDEX(AppointmentDetails[],SMALL(IF(AppointmentDetails[FECHA]=TodaysDate,ROW(AppointmentDetails[FECHA])-4),ROW(A1)),2),"")</f>
        <v>0.41666666666666669</v>
      </c>
      <c r="U5" s="40" t="str">
        <f t="array" aca="1" ref="U5" ca="1">IFERROR(INDEX(AppointmentDetails[],SMALL(IF(AppointmentDetails[FECHA]=TodaysDate,ROW(AppointmentDetails[FECHA])-4),ROW(A1)),3),"")</f>
        <v>Dentista</v>
      </c>
      <c r="W5">
        <v>1</v>
      </c>
      <c r="X5" s="49">
        <f ca="1">IFERROR(VLOOKUP(W5,SortTable[],3,FALSE),"")</f>
        <v>0.41666666666666669</v>
      </c>
      <c r="Y5" t="str">
        <f ca="1">IFERROR(VLOOKUP(W5,SortTable[],4,FALSE),"")</f>
        <v>Dentista</v>
      </c>
      <c r="Z5" s="42"/>
    </row>
    <row r="6" spans="2:26" x14ac:dyDescent="0.2">
      <c r="B6" s="1"/>
      <c r="C6" s="2">
        <f t="array" aca="1" ref="C6:N6" ca="1">MonthHeader_Values</f>
        <v>44075</v>
      </c>
      <c r="D6" s="2">
        <f ca="1"/>
        <v>44105</v>
      </c>
      <c r="E6" s="2">
        <f ca="1"/>
        <v>44136</v>
      </c>
      <c r="F6" s="2">
        <f ca="1"/>
        <v>44166</v>
      </c>
      <c r="G6" s="2">
        <f ca="1"/>
        <v>44197</v>
      </c>
      <c r="H6" s="2">
        <f ca="1"/>
        <v>44228</v>
      </c>
      <c r="I6" s="2">
        <f ca="1"/>
        <v>44256</v>
      </c>
      <c r="J6" s="2">
        <f ca="1"/>
        <v>44287</v>
      </c>
      <c r="K6" s="2">
        <f ca="1"/>
        <v>44317</v>
      </c>
      <c r="L6" s="2">
        <f ca="1"/>
        <v>44348</v>
      </c>
      <c r="M6" s="2">
        <f ca="1"/>
        <v>44378</v>
      </c>
      <c r="N6" s="2">
        <f ca="1"/>
        <v>44409</v>
      </c>
      <c r="O6" s="1"/>
      <c r="P6" s="1"/>
      <c r="R6" s="1">
        <f ca="1">IFERROR(RANK(S6,cálculos!$S$5:$S$24,1)+SUMPRODUCT(--(S6=cálculos!$S$5:$S$24),--(U6&gt;cálculos!$U$5:$U$24)),"")</f>
        <v>2</v>
      </c>
      <c r="S6" s="41">
        <f ca="1">IFERROR(RANK($T6,cálculos!$T$5:$T$24,1),"")</f>
        <v>2</v>
      </c>
      <c r="T6" s="49">
        <f t="array" aca="1" ref="T6" ca="1">IFERROR(INDEX(AppointmentDetails[],SMALL(IF(AppointmentDetails[FECHA]=TodaysDate,ROW(AppointmentDetails[FECHA])-4),ROW(A2)),2),"")</f>
        <v>0.875</v>
      </c>
      <c r="U6" s="40" t="str">
        <f t="array" aca="1" ref="U6" ca="1">IFERROR(INDEX(AppointmentDetails[],SMALL(IF(AppointmentDetails[FECHA]=TodaysDate,ROW(AppointmentDetails[FECHA])-4),ROW(A2)),3),"")</f>
        <v>Fiesta de cumpleaños de Ana</v>
      </c>
      <c r="W6">
        <v>2</v>
      </c>
      <c r="X6" s="49">
        <f ca="1">IFERROR(VLOOKUP(W6,SortTable[],3,FALSE),"")</f>
        <v>0.875</v>
      </c>
      <c r="Y6" s="1" t="str">
        <f ca="1">IFERROR(VLOOKUP(W6,SortTable[],4,FALSE),"")</f>
        <v>Fiesta de cumpleaños de Ana</v>
      </c>
    </row>
    <row r="7" spans="2:26" x14ac:dyDescent="0.2">
      <c r="B7" s="1" t="s">
        <v>22</v>
      </c>
      <c r="C7" s="53" t="str">
        <f t="array" aca="1" ref="C7:N43" ca="1">IF(MONTH(C6:N6-WEEKDAY(C6:N6,2)+ROW(1:50))=MONTH(C6:N6),C6:N6-WEEKDAY(C6:N6,2)+ROW(1:50),"")</f>
        <v/>
      </c>
      <c r="D7" s="53" t="str">
        <f ca="1"/>
        <v/>
      </c>
      <c r="E7" s="53" t="str">
        <f ca="1"/>
        <v/>
      </c>
      <c r="F7" s="53" t="str">
        <f ca="1"/>
        <v/>
      </c>
      <c r="G7" s="53" t="str">
        <f ca="1"/>
        <v/>
      </c>
      <c r="H7" s="53">
        <f ca="1"/>
        <v>44228</v>
      </c>
      <c r="I7" s="53">
        <f ca="1"/>
        <v>44256</v>
      </c>
      <c r="J7" s="53" t="str">
        <f ca="1"/>
        <v/>
      </c>
      <c r="K7" s="53" t="str">
        <f ca="1"/>
        <v/>
      </c>
      <c r="L7" s="53" t="str">
        <f ca="1"/>
        <v/>
      </c>
      <c r="M7" s="53" t="str">
        <f ca="1"/>
        <v/>
      </c>
      <c r="N7" s="53" t="str">
        <f ca="1"/>
        <v/>
      </c>
      <c r="O7" s="1"/>
      <c r="P7" s="1"/>
      <c r="R7" s="1" t="str">
        <f ca="1">IFERROR(RANK(S7,cálculos!$S$5:$S$24,1)+SUMPRODUCT(--(S7=cálculos!$S$5:$S$24),--(U7&gt;cálculos!$U$5:$U$24)),"")</f>
        <v/>
      </c>
      <c r="S7" s="41" t="str">
        <f ca="1">IFERROR(RANK($T7,cálculos!$T$5:$T$24,1),"")</f>
        <v/>
      </c>
      <c r="T7" s="49" t="str">
        <f t="array" aca="1" ref="T7" ca="1">IFERROR(INDEX(AppointmentDetails[],SMALL(IF(AppointmentDetails[FECHA]=TodaysDate,ROW(AppointmentDetails[FECHA])-4),ROW(A3)),2),"")</f>
        <v/>
      </c>
      <c r="U7" s="40" t="str">
        <f t="array" aca="1" ref="U7" ca="1">IFERROR(INDEX(AppointmentDetails[],SMALL(IF(AppointmentDetails[FECHA]=TodaysDate,ROW(AppointmentDetails[FECHA])-4),ROW(A3)),3),"")</f>
        <v/>
      </c>
      <c r="W7">
        <v>3</v>
      </c>
      <c r="X7" s="49" t="str">
        <f ca="1">IFERROR(VLOOKUP(W7,SortTable[],3,FALSE),"")</f>
        <v/>
      </c>
      <c r="Y7" s="1" t="str">
        <f ca="1">IFERROR(VLOOKUP(W7,SortTable[],4,FALSE),"")</f>
        <v/>
      </c>
    </row>
    <row r="8" spans="2:26" x14ac:dyDescent="0.2">
      <c r="B8" s="1" t="s">
        <v>0</v>
      </c>
      <c r="C8" s="53">
        <f ca="1"/>
        <v>44075</v>
      </c>
      <c r="D8" s="53" t="str">
        <f ca="1"/>
        <v/>
      </c>
      <c r="E8" s="53" t="str">
        <f ca="1"/>
        <v/>
      </c>
      <c r="F8" s="53">
        <f ca="1"/>
        <v>44166</v>
      </c>
      <c r="G8" s="53" t="str">
        <f ca="1"/>
        <v/>
      </c>
      <c r="H8" s="53">
        <f ca="1"/>
        <v>44229</v>
      </c>
      <c r="I8" s="53">
        <f ca="1"/>
        <v>44257</v>
      </c>
      <c r="J8" s="53" t="str">
        <f ca="1"/>
        <v/>
      </c>
      <c r="K8" s="53" t="str">
        <f ca="1"/>
        <v/>
      </c>
      <c r="L8" s="53">
        <f ca="1"/>
        <v>44348</v>
      </c>
      <c r="M8" s="53" t="str">
        <f ca="1"/>
        <v/>
      </c>
      <c r="N8" s="53" t="str">
        <f ca="1"/>
        <v/>
      </c>
      <c r="O8" s="1"/>
      <c r="P8" s="1"/>
      <c r="R8" s="1" t="str">
        <f ca="1">IFERROR(RANK(S8,cálculos!$S$5:$S$24,1)+SUMPRODUCT(--(S8=cálculos!$S$5:$S$24),--(U8&gt;cálculos!$U$5:$U$24)),"")</f>
        <v/>
      </c>
      <c r="S8" s="41" t="str">
        <f ca="1">IFERROR(RANK($T8,cálculos!$T$5:$T$24,1),"")</f>
        <v/>
      </c>
      <c r="T8" s="49" t="str">
        <f t="array" aca="1" ref="T8" ca="1">IFERROR(INDEX(AppointmentDetails[],SMALL(IF(AppointmentDetails[FECHA]=TodaysDate,ROW(AppointmentDetails[FECHA])-4),ROW(A4)),2),"")</f>
        <v/>
      </c>
      <c r="U8" s="40" t="str">
        <f t="array" aca="1" ref="U8" ca="1">IFERROR(INDEX(AppointmentDetails[],SMALL(IF(AppointmentDetails[FECHA]=TodaysDate,ROW(AppointmentDetails[FECHA])-4),ROW(A4)),3),"")</f>
        <v/>
      </c>
      <c r="W8">
        <v>4</v>
      </c>
      <c r="X8" s="49" t="str">
        <f ca="1">IFERROR(VLOOKUP(W8,SortTable[],3,FALSE),"")</f>
        <v/>
      </c>
      <c r="Y8" s="1" t="str">
        <f ca="1">IFERROR(VLOOKUP(W8,SortTable[],4,FALSE),"")</f>
        <v/>
      </c>
    </row>
    <row r="9" spans="2:26" x14ac:dyDescent="0.2">
      <c r="B9" s="1" t="s">
        <v>1</v>
      </c>
      <c r="C9" s="53">
        <f ca="1"/>
        <v>44076</v>
      </c>
      <c r="D9" s="53" t="str">
        <f ca="1"/>
        <v/>
      </c>
      <c r="E9" s="53" t="str">
        <f ca="1"/>
        <v/>
      </c>
      <c r="F9" s="53">
        <f ca="1"/>
        <v>44167</v>
      </c>
      <c r="G9" s="53" t="str">
        <f ca="1"/>
        <v/>
      </c>
      <c r="H9" s="53">
        <f ca="1"/>
        <v>44230</v>
      </c>
      <c r="I9" s="53">
        <f ca="1"/>
        <v>44258</v>
      </c>
      <c r="J9" s="53" t="str">
        <f ca="1"/>
        <v/>
      </c>
      <c r="K9" s="53" t="str">
        <f ca="1"/>
        <v/>
      </c>
      <c r="L9" s="53">
        <f ca="1"/>
        <v>44349</v>
      </c>
      <c r="M9" s="53" t="str">
        <f ca="1"/>
        <v/>
      </c>
      <c r="N9" s="53" t="str">
        <f ca="1"/>
        <v/>
      </c>
      <c r="O9" s="1"/>
      <c r="P9" s="1"/>
      <c r="R9" s="1" t="str">
        <f ca="1">IFERROR(RANK(S9,cálculos!$S$5:$S$24,1)+SUMPRODUCT(--(S9=cálculos!$S$5:$S$24),--(U9&gt;cálculos!$U$5:$U$24)),"")</f>
        <v/>
      </c>
      <c r="S9" s="41" t="str">
        <f ca="1">IFERROR(RANK($T9,cálculos!$T$5:$T$24,1),"")</f>
        <v/>
      </c>
      <c r="T9" s="49" t="str">
        <f t="array" aca="1" ref="T9" ca="1">IFERROR(INDEX(AppointmentDetails[],SMALL(IF(AppointmentDetails[FECHA]=TodaysDate,ROW(AppointmentDetails[FECHA])-4),ROW(A5)),2),"")</f>
        <v/>
      </c>
      <c r="U9" s="40" t="str">
        <f t="array" aca="1" ref="U9" ca="1">IFERROR(INDEX(AppointmentDetails[],SMALL(IF(AppointmentDetails[FECHA]=TodaysDate,ROW(AppointmentDetails[FECHA])-4),ROW(A5)),3),"")</f>
        <v/>
      </c>
      <c r="W9">
        <v>5</v>
      </c>
      <c r="X9" s="49" t="str">
        <f ca="1">IFERROR(VLOOKUP(W9,SortTable[],3,FALSE),"")</f>
        <v/>
      </c>
      <c r="Y9" s="1" t="str">
        <f ca="1">IFERROR(VLOOKUP(W9,SortTable[],4,FALSE),"")</f>
        <v/>
      </c>
    </row>
    <row r="10" spans="2:26" x14ac:dyDescent="0.2">
      <c r="B10" s="1" t="s">
        <v>2</v>
      </c>
      <c r="C10" s="53">
        <f ca="1"/>
        <v>44077</v>
      </c>
      <c r="D10" s="53">
        <f ca="1"/>
        <v>44105</v>
      </c>
      <c r="E10" s="53" t="str">
        <f ca="1"/>
        <v/>
      </c>
      <c r="F10" s="53">
        <f ca="1"/>
        <v>44168</v>
      </c>
      <c r="G10" s="53" t="str">
        <f ca="1"/>
        <v/>
      </c>
      <c r="H10" s="53">
        <f ca="1"/>
        <v>44231</v>
      </c>
      <c r="I10" s="53">
        <f ca="1"/>
        <v>44259</v>
      </c>
      <c r="J10" s="53">
        <f ca="1"/>
        <v>44287</v>
      </c>
      <c r="K10" s="53" t="str">
        <f ca="1"/>
        <v/>
      </c>
      <c r="L10" s="53">
        <f ca="1"/>
        <v>44350</v>
      </c>
      <c r="M10" s="53">
        <f ca="1"/>
        <v>44378</v>
      </c>
      <c r="N10" s="53" t="str">
        <f ca="1"/>
        <v/>
      </c>
      <c r="O10" s="1"/>
      <c r="P10" s="1"/>
      <c r="R10" s="1" t="str">
        <f ca="1">IFERROR(RANK(S10,cálculos!$S$5:$S$24,1)+SUMPRODUCT(--(S10=cálculos!$S$5:$S$24),--(U10&gt;cálculos!$U$5:$U$24)),"")</f>
        <v/>
      </c>
      <c r="S10" s="41" t="str">
        <f ca="1">IFERROR(RANK($T10,cálculos!$T$5:$T$24,1),"")</f>
        <v/>
      </c>
      <c r="T10" s="49" t="str">
        <f t="array" aca="1" ref="T10" ca="1">IFERROR(INDEX(AppointmentDetails[],SMALL(IF(AppointmentDetails[FECHA]=TodaysDate,ROW(AppointmentDetails[FECHA])-4),ROW(A6)),2),"")</f>
        <v/>
      </c>
      <c r="U10" s="40" t="str">
        <f t="array" aca="1" ref="U10" ca="1">IFERROR(INDEX(AppointmentDetails[],SMALL(IF(AppointmentDetails[FECHA]=TodaysDate,ROW(AppointmentDetails[FECHA])-4),ROW(A6)),3),"")</f>
        <v/>
      </c>
      <c r="W10">
        <v>6</v>
      </c>
      <c r="X10" s="49" t="str">
        <f ca="1">IFERROR(VLOOKUP(W10,SortTable[],3,FALSE),"")</f>
        <v/>
      </c>
      <c r="Y10" s="1" t="str">
        <f ca="1">IFERROR(VLOOKUP(W10,SortTable[],4,FALSE),"")</f>
        <v/>
      </c>
    </row>
    <row r="11" spans="2:26" x14ac:dyDescent="0.2">
      <c r="B11" s="1" t="s">
        <v>3</v>
      </c>
      <c r="C11" s="53">
        <f ca="1"/>
        <v>44078</v>
      </c>
      <c r="D11" s="53">
        <f ca="1"/>
        <v>44106</v>
      </c>
      <c r="E11" s="53" t="str">
        <f ca="1"/>
        <v/>
      </c>
      <c r="F11" s="53">
        <f ca="1"/>
        <v>44169</v>
      </c>
      <c r="G11" s="53">
        <f ca="1"/>
        <v>44197</v>
      </c>
      <c r="H11" s="53">
        <f ca="1"/>
        <v>44232</v>
      </c>
      <c r="I11" s="53">
        <f ca="1"/>
        <v>44260</v>
      </c>
      <c r="J11" s="53">
        <f ca="1"/>
        <v>44288</v>
      </c>
      <c r="K11" s="53" t="str">
        <f ca="1"/>
        <v/>
      </c>
      <c r="L11" s="53">
        <f ca="1"/>
        <v>44351</v>
      </c>
      <c r="M11" s="53">
        <f ca="1"/>
        <v>44379</v>
      </c>
      <c r="N11" s="53" t="str">
        <f ca="1"/>
        <v/>
      </c>
      <c r="O11" s="1"/>
      <c r="P11" s="1"/>
      <c r="R11" s="1" t="str">
        <f ca="1">IFERROR(RANK(S11,cálculos!$S$5:$S$24,1)+SUMPRODUCT(--(S11=cálculos!$S$5:$S$24),--(U11&gt;cálculos!$U$5:$U$24)),"")</f>
        <v/>
      </c>
      <c r="S11" s="41" t="str">
        <f ca="1">IFERROR(RANK($T11,cálculos!$T$5:$T$24,1),"")</f>
        <v/>
      </c>
      <c r="T11" s="49" t="str">
        <f t="array" aca="1" ref="T11" ca="1">IFERROR(INDEX(AppointmentDetails[],SMALL(IF(AppointmentDetails[FECHA]=TodaysDate,ROW(AppointmentDetails[FECHA])-4),ROW(A7)),2),"")</f>
        <v/>
      </c>
      <c r="U11" s="40" t="str">
        <f t="array" aca="1" ref="U11" ca="1">IFERROR(INDEX(AppointmentDetails[],SMALL(IF(AppointmentDetails[FECHA]=TodaysDate,ROW(AppointmentDetails[FECHA])-4),ROW(A7)),3),"")</f>
        <v/>
      </c>
      <c r="W11">
        <v>7</v>
      </c>
      <c r="X11" s="49" t="str">
        <f ca="1">IFERROR(VLOOKUP(W11,SortTable[],3,FALSE),"")</f>
        <v/>
      </c>
      <c r="Y11" s="1" t="str">
        <f ca="1">IFERROR(VLOOKUP(W11,SortTable[],4,FALSE),"")</f>
        <v/>
      </c>
    </row>
    <row r="12" spans="2:26" x14ac:dyDescent="0.2">
      <c r="B12" s="1" t="s">
        <v>4</v>
      </c>
      <c r="C12" s="53">
        <f ca="1"/>
        <v>44079</v>
      </c>
      <c r="D12" s="53">
        <f ca="1"/>
        <v>44107</v>
      </c>
      <c r="E12" s="53" t="str">
        <f ca="1"/>
        <v/>
      </c>
      <c r="F12" s="53">
        <f ca="1"/>
        <v>44170</v>
      </c>
      <c r="G12" s="53">
        <f ca="1"/>
        <v>44198</v>
      </c>
      <c r="H12" s="53">
        <f ca="1"/>
        <v>44233</v>
      </c>
      <c r="I12" s="53">
        <f ca="1"/>
        <v>44261</v>
      </c>
      <c r="J12" s="53">
        <f ca="1"/>
        <v>44289</v>
      </c>
      <c r="K12" s="53">
        <f ca="1"/>
        <v>44317</v>
      </c>
      <c r="L12" s="53">
        <f ca="1"/>
        <v>44352</v>
      </c>
      <c r="M12" s="53">
        <f ca="1"/>
        <v>44380</v>
      </c>
      <c r="N12" s="53" t="str">
        <f ca="1"/>
        <v/>
      </c>
      <c r="O12" s="1"/>
      <c r="P12" s="1"/>
      <c r="R12" s="1" t="str">
        <f ca="1">IFERROR(RANK(S12,cálculos!$S$5:$S$24,1)+SUMPRODUCT(--(S12=cálculos!$S$5:$S$24),--(U12&gt;cálculos!$U$5:$U$24)),"")</f>
        <v/>
      </c>
      <c r="S12" s="41" t="str">
        <f ca="1">IFERROR(RANK($T12,cálculos!$T$5:$T$24,1),"")</f>
        <v/>
      </c>
      <c r="T12" s="49" t="str">
        <f t="array" aca="1" ref="T12" ca="1">IFERROR(INDEX(AppointmentDetails[],SMALL(IF(AppointmentDetails[FECHA]=TodaysDate,ROW(AppointmentDetails[FECHA])-4),ROW(A8)),2),"")</f>
        <v/>
      </c>
      <c r="U12" s="40" t="str">
        <f t="array" aca="1" ref="U12" ca="1">IFERROR(INDEX(AppointmentDetails[],SMALL(IF(AppointmentDetails[FECHA]=TodaysDate,ROW(AppointmentDetails[FECHA])-4),ROW(A8)),3),"")</f>
        <v/>
      </c>
      <c r="W12">
        <v>8</v>
      </c>
      <c r="X12" s="49" t="str">
        <f ca="1">IFERROR(VLOOKUP(W12,SortTable[],3,FALSE),"")</f>
        <v/>
      </c>
      <c r="Y12" s="1" t="str">
        <f ca="1">IFERROR(VLOOKUP(W12,SortTable[],4,FALSE),"")</f>
        <v/>
      </c>
    </row>
    <row r="13" spans="2:26" x14ac:dyDescent="0.2">
      <c r="B13" s="1" t="s">
        <v>5</v>
      </c>
      <c r="C13" s="53">
        <f ca="1"/>
        <v>44080</v>
      </c>
      <c r="D13" s="53">
        <f ca="1"/>
        <v>44108</v>
      </c>
      <c r="E13" s="53">
        <f ca="1"/>
        <v>44136</v>
      </c>
      <c r="F13" s="53">
        <f ca="1"/>
        <v>44171</v>
      </c>
      <c r="G13" s="53">
        <f ca="1"/>
        <v>44199</v>
      </c>
      <c r="H13" s="53">
        <f ca="1"/>
        <v>44234</v>
      </c>
      <c r="I13" s="53">
        <f ca="1"/>
        <v>44262</v>
      </c>
      <c r="J13" s="53">
        <f ca="1"/>
        <v>44290</v>
      </c>
      <c r="K13" s="53">
        <f ca="1"/>
        <v>44318</v>
      </c>
      <c r="L13" s="53">
        <f ca="1"/>
        <v>44353</v>
      </c>
      <c r="M13" s="53">
        <f ca="1"/>
        <v>44381</v>
      </c>
      <c r="N13" s="53">
        <f ca="1"/>
        <v>44409</v>
      </c>
      <c r="O13" s="1"/>
      <c r="P13" s="1"/>
      <c r="R13" s="1" t="str">
        <f ca="1">IFERROR(RANK(S13,cálculos!$S$5:$S$24,1)+SUMPRODUCT(--(S13=cálculos!$S$5:$S$24),--(U13&gt;cálculos!$U$5:$U$24)),"")</f>
        <v/>
      </c>
      <c r="S13" s="41" t="str">
        <f ca="1">IFERROR(RANK($T13,cálculos!$T$5:$T$24,1),"")</f>
        <v/>
      </c>
      <c r="T13" s="49" t="str">
        <f t="array" aca="1" ref="T13" ca="1">IFERROR(INDEX(AppointmentDetails[],SMALL(IF(AppointmentDetails[FECHA]=TodaysDate,ROW(AppointmentDetails[FECHA])-4),ROW(A9)),2),"")</f>
        <v/>
      </c>
      <c r="U13" s="40" t="str">
        <f t="array" aca="1" ref="U13" ca="1">IFERROR(INDEX(AppointmentDetails[],SMALL(IF(AppointmentDetails[FECHA]=TodaysDate,ROW(AppointmentDetails[FECHA])-4),ROW(A9)),3),"")</f>
        <v/>
      </c>
      <c r="W13">
        <v>9</v>
      </c>
      <c r="X13" s="49" t="str">
        <f ca="1">IFERROR(VLOOKUP(W13,SortTable[],3,FALSE),"")</f>
        <v/>
      </c>
      <c r="Y13" s="1" t="str">
        <f ca="1">IFERROR(VLOOKUP(W13,SortTable[],4,FALSE),"")</f>
        <v/>
      </c>
    </row>
    <row r="14" spans="2:26" x14ac:dyDescent="0.2">
      <c r="B14" s="1" t="s">
        <v>6</v>
      </c>
      <c r="C14" s="53">
        <f ca="1"/>
        <v>44081</v>
      </c>
      <c r="D14" s="53">
        <f ca="1"/>
        <v>44109</v>
      </c>
      <c r="E14" s="53">
        <f ca="1"/>
        <v>44137</v>
      </c>
      <c r="F14" s="53">
        <f ca="1"/>
        <v>44172</v>
      </c>
      <c r="G14" s="53">
        <f ca="1"/>
        <v>44200</v>
      </c>
      <c r="H14" s="53">
        <f ca="1"/>
        <v>44235</v>
      </c>
      <c r="I14" s="53">
        <f ca="1"/>
        <v>44263</v>
      </c>
      <c r="J14" s="53">
        <f ca="1"/>
        <v>44291</v>
      </c>
      <c r="K14" s="53">
        <f ca="1"/>
        <v>44319</v>
      </c>
      <c r="L14" s="53">
        <f ca="1"/>
        <v>44354</v>
      </c>
      <c r="M14" s="53">
        <f ca="1"/>
        <v>44382</v>
      </c>
      <c r="N14" s="53">
        <f ca="1"/>
        <v>44410</v>
      </c>
      <c r="O14" s="1"/>
      <c r="P14" s="1"/>
      <c r="R14" s="1" t="str">
        <f ca="1">IFERROR(RANK(S14,cálculos!$S$5:$S$24,1)+SUMPRODUCT(--(S14=cálculos!$S$5:$S$24),--(U14&gt;cálculos!$U$5:$U$24)),"")</f>
        <v/>
      </c>
      <c r="S14" s="41" t="str">
        <f ca="1">IFERROR(RANK($T14,cálculos!$T$5:$T$24,1),"")</f>
        <v/>
      </c>
      <c r="T14" s="49" t="str">
        <f t="array" aca="1" ref="T14" ca="1">IFERROR(INDEX(AppointmentDetails[],SMALL(IF(AppointmentDetails[FECHA]=TodaysDate,ROW(AppointmentDetails[FECHA])-4),ROW(A10)),2),"")</f>
        <v/>
      </c>
      <c r="U14" s="40" t="str">
        <f t="array" aca="1" ref="U14" ca="1">IFERROR(INDEX(AppointmentDetails[],SMALL(IF(AppointmentDetails[FECHA]=TodaysDate,ROW(AppointmentDetails[FECHA])-4),ROW(A10)),3),"")</f>
        <v/>
      </c>
      <c r="W14">
        <v>10</v>
      </c>
      <c r="X14" s="49" t="str">
        <f ca="1">IFERROR(VLOOKUP(W14,SortTable[],3,FALSE),"")</f>
        <v/>
      </c>
      <c r="Y14" s="1" t="str">
        <f ca="1">IFERROR(VLOOKUP(W14,SortTable[],4,FALSE),"")</f>
        <v/>
      </c>
    </row>
    <row r="15" spans="2:26" x14ac:dyDescent="0.2">
      <c r="B15" s="1" t="s">
        <v>0</v>
      </c>
      <c r="C15" s="53">
        <f ca="1"/>
        <v>44082</v>
      </c>
      <c r="D15" s="53">
        <f ca="1"/>
        <v>44110</v>
      </c>
      <c r="E15" s="53">
        <f ca="1"/>
        <v>44138</v>
      </c>
      <c r="F15" s="53">
        <f ca="1"/>
        <v>44173</v>
      </c>
      <c r="G15" s="53">
        <f ca="1"/>
        <v>44201</v>
      </c>
      <c r="H15" s="53">
        <f ca="1"/>
        <v>44236</v>
      </c>
      <c r="I15" s="53">
        <f ca="1"/>
        <v>44264</v>
      </c>
      <c r="J15" s="53">
        <f ca="1"/>
        <v>44292</v>
      </c>
      <c r="K15" s="53">
        <f ca="1"/>
        <v>44320</v>
      </c>
      <c r="L15" s="53">
        <f ca="1"/>
        <v>44355</v>
      </c>
      <c r="M15" s="53">
        <f ca="1"/>
        <v>44383</v>
      </c>
      <c r="N15" s="53">
        <f ca="1"/>
        <v>44411</v>
      </c>
      <c r="O15" s="1"/>
      <c r="P15" s="1"/>
      <c r="R15" s="1" t="str">
        <f ca="1">IFERROR(RANK(S15,cálculos!$S$5:$S$24,1)+SUMPRODUCT(--(S15=cálculos!$S$5:$S$24),--(U15&gt;cálculos!$U$5:$U$24)),"")</f>
        <v/>
      </c>
      <c r="S15" s="41" t="str">
        <f ca="1">IFERROR(RANK($T15,cálculos!$T$5:$T$24,1),"")</f>
        <v/>
      </c>
      <c r="T15" s="49" t="str">
        <f t="array" aca="1" ref="T15" ca="1">IFERROR(INDEX(AppointmentDetails[],SMALL(IF(AppointmentDetails[FECHA]=TodaysDate,ROW(AppointmentDetails[FECHA])-4),ROW(A11)),2),"")</f>
        <v/>
      </c>
      <c r="U15" s="40" t="str">
        <f t="array" aca="1" ref="U15" ca="1">IFERROR(INDEX(AppointmentDetails[],SMALL(IF(AppointmentDetails[FECHA]=TodaysDate,ROW(AppointmentDetails[FECHA])-4),ROW(A11)),3),"")</f>
        <v/>
      </c>
      <c r="W15">
        <v>11</v>
      </c>
      <c r="X15" s="49" t="str">
        <f ca="1">IFERROR(VLOOKUP(W15,SortTable[],3,FALSE),"")</f>
        <v/>
      </c>
      <c r="Y15" s="1" t="str">
        <f ca="1">IFERROR(VLOOKUP(W15,SortTable[],4,FALSE),"")</f>
        <v/>
      </c>
    </row>
    <row r="16" spans="2:26" x14ac:dyDescent="0.2">
      <c r="B16" s="1" t="s">
        <v>1</v>
      </c>
      <c r="C16" s="53">
        <f ca="1"/>
        <v>44083</v>
      </c>
      <c r="D16" s="53">
        <f ca="1"/>
        <v>44111</v>
      </c>
      <c r="E16" s="53">
        <f ca="1"/>
        <v>44139</v>
      </c>
      <c r="F16" s="53">
        <f ca="1"/>
        <v>44174</v>
      </c>
      <c r="G16" s="53">
        <f ca="1"/>
        <v>44202</v>
      </c>
      <c r="H16" s="53">
        <f ca="1"/>
        <v>44237</v>
      </c>
      <c r="I16" s="53">
        <f ca="1"/>
        <v>44265</v>
      </c>
      <c r="J16" s="53">
        <f ca="1"/>
        <v>44293</v>
      </c>
      <c r="K16" s="53">
        <f ca="1"/>
        <v>44321</v>
      </c>
      <c r="L16" s="53">
        <f ca="1"/>
        <v>44356</v>
      </c>
      <c r="M16" s="53">
        <f ca="1"/>
        <v>44384</v>
      </c>
      <c r="N16" s="53">
        <f ca="1"/>
        <v>44412</v>
      </c>
      <c r="O16" s="1"/>
      <c r="P16" s="1"/>
      <c r="R16" s="1" t="str">
        <f ca="1">IFERROR(RANK(S16,cálculos!$S$5:$S$24,1)+SUMPRODUCT(--(S16=cálculos!$S$5:$S$24),--(U16&gt;cálculos!$U$5:$U$24)),"")</f>
        <v/>
      </c>
      <c r="S16" s="41" t="str">
        <f ca="1">IFERROR(RANK($T16,cálculos!$T$5:$T$24,1),"")</f>
        <v/>
      </c>
      <c r="T16" s="49" t="str">
        <f t="array" aca="1" ref="T16" ca="1">IFERROR(INDEX(AppointmentDetails[],SMALL(IF(AppointmentDetails[FECHA]=TodaysDate,ROW(AppointmentDetails[FECHA])-4),ROW(A12)),2),"")</f>
        <v/>
      </c>
      <c r="U16" s="40" t="str">
        <f t="array" aca="1" ref="U16" ca="1">IFERROR(INDEX(AppointmentDetails[],SMALL(IF(AppointmentDetails[FECHA]=TodaysDate,ROW(AppointmentDetails[FECHA])-4),ROW(A12)),3),"")</f>
        <v/>
      </c>
      <c r="W16">
        <v>12</v>
      </c>
      <c r="X16" s="49" t="str">
        <f ca="1">IFERROR(VLOOKUP(W16,SortTable[],3,FALSE),"")</f>
        <v/>
      </c>
      <c r="Y16" s="1" t="str">
        <f ca="1">IFERROR(VLOOKUP(W16,SortTable[],4,FALSE),"")</f>
        <v/>
      </c>
    </row>
    <row r="17" spans="2:25" x14ac:dyDescent="0.2">
      <c r="B17" s="1" t="s">
        <v>2</v>
      </c>
      <c r="C17" s="53">
        <f ca="1"/>
        <v>44084</v>
      </c>
      <c r="D17" s="53">
        <f ca="1"/>
        <v>44112</v>
      </c>
      <c r="E17" s="53">
        <f ca="1"/>
        <v>44140</v>
      </c>
      <c r="F17" s="53">
        <f ca="1"/>
        <v>44175</v>
      </c>
      <c r="G17" s="53">
        <f ca="1"/>
        <v>44203</v>
      </c>
      <c r="H17" s="53">
        <f ca="1"/>
        <v>44238</v>
      </c>
      <c r="I17" s="53">
        <f ca="1"/>
        <v>44266</v>
      </c>
      <c r="J17" s="53">
        <f ca="1"/>
        <v>44294</v>
      </c>
      <c r="K17" s="53">
        <f ca="1"/>
        <v>44322</v>
      </c>
      <c r="L17" s="53">
        <f ca="1"/>
        <v>44357</v>
      </c>
      <c r="M17" s="53">
        <f ca="1"/>
        <v>44385</v>
      </c>
      <c r="N17" s="53">
        <f ca="1"/>
        <v>44413</v>
      </c>
      <c r="R17" s="1" t="str">
        <f ca="1">IFERROR(RANK(S17,cálculos!$S$5:$S$24,1)+SUMPRODUCT(--(S17=cálculos!$S$5:$S$24),--(U17&gt;cálculos!$U$5:$U$24)),"")</f>
        <v/>
      </c>
      <c r="S17" s="41" t="str">
        <f ca="1">IFERROR(RANK($T17,cálculos!$T$5:$T$24,1),"")</f>
        <v/>
      </c>
      <c r="T17" s="49" t="str">
        <f t="array" aca="1" ref="T17" ca="1">IFERROR(INDEX(AppointmentDetails[],SMALL(IF(AppointmentDetails[FECHA]=TodaysDate,ROW(AppointmentDetails[FECHA])-4),ROW(A13)),2),"")</f>
        <v/>
      </c>
      <c r="U17" s="40" t="str">
        <f t="array" aca="1" ref="U17" ca="1">IFERROR(INDEX(AppointmentDetails[],SMALL(IF(AppointmentDetails[FECHA]=TodaysDate,ROW(AppointmentDetails[FECHA])-4),ROW(A13)),3),"")</f>
        <v/>
      </c>
      <c r="W17">
        <v>13</v>
      </c>
      <c r="X17" s="49" t="str">
        <f ca="1">IFERROR(VLOOKUP(W17,SortTable[],3,FALSE),"")</f>
        <v/>
      </c>
      <c r="Y17" s="1" t="str">
        <f ca="1">IFERROR(VLOOKUP(W17,SortTable[],4,FALSE),"")</f>
        <v/>
      </c>
    </row>
    <row r="18" spans="2:25" x14ac:dyDescent="0.2">
      <c r="B18" s="1" t="s">
        <v>3</v>
      </c>
      <c r="C18" s="53">
        <f ca="1"/>
        <v>44085</v>
      </c>
      <c r="D18" s="53">
        <f ca="1"/>
        <v>44113</v>
      </c>
      <c r="E18" s="53">
        <f ca="1"/>
        <v>44141</v>
      </c>
      <c r="F18" s="53">
        <f ca="1"/>
        <v>44176</v>
      </c>
      <c r="G18" s="53">
        <f ca="1"/>
        <v>44204</v>
      </c>
      <c r="H18" s="53">
        <f ca="1"/>
        <v>44239</v>
      </c>
      <c r="I18" s="53">
        <f ca="1"/>
        <v>44267</v>
      </c>
      <c r="J18" s="53">
        <f ca="1"/>
        <v>44295</v>
      </c>
      <c r="K18" s="53">
        <f ca="1"/>
        <v>44323</v>
      </c>
      <c r="L18" s="53">
        <f ca="1"/>
        <v>44358</v>
      </c>
      <c r="M18" s="53">
        <f ca="1"/>
        <v>44386</v>
      </c>
      <c r="N18" s="53">
        <f ca="1"/>
        <v>44414</v>
      </c>
      <c r="R18" s="1" t="str">
        <f ca="1">IFERROR(RANK(S18,cálculos!$S$5:$S$24,1)+SUMPRODUCT(--(S18=cálculos!$S$5:$S$24),--(U18&gt;cálculos!$U$5:$U$24)),"")</f>
        <v/>
      </c>
      <c r="S18" s="41" t="str">
        <f ca="1">IFERROR(RANK($T18,cálculos!$T$5:$T$24,1),"")</f>
        <v/>
      </c>
      <c r="T18" s="49" t="str">
        <f t="array" aca="1" ref="T18" ca="1">IFERROR(INDEX(AppointmentDetails[],SMALL(IF(AppointmentDetails[FECHA]=TodaysDate,ROW(AppointmentDetails[FECHA])-4),ROW(A14)),2),"")</f>
        <v/>
      </c>
      <c r="U18" s="40" t="str">
        <f t="array" aca="1" ref="U18" ca="1">IFERROR(INDEX(AppointmentDetails[],SMALL(IF(AppointmentDetails[FECHA]=TodaysDate,ROW(AppointmentDetails[FECHA])-4),ROW(A14)),3),"")</f>
        <v/>
      </c>
      <c r="W18">
        <v>14</v>
      </c>
      <c r="X18" s="49" t="str">
        <f ca="1">IFERROR(VLOOKUP(W18,SortTable[],3,FALSE),"")</f>
        <v/>
      </c>
      <c r="Y18" s="1" t="str">
        <f ca="1">IFERROR(VLOOKUP(W18,SortTable[],4,FALSE),"")</f>
        <v/>
      </c>
    </row>
    <row r="19" spans="2:25" x14ac:dyDescent="0.2">
      <c r="B19" s="1" t="s">
        <v>4</v>
      </c>
      <c r="C19" s="53">
        <f ca="1"/>
        <v>44086</v>
      </c>
      <c r="D19" s="53">
        <f ca="1"/>
        <v>44114</v>
      </c>
      <c r="E19" s="53">
        <f ca="1"/>
        <v>44142</v>
      </c>
      <c r="F19" s="53">
        <f ca="1"/>
        <v>44177</v>
      </c>
      <c r="G19" s="53">
        <f ca="1"/>
        <v>44205</v>
      </c>
      <c r="H19" s="53">
        <f ca="1"/>
        <v>44240</v>
      </c>
      <c r="I19" s="53">
        <f ca="1"/>
        <v>44268</v>
      </c>
      <c r="J19" s="53">
        <f ca="1"/>
        <v>44296</v>
      </c>
      <c r="K19" s="53">
        <f ca="1"/>
        <v>44324</v>
      </c>
      <c r="L19" s="53">
        <f ca="1"/>
        <v>44359</v>
      </c>
      <c r="M19" s="53">
        <f ca="1"/>
        <v>44387</v>
      </c>
      <c r="N19" s="53">
        <f ca="1"/>
        <v>44415</v>
      </c>
      <c r="R19" s="1" t="str">
        <f ca="1">IFERROR(RANK(S19,cálculos!$S$5:$S$24,1)+SUMPRODUCT(--(S19=cálculos!$S$5:$S$24),--(U19&gt;cálculos!$U$5:$U$24)),"")</f>
        <v/>
      </c>
      <c r="S19" s="41" t="str">
        <f ca="1">IFERROR(RANK($T19,cálculos!$T$5:$T$24,1),"")</f>
        <v/>
      </c>
      <c r="T19" s="49" t="str">
        <f t="array" aca="1" ref="T19" ca="1">IFERROR(INDEX(AppointmentDetails[],SMALL(IF(AppointmentDetails[FECHA]=TodaysDate,ROW(AppointmentDetails[FECHA])-4),ROW(A15)),2),"")</f>
        <v/>
      </c>
      <c r="U19" s="40" t="str">
        <f t="array" aca="1" ref="U19" ca="1">IFERROR(INDEX(AppointmentDetails[],SMALL(IF(AppointmentDetails[FECHA]=TodaysDate,ROW(AppointmentDetails[FECHA])-4),ROW(A15)),3),"")</f>
        <v/>
      </c>
      <c r="W19">
        <v>15</v>
      </c>
      <c r="X19" s="49" t="str">
        <f ca="1">IFERROR(VLOOKUP(W19,SortTable[],3,FALSE),"")</f>
        <v/>
      </c>
      <c r="Y19" s="1" t="str">
        <f ca="1">IFERROR(VLOOKUP(W19,SortTable[],4,FALSE),"")</f>
        <v/>
      </c>
    </row>
    <row r="20" spans="2:25" x14ac:dyDescent="0.2">
      <c r="B20" s="1" t="s">
        <v>5</v>
      </c>
      <c r="C20" s="53">
        <f ca="1"/>
        <v>44087</v>
      </c>
      <c r="D20" s="53">
        <f ca="1"/>
        <v>44115</v>
      </c>
      <c r="E20" s="53">
        <f ca="1"/>
        <v>44143</v>
      </c>
      <c r="F20" s="53">
        <f ca="1"/>
        <v>44178</v>
      </c>
      <c r="G20" s="53">
        <f ca="1"/>
        <v>44206</v>
      </c>
      <c r="H20" s="53">
        <f ca="1"/>
        <v>44241</v>
      </c>
      <c r="I20" s="53">
        <f ca="1"/>
        <v>44269</v>
      </c>
      <c r="J20" s="53">
        <f ca="1"/>
        <v>44297</v>
      </c>
      <c r="K20" s="53">
        <f ca="1"/>
        <v>44325</v>
      </c>
      <c r="L20" s="53">
        <f ca="1"/>
        <v>44360</v>
      </c>
      <c r="M20" s="53">
        <f ca="1"/>
        <v>44388</v>
      </c>
      <c r="N20" s="53">
        <f ca="1"/>
        <v>44416</v>
      </c>
      <c r="R20" s="1" t="str">
        <f ca="1">IFERROR(RANK(S20,cálculos!$S$5:$S$24,1)+SUMPRODUCT(--(S20=cálculos!$S$5:$S$24),--(U20&gt;cálculos!$U$5:$U$24)),"")</f>
        <v/>
      </c>
      <c r="S20" s="41" t="str">
        <f ca="1">IFERROR(RANK($T20,cálculos!$T$5:$T$24,1),"")</f>
        <v/>
      </c>
      <c r="T20" s="49" t="str">
        <f t="array" aca="1" ref="T20" ca="1">IFERROR(INDEX(AppointmentDetails[],SMALL(IF(AppointmentDetails[FECHA]=TodaysDate,ROW(AppointmentDetails[FECHA])-4),ROW(A16)),2),"")</f>
        <v/>
      </c>
      <c r="U20" s="40" t="str">
        <f t="array" aca="1" ref="U20" ca="1">IFERROR(INDEX(AppointmentDetails[],SMALL(IF(AppointmentDetails[FECHA]=TodaysDate,ROW(AppointmentDetails[FECHA])-4),ROW(A16)),3),"")</f>
        <v/>
      </c>
      <c r="W20">
        <v>16</v>
      </c>
      <c r="X20" s="49" t="str">
        <f ca="1">IFERROR(VLOOKUP(W20,SortTable[],3,FALSE),"")</f>
        <v/>
      </c>
      <c r="Y20" s="1" t="str">
        <f ca="1">IFERROR(VLOOKUP(W20,SortTable[],4,FALSE),"")</f>
        <v/>
      </c>
    </row>
    <row r="21" spans="2:25" x14ac:dyDescent="0.2">
      <c r="B21" s="1" t="s">
        <v>6</v>
      </c>
      <c r="C21" s="53">
        <f ca="1"/>
        <v>44088</v>
      </c>
      <c r="D21" s="53">
        <f ca="1"/>
        <v>44116</v>
      </c>
      <c r="E21" s="53">
        <f ca="1"/>
        <v>44144</v>
      </c>
      <c r="F21" s="53">
        <f ca="1"/>
        <v>44179</v>
      </c>
      <c r="G21" s="53">
        <f ca="1"/>
        <v>44207</v>
      </c>
      <c r="H21" s="53">
        <f ca="1"/>
        <v>44242</v>
      </c>
      <c r="I21" s="53">
        <f ca="1"/>
        <v>44270</v>
      </c>
      <c r="J21" s="53">
        <f ca="1"/>
        <v>44298</v>
      </c>
      <c r="K21" s="53">
        <f ca="1"/>
        <v>44326</v>
      </c>
      <c r="L21" s="53">
        <f ca="1"/>
        <v>44361</v>
      </c>
      <c r="M21" s="53">
        <f ca="1"/>
        <v>44389</v>
      </c>
      <c r="N21" s="53">
        <f ca="1"/>
        <v>44417</v>
      </c>
      <c r="R21" s="1" t="str">
        <f ca="1">IFERROR(RANK(S21,cálculos!$S$5:$S$24,1)+SUMPRODUCT(--(S21=cálculos!$S$5:$S$24),--(U21&gt;cálculos!$U$5:$U$24)),"")</f>
        <v/>
      </c>
      <c r="S21" s="41" t="str">
        <f ca="1">IFERROR(RANK($T21,cálculos!$T$5:$T$24,1),"")</f>
        <v/>
      </c>
      <c r="T21" s="49" t="str">
        <f t="array" aca="1" ref="T21" ca="1">IFERROR(INDEX(AppointmentDetails[],SMALL(IF(AppointmentDetails[FECHA]=TodaysDate,ROW(AppointmentDetails[FECHA])-4),ROW(A17)),2),"")</f>
        <v/>
      </c>
      <c r="U21" s="40" t="str">
        <f t="array" aca="1" ref="U21" ca="1">IFERROR(INDEX(AppointmentDetails[],SMALL(IF(AppointmentDetails[FECHA]=TodaysDate,ROW(AppointmentDetails[FECHA])-4),ROW(A17)),3),"")</f>
        <v/>
      </c>
      <c r="W21">
        <v>17</v>
      </c>
      <c r="X21" s="49" t="str">
        <f ca="1">IFERROR(VLOOKUP(W21,SortTable[],3,FALSE),"")</f>
        <v/>
      </c>
      <c r="Y21" s="1" t="str">
        <f ca="1">IFERROR(VLOOKUP(W21,SortTable[],4,FALSE),"")</f>
        <v/>
      </c>
    </row>
    <row r="22" spans="2:25" x14ac:dyDescent="0.2">
      <c r="B22" s="1" t="s">
        <v>0</v>
      </c>
      <c r="C22" s="53">
        <f ca="1"/>
        <v>44089</v>
      </c>
      <c r="D22" s="53">
        <f ca="1"/>
        <v>44117</v>
      </c>
      <c r="E22" s="53">
        <f ca="1"/>
        <v>44145</v>
      </c>
      <c r="F22" s="53">
        <f ca="1"/>
        <v>44180</v>
      </c>
      <c r="G22" s="53">
        <f ca="1"/>
        <v>44208</v>
      </c>
      <c r="H22" s="53">
        <f ca="1"/>
        <v>44243</v>
      </c>
      <c r="I22" s="53">
        <f ca="1"/>
        <v>44271</v>
      </c>
      <c r="J22" s="53">
        <f ca="1"/>
        <v>44299</v>
      </c>
      <c r="K22" s="53">
        <f ca="1"/>
        <v>44327</v>
      </c>
      <c r="L22" s="53">
        <f ca="1"/>
        <v>44362</v>
      </c>
      <c r="M22" s="53">
        <f ca="1"/>
        <v>44390</v>
      </c>
      <c r="N22" s="53">
        <f ca="1"/>
        <v>44418</v>
      </c>
      <c r="R22" s="1" t="str">
        <f ca="1">IFERROR(RANK(S22,cálculos!$S$5:$S$24,1)+SUMPRODUCT(--(S22=cálculos!$S$5:$S$24),--(U22&gt;cálculos!$U$5:$U$24)),"")</f>
        <v/>
      </c>
      <c r="S22" s="41" t="str">
        <f ca="1">IFERROR(RANK($T22,cálculos!$T$5:$T$24,1),"")</f>
        <v/>
      </c>
      <c r="T22" s="49" t="str">
        <f t="array" aca="1" ref="T22" ca="1">IFERROR(INDEX(AppointmentDetails[],SMALL(IF(AppointmentDetails[FECHA]=TodaysDate,ROW(AppointmentDetails[FECHA])-4),ROW(A18)),2),"")</f>
        <v/>
      </c>
      <c r="U22" s="40" t="str">
        <f t="array" aca="1" ref="U22" ca="1">IFERROR(INDEX(AppointmentDetails[],SMALL(IF(AppointmentDetails[FECHA]=TodaysDate,ROW(AppointmentDetails[FECHA])-4),ROW(A18)),3),"")</f>
        <v/>
      </c>
      <c r="W22">
        <v>18</v>
      </c>
      <c r="X22" s="49" t="str">
        <f ca="1">IFERROR(VLOOKUP(W22,SortTable[],3,FALSE),"")</f>
        <v/>
      </c>
      <c r="Y22" s="1" t="str">
        <f ca="1">IFERROR(VLOOKUP(W22,SortTable[],4,FALSE),"")</f>
        <v/>
      </c>
    </row>
    <row r="23" spans="2:25" x14ac:dyDescent="0.2">
      <c r="B23" s="1" t="s">
        <v>1</v>
      </c>
      <c r="C23" s="53">
        <f ca="1"/>
        <v>44090</v>
      </c>
      <c r="D23" s="53">
        <f ca="1"/>
        <v>44118</v>
      </c>
      <c r="E23" s="53">
        <f ca="1"/>
        <v>44146</v>
      </c>
      <c r="F23" s="53">
        <f ca="1"/>
        <v>44181</v>
      </c>
      <c r="G23" s="53">
        <f ca="1"/>
        <v>44209</v>
      </c>
      <c r="H23" s="53">
        <f ca="1"/>
        <v>44244</v>
      </c>
      <c r="I23" s="53">
        <f ca="1"/>
        <v>44272</v>
      </c>
      <c r="J23" s="53">
        <f ca="1"/>
        <v>44300</v>
      </c>
      <c r="K23" s="53">
        <f ca="1"/>
        <v>44328</v>
      </c>
      <c r="L23" s="53">
        <f ca="1"/>
        <v>44363</v>
      </c>
      <c r="M23" s="53">
        <f ca="1"/>
        <v>44391</v>
      </c>
      <c r="N23" s="53">
        <f ca="1"/>
        <v>44419</v>
      </c>
      <c r="R23" s="1" t="str">
        <f ca="1">IFERROR(RANK(S23,cálculos!$S$5:$S$24,1)+SUMPRODUCT(--(S23=cálculos!$S$5:$S$24),--(U23&gt;cálculos!$U$5:$U$24)),"")</f>
        <v/>
      </c>
      <c r="S23" s="41" t="str">
        <f ca="1">IFERROR(RANK($T23,cálculos!$T$5:$T$24,1),"")</f>
        <v/>
      </c>
      <c r="T23" s="49" t="str">
        <f t="array" aca="1" ref="T23" ca="1">IFERROR(INDEX(AppointmentDetails[],SMALL(IF(AppointmentDetails[FECHA]=TodaysDate,ROW(AppointmentDetails[FECHA])-4),ROW(A19)),2),"")</f>
        <v/>
      </c>
      <c r="U23" s="40" t="str">
        <f t="array" aca="1" ref="U23" ca="1">IFERROR(INDEX(AppointmentDetails[],SMALL(IF(AppointmentDetails[FECHA]=TodaysDate,ROW(AppointmentDetails[FECHA])-4),ROW(A19)),3),"")</f>
        <v/>
      </c>
      <c r="W23">
        <v>19</v>
      </c>
      <c r="X23" s="49" t="str">
        <f ca="1">IFERROR(VLOOKUP(W23,SortTable[],3,FALSE),"")</f>
        <v/>
      </c>
      <c r="Y23" s="1" t="str">
        <f ca="1">IFERROR(VLOOKUP(W23,SortTable[],4,FALSE),"")</f>
        <v/>
      </c>
    </row>
    <row r="24" spans="2:25" x14ac:dyDescent="0.2">
      <c r="B24" s="1" t="s">
        <v>2</v>
      </c>
      <c r="C24" s="53">
        <f ca="1"/>
        <v>44091</v>
      </c>
      <c r="D24" s="53">
        <f ca="1"/>
        <v>44119</v>
      </c>
      <c r="E24" s="53">
        <f ca="1"/>
        <v>44147</v>
      </c>
      <c r="F24" s="53">
        <f ca="1"/>
        <v>44182</v>
      </c>
      <c r="G24" s="53">
        <f ca="1"/>
        <v>44210</v>
      </c>
      <c r="H24" s="53">
        <f ca="1"/>
        <v>44245</v>
      </c>
      <c r="I24" s="53">
        <f ca="1"/>
        <v>44273</v>
      </c>
      <c r="J24" s="53">
        <f ca="1"/>
        <v>44301</v>
      </c>
      <c r="K24" s="53">
        <f ca="1"/>
        <v>44329</v>
      </c>
      <c r="L24" s="53">
        <f ca="1"/>
        <v>44364</v>
      </c>
      <c r="M24" s="53">
        <f ca="1"/>
        <v>44392</v>
      </c>
      <c r="N24" s="53">
        <f ca="1"/>
        <v>44420</v>
      </c>
      <c r="R24" s="1" t="str">
        <f ca="1">IFERROR(RANK(S24,cálculos!$S$5:$S$24,1)+SUMPRODUCT(--(S24=cálculos!$S$5:$S$24),--(U24&gt;cálculos!$U$5:$U$24)),"")</f>
        <v/>
      </c>
      <c r="S24" s="41" t="str">
        <f ca="1">IFERROR(RANK($T24,cálculos!$T$5:$T$24,1),"")</f>
        <v/>
      </c>
      <c r="T24" s="49" t="str">
        <f t="array" aca="1" ref="T24" ca="1">IFERROR(INDEX(AppointmentDetails[],SMALL(IF(AppointmentDetails[FECHA]=TodaysDate,ROW(AppointmentDetails[FECHA])-4),ROW(A20)),2),"")</f>
        <v/>
      </c>
      <c r="U24" s="40" t="str">
        <f t="array" aca="1" ref="U24" ca="1">IFERROR(INDEX(AppointmentDetails[],SMALL(IF(AppointmentDetails[FECHA]=TodaysDate,ROW(AppointmentDetails[FECHA])-4),ROW(A20)),3),"")</f>
        <v/>
      </c>
      <c r="W24">
        <v>20</v>
      </c>
      <c r="X24" s="49" t="str">
        <f ca="1">IFERROR(VLOOKUP(W24,SortTable[],3,FALSE),"")</f>
        <v/>
      </c>
      <c r="Y24" s="1" t="str">
        <f ca="1">IFERROR(VLOOKUP(W24,SortTable[],4,FALSE),"")</f>
        <v/>
      </c>
    </row>
    <row r="25" spans="2:25" x14ac:dyDescent="0.2">
      <c r="B25" s="1" t="s">
        <v>3</v>
      </c>
      <c r="C25" s="53">
        <f ca="1"/>
        <v>44092</v>
      </c>
      <c r="D25" s="53">
        <f ca="1"/>
        <v>44120</v>
      </c>
      <c r="E25" s="53">
        <f ca="1"/>
        <v>44148</v>
      </c>
      <c r="F25" s="53">
        <f ca="1"/>
        <v>44183</v>
      </c>
      <c r="G25" s="53">
        <f ca="1"/>
        <v>44211</v>
      </c>
      <c r="H25" s="53">
        <f ca="1"/>
        <v>44246</v>
      </c>
      <c r="I25" s="53">
        <f ca="1"/>
        <v>44274</v>
      </c>
      <c r="J25" s="53">
        <f ca="1"/>
        <v>44302</v>
      </c>
      <c r="K25" s="53">
        <f ca="1"/>
        <v>44330</v>
      </c>
      <c r="L25" s="53">
        <f ca="1"/>
        <v>44365</v>
      </c>
      <c r="M25" s="53">
        <f ca="1"/>
        <v>44393</v>
      </c>
      <c r="N25" s="53">
        <f ca="1"/>
        <v>44421</v>
      </c>
      <c r="S25" s="41"/>
      <c r="U25" s="40"/>
    </row>
    <row r="26" spans="2:25" x14ac:dyDescent="0.2">
      <c r="B26" s="1" t="s">
        <v>4</v>
      </c>
      <c r="C26" s="53">
        <f ca="1"/>
        <v>44093</v>
      </c>
      <c r="D26" s="53">
        <f ca="1"/>
        <v>44121</v>
      </c>
      <c r="E26" s="53">
        <f ca="1"/>
        <v>44149</v>
      </c>
      <c r="F26" s="53">
        <f ca="1"/>
        <v>44184</v>
      </c>
      <c r="G26" s="53">
        <f ca="1"/>
        <v>44212</v>
      </c>
      <c r="H26" s="53">
        <f ca="1"/>
        <v>44247</v>
      </c>
      <c r="I26" s="53">
        <f ca="1"/>
        <v>44275</v>
      </c>
      <c r="J26" s="53">
        <f ca="1"/>
        <v>44303</v>
      </c>
      <c r="K26" s="53">
        <f ca="1"/>
        <v>44331</v>
      </c>
      <c r="L26" s="53">
        <f ca="1"/>
        <v>44366</v>
      </c>
      <c r="M26" s="53">
        <f ca="1"/>
        <v>44394</v>
      </c>
      <c r="N26" s="53">
        <f ca="1"/>
        <v>44422</v>
      </c>
      <c r="S26" s="5"/>
      <c r="U26" s="40"/>
    </row>
    <row r="27" spans="2:25" x14ac:dyDescent="0.2">
      <c r="B27" s="1" t="s">
        <v>5</v>
      </c>
      <c r="C27" s="53">
        <f ca="1"/>
        <v>44094</v>
      </c>
      <c r="D27" s="53">
        <f ca="1"/>
        <v>44122</v>
      </c>
      <c r="E27" s="53">
        <f ca="1"/>
        <v>44150</v>
      </c>
      <c r="F27" s="53">
        <f ca="1"/>
        <v>44185</v>
      </c>
      <c r="G27" s="53">
        <f ca="1"/>
        <v>44213</v>
      </c>
      <c r="H27" s="53">
        <f ca="1"/>
        <v>44248</v>
      </c>
      <c r="I27" s="53">
        <f ca="1"/>
        <v>44276</v>
      </c>
      <c r="J27" s="53">
        <f ca="1"/>
        <v>44304</v>
      </c>
      <c r="K27" s="53">
        <f ca="1"/>
        <v>44332</v>
      </c>
      <c r="L27" s="53">
        <f ca="1"/>
        <v>44367</v>
      </c>
      <c r="M27" s="53">
        <f ca="1"/>
        <v>44395</v>
      </c>
      <c r="N27" s="53">
        <f ca="1"/>
        <v>44423</v>
      </c>
      <c r="S27" s="5"/>
      <c r="U27" s="40"/>
    </row>
    <row r="28" spans="2:25" x14ac:dyDescent="0.2">
      <c r="B28" s="1" t="s">
        <v>6</v>
      </c>
      <c r="C28" s="53">
        <f ca="1"/>
        <v>44095</v>
      </c>
      <c r="D28" s="53">
        <f ca="1"/>
        <v>44123</v>
      </c>
      <c r="E28" s="53">
        <f ca="1"/>
        <v>44151</v>
      </c>
      <c r="F28" s="53">
        <f ca="1"/>
        <v>44186</v>
      </c>
      <c r="G28" s="53">
        <f ca="1"/>
        <v>44214</v>
      </c>
      <c r="H28" s="53">
        <f ca="1"/>
        <v>44249</v>
      </c>
      <c r="I28" s="53">
        <f ca="1"/>
        <v>44277</v>
      </c>
      <c r="J28" s="53">
        <f ca="1"/>
        <v>44305</v>
      </c>
      <c r="K28" s="53">
        <f ca="1"/>
        <v>44333</v>
      </c>
      <c r="L28" s="53">
        <f ca="1"/>
        <v>44368</v>
      </c>
      <c r="M28" s="53">
        <f ca="1"/>
        <v>44396</v>
      </c>
      <c r="N28" s="53">
        <f ca="1"/>
        <v>44424</v>
      </c>
      <c r="S28" s="5"/>
      <c r="U28" s="40"/>
    </row>
    <row r="29" spans="2:25" x14ac:dyDescent="0.2">
      <c r="B29" s="1" t="s">
        <v>0</v>
      </c>
      <c r="C29" s="53">
        <f ca="1"/>
        <v>44096</v>
      </c>
      <c r="D29" s="53">
        <f ca="1"/>
        <v>44124</v>
      </c>
      <c r="E29" s="53">
        <f ca="1"/>
        <v>44152</v>
      </c>
      <c r="F29" s="53">
        <f ca="1"/>
        <v>44187</v>
      </c>
      <c r="G29" s="53">
        <f ca="1"/>
        <v>44215</v>
      </c>
      <c r="H29" s="53">
        <f ca="1"/>
        <v>44250</v>
      </c>
      <c r="I29" s="53">
        <f ca="1"/>
        <v>44278</v>
      </c>
      <c r="J29" s="53">
        <f ca="1"/>
        <v>44306</v>
      </c>
      <c r="K29" s="53">
        <f ca="1"/>
        <v>44334</v>
      </c>
      <c r="L29" s="53">
        <f ca="1"/>
        <v>44369</v>
      </c>
      <c r="M29" s="53">
        <f ca="1"/>
        <v>44397</v>
      </c>
      <c r="N29" s="53">
        <f ca="1"/>
        <v>44425</v>
      </c>
      <c r="S29" s="5"/>
      <c r="U29" s="40"/>
    </row>
    <row r="30" spans="2:25" x14ac:dyDescent="0.2">
      <c r="B30" s="1" t="s">
        <v>1</v>
      </c>
      <c r="C30" s="53">
        <f ca="1"/>
        <v>44097</v>
      </c>
      <c r="D30" s="53">
        <f ca="1"/>
        <v>44125</v>
      </c>
      <c r="E30" s="53">
        <f ca="1"/>
        <v>44153</v>
      </c>
      <c r="F30" s="53">
        <f ca="1"/>
        <v>44188</v>
      </c>
      <c r="G30" s="53">
        <f ca="1"/>
        <v>44216</v>
      </c>
      <c r="H30" s="53">
        <f ca="1"/>
        <v>44251</v>
      </c>
      <c r="I30" s="53">
        <f ca="1"/>
        <v>44279</v>
      </c>
      <c r="J30" s="53">
        <f ca="1"/>
        <v>44307</v>
      </c>
      <c r="K30" s="53">
        <f ca="1"/>
        <v>44335</v>
      </c>
      <c r="L30" s="53">
        <f ca="1"/>
        <v>44370</v>
      </c>
      <c r="M30" s="53">
        <f ca="1"/>
        <v>44398</v>
      </c>
      <c r="N30" s="53">
        <f ca="1"/>
        <v>44426</v>
      </c>
      <c r="S30" s="5"/>
      <c r="U30" s="40"/>
    </row>
    <row r="31" spans="2:25" x14ac:dyDescent="0.2">
      <c r="B31" s="1" t="s">
        <v>2</v>
      </c>
      <c r="C31" s="53">
        <f ca="1"/>
        <v>44098</v>
      </c>
      <c r="D31" s="53">
        <f ca="1"/>
        <v>44126</v>
      </c>
      <c r="E31" s="53">
        <f ca="1"/>
        <v>44154</v>
      </c>
      <c r="F31" s="53">
        <f ca="1"/>
        <v>44189</v>
      </c>
      <c r="G31" s="53">
        <f ca="1"/>
        <v>44217</v>
      </c>
      <c r="H31" s="53">
        <f ca="1"/>
        <v>44252</v>
      </c>
      <c r="I31" s="53">
        <f ca="1"/>
        <v>44280</v>
      </c>
      <c r="J31" s="53">
        <f ca="1"/>
        <v>44308</v>
      </c>
      <c r="K31" s="53">
        <f ca="1"/>
        <v>44336</v>
      </c>
      <c r="L31" s="53">
        <f ca="1"/>
        <v>44371</v>
      </c>
      <c r="M31" s="53">
        <f ca="1"/>
        <v>44399</v>
      </c>
      <c r="N31" s="53">
        <f ca="1"/>
        <v>44427</v>
      </c>
      <c r="S31" s="5"/>
      <c r="U31" s="40"/>
    </row>
    <row r="32" spans="2:25" x14ac:dyDescent="0.2">
      <c r="B32" s="1" t="s">
        <v>3</v>
      </c>
      <c r="C32" s="53">
        <f ca="1"/>
        <v>44099</v>
      </c>
      <c r="D32" s="53">
        <f ca="1"/>
        <v>44127</v>
      </c>
      <c r="E32" s="53">
        <f ca="1"/>
        <v>44155</v>
      </c>
      <c r="F32" s="53">
        <f ca="1"/>
        <v>44190</v>
      </c>
      <c r="G32" s="53">
        <f ca="1"/>
        <v>44218</v>
      </c>
      <c r="H32" s="53">
        <f ca="1"/>
        <v>44253</v>
      </c>
      <c r="I32" s="53">
        <f ca="1"/>
        <v>44281</v>
      </c>
      <c r="J32" s="53">
        <f ca="1"/>
        <v>44309</v>
      </c>
      <c r="K32" s="53">
        <f ca="1"/>
        <v>44337</v>
      </c>
      <c r="L32" s="53">
        <f ca="1"/>
        <v>44372</v>
      </c>
      <c r="M32" s="53">
        <f ca="1"/>
        <v>44400</v>
      </c>
      <c r="N32" s="53">
        <f ca="1"/>
        <v>44428</v>
      </c>
      <c r="S32" s="5"/>
      <c r="U32" s="40"/>
    </row>
    <row r="33" spans="2:21" x14ac:dyDescent="0.2">
      <c r="B33" s="1" t="s">
        <v>4</v>
      </c>
      <c r="C33" s="53">
        <f ca="1"/>
        <v>44100</v>
      </c>
      <c r="D33" s="53">
        <f ca="1"/>
        <v>44128</v>
      </c>
      <c r="E33" s="53">
        <f ca="1"/>
        <v>44156</v>
      </c>
      <c r="F33" s="53">
        <f ca="1"/>
        <v>44191</v>
      </c>
      <c r="G33" s="53">
        <f ca="1"/>
        <v>44219</v>
      </c>
      <c r="H33" s="53">
        <f ca="1"/>
        <v>44254</v>
      </c>
      <c r="I33" s="53">
        <f ca="1"/>
        <v>44282</v>
      </c>
      <c r="J33" s="53">
        <f ca="1"/>
        <v>44310</v>
      </c>
      <c r="K33" s="53">
        <f ca="1"/>
        <v>44338</v>
      </c>
      <c r="L33" s="53">
        <f ca="1"/>
        <v>44373</v>
      </c>
      <c r="M33" s="53">
        <f ca="1"/>
        <v>44401</v>
      </c>
      <c r="N33" s="53">
        <f ca="1"/>
        <v>44429</v>
      </c>
      <c r="S33" s="5"/>
      <c r="U33" s="40"/>
    </row>
    <row r="34" spans="2:21" x14ac:dyDescent="0.2">
      <c r="B34" s="1" t="s">
        <v>5</v>
      </c>
      <c r="C34" s="53">
        <f ca="1"/>
        <v>44101</v>
      </c>
      <c r="D34" s="53">
        <f ca="1"/>
        <v>44129</v>
      </c>
      <c r="E34" s="53">
        <f ca="1"/>
        <v>44157</v>
      </c>
      <c r="F34" s="53">
        <f ca="1"/>
        <v>44192</v>
      </c>
      <c r="G34" s="53">
        <f ca="1"/>
        <v>44220</v>
      </c>
      <c r="H34" s="53">
        <f ca="1"/>
        <v>44255</v>
      </c>
      <c r="I34" s="53">
        <f ca="1"/>
        <v>44283</v>
      </c>
      <c r="J34" s="53">
        <f ca="1"/>
        <v>44311</v>
      </c>
      <c r="K34" s="53">
        <f ca="1"/>
        <v>44339</v>
      </c>
      <c r="L34" s="53">
        <f ca="1"/>
        <v>44374</v>
      </c>
      <c r="M34" s="53">
        <f ca="1"/>
        <v>44402</v>
      </c>
      <c r="N34" s="53">
        <f ca="1"/>
        <v>44430</v>
      </c>
      <c r="S34" s="5"/>
      <c r="U34" s="40"/>
    </row>
    <row r="35" spans="2:21" x14ac:dyDescent="0.2">
      <c r="B35" s="1" t="s">
        <v>6</v>
      </c>
      <c r="C35" s="53">
        <f ca="1"/>
        <v>44102</v>
      </c>
      <c r="D35" s="53">
        <f ca="1"/>
        <v>44130</v>
      </c>
      <c r="E35" s="53">
        <f ca="1"/>
        <v>44158</v>
      </c>
      <c r="F35" s="53">
        <f ca="1"/>
        <v>44193</v>
      </c>
      <c r="G35" s="53">
        <f ca="1"/>
        <v>44221</v>
      </c>
      <c r="H35" s="53" t="str">
        <f ca="1"/>
        <v/>
      </c>
      <c r="I35" s="53">
        <f ca="1"/>
        <v>44284</v>
      </c>
      <c r="J35" s="53">
        <f ca="1"/>
        <v>44312</v>
      </c>
      <c r="K35" s="53">
        <f ca="1"/>
        <v>44340</v>
      </c>
      <c r="L35" s="53">
        <f ca="1"/>
        <v>44375</v>
      </c>
      <c r="M35" s="53">
        <f ca="1"/>
        <v>44403</v>
      </c>
      <c r="N35" s="53">
        <f ca="1"/>
        <v>44431</v>
      </c>
      <c r="S35" s="5"/>
      <c r="U35" s="40"/>
    </row>
    <row r="36" spans="2:21" x14ac:dyDescent="0.2">
      <c r="B36" s="1" t="s">
        <v>0</v>
      </c>
      <c r="C36" s="53">
        <f ca="1"/>
        <v>44103</v>
      </c>
      <c r="D36" s="53">
        <f ca="1"/>
        <v>44131</v>
      </c>
      <c r="E36" s="53">
        <f ca="1"/>
        <v>44159</v>
      </c>
      <c r="F36" s="53">
        <f ca="1"/>
        <v>44194</v>
      </c>
      <c r="G36" s="53">
        <f ca="1"/>
        <v>44222</v>
      </c>
      <c r="H36" s="53" t="str">
        <f ca="1"/>
        <v/>
      </c>
      <c r="I36" s="53">
        <f ca="1"/>
        <v>44285</v>
      </c>
      <c r="J36" s="53">
        <f ca="1"/>
        <v>44313</v>
      </c>
      <c r="K36" s="53">
        <f ca="1"/>
        <v>44341</v>
      </c>
      <c r="L36" s="53">
        <f ca="1"/>
        <v>44376</v>
      </c>
      <c r="M36" s="53">
        <f ca="1"/>
        <v>44404</v>
      </c>
      <c r="N36" s="53">
        <f ca="1"/>
        <v>44432</v>
      </c>
      <c r="S36" s="5"/>
      <c r="U36" s="40"/>
    </row>
    <row r="37" spans="2:21" x14ac:dyDescent="0.2">
      <c r="B37" s="1" t="s">
        <v>1</v>
      </c>
      <c r="C37" s="53">
        <f ca="1"/>
        <v>44104</v>
      </c>
      <c r="D37" s="53">
        <f ca="1"/>
        <v>44132</v>
      </c>
      <c r="E37" s="53">
        <f ca="1"/>
        <v>44160</v>
      </c>
      <c r="F37" s="53">
        <f ca="1"/>
        <v>44195</v>
      </c>
      <c r="G37" s="53">
        <f ca="1"/>
        <v>44223</v>
      </c>
      <c r="H37" s="53" t="str">
        <f ca="1"/>
        <v/>
      </c>
      <c r="I37" s="53">
        <f ca="1"/>
        <v>44286</v>
      </c>
      <c r="J37" s="53">
        <f ca="1"/>
        <v>44314</v>
      </c>
      <c r="K37" s="53">
        <f ca="1"/>
        <v>44342</v>
      </c>
      <c r="L37" s="53">
        <f ca="1"/>
        <v>44377</v>
      </c>
      <c r="M37" s="53">
        <f ca="1"/>
        <v>44405</v>
      </c>
      <c r="N37" s="53">
        <f ca="1"/>
        <v>44433</v>
      </c>
      <c r="S37" s="5"/>
      <c r="U37" s="40"/>
    </row>
    <row r="38" spans="2:21" x14ac:dyDescent="0.2">
      <c r="B38" s="1" t="s">
        <v>2</v>
      </c>
      <c r="C38" s="53" t="str">
        <f ca="1"/>
        <v/>
      </c>
      <c r="D38" s="53">
        <f ca="1"/>
        <v>44133</v>
      </c>
      <c r="E38" s="53">
        <f ca="1"/>
        <v>44161</v>
      </c>
      <c r="F38" s="53">
        <f ca="1"/>
        <v>44196</v>
      </c>
      <c r="G38" s="53">
        <f ca="1"/>
        <v>44224</v>
      </c>
      <c r="H38" s="53" t="str">
        <f ca="1"/>
        <v/>
      </c>
      <c r="I38" s="53" t="str">
        <f ca="1"/>
        <v/>
      </c>
      <c r="J38" s="53">
        <f ca="1"/>
        <v>44315</v>
      </c>
      <c r="K38" s="53">
        <f ca="1"/>
        <v>44343</v>
      </c>
      <c r="L38" s="53" t="str">
        <f ca="1"/>
        <v/>
      </c>
      <c r="M38" s="53">
        <f ca="1"/>
        <v>44406</v>
      </c>
      <c r="N38" s="53">
        <f ca="1"/>
        <v>44434</v>
      </c>
      <c r="S38" s="5"/>
      <c r="U38" s="40"/>
    </row>
    <row r="39" spans="2:21" x14ac:dyDescent="0.2">
      <c r="B39" s="1" t="s">
        <v>3</v>
      </c>
      <c r="C39" s="53" t="str">
        <f ca="1"/>
        <v/>
      </c>
      <c r="D39" s="53">
        <f ca="1"/>
        <v>44134</v>
      </c>
      <c r="E39" s="53">
        <f ca="1"/>
        <v>44162</v>
      </c>
      <c r="F39" s="53" t="str">
        <f ca="1"/>
        <v/>
      </c>
      <c r="G39" s="53">
        <f ca="1"/>
        <v>44225</v>
      </c>
      <c r="H39" s="53" t="str">
        <f ca="1"/>
        <v/>
      </c>
      <c r="I39" s="53" t="str">
        <f ca="1"/>
        <v/>
      </c>
      <c r="J39" s="53">
        <f ca="1"/>
        <v>44316</v>
      </c>
      <c r="K39" s="53">
        <f ca="1"/>
        <v>44344</v>
      </c>
      <c r="L39" s="53" t="str">
        <f ca="1"/>
        <v/>
      </c>
      <c r="M39" s="53">
        <f ca="1"/>
        <v>44407</v>
      </c>
      <c r="N39" s="53">
        <f ca="1"/>
        <v>44435</v>
      </c>
      <c r="S39" s="5"/>
      <c r="U39" s="40"/>
    </row>
    <row r="40" spans="2:21" x14ac:dyDescent="0.2">
      <c r="B40" s="1" t="s">
        <v>4</v>
      </c>
      <c r="C40" s="53" t="str">
        <f ca="1"/>
        <v/>
      </c>
      <c r="D40" s="53">
        <f ca="1"/>
        <v>44135</v>
      </c>
      <c r="E40" s="53">
        <f ca="1"/>
        <v>44163</v>
      </c>
      <c r="F40" s="53" t="str">
        <f ca="1"/>
        <v/>
      </c>
      <c r="G40" s="53">
        <f ca="1"/>
        <v>44226</v>
      </c>
      <c r="H40" s="53" t="str">
        <f ca="1"/>
        <v/>
      </c>
      <c r="I40" s="53" t="str">
        <f ca="1"/>
        <v/>
      </c>
      <c r="J40" s="53" t="str">
        <f ca="1"/>
        <v/>
      </c>
      <c r="K40" s="53">
        <f ca="1"/>
        <v>44345</v>
      </c>
      <c r="L40" s="53" t="str">
        <f ca="1"/>
        <v/>
      </c>
      <c r="M40" s="53">
        <f ca="1"/>
        <v>44408</v>
      </c>
      <c r="N40" s="53">
        <f ca="1"/>
        <v>44436</v>
      </c>
      <c r="S40" s="5"/>
      <c r="U40" s="40"/>
    </row>
    <row r="41" spans="2:21" x14ac:dyDescent="0.2">
      <c r="B41" s="1" t="s">
        <v>5</v>
      </c>
      <c r="C41" s="53" t="str">
        <f ca="1"/>
        <v/>
      </c>
      <c r="D41" s="53" t="str">
        <f ca="1"/>
        <v/>
      </c>
      <c r="E41" s="53">
        <f ca="1"/>
        <v>44164</v>
      </c>
      <c r="F41" s="53" t="str">
        <f ca="1"/>
        <v/>
      </c>
      <c r="G41" s="53">
        <f ca="1"/>
        <v>44227</v>
      </c>
      <c r="H41" s="53" t="str">
        <f ca="1"/>
        <v/>
      </c>
      <c r="I41" s="53" t="str">
        <f ca="1"/>
        <v/>
      </c>
      <c r="J41" s="53" t="str">
        <f ca="1"/>
        <v/>
      </c>
      <c r="K41" s="53">
        <f ca="1"/>
        <v>44346</v>
      </c>
      <c r="L41" s="53" t="str">
        <f ca="1"/>
        <v/>
      </c>
      <c r="M41" s="53" t="str">
        <f ca="1"/>
        <v/>
      </c>
      <c r="N41" s="53">
        <f ca="1"/>
        <v>44437</v>
      </c>
      <c r="S41" s="5"/>
      <c r="U41" s="40"/>
    </row>
    <row r="42" spans="2:21" x14ac:dyDescent="0.2">
      <c r="B42" s="1" t="s">
        <v>6</v>
      </c>
      <c r="C42" s="53" t="str">
        <f ca="1"/>
        <v/>
      </c>
      <c r="D42" s="53" t="str">
        <f ca="1"/>
        <v/>
      </c>
      <c r="E42" s="53">
        <f ca="1"/>
        <v>44165</v>
      </c>
      <c r="F42" s="53" t="str">
        <f ca="1"/>
        <v/>
      </c>
      <c r="G42" s="53" t="str">
        <f ca="1"/>
        <v/>
      </c>
      <c r="H42" s="53" t="str">
        <f ca="1"/>
        <v/>
      </c>
      <c r="I42" s="53" t="str">
        <f ca="1"/>
        <v/>
      </c>
      <c r="J42" s="53" t="str">
        <f ca="1"/>
        <v/>
      </c>
      <c r="K42" s="53">
        <f ca="1"/>
        <v>44347</v>
      </c>
      <c r="L42" s="53" t="str">
        <f ca="1"/>
        <v/>
      </c>
      <c r="M42" s="53" t="str">
        <f ca="1"/>
        <v/>
      </c>
      <c r="N42" s="53">
        <f ca="1"/>
        <v>44438</v>
      </c>
      <c r="S42" s="5"/>
      <c r="U42" s="40"/>
    </row>
    <row r="43" spans="2:21" x14ac:dyDescent="0.2">
      <c r="B43" s="1" t="s">
        <v>0</v>
      </c>
      <c r="C43" s="53" t="str">
        <f ca="1"/>
        <v/>
      </c>
      <c r="D43" s="53" t="str">
        <f ca="1"/>
        <v/>
      </c>
      <c r="E43" s="53" t="str">
        <f ca="1"/>
        <v/>
      </c>
      <c r="F43" s="53" t="str">
        <f ca="1"/>
        <v/>
      </c>
      <c r="G43" s="53" t="str">
        <f ca="1"/>
        <v/>
      </c>
      <c r="H43" s="53" t="str">
        <f ca="1"/>
        <v/>
      </c>
      <c r="I43" s="53" t="str">
        <f ca="1"/>
        <v/>
      </c>
      <c r="J43" s="53" t="str">
        <f ca="1"/>
        <v/>
      </c>
      <c r="K43" s="53" t="str">
        <f ca="1"/>
        <v/>
      </c>
      <c r="L43" s="53" t="str">
        <f ca="1"/>
        <v/>
      </c>
      <c r="M43" s="53" t="str">
        <f ca="1"/>
        <v/>
      </c>
      <c r="N43" s="53">
        <f ca="1"/>
        <v>44439</v>
      </c>
      <c r="S43" s="5"/>
      <c r="U43" s="40"/>
    </row>
    <row r="44" spans="2:21" x14ac:dyDescent="0.2">
      <c r="S44" s="5"/>
      <c r="U44" s="40"/>
    </row>
    <row r="45" spans="2:21" x14ac:dyDescent="0.2">
      <c r="S45" s="5"/>
      <c r="U45" s="40"/>
    </row>
    <row r="46" spans="2:21" x14ac:dyDescent="0.2">
      <c r="S46" s="5"/>
      <c r="U46" s="40"/>
    </row>
    <row r="47" spans="2:21" x14ac:dyDescent="0.2">
      <c r="S47" s="5"/>
      <c r="U47" s="40"/>
    </row>
    <row r="48" spans="2:21" x14ac:dyDescent="0.2">
      <c r="S48" s="5"/>
      <c r="U48" s="40"/>
    </row>
    <row r="49" spans="19:21" x14ac:dyDescent="0.2">
      <c r="S49" s="5"/>
      <c r="U49" s="40"/>
    </row>
    <row r="50" spans="19:21" x14ac:dyDescent="0.2">
      <c r="S50" s="5"/>
      <c r="U50" s="40"/>
    </row>
    <row r="51" spans="19:21" x14ac:dyDescent="0.2">
      <c r="S51" s="5"/>
      <c r="U51" s="40"/>
    </row>
    <row r="52" spans="19:21" x14ac:dyDescent="0.2">
      <c r="S52" s="5"/>
      <c r="U52" s="40"/>
    </row>
    <row r="53" spans="19:21" x14ac:dyDescent="0.2">
      <c r="S53" s="5"/>
      <c r="U53" s="40"/>
    </row>
    <row r="54" spans="19:21" x14ac:dyDescent="0.2">
      <c r="S54" s="5"/>
      <c r="U54" s="40"/>
    </row>
    <row r="55" spans="19:21" x14ac:dyDescent="0.2">
      <c r="S55" s="5"/>
      <c r="U55" s="40"/>
    </row>
    <row r="56" spans="19:21" x14ac:dyDescent="0.2">
      <c r="S56" s="5"/>
      <c r="U56" s="40"/>
    </row>
    <row r="57" spans="19:21" x14ac:dyDescent="0.2">
      <c r="S57" s="5"/>
      <c r="U57" s="40"/>
    </row>
    <row r="58" spans="19:21" x14ac:dyDescent="0.2">
      <c r="S58" s="5"/>
      <c r="U58" s="40"/>
    </row>
    <row r="59" spans="19:21" x14ac:dyDescent="0.2">
      <c r="S59" s="5"/>
      <c r="U59" s="40"/>
    </row>
    <row r="60" spans="19:21" x14ac:dyDescent="0.2">
      <c r="S60" s="5"/>
      <c r="U60" s="40"/>
    </row>
    <row r="61" spans="19:21" x14ac:dyDescent="0.2">
      <c r="S61" s="5"/>
      <c r="U61" s="40"/>
    </row>
    <row r="62" spans="19:21" x14ac:dyDescent="0.2">
      <c r="S62" s="5"/>
      <c r="U62" s="40"/>
    </row>
    <row r="63" spans="19:21" x14ac:dyDescent="0.2">
      <c r="S63" s="5"/>
      <c r="U63" s="40"/>
    </row>
    <row r="64" spans="19:21" x14ac:dyDescent="0.2">
      <c r="S64" s="5"/>
      <c r="U64" s="40"/>
    </row>
    <row r="65" spans="19:21" x14ac:dyDescent="0.2">
      <c r="S65" s="5"/>
      <c r="U65" s="40"/>
    </row>
    <row r="66" spans="19:21" x14ac:dyDescent="0.2">
      <c r="S66" s="5"/>
      <c r="U66" s="40"/>
    </row>
    <row r="67" spans="19:21" x14ac:dyDescent="0.2">
      <c r="S67" s="5"/>
      <c r="U67" s="40"/>
    </row>
    <row r="68" spans="19:21" x14ac:dyDescent="0.2">
      <c r="S68" s="5"/>
      <c r="U68" s="40"/>
    </row>
    <row r="69" spans="19:21" x14ac:dyDescent="0.2">
      <c r="S69" s="5"/>
      <c r="U69" s="40"/>
    </row>
    <row r="70" spans="19:21" x14ac:dyDescent="0.2">
      <c r="S70" s="5"/>
      <c r="U70" s="40"/>
    </row>
    <row r="71" spans="19:21" x14ac:dyDescent="0.2">
      <c r="S71" s="5"/>
      <c r="U71" s="40"/>
    </row>
    <row r="72" spans="19:21" x14ac:dyDescent="0.2">
      <c r="S72" s="5"/>
      <c r="U72" s="40"/>
    </row>
    <row r="73" spans="19:21" x14ac:dyDescent="0.2">
      <c r="S73" s="5"/>
      <c r="U73" s="40"/>
    </row>
    <row r="74" spans="19:21" x14ac:dyDescent="0.2">
      <c r="S74" s="5"/>
      <c r="U74" s="40"/>
    </row>
    <row r="75" spans="19:21" x14ac:dyDescent="0.2">
      <c r="S75" s="5"/>
      <c r="U75" s="40"/>
    </row>
    <row r="76" spans="19:21" x14ac:dyDescent="0.2">
      <c r="S76" s="5"/>
      <c r="U76" s="40"/>
    </row>
    <row r="77" spans="19:21" x14ac:dyDescent="0.2">
      <c r="S77" s="5"/>
      <c r="U77" s="40"/>
    </row>
    <row r="78" spans="19:21" x14ac:dyDescent="0.2">
      <c r="S78" s="5"/>
      <c r="U78" s="40"/>
    </row>
    <row r="79" spans="19:21" x14ac:dyDescent="0.2">
      <c r="S79" s="5"/>
      <c r="U79" s="40"/>
    </row>
    <row r="80" spans="19:21" x14ac:dyDescent="0.2">
      <c r="S80" s="5"/>
      <c r="U80" s="40"/>
    </row>
    <row r="81" spans="19:21" x14ac:dyDescent="0.2">
      <c r="S81" s="5"/>
      <c r="U81" s="40"/>
    </row>
    <row r="82" spans="19:21" x14ac:dyDescent="0.2">
      <c r="S82" s="5"/>
      <c r="U82" s="40"/>
    </row>
    <row r="83" spans="19:21" x14ac:dyDescent="0.2">
      <c r="S83" s="5"/>
      <c r="U83" s="40"/>
    </row>
    <row r="84" spans="19:21" x14ac:dyDescent="0.2">
      <c r="S84" s="5"/>
      <c r="U84" s="40"/>
    </row>
    <row r="85" spans="19:21" x14ac:dyDescent="0.2">
      <c r="S85" s="5"/>
      <c r="U85" s="40"/>
    </row>
    <row r="86" spans="19:21" x14ac:dyDescent="0.2">
      <c r="S86" s="5"/>
      <c r="U86" s="40"/>
    </row>
    <row r="87" spans="19:21" x14ac:dyDescent="0.2">
      <c r="S87" s="5"/>
      <c r="U87" s="40"/>
    </row>
    <row r="88" spans="19:21" x14ac:dyDescent="0.2">
      <c r="S88" s="5"/>
      <c r="U88" s="40"/>
    </row>
    <row r="89" spans="19:21" x14ac:dyDescent="0.2">
      <c r="S89" s="5"/>
      <c r="U89" s="40"/>
    </row>
    <row r="90" spans="19:21" x14ac:dyDescent="0.2">
      <c r="S90" s="5"/>
      <c r="U90" s="40"/>
    </row>
    <row r="91" spans="19:21" x14ac:dyDescent="0.2">
      <c r="S91" s="5"/>
      <c r="U91" s="40"/>
    </row>
    <row r="92" spans="19:21" x14ac:dyDescent="0.2">
      <c r="S92" s="5"/>
      <c r="U92" s="40"/>
    </row>
    <row r="93" spans="19:21" x14ac:dyDescent="0.2">
      <c r="S93" s="5"/>
      <c r="U93" s="40"/>
    </row>
    <row r="94" spans="19:21" x14ac:dyDescent="0.2">
      <c r="S94" s="5"/>
      <c r="U94" s="40"/>
    </row>
    <row r="95" spans="19:21" x14ac:dyDescent="0.2">
      <c r="S95" s="5"/>
      <c r="U95" s="40"/>
    </row>
    <row r="96" spans="19:21" x14ac:dyDescent="0.2">
      <c r="S96" s="5"/>
      <c r="U96" s="40"/>
    </row>
    <row r="97" spans="19:21" x14ac:dyDescent="0.2">
      <c r="S97" s="5"/>
      <c r="U97" s="40"/>
    </row>
    <row r="98" spans="19:21" x14ac:dyDescent="0.2">
      <c r="S98" s="5"/>
      <c r="U98" s="40"/>
    </row>
    <row r="99" spans="19:21" x14ac:dyDescent="0.2">
      <c r="S99" s="5"/>
      <c r="U99" s="40"/>
    </row>
    <row r="100" spans="19:21" x14ac:dyDescent="0.2">
      <c r="S100" s="5"/>
      <c r="U100" s="40"/>
    </row>
    <row r="101" spans="19:21" x14ac:dyDescent="0.2">
      <c r="S101" s="5"/>
      <c r="U101" s="40"/>
    </row>
    <row r="102" spans="19:21" x14ac:dyDescent="0.2">
      <c r="S102" s="5"/>
      <c r="U102" s="40"/>
    </row>
    <row r="103" spans="19:21" x14ac:dyDescent="0.2">
      <c r="S103" s="5"/>
      <c r="U103" s="40"/>
    </row>
    <row r="104" spans="19:21" x14ac:dyDescent="0.2">
      <c r="S104" s="5"/>
      <c r="U104" s="40"/>
    </row>
    <row r="105" spans="19:21" x14ac:dyDescent="0.2">
      <c r="S105" s="5"/>
      <c r="U105" s="40"/>
    </row>
    <row r="106" spans="19:21" x14ac:dyDescent="0.2">
      <c r="S106" s="5"/>
      <c r="U106" s="40"/>
    </row>
    <row r="107" spans="19:21" x14ac:dyDescent="0.2">
      <c r="S107" s="5"/>
      <c r="U107" s="40"/>
    </row>
    <row r="108" spans="19:21" x14ac:dyDescent="0.2">
      <c r="S108" s="5"/>
      <c r="U108" s="40"/>
    </row>
    <row r="109" spans="19:21" x14ac:dyDescent="0.2">
      <c r="S109" s="5"/>
      <c r="U109" s="40"/>
    </row>
    <row r="110" spans="19:21" x14ac:dyDescent="0.2">
      <c r="S110" s="5"/>
      <c r="U110" s="40"/>
    </row>
    <row r="111" spans="19:21" x14ac:dyDescent="0.2">
      <c r="S111" s="5"/>
      <c r="U111" s="40"/>
    </row>
    <row r="112" spans="19:21" x14ac:dyDescent="0.2">
      <c r="S112" s="5"/>
      <c r="U112" s="40"/>
    </row>
    <row r="113" spans="19:21" x14ac:dyDescent="0.2">
      <c r="S113" s="5"/>
      <c r="U113" s="40"/>
    </row>
    <row r="114" spans="19:21" x14ac:dyDescent="0.2">
      <c r="S114" s="5"/>
      <c r="U114" s="40"/>
    </row>
    <row r="115" spans="19:21" x14ac:dyDescent="0.2">
      <c r="S115" s="5"/>
      <c r="U115" s="40"/>
    </row>
    <row r="116" spans="19:21" x14ac:dyDescent="0.2">
      <c r="S116" s="5"/>
      <c r="U116" s="40"/>
    </row>
    <row r="117" spans="19:21" x14ac:dyDescent="0.2">
      <c r="S117" s="5"/>
      <c r="U117" s="40"/>
    </row>
    <row r="118" spans="19:21" x14ac:dyDescent="0.2">
      <c r="S118" s="5"/>
      <c r="U118" s="40"/>
    </row>
    <row r="119" spans="19:21" x14ac:dyDescent="0.2">
      <c r="S119" s="5"/>
      <c r="U119" s="40"/>
    </row>
    <row r="120" spans="19:21" x14ac:dyDescent="0.2">
      <c r="S120" s="5"/>
      <c r="U120" s="40"/>
    </row>
    <row r="121" spans="19:21" x14ac:dyDescent="0.2">
      <c r="S121" s="5"/>
      <c r="U121" s="40"/>
    </row>
    <row r="122" spans="19:21" x14ac:dyDescent="0.2">
      <c r="S122" s="5"/>
      <c r="U122" s="40"/>
    </row>
    <row r="123" spans="19:21" x14ac:dyDescent="0.2">
      <c r="S123" s="5"/>
      <c r="U123" s="40"/>
    </row>
    <row r="124" spans="19:21" x14ac:dyDescent="0.2">
      <c r="S124" s="5"/>
      <c r="U124" s="40"/>
    </row>
    <row r="125" spans="19:21" x14ac:dyDescent="0.2">
      <c r="S125" s="5"/>
      <c r="U125" s="40"/>
    </row>
    <row r="126" spans="19:21" x14ac:dyDescent="0.2">
      <c r="S126" s="5"/>
      <c r="U126" s="40"/>
    </row>
    <row r="127" spans="19:21" x14ac:dyDescent="0.2">
      <c r="S127" s="5"/>
      <c r="U127" s="40"/>
    </row>
    <row r="128" spans="19:21" x14ac:dyDescent="0.2">
      <c r="S128" s="5"/>
      <c r="U128" s="40"/>
    </row>
    <row r="129" spans="19:21" x14ac:dyDescent="0.2">
      <c r="S129" s="5"/>
      <c r="U129" s="40"/>
    </row>
    <row r="130" spans="19:21" x14ac:dyDescent="0.2">
      <c r="S130" s="5"/>
      <c r="U130" s="40"/>
    </row>
    <row r="131" spans="19:21" x14ac:dyDescent="0.2">
      <c r="S131" s="5"/>
      <c r="U131" s="40"/>
    </row>
    <row r="132" spans="19:21" x14ac:dyDescent="0.2">
      <c r="S132" s="5"/>
      <c r="U132" s="40"/>
    </row>
    <row r="133" spans="19:21" x14ac:dyDescent="0.2">
      <c r="S133" s="5"/>
      <c r="U133" s="40"/>
    </row>
    <row r="134" spans="19:21" x14ac:dyDescent="0.2">
      <c r="S134" s="5"/>
      <c r="U134" s="40"/>
    </row>
    <row r="135" spans="19:21" x14ac:dyDescent="0.2">
      <c r="S135" s="5"/>
      <c r="U135" s="40"/>
    </row>
    <row r="136" spans="19:21" x14ac:dyDescent="0.2">
      <c r="S136" s="5"/>
      <c r="U136" s="40"/>
    </row>
    <row r="137" spans="19:21" x14ac:dyDescent="0.2">
      <c r="S137" s="5"/>
      <c r="U137" s="40"/>
    </row>
    <row r="138" spans="19:21" x14ac:dyDescent="0.2">
      <c r="S138" s="5"/>
      <c r="U138" s="40"/>
    </row>
    <row r="139" spans="19:21" x14ac:dyDescent="0.2">
      <c r="S139" s="5"/>
      <c r="U139" s="40"/>
    </row>
    <row r="140" spans="19:21" x14ac:dyDescent="0.2">
      <c r="S140" s="5"/>
      <c r="U140" s="40"/>
    </row>
    <row r="141" spans="19:21" x14ac:dyDescent="0.2">
      <c r="S141" s="5"/>
      <c r="U141" s="40"/>
    </row>
    <row r="142" spans="19:21" x14ac:dyDescent="0.2">
      <c r="S142" s="5"/>
      <c r="U142" s="40"/>
    </row>
    <row r="143" spans="19:21" x14ac:dyDescent="0.2">
      <c r="S143" s="5"/>
      <c r="U143" s="40"/>
    </row>
    <row r="144" spans="19:21" x14ac:dyDescent="0.2">
      <c r="S144" s="5"/>
      <c r="U144" s="40"/>
    </row>
    <row r="145" spans="19:21" x14ac:dyDescent="0.2">
      <c r="S145" s="5"/>
      <c r="U145" s="40"/>
    </row>
    <row r="146" spans="19:21" x14ac:dyDescent="0.2">
      <c r="S146" s="5"/>
      <c r="U146" s="40"/>
    </row>
    <row r="147" spans="19:21" x14ac:dyDescent="0.2">
      <c r="S147" s="5"/>
      <c r="U147" s="40"/>
    </row>
    <row r="148" spans="19:21" x14ac:dyDescent="0.2">
      <c r="S148" s="5"/>
      <c r="U148" s="40"/>
    </row>
    <row r="149" spans="19:21" x14ac:dyDescent="0.2">
      <c r="S149" s="5"/>
      <c r="U149" s="40"/>
    </row>
    <row r="150" spans="19:21" x14ac:dyDescent="0.2">
      <c r="S150" s="5"/>
      <c r="U150" s="40"/>
    </row>
    <row r="151" spans="19:21" x14ac:dyDescent="0.2">
      <c r="S151" s="5"/>
      <c r="U151" s="40"/>
    </row>
    <row r="152" spans="19:21" x14ac:dyDescent="0.2">
      <c r="S152" s="5"/>
      <c r="U152" s="40"/>
    </row>
    <row r="153" spans="19:21" x14ac:dyDescent="0.2">
      <c r="S153" s="5"/>
      <c r="U153" s="40"/>
    </row>
    <row r="154" spans="19:21" x14ac:dyDescent="0.2">
      <c r="S154" s="5"/>
      <c r="U154" s="40"/>
    </row>
    <row r="155" spans="19:21" x14ac:dyDescent="0.2">
      <c r="S155" s="5"/>
      <c r="U155" s="40"/>
    </row>
    <row r="156" spans="19:21" x14ac:dyDescent="0.2">
      <c r="S156" s="5"/>
      <c r="U156" s="40"/>
    </row>
    <row r="157" spans="19:21" x14ac:dyDescent="0.2">
      <c r="S157" s="5"/>
      <c r="U157" s="40"/>
    </row>
    <row r="158" spans="19:21" x14ac:dyDescent="0.2">
      <c r="S158" s="5"/>
      <c r="U158" s="40"/>
    </row>
    <row r="159" spans="19:21" x14ac:dyDescent="0.2">
      <c r="S159" s="5"/>
      <c r="U159" s="40"/>
    </row>
    <row r="160" spans="19:21" x14ac:dyDescent="0.2">
      <c r="S160" s="5"/>
      <c r="U160" s="40"/>
    </row>
    <row r="161" spans="19:21" x14ac:dyDescent="0.2">
      <c r="S161" s="5"/>
      <c r="U161" s="40"/>
    </row>
    <row r="162" spans="19:21" x14ac:dyDescent="0.2">
      <c r="S162" s="5"/>
      <c r="U162" s="40"/>
    </row>
    <row r="163" spans="19:21" x14ac:dyDescent="0.2">
      <c r="S163" s="5"/>
      <c r="U163" s="40"/>
    </row>
    <row r="164" spans="19:21" x14ac:dyDescent="0.2">
      <c r="S164" s="5"/>
      <c r="U164" s="40"/>
    </row>
    <row r="165" spans="19:21" x14ac:dyDescent="0.2">
      <c r="S165" s="5"/>
      <c r="U165" s="40"/>
    </row>
    <row r="166" spans="19:21" x14ac:dyDescent="0.2">
      <c r="S166" s="5"/>
      <c r="U166" s="40"/>
    </row>
    <row r="167" spans="19:21" x14ac:dyDescent="0.2">
      <c r="S167" s="5"/>
      <c r="U167" s="40"/>
    </row>
    <row r="168" spans="19:21" x14ac:dyDescent="0.2">
      <c r="S168" s="5"/>
      <c r="U168" s="40"/>
    </row>
    <row r="169" spans="19:21" x14ac:dyDescent="0.2">
      <c r="S169" s="5"/>
      <c r="U169" s="40"/>
    </row>
    <row r="170" spans="19:21" x14ac:dyDescent="0.2">
      <c r="S170" s="5"/>
      <c r="U170" s="40"/>
    </row>
    <row r="171" spans="19:21" x14ac:dyDescent="0.2">
      <c r="S171" s="5"/>
      <c r="U171" s="40"/>
    </row>
    <row r="172" spans="19:21" x14ac:dyDescent="0.2">
      <c r="S172" s="5"/>
      <c r="U172" s="40"/>
    </row>
    <row r="173" spans="19:21" x14ac:dyDescent="0.2">
      <c r="S173" s="5"/>
      <c r="U173" s="40"/>
    </row>
    <row r="174" spans="19:21" x14ac:dyDescent="0.2">
      <c r="S174" s="5"/>
      <c r="U174" s="40"/>
    </row>
    <row r="175" spans="19:21" x14ac:dyDescent="0.2">
      <c r="S175" s="5"/>
      <c r="U175" s="40"/>
    </row>
    <row r="176" spans="19:21" x14ac:dyDescent="0.2">
      <c r="S176" s="5"/>
      <c r="U176" s="40"/>
    </row>
    <row r="177" spans="19:21" x14ac:dyDescent="0.2">
      <c r="S177" s="5"/>
      <c r="U177" s="40"/>
    </row>
    <row r="178" spans="19:21" x14ac:dyDescent="0.2">
      <c r="S178" s="5"/>
      <c r="U178" s="40"/>
    </row>
    <row r="179" spans="19:21" x14ac:dyDescent="0.2">
      <c r="S179" s="5"/>
      <c r="U179" s="40"/>
    </row>
    <row r="180" spans="19:21" x14ac:dyDescent="0.2">
      <c r="S180" s="5"/>
      <c r="U180" s="40"/>
    </row>
    <row r="181" spans="19:21" x14ac:dyDescent="0.2">
      <c r="S181" s="5"/>
      <c r="U181" s="40"/>
    </row>
    <row r="182" spans="19:21" x14ac:dyDescent="0.2">
      <c r="S182" s="5"/>
      <c r="U182" s="40"/>
    </row>
    <row r="183" spans="19:21" x14ac:dyDescent="0.2">
      <c r="S183" s="5"/>
      <c r="U183" s="40"/>
    </row>
    <row r="184" spans="19:21" x14ac:dyDescent="0.2">
      <c r="S184" s="5"/>
      <c r="U184" s="40"/>
    </row>
    <row r="185" spans="19:21" x14ac:dyDescent="0.2">
      <c r="S185" s="5"/>
      <c r="U185" s="40"/>
    </row>
    <row r="186" spans="19:21" x14ac:dyDescent="0.2">
      <c r="S186" s="5"/>
      <c r="U186" s="40"/>
    </row>
    <row r="187" spans="19:21" x14ac:dyDescent="0.2">
      <c r="S187" s="5"/>
      <c r="U187" s="40"/>
    </row>
    <row r="188" spans="19:21" x14ac:dyDescent="0.2">
      <c r="S188" s="5"/>
      <c r="U188" s="40"/>
    </row>
    <row r="189" spans="19:21" x14ac:dyDescent="0.2">
      <c r="S189" s="5"/>
      <c r="U189" s="40"/>
    </row>
    <row r="190" spans="19:21" x14ac:dyDescent="0.2">
      <c r="S190" s="5"/>
      <c r="U190" s="40"/>
    </row>
  </sheetData>
  <printOptions horizontalCentered="1"/>
  <pageMargins left="0.5" right="0.5" top="0.5" bottom="0.5" header="0.5" footer="0.5"/>
  <pageSetup paperSize="9" scale="43" fitToHeight="0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11</vt:i4>
      </vt:variant>
    </vt:vector>
  </HeadingPairs>
  <TitlesOfParts>
    <vt:vector size="14" baseType="lpstr">
      <vt:lpstr>Planner anual</vt:lpstr>
      <vt:lpstr>Citas</vt:lpstr>
      <vt:lpstr>cálculos</vt:lpstr>
      <vt:lpstr>AppointmentDate</vt:lpstr>
      <vt:lpstr>CalendarGrid</vt:lpstr>
      <vt:lpstr>Calendario</vt:lpstr>
      <vt:lpstr>cálculos!Criterios</vt:lpstr>
      <vt:lpstr>DateCriteria</vt:lpstr>
      <vt:lpstr>DayGlance</vt:lpstr>
      <vt:lpstr>DayHeaders</vt:lpstr>
      <vt:lpstr>MonthHeaders</vt:lpstr>
      <vt:lpstr>'Planner anual'!StartYear</vt:lpstr>
      <vt:lpstr>Citas!Títulos_a_imprimir</vt:lpstr>
      <vt:lpstr>TodaysDate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01</cp:lastModifiedBy>
  <dcterms:created xsi:type="dcterms:W3CDTF">2015-10-13T00:12:19Z</dcterms:created>
  <dcterms:modified xsi:type="dcterms:W3CDTF">2020-04-23T20:27:41Z</dcterms:modified>
</cp:coreProperties>
</file>