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F53F5309-B78D-46D7-95D0-D1F720C590AE}" xr6:coauthVersionLast="45" xr6:coauthVersionMax="45" xr10:uidLastSave="{00000000-0000-0000-0000-000000000000}"/>
  <bookViews>
    <workbookView xWindow="-120" yWindow="-120" windowWidth="20730" windowHeight="11160" xr2:uid="{00000000-000D-0000-FFFF-FFFF00000000}"/>
  </bookViews>
  <sheets>
    <sheet name="Calendario" sheetId="1" r:id="rId1"/>
  </sheets>
  <definedNames>
    <definedName name="calendario" localSheetId="0">daygrid+Calendario!firstdate-WEEKDAY(Calendario!firstdate)-weekday_option</definedName>
    <definedName name="daygrid">días+semanas*7</definedName>
    <definedName name="daypattern">{1,2,3,4,5,6,7}</definedName>
    <definedName name="DayToStart">Calendario!$H$4</definedName>
    <definedName name="días">{0,1,2,3,4,5,6}</definedName>
    <definedName name="días_laborables">{"Lunes","Martes","Miércoles","Jueves","Viernes","Sábado","Domingo"}</definedName>
    <definedName name="firstdate" localSheetId="0">DATE(Calendario!YearToDisplay,Calendario!mes,1)</definedName>
    <definedName name="mes" localSheetId="0">MATCH(Calendario!MonthToDisplay,meses,0)</definedName>
    <definedName name="meses">{"Enero","Febrero","Marzo","Abril","Mayo","Junio","Julio","Agosto","Septiembre","Octubre","Noviembre","Dicembre"}</definedName>
    <definedName name="MonthToDisplay" localSheetId="0">Calendario!$H$2</definedName>
    <definedName name="MonthToDisplayNumber" localSheetId="0">MATCH(Calendario!MonthToDisplay,meses,0)</definedName>
    <definedName name="ndx" localSheetId="0">ROUNDUP(MATCH(2,1/FREQUENCY(DATE(Calendario!YearToDisplay,Calendario!MonthToDisplayNumber,1),Calendario!calendario))/7,0)</definedName>
    <definedName name="RowTitleRegion1...H4.1">Calendario!$G$2</definedName>
    <definedName name="RowTitleRegion2...E16.1">Calendario!$D$16</definedName>
    <definedName name="semanas">{0;1;2;3;4;5;6}</definedName>
    <definedName name="startdate" localSheetId="0">DATE(Calendario!YearToDisplay,Calendario!mes,1)</definedName>
    <definedName name="TitleRegion1..H15.1">Calendario!$A$5</definedName>
    <definedName name="TitleRegion2..c17.1">Calendario!$A$5</definedName>
    <definedName name="weekday_option">MATCH(DayToStart,weekdays_reversed,0)-2</definedName>
    <definedName name="weekdays_reversed">{"Domingo","Sábado","Viernes","Jueves","Miércoles","Martes","Lunes"}</definedName>
    <definedName name="WeekStart">Calendario!$K$3</definedName>
    <definedName name="YearToDisplay" localSheetId="0">Calendario!$H$3</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3" i="1" l="1"/>
  <c r="B1" i="1"/>
  <c r="B16" i="1" l="1" a="1"/>
  <c r="B14" i="1" a="1"/>
  <c r="B12" i="1" a="1"/>
  <c r="B10" i="1" a="1"/>
  <c r="B8" i="1" a="1"/>
  <c r="B6" i="1" a="1"/>
  <c r="B5" i="1" a="1"/>
  <c r="B2" i="1"/>
  <c r="H5" i="1" l="1"/>
  <c r="G5" i="1"/>
  <c r="F5" i="1"/>
  <c r="E5" i="1"/>
  <c r="D5" i="1"/>
  <c r="C5" i="1"/>
  <c r="B5" i="1"/>
  <c r="H6" i="1"/>
  <c r="G6" i="1"/>
  <c r="F6" i="1"/>
  <c r="E6" i="1"/>
  <c r="D6" i="1"/>
  <c r="C6" i="1"/>
  <c r="B6" i="1"/>
  <c r="H8" i="1"/>
  <c r="G8" i="1"/>
  <c r="F8" i="1"/>
  <c r="E8" i="1"/>
  <c r="D8" i="1"/>
  <c r="C8" i="1"/>
  <c r="B8" i="1"/>
  <c r="H10" i="1"/>
  <c r="G10" i="1"/>
  <c r="F10" i="1"/>
  <c r="E10" i="1"/>
  <c r="D10" i="1"/>
  <c r="C10" i="1"/>
  <c r="B10" i="1"/>
  <c r="H12" i="1"/>
  <c r="G12" i="1"/>
  <c r="F12" i="1"/>
  <c r="E12" i="1"/>
  <c r="D12" i="1"/>
  <c r="C12" i="1"/>
  <c r="B12" i="1"/>
  <c r="H14" i="1"/>
  <c r="G14" i="1"/>
  <c r="F14" i="1"/>
  <c r="E14" i="1"/>
  <c r="D14" i="1"/>
  <c r="C14" i="1"/>
  <c r="B14" i="1"/>
  <c r="C16" i="1"/>
  <c r="B16" i="1"/>
</calcChain>
</file>

<file path=xl/sharedStrings.xml><?xml version="1.0" encoding="utf-8"?>
<sst xmlns="http://schemas.openxmlformats.org/spreadsheetml/2006/main" count="12" uniqueCount="7">
  <si>
    <t>notas diarias</t>
  </si>
  <si>
    <t>Notas</t>
  </si>
  <si>
    <t>MES NATURAL</t>
  </si>
  <si>
    <t>AÑO NATURAL</t>
  </si>
  <si>
    <t>PRIMER DÍA DE LA SEMANA</t>
  </si>
  <si>
    <t>ENERO</t>
  </si>
  <si>
    <t>LUNES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</si>
</sst>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aaaa"/>
    <numFmt numFmtId="169" formatCode="d"/>
  </numFmts>
  <fonts count="9" x14ac:knownFonts="1">
    <font>
      <sz val="11"/>
      <color theme="1" tint="0.14993743705557422"/>
      <name val="Trebuchet MS"/>
      <family val="2"/>
      <scheme val="minor"/>
    </font>
    <font>
      <sz val="12"/>
      <color theme="1" tint="0.14996795556505021"/>
      <name val="Trebuchet MS"/>
      <family val="2"/>
      <scheme val="minor"/>
    </font>
    <font>
      <sz val="11"/>
      <color theme="1" tint="0.14993743705557422"/>
      <name val="Trebuchet MS"/>
      <family val="2"/>
      <scheme val="minor"/>
    </font>
    <font>
      <sz val="11"/>
      <color theme="1" tint="0.1498764000366222"/>
      <name val="Trebuchet MS"/>
      <family val="2"/>
      <scheme val="minor"/>
    </font>
    <font>
      <b/>
      <sz val="55"/>
      <color theme="4" tint="-0.24994659260841701"/>
      <name val="Trebuchet MS"/>
      <family val="2"/>
      <scheme val="major"/>
    </font>
    <font>
      <sz val="11"/>
      <color theme="4" tint="-0.24994659260841701"/>
      <name val="Trebuchet MS"/>
      <family val="2"/>
      <scheme val="minor"/>
    </font>
    <font>
      <sz val="19"/>
      <color theme="1" tint="0.14993743705557422"/>
      <name val="Trebuchet MS"/>
      <family val="2"/>
      <scheme val="major"/>
    </font>
    <font>
      <sz val="11"/>
      <color theme="1" tint="0.14993743705557422"/>
      <name val="Trebuchet MS"/>
      <family val="2"/>
      <scheme val="major"/>
    </font>
    <font>
      <sz val="11"/>
      <color theme="0" tint="-4.9989318521683403E-2"/>
      <name val="Trebuchet MS"/>
      <family val="2"/>
      <scheme val="minor"/>
    </font>
  </fonts>
  <fills count="2">
    <fill>
      <patternFill patternType="none"/>
    </fill>
    <fill>
      <patternFill patternType="gray125"/>
    </fill>
  </fills>
  <borders count="6">
    <border>
      <left/>
      <right/>
      <top/>
      <bottom/>
      <diagonal/>
    </border>
    <border>
      <left/>
      <right style="thick">
        <color theme="0"/>
      </right>
      <top/>
      <bottom style="thin">
        <color theme="4" tint="-0.24994659260841701"/>
      </bottom>
      <diagonal/>
    </border>
    <border>
      <left style="thick">
        <color theme="0"/>
      </left>
      <right/>
      <top/>
      <bottom style="thin">
        <color theme="4" tint="-0.24994659260841701"/>
      </bottom>
      <diagonal/>
    </border>
    <border>
      <left/>
      <right/>
      <top style="thick">
        <color theme="0"/>
      </top>
      <bottom/>
      <diagonal/>
    </border>
    <border>
      <left/>
      <right style="thick">
        <color theme="0"/>
      </right>
      <top style="thin">
        <color theme="4" tint="-0.24994659260841701"/>
      </top>
      <bottom/>
      <diagonal/>
    </border>
    <border>
      <left style="thick">
        <color theme="0"/>
      </left>
      <right style="thick">
        <color theme="0"/>
      </right>
      <top style="thin">
        <color theme="4" tint="-0.24994659260841701"/>
      </top>
      <bottom/>
      <diagonal/>
    </border>
  </borders>
  <cellStyleXfs count="14">
    <xf numFmtId="0" fontId="0" fillId="0" borderId="0">
      <alignment vertical="center" wrapText="1"/>
    </xf>
    <xf numFmtId="0" fontId="4" fillId="0" borderId="0" applyNumberFormat="0" applyFill="0" applyBorder="0" applyAlignment="0" applyProtection="0">
      <alignment horizontal="left" vertical="center" indent="1"/>
    </xf>
    <xf numFmtId="0" fontId="6" fillId="0" borderId="0" applyNumberFormat="0" applyFill="0" applyProtection="0">
      <alignment horizontal="left" indent="1"/>
    </xf>
    <xf numFmtId="0" fontId="7" fillId="0" borderId="1" applyFill="0" applyProtection="0">
      <alignment vertical="center"/>
    </xf>
    <xf numFmtId="0" fontId="5" fillId="0" borderId="2" applyNumberFormat="0" applyFill="0" applyProtection="0">
      <alignment horizontal="left" vertical="center"/>
    </xf>
    <xf numFmtId="169" fontId="3" fillId="0" borderId="3" applyNumberFormat="0" applyFont="0" applyFill="0" applyAlignment="0" applyProtection="0">
      <alignment horizontal="right" vertical="center"/>
    </xf>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5" fillId="0" borderId="4" applyFill="0" applyAlignment="0">
      <alignment horizontal="right" vertical="top"/>
    </xf>
    <xf numFmtId="169" fontId="2" fillId="0" borderId="4" applyFont="0" applyFill="0">
      <alignment horizontal="right" vertical="center"/>
    </xf>
    <xf numFmtId="0" fontId="8" fillId="0" borderId="0" applyNumberFormat="0" applyFill="0" applyBorder="0" applyAlignment="0">
      <alignment vertical="center" wrapText="1"/>
    </xf>
  </cellStyleXfs>
  <cellXfs count="16">
    <xf numFmtId="0" fontId="0" fillId="0" borderId="0" xfId="0">
      <alignment vertical="center" wrapText="1"/>
    </xf>
    <xf numFmtId="0" fontId="0" fillId="0" borderId="0" xfId="0" applyFont="1" applyBorder="1" applyAlignment="1">
      <alignment vertical="center" wrapText="1"/>
    </xf>
    <xf numFmtId="0" fontId="0" fillId="0" borderId="0" xfId="0" applyAlignment="1">
      <alignment vertical="center" wrapText="1"/>
    </xf>
    <xf numFmtId="0" fontId="0" fillId="0" borderId="0" xfId="0">
      <alignment vertical="center" wrapText="1"/>
    </xf>
    <xf numFmtId="0" fontId="0" fillId="0" borderId="0" xfId="0" applyFont="1" applyAlignment="1">
      <alignment vertical="center" wrapText="1"/>
    </xf>
    <xf numFmtId="0" fontId="5" fillId="0" borderId="2" xfId="4">
      <alignment horizontal="left" vertical="center"/>
    </xf>
    <xf numFmtId="0" fontId="7" fillId="0" borderId="1" xfId="3">
      <alignment vertical="center"/>
    </xf>
    <xf numFmtId="0" fontId="5" fillId="0" borderId="2" xfId="4" applyNumberFormat="1">
      <alignment horizontal="left" vertical="center"/>
    </xf>
    <xf numFmtId="169" fontId="0" fillId="0" borderId="4" xfId="12" applyFont="1">
      <alignment horizontal="right" vertical="center"/>
    </xf>
    <xf numFmtId="168" fontId="1" fillId="0" borderId="3" xfId="5" applyNumberFormat="1" applyFont="1" applyAlignment="1">
      <alignment horizontal="left"/>
    </xf>
    <xf numFmtId="0" fontId="5" fillId="0" borderId="4" xfId="11" applyAlignment="1">
      <alignment horizontal="right" vertical="center"/>
    </xf>
    <xf numFmtId="169" fontId="0" fillId="0" borderId="5" xfId="12" applyFont="1" applyBorder="1">
      <alignment horizontal="right" vertical="center"/>
    </xf>
    <xf numFmtId="0" fontId="8" fillId="0" borderId="0" xfId="13">
      <alignment vertical="center" wrapText="1"/>
    </xf>
    <xf numFmtId="0" fontId="4" fillId="0" borderId="0" xfId="1" applyAlignment="1">
      <alignment horizontal="left" vertical="center"/>
    </xf>
    <xf numFmtId="0" fontId="6" fillId="0" borderId="0" xfId="2" applyBorder="1">
      <alignment horizontal="left" indent="1"/>
    </xf>
    <xf numFmtId="0" fontId="5" fillId="0" borderId="4" xfId="11" applyAlignment="1">
      <alignment vertical="center" wrapText="1"/>
    </xf>
  </cellXfs>
  <cellStyles count="14">
    <cellStyle name="Calendar_Day" xfId="12" xr:uid="{00000000-0005-0000-0000-000000000000}"/>
    <cellStyle name="Encabezado 1" xfId="2" builtinId="16" customBuiltin="1"/>
    <cellStyle name="Encabezado 4" xfId="5" builtinId="19" customBuiltin="1"/>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Notas" xfId="11" builtinId="10" customBuiltin="1"/>
    <cellStyle name="Porcentaje" xfId="10" builtinId="5" customBuiltin="1"/>
    <cellStyle name="Row_headings" xfId="13" xr:uid="{00000000-0005-0000-0000-00000A000000}"/>
    <cellStyle name="Título" xfId="1" builtinId="15" customBuiltin="1"/>
    <cellStyle name="Título 2" xfId="3" builtinId="17" customBuiltin="1"/>
    <cellStyle name="Título 3" xfId="4" builtinId="18" customBuiltin="1"/>
  </cellStyles>
  <dxfs count="1">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ne Month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Trebuchet MS">
      <a:maj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HG丸ｺﾞｼｯｸM-PRO"/>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H17"/>
  <sheetViews>
    <sheetView showGridLines="0" tabSelected="1" zoomScaleNormal="100" workbookViewId="0"/>
  </sheetViews>
  <sheetFormatPr baseColWidth="10" defaultColWidth="9" defaultRowHeight="16.5" x14ac:dyDescent="0.3"/>
  <cols>
    <col min="1" max="1" width="2.625" customWidth="1"/>
    <col min="2" max="8" width="23.625" customWidth="1"/>
    <col min="9" max="9" width="2.625" style="3" customWidth="1"/>
    <col min="10" max="10" width="9" style="3"/>
    <col min="11" max="11" width="10.875" style="3" bestFit="1" customWidth="1"/>
    <col min="12" max="16384" width="9" style="3"/>
  </cols>
  <sheetData>
    <row r="1" spans="1:8" ht="38.1" customHeight="1" x14ac:dyDescent="0.4">
      <c r="B1" s="14" t="str">
        <f>UPPER(MonthToDisplay)</f>
        <v>ENERO</v>
      </c>
      <c r="C1" s="14"/>
      <c r="D1" s="3"/>
      <c r="E1" s="3"/>
      <c r="F1" s="3"/>
      <c r="G1" s="3"/>
      <c r="H1" s="3"/>
    </row>
    <row r="2" spans="1:8" ht="16.5" customHeight="1" x14ac:dyDescent="0.3">
      <c r="B2" s="13">
        <f ca="1">YearToDisplay</f>
        <v>2020</v>
      </c>
      <c r="C2" s="13"/>
      <c r="D2" s="3"/>
      <c r="E2" s="3"/>
      <c r="F2" s="3"/>
      <c r="G2" s="6" t="s">
        <v>2</v>
      </c>
      <c r="H2" s="5" t="s">
        <v>5</v>
      </c>
    </row>
    <row r="3" spans="1:8" ht="16.5" customHeight="1" x14ac:dyDescent="0.3">
      <c r="B3" s="13"/>
      <c r="C3" s="13"/>
      <c r="D3" s="3"/>
      <c r="E3" s="3"/>
      <c r="F3" s="3"/>
      <c r="G3" s="6" t="s">
        <v>3</v>
      </c>
      <c r="H3" s="7">
        <f ca="1">YEAR(TODAY())</f>
        <v>2020</v>
      </c>
    </row>
    <row r="4" spans="1:8" ht="16.5" customHeight="1" thickBot="1" x14ac:dyDescent="0.35">
      <c r="B4" s="13"/>
      <c r="C4" s="13"/>
      <c r="D4" s="3"/>
      <c r="E4" s="3"/>
      <c r="F4" s="3"/>
      <c r="G4" s="6" t="s">
        <v>4</v>
      </c>
      <c r="H4" s="5" t="s">
        <v>6</v>
      </c>
    </row>
    <row r="5" spans="1:8" ht="45.95" customHeight="1" thickTop="1" x14ac:dyDescent="0.35">
      <c r="B5" s="9">
        <f t="array" aca="1" ref="B5:H5" ca="1">INDEX(calendario,,daypattern)</f>
        <v>43822</v>
      </c>
      <c r="C5" s="9">
        <f ca="1"/>
        <v>43823</v>
      </c>
      <c r="D5" s="9">
        <f ca="1"/>
        <v>43824</v>
      </c>
      <c r="E5" s="9">
        <f ca="1"/>
        <v>43825</v>
      </c>
      <c r="F5" s="9">
        <f ca="1"/>
        <v>43826</v>
      </c>
      <c r="G5" s="9">
        <f ca="1"/>
        <v>43827</v>
      </c>
      <c r="H5" s="9">
        <f ca="1"/>
        <v>43828</v>
      </c>
    </row>
    <row r="6" spans="1:8" ht="24" customHeight="1" x14ac:dyDescent="0.3">
      <c r="A6" s="12"/>
      <c r="B6" s="8">
        <f t="array" aca="1" ref="B6:H6" ca="1">INDEX(calendario,ndx+0,daypattern)</f>
        <v>43829</v>
      </c>
      <c r="C6" s="8">
        <f ca="1"/>
        <v>43830</v>
      </c>
      <c r="D6" s="8">
        <f ca="1"/>
        <v>43831</v>
      </c>
      <c r="E6" s="8">
        <f ca="1"/>
        <v>43832</v>
      </c>
      <c r="F6" s="8">
        <f ca="1"/>
        <v>43833</v>
      </c>
      <c r="G6" s="8">
        <f ca="1"/>
        <v>43834</v>
      </c>
      <c r="H6" s="8">
        <f ca="1"/>
        <v>43835</v>
      </c>
    </row>
    <row r="7" spans="1:8" ht="59.25" customHeight="1" x14ac:dyDescent="0.3">
      <c r="A7" s="12" t="s">
        <v>0</v>
      </c>
      <c r="B7" s="4"/>
      <c r="C7" s="4"/>
      <c r="D7" s="4"/>
      <c r="E7" s="4"/>
      <c r="F7" s="4"/>
      <c r="G7" s="4"/>
      <c r="H7" s="4"/>
    </row>
    <row r="8" spans="1:8" ht="24" customHeight="1" x14ac:dyDescent="0.3">
      <c r="A8" s="12"/>
      <c r="B8" s="8">
        <f t="array" aca="1" ref="B8:H8" ca="1">INDEX(calendario,ndx+1,daypattern)</f>
        <v>43836</v>
      </c>
      <c r="C8" s="8">
        <f ca="1"/>
        <v>43837</v>
      </c>
      <c r="D8" s="8">
        <f ca="1"/>
        <v>43838</v>
      </c>
      <c r="E8" s="8">
        <f ca="1"/>
        <v>43839</v>
      </c>
      <c r="F8" s="8">
        <f ca="1"/>
        <v>43840</v>
      </c>
      <c r="G8" s="8">
        <f ca="1"/>
        <v>43841</v>
      </c>
      <c r="H8" s="8">
        <f ca="1"/>
        <v>43842</v>
      </c>
    </row>
    <row r="9" spans="1:8" ht="59.25" customHeight="1" x14ac:dyDescent="0.3">
      <c r="A9" s="12" t="s">
        <v>0</v>
      </c>
      <c r="B9" s="4"/>
      <c r="C9" s="4"/>
      <c r="D9" s="4"/>
      <c r="E9" s="4"/>
      <c r="F9" s="4"/>
      <c r="G9" s="4"/>
      <c r="H9" s="4"/>
    </row>
    <row r="10" spans="1:8" ht="24" customHeight="1" x14ac:dyDescent="0.3">
      <c r="A10" s="12"/>
      <c r="B10" s="8">
        <f t="array" aca="1" ref="B10:H10" ca="1">INDEX(calendario,ndx+2,daypattern)</f>
        <v>43843</v>
      </c>
      <c r="C10" s="8">
        <f ca="1"/>
        <v>43844</v>
      </c>
      <c r="D10" s="8">
        <f ca="1"/>
        <v>43845</v>
      </c>
      <c r="E10" s="8">
        <f ca="1"/>
        <v>43846</v>
      </c>
      <c r="F10" s="8">
        <f ca="1"/>
        <v>43847</v>
      </c>
      <c r="G10" s="8">
        <f ca="1"/>
        <v>43848</v>
      </c>
      <c r="H10" s="8">
        <f ca="1"/>
        <v>43849</v>
      </c>
    </row>
    <row r="11" spans="1:8" ht="59.25" customHeight="1" x14ac:dyDescent="0.3">
      <c r="A11" s="12" t="s">
        <v>0</v>
      </c>
      <c r="B11" s="4"/>
      <c r="C11" s="4"/>
      <c r="D11" s="4"/>
      <c r="E11" s="4"/>
      <c r="F11" s="4"/>
      <c r="G11" s="4"/>
      <c r="H11" s="4"/>
    </row>
    <row r="12" spans="1:8" ht="24" customHeight="1" x14ac:dyDescent="0.3">
      <c r="A12" s="12"/>
      <c r="B12" s="8">
        <f t="array" aca="1" ref="B12:H12" ca="1">INDEX(calendario,ndx+3,daypattern)</f>
        <v>43850</v>
      </c>
      <c r="C12" s="8">
        <f ca="1"/>
        <v>43851</v>
      </c>
      <c r="D12" s="8">
        <f ca="1"/>
        <v>43852</v>
      </c>
      <c r="E12" s="8">
        <f ca="1"/>
        <v>43853</v>
      </c>
      <c r="F12" s="8">
        <f ca="1"/>
        <v>43854</v>
      </c>
      <c r="G12" s="8">
        <f ca="1"/>
        <v>43855</v>
      </c>
      <c r="H12" s="8">
        <f ca="1"/>
        <v>43856</v>
      </c>
    </row>
    <row r="13" spans="1:8" ht="59.25" customHeight="1" x14ac:dyDescent="0.3">
      <c r="A13" s="12" t="s">
        <v>0</v>
      </c>
      <c r="B13" s="4"/>
      <c r="C13" s="4"/>
      <c r="D13" s="4"/>
      <c r="E13" s="4"/>
      <c r="F13" s="4"/>
      <c r="G13" s="4"/>
      <c r="H13" s="4"/>
    </row>
    <row r="14" spans="1:8" ht="24" customHeight="1" x14ac:dyDescent="0.3">
      <c r="A14" s="12"/>
      <c r="B14" s="8">
        <f t="array" aca="1" ref="B14:H14" ca="1">INDEX(calendario,ndx+4,daypattern)</f>
        <v>43857</v>
      </c>
      <c r="C14" s="8">
        <f ca="1"/>
        <v>43858</v>
      </c>
      <c r="D14" s="8">
        <f ca="1"/>
        <v>43859</v>
      </c>
      <c r="E14" s="8">
        <f ca="1"/>
        <v>43860</v>
      </c>
      <c r="F14" s="8">
        <f ca="1"/>
        <v>43861</v>
      </c>
      <c r="G14" s="8">
        <f ca="1"/>
        <v>43862</v>
      </c>
      <c r="H14" s="8">
        <f ca="1"/>
        <v>43863</v>
      </c>
    </row>
    <row r="15" spans="1:8" ht="59.25" customHeight="1" x14ac:dyDescent="0.3">
      <c r="A15" s="12" t="s">
        <v>0</v>
      </c>
      <c r="B15" s="4"/>
      <c r="C15" s="4"/>
      <c r="D15" s="4"/>
      <c r="E15" s="4"/>
      <c r="F15" s="4"/>
      <c r="G15" s="4"/>
      <c r="H15" s="4"/>
    </row>
    <row r="16" spans="1:8" ht="24" customHeight="1" x14ac:dyDescent="0.3">
      <c r="A16" s="12"/>
      <c r="B16" s="8">
        <f t="array" aca="1" ref="B16:C16" ca="1">INDEX(calendario,ndx+5,daypattern)</f>
        <v>43864</v>
      </c>
      <c r="C16" s="11">
        <f ca="1"/>
        <v>43865</v>
      </c>
      <c r="D16" s="10" t="s">
        <v>1</v>
      </c>
      <c r="E16" s="15"/>
      <c r="F16" s="15"/>
      <c r="G16" s="15"/>
      <c r="H16" s="15"/>
    </row>
    <row r="17" spans="1:8" ht="59.25" customHeight="1" x14ac:dyDescent="0.3">
      <c r="A17" s="12" t="s">
        <v>0</v>
      </c>
      <c r="B17" s="1"/>
      <c r="C17" s="2"/>
      <c r="D17" s="3"/>
      <c r="E17" s="15"/>
      <c r="F17" s="15"/>
      <c r="G17" s="15"/>
      <c r="H17" s="15"/>
    </row>
  </sheetData>
  <mergeCells count="3">
    <mergeCell ref="B2:C4"/>
    <mergeCell ref="B1:C1"/>
    <mergeCell ref="E16:H17"/>
  </mergeCells>
  <conditionalFormatting sqref="B17:C17 B8:E13 B16:E16 B6:H7 B14:H15">
    <cfRule type="expression" dxfId="0" priority="6">
      <formula>MonthToDisplayNumber&lt;&gt;MONTH(B6)</formula>
    </cfRule>
  </conditionalFormatting>
  <dataValidations count="15">
    <dataValidation type="list" errorStyle="warning" allowBlank="1" showInputMessage="1" showErrorMessage="1" error="Seleccione un día de la lista. Seleccione CANCELAR y presione ALT+FLECHA ABAJO para elegir un día de la lista desplegable." prompt="Seleccione el día de inicio de la semana en esta celda. Presione ALT+FLECHA ABAJO para abrir la lista desplegable y luego, ENTRAR para realizar la selección." sqref="H4" xr:uid="{00000000-0002-0000-0000-000000000000}">
      <formula1>"LUNES,MARTES,MIÉRCOLES,JUEVES,VIERNES,SÁBADO,DOMINGO"</formula1>
    </dataValidation>
    <dataValidation type="list" errorStyle="warning" allowBlank="1" showInputMessage="1" showErrorMessage="1" error="Seleccione un mes de la lista. Seleccione CANCELAR y presione ALT+FLECHA ABAJO para elegir un mes de la lista desplegable." prompt="Seleccione el mes en esta celda. Presione ALT+FLECHA ABAJO para abrir la lista desplegable y luego, ENTRAR para realizar la selección." sqref="H2" xr:uid="{00000000-0002-0000-0000-000001000000}">
      <formula1>"ENERO,FEBRERO,MARZO,ABRIL,MAYO,JUNIO,JULIO,AGOSTO,SEPTIEMBRE,OCTUBRE,NOVIEMBRE,DICEMBRE"</formula1>
    </dataValidation>
    <dataValidation allowBlank="1" showInputMessage="1" showErrorMessage="1" prompt="Cree un calendario de un mes para cualquier mes de cualquier año con esta hoja de cálculo. Seleccione el mes en la celda H2, cambie el año en la celda H3 y seleccione el día de inicio de la semana en la celda H4." sqref="A1" xr:uid="{00000000-0002-0000-0000-000002000000}"/>
    <dataValidation allowBlank="1" showInputMessage="1" showErrorMessage="1" prompt="Seleccione el mes natural en la celda a la derecha." sqref="G2" xr:uid="{00000000-0002-0000-0000-000003000000}"/>
    <dataValidation allowBlank="1" showInputMessage="1" showErrorMessage="1" prompt="Escriba el año natural en la celda a la derecha." sqref="G3" xr:uid="{00000000-0002-0000-0000-000004000000}"/>
    <dataValidation allowBlank="1" showInputMessage="1" showErrorMessage="1" prompt="Seleccione el primer día de la semana en la celda a la derecha." sqref="G4" xr:uid="{00000000-0002-0000-0000-000005000000}"/>
    <dataValidation allowBlank="1" showInputMessage="1" showErrorMessage="1" prompt="Escriba el año en esta celda." sqref="H3" xr:uid="{00000000-0002-0000-0000-000006000000}"/>
    <dataValidation allowBlank="1" showInputMessage="1" showErrorMessage="1" prompt="Esta fila y las filas 8, 10, 12, 14 y 16 contienen días naturales de la semana. Si esta celda no contiene el número 1, se trata de un día del mes anterior." sqref="B6" xr:uid="{00000000-0002-0000-0000-000007000000}"/>
    <dataValidation allowBlank="1" showInputMessage="1" showErrorMessage="1" prompt="Esta fila y las filas 9, 11, 13, 15 y 17 contienen celdas para escribir notas diarias relacionadas con el día natural de la celda anterior. Escriba las notas del mes en la celda E16." sqref="B7" xr:uid="{00000000-0002-0000-0000-000008000000}"/>
    <dataValidation allowBlank="1" showInputMessage="1" showErrorMessage="1" prompt="Escriba las notas del mes en la celda a la derecha." sqref="D16" xr:uid="{00000000-0002-0000-0000-000009000000}"/>
    <dataValidation allowBlank="1" showInputMessage="1" showErrorMessage="1" prompt="El año de esta celda se actualiza automáticamente según el año especificado en la celda H2. Para cambiar el mes, seleccione el mes de la lista desplegable en la celda H2." sqref="B1:C1" xr:uid="{00000000-0002-0000-0000-00000A000000}"/>
    <dataValidation allowBlank="1" showInputMessage="1" showErrorMessage="1" prompt="El año de esta celda se actualiza automáticamente según el año especificado en la celda H3. El calendario siguiente incluye fechas de los meses anterior y posterior. Escriba las notas del mes en la celda E16." sqref="B2:C4" xr:uid="{00000000-0002-0000-0000-00000B000000}"/>
    <dataValidation allowBlank="1" showInputMessage="1" showErrorMessage="1" prompt="Escriba las notas del mes en esta celda." sqref="E16:H17" xr:uid="{00000000-0002-0000-0000-00000C000000}"/>
    <dataValidation allowBlank="1" showInputMessage="1" showErrorMessage="1" prompt="Esta fila contiene los nombres de los días laborables de este calendario. Esta celda contiene el día de inicio de la semana. Para cambiar el día de inicio, seleccione el nuevo día laborable de la lista desplegable en la celda H4." sqref="B5" xr:uid="{00000000-0002-0000-0000-00000D000000}"/>
    <dataValidation allowBlank="1" showInputMessage="1" showErrorMessage="1" prompt="El día laborable se determinará automáticamente." sqref="C5:H5" xr:uid="{00000000-0002-0000-0000-00000E000000}"/>
  </dataValidations>
  <printOptions horizontalCentered="1" verticalCentered="1"/>
  <pageMargins left="0.45" right="0.45" top="0.4" bottom="0.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8</vt:i4>
      </vt:variant>
    </vt:vector>
  </HeadingPairs>
  <TitlesOfParts>
    <vt:vector size="9" baseType="lpstr">
      <vt:lpstr>Calendario</vt:lpstr>
      <vt:lpstr>DayToStart</vt:lpstr>
      <vt:lpstr>Calendario!MonthToDisplay</vt:lpstr>
      <vt:lpstr>RowTitleRegion1...H4.1</vt:lpstr>
      <vt:lpstr>RowTitleRegion2...E16.1</vt:lpstr>
      <vt:lpstr>TitleRegion1..H15.1</vt:lpstr>
      <vt:lpstr>TitleRegion2..c17.1</vt:lpstr>
      <vt:lpstr>WeekStart</vt:lpstr>
      <vt:lpstr>Calendario!YearToDisplay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2016-12-27T09:47:16Z</dcterms:created>
  <dcterms:modified xsi:type="dcterms:W3CDTF">2020-04-23T02:04:06Z</dcterms:modified>
</cp:coreProperties>
</file>