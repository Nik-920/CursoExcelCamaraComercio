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filterPrivacy="1" codeName="ThisWorkbook"/>
  <xr:revisionPtr revIDLastSave="0" documentId="8_{81799F5A-2E3C-4142-8A9D-A848CA32125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 familiar" sheetId="4" r:id="rId1"/>
    <sheet name="Ene" sheetId="6" r:id="rId2"/>
    <sheet name="Feb" sheetId="9" r:id="rId3"/>
    <sheet name="Mar" sheetId="10" r:id="rId4"/>
    <sheet name="Abr" sheetId="11" r:id="rId5"/>
    <sheet name="May" sheetId="12" r:id="rId6"/>
    <sheet name="Jun" sheetId="13" r:id="rId7"/>
    <sheet name="Jul" sheetId="14" r:id="rId8"/>
    <sheet name="Ago" sheetId="15" r:id="rId9"/>
    <sheet name="Sep" sheetId="16" r:id="rId10"/>
    <sheet name="Oct" sheetId="17" r:id="rId11"/>
    <sheet name="Nov" sheetId="18" r:id="rId12"/>
    <sheet name="Dic" sheetId="19" r:id="rId13"/>
  </sheets>
  <definedNames>
    <definedName name="_xlnm._FilterDatabase" localSheetId="0" hidden="1">'Calendario familiar'!$B$3:$E$9</definedName>
    <definedName name="AñoCalendario">'Calendario familiar'!$E$3</definedName>
    <definedName name="Categorias_de_eventos">'Calendario familiar'!$H$16:$H$20</definedName>
    <definedName name="DíasYSemanas">{0,1,2,3,4,5,6} + {0;1;2;3;4;5}*7</definedName>
    <definedName name="Fechas_importantes">'Calendario familiar'!$B$6:$E$35</definedName>
    <definedName name="InicioDeSemana">'Calendario familiar'!$G$9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" i="19" l="1"/>
  <c r="C1" i="18"/>
  <c r="C1" i="17"/>
  <c r="C1" i="16"/>
  <c r="C1" i="15"/>
  <c r="C1" i="14"/>
  <c r="C1" i="13"/>
  <c r="C1" i="12"/>
  <c r="C1" i="11"/>
  <c r="C1" i="10"/>
  <c r="C1" i="9"/>
  <c r="C1" i="6"/>
  <c r="C13" i="16" a="1"/>
  <c r="C11" i="16" a="1"/>
  <c r="C9" i="16" a="1"/>
  <c r="I9" i="16" s="1"/>
  <c r="I10" i="16" s="1"/>
  <c r="I7" i="16"/>
  <c r="I8" i="16" s="1"/>
  <c r="C7" i="16" a="1"/>
  <c r="E7" i="16" s="1"/>
  <c r="E8" i="16" s="1"/>
  <c r="E5" i="16"/>
  <c r="E6" i="16" s="1"/>
  <c r="C5" i="16" a="1"/>
  <c r="I5" i="16" s="1"/>
  <c r="I6" i="16" s="1"/>
  <c r="C3" i="16" a="1"/>
  <c r="C13" i="17" a="1"/>
  <c r="C11" i="17" a="1"/>
  <c r="I9" i="17"/>
  <c r="C9" i="17" a="1"/>
  <c r="E9" i="17" s="1"/>
  <c r="E10" i="17" s="1"/>
  <c r="I7" i="17"/>
  <c r="E7" i="17"/>
  <c r="E8" i="17" s="1"/>
  <c r="C7" i="17" a="1"/>
  <c r="E5" i="17"/>
  <c r="E6" i="17" s="1"/>
  <c r="C5" i="17" a="1"/>
  <c r="I5" i="17" s="1"/>
  <c r="I6" i="17" s="1"/>
  <c r="C3" i="17" a="1"/>
  <c r="C13" i="18" a="1"/>
  <c r="C11" i="18" a="1"/>
  <c r="I9" i="18"/>
  <c r="C9" i="18" a="1"/>
  <c r="E9" i="18" s="1"/>
  <c r="E10" i="18" s="1"/>
  <c r="I7" i="18"/>
  <c r="E7" i="18"/>
  <c r="C7" i="18" a="1"/>
  <c r="E5" i="18"/>
  <c r="C5" i="18" a="1"/>
  <c r="I5" i="18" s="1"/>
  <c r="C3" i="18" a="1"/>
  <c r="C13" i="19" a="1"/>
  <c r="C11" i="19" a="1"/>
  <c r="I9" i="19"/>
  <c r="C9" i="19" a="1"/>
  <c r="E9" i="19" s="1"/>
  <c r="I7" i="19"/>
  <c r="E7" i="19"/>
  <c r="C7" i="19" a="1"/>
  <c r="E5" i="19"/>
  <c r="C5" i="19" a="1"/>
  <c r="I5" i="19" s="1"/>
  <c r="D3" i="19"/>
  <c r="C3" i="19" a="1"/>
  <c r="C13" i="9" a="1"/>
  <c r="D13" i="9" s="1"/>
  <c r="D14" i="9" s="1"/>
  <c r="D11" i="9"/>
  <c r="D12" i="9" s="1"/>
  <c r="C11" i="9" a="1"/>
  <c r="F9" i="9"/>
  <c r="D9" i="9"/>
  <c r="C9" i="9" a="1"/>
  <c r="I9" i="9" s="1"/>
  <c r="H7" i="9"/>
  <c r="H8" i="9" s="1"/>
  <c r="F7" i="9"/>
  <c r="D7" i="9"/>
  <c r="C7" i="9" a="1"/>
  <c r="I7" i="9" s="1"/>
  <c r="C7" i="9"/>
  <c r="H5" i="9"/>
  <c r="H6" i="9" s="1"/>
  <c r="C5" i="9" a="1"/>
  <c r="C5" i="9"/>
  <c r="C3" i="9" a="1"/>
  <c r="E6" i="10"/>
  <c r="H8" i="12"/>
  <c r="C4" i="13"/>
  <c r="H10" i="15"/>
  <c r="I10" i="17"/>
  <c r="I8" i="17"/>
  <c r="I10" i="18"/>
  <c r="C13" i="13"/>
  <c r="C14" i="13" s="1"/>
  <c r="C13" i="13" a="1"/>
  <c r="D13" i="13" s="1"/>
  <c r="D14" i="13" s="1"/>
  <c r="E11" i="13"/>
  <c r="E12" i="13" s="1"/>
  <c r="C11" i="13" a="1"/>
  <c r="H11" i="13" s="1"/>
  <c r="H12" i="13" s="1"/>
  <c r="G9" i="13"/>
  <c r="G10" i="13" s="1"/>
  <c r="C9" i="13" a="1"/>
  <c r="H9" i="13" s="1"/>
  <c r="H10" i="13" s="1"/>
  <c r="C7" i="13" a="1"/>
  <c r="H7" i="13" s="1"/>
  <c r="H8" i="13" s="1"/>
  <c r="C5" i="13"/>
  <c r="C6" i="13" s="1"/>
  <c r="C5" i="13" a="1"/>
  <c r="H5" i="13" s="1"/>
  <c r="H6" i="13" s="1"/>
  <c r="E3" i="13"/>
  <c r="E4" i="13" s="1"/>
  <c r="C3" i="13"/>
  <c r="C3" i="13" a="1"/>
  <c r="H3" i="13" s="1"/>
  <c r="H4" i="13" s="1"/>
  <c r="C13" i="14" a="1"/>
  <c r="C13" i="14" s="1"/>
  <c r="C14" i="14" s="1"/>
  <c r="C11" i="14" a="1"/>
  <c r="H11" i="14" s="1"/>
  <c r="H12" i="14" s="1"/>
  <c r="H9" i="14"/>
  <c r="H10" i="14" s="1"/>
  <c r="C9" i="14" a="1"/>
  <c r="D9" i="14" s="1"/>
  <c r="D10" i="14" s="1"/>
  <c r="D7" i="14"/>
  <c r="D8" i="14" s="1"/>
  <c r="C7" i="14" a="1"/>
  <c r="H7" i="14" s="1"/>
  <c r="H8" i="14" s="1"/>
  <c r="C5" i="14" a="1"/>
  <c r="H5" i="14" s="1"/>
  <c r="H6" i="14" s="1"/>
  <c r="C3" i="14" a="1"/>
  <c r="H3" i="14" s="1"/>
  <c r="H4" i="14" s="1"/>
  <c r="C13" i="15"/>
  <c r="C14" i="15" s="1"/>
  <c r="C13" i="15" a="1"/>
  <c r="D13" i="15" s="1"/>
  <c r="D14" i="15" s="1"/>
  <c r="E11" i="15"/>
  <c r="E12" i="15" s="1"/>
  <c r="C11" i="15"/>
  <c r="C12" i="15" s="1"/>
  <c r="C11" i="15" a="1"/>
  <c r="H11" i="15" s="1"/>
  <c r="H12" i="15" s="1"/>
  <c r="G9" i="15"/>
  <c r="G10" i="15" s="1"/>
  <c r="C9" i="15" a="1"/>
  <c r="H9" i="15" s="1"/>
  <c r="C7" i="15" a="1"/>
  <c r="H7" i="15" s="1"/>
  <c r="H8" i="15" s="1"/>
  <c r="C5" i="15"/>
  <c r="C6" i="15" s="1"/>
  <c r="C5" i="15" a="1"/>
  <c r="H5" i="15" s="1"/>
  <c r="H6" i="15" s="1"/>
  <c r="E3" i="15"/>
  <c r="E4" i="15" s="1"/>
  <c r="C3" i="15"/>
  <c r="C4" i="15" s="1"/>
  <c r="C3" i="15" a="1"/>
  <c r="H3" i="15" s="1"/>
  <c r="H4" i="15" s="1"/>
  <c r="C13" i="6" a="1"/>
  <c r="D13" i="6" s="1"/>
  <c r="D14" i="6" s="1"/>
  <c r="C11" i="6"/>
  <c r="C12" i="6" s="1"/>
  <c r="C11" i="6" a="1"/>
  <c r="H11" i="6" s="1"/>
  <c r="H12" i="6" s="1"/>
  <c r="E9" i="6"/>
  <c r="E10" i="6" s="1"/>
  <c r="C9" i="6"/>
  <c r="C10" i="6" s="1"/>
  <c r="C9" i="6" a="1"/>
  <c r="H9" i="6" s="1"/>
  <c r="H10" i="6" s="1"/>
  <c r="G7" i="6"/>
  <c r="G8" i="6" s="1"/>
  <c r="E7" i="6"/>
  <c r="E8" i="6" s="1"/>
  <c r="C7" i="6"/>
  <c r="C8" i="6" s="1"/>
  <c r="C7" i="6" a="1"/>
  <c r="H7" i="6" s="1"/>
  <c r="H8" i="6" s="1"/>
  <c r="C5" i="6" a="1"/>
  <c r="H5" i="6" s="1"/>
  <c r="H6" i="6" s="1"/>
  <c r="C3" i="6"/>
  <c r="C4" i="6" s="1"/>
  <c r="C3" i="6" a="1"/>
  <c r="H3" i="6" s="1"/>
  <c r="H4" i="6" s="1"/>
  <c r="C13" i="10" a="1"/>
  <c r="D13" i="10" s="1"/>
  <c r="D14" i="10" s="1"/>
  <c r="C11" i="10" a="1"/>
  <c r="H11" i="10" s="1"/>
  <c r="H12" i="10" s="1"/>
  <c r="C9" i="10"/>
  <c r="C10" i="10" s="1"/>
  <c r="C9" i="10" a="1"/>
  <c r="H9" i="10" s="1"/>
  <c r="H10" i="10" s="1"/>
  <c r="E7" i="10"/>
  <c r="E8" i="10" s="1"/>
  <c r="C7" i="10"/>
  <c r="C8" i="10" s="1"/>
  <c r="C7" i="10" a="1"/>
  <c r="H7" i="10" s="1"/>
  <c r="H8" i="10" s="1"/>
  <c r="G5" i="10"/>
  <c r="G6" i="10" s="1"/>
  <c r="E5" i="10"/>
  <c r="C5" i="10" a="1"/>
  <c r="H5" i="10" s="1"/>
  <c r="H6" i="10" s="1"/>
  <c r="C3" i="10" a="1"/>
  <c r="H3" i="10" s="1"/>
  <c r="H4" i="10" s="1"/>
  <c r="D13" i="11"/>
  <c r="D14" i="11" s="1"/>
  <c r="C13" i="11" a="1"/>
  <c r="C13" i="11" s="1"/>
  <c r="C14" i="11" s="1"/>
  <c r="D11" i="11"/>
  <c r="D12" i="11" s="1"/>
  <c r="C11" i="11" a="1"/>
  <c r="H11" i="11" s="1"/>
  <c r="H12" i="11" s="1"/>
  <c r="C9" i="11" a="1"/>
  <c r="H9" i="11" s="1"/>
  <c r="H10" i="11" s="1"/>
  <c r="H7" i="11"/>
  <c r="H8" i="11" s="1"/>
  <c r="C7" i="11" a="1"/>
  <c r="D7" i="11" s="1"/>
  <c r="D8" i="11" s="1"/>
  <c r="H5" i="11"/>
  <c r="H6" i="11" s="1"/>
  <c r="D5" i="11"/>
  <c r="D6" i="11" s="1"/>
  <c r="C5" i="11" a="1"/>
  <c r="D3" i="11"/>
  <c r="D4" i="11" s="1"/>
  <c r="C3" i="11" a="1"/>
  <c r="H3" i="11" s="1"/>
  <c r="H4" i="11" s="1"/>
  <c r="C13" i="12" a="1"/>
  <c r="D13" i="12" s="1"/>
  <c r="D14" i="12" s="1"/>
  <c r="C11" i="12" a="1"/>
  <c r="H11" i="12" s="1"/>
  <c r="H12" i="12" s="1"/>
  <c r="C9" i="12"/>
  <c r="C10" i="12" s="1"/>
  <c r="C9" i="12" a="1"/>
  <c r="H9" i="12" s="1"/>
  <c r="H10" i="12" s="1"/>
  <c r="G7" i="12"/>
  <c r="G8" i="12" s="1"/>
  <c r="E7" i="12"/>
  <c r="E8" i="12" s="1"/>
  <c r="C7" i="12"/>
  <c r="C8" i="12" s="1"/>
  <c r="C7" i="12" a="1"/>
  <c r="H7" i="12" s="1"/>
  <c r="G5" i="12"/>
  <c r="G6" i="12" s="1"/>
  <c r="E5" i="12"/>
  <c r="E6" i="12" s="1"/>
  <c r="C5" i="12" a="1"/>
  <c r="H5" i="12" s="1"/>
  <c r="H6" i="12" s="1"/>
  <c r="C3" i="12" a="1"/>
  <c r="H3" i="12" s="1"/>
  <c r="H4" i="12" s="1"/>
  <c r="I11" i="12" l="1"/>
  <c r="I12" i="12" s="1"/>
  <c r="I11" i="10"/>
  <c r="I12" i="10" s="1"/>
  <c r="I3" i="18"/>
  <c r="E3" i="18"/>
  <c r="I5" i="6"/>
  <c r="I6" i="6" s="1"/>
  <c r="I3" i="9"/>
  <c r="H3" i="9"/>
  <c r="H4" i="9" s="1"/>
  <c r="C3" i="9"/>
  <c r="F3" i="9"/>
  <c r="I11" i="18"/>
  <c r="I12" i="18" s="1"/>
  <c r="E11" i="18"/>
  <c r="E12" i="18" s="1"/>
  <c r="C3" i="12"/>
  <c r="C4" i="12" s="1"/>
  <c r="E9" i="12"/>
  <c r="E10" i="12" s="1"/>
  <c r="C11" i="12"/>
  <c r="C12" i="12" s="1"/>
  <c r="D9" i="11"/>
  <c r="D10" i="11" s="1"/>
  <c r="C3" i="10"/>
  <c r="C4" i="10" s="1"/>
  <c r="I5" i="10"/>
  <c r="I6" i="10" s="1"/>
  <c r="G7" i="10"/>
  <c r="G8" i="10" s="1"/>
  <c r="E9" i="10"/>
  <c r="E10" i="10" s="1"/>
  <c r="C11" i="10"/>
  <c r="C12" i="10" s="1"/>
  <c r="E3" i="6"/>
  <c r="E4" i="6" s="1"/>
  <c r="C5" i="6"/>
  <c r="C6" i="6" s="1"/>
  <c r="I7" i="6"/>
  <c r="I8" i="6" s="1"/>
  <c r="G9" i="6"/>
  <c r="G10" i="6" s="1"/>
  <c r="E11" i="6"/>
  <c r="E12" i="6" s="1"/>
  <c r="C13" i="6"/>
  <c r="C14" i="6" s="1"/>
  <c r="G3" i="15"/>
  <c r="G4" i="15" s="1"/>
  <c r="E5" i="15"/>
  <c r="E6" i="15" s="1"/>
  <c r="C7" i="15"/>
  <c r="C8" i="15" s="1"/>
  <c r="I9" i="15"/>
  <c r="I10" i="15" s="1"/>
  <c r="G11" i="15"/>
  <c r="G12" i="15" s="1"/>
  <c r="D5" i="14"/>
  <c r="D6" i="14" s="1"/>
  <c r="D13" i="14"/>
  <c r="D14" i="14" s="1"/>
  <c r="G3" i="13"/>
  <c r="G4" i="13" s="1"/>
  <c r="E5" i="13"/>
  <c r="E6" i="13" s="1"/>
  <c r="C7" i="13"/>
  <c r="C8" i="13" s="1"/>
  <c r="I9" i="13"/>
  <c r="I10" i="13" s="1"/>
  <c r="G11" i="13"/>
  <c r="G12" i="13" s="1"/>
  <c r="D3" i="9"/>
  <c r="I11" i="9"/>
  <c r="H11" i="9"/>
  <c r="H12" i="9" s="1"/>
  <c r="C11" i="9"/>
  <c r="F11" i="9"/>
  <c r="H3" i="19"/>
  <c r="I3" i="19"/>
  <c r="C3" i="19"/>
  <c r="F3" i="19"/>
  <c r="I3" i="12"/>
  <c r="I4" i="12" s="1"/>
  <c r="I3" i="10"/>
  <c r="I4" i="10" s="1"/>
  <c r="I7" i="15"/>
  <c r="I8" i="15" s="1"/>
  <c r="I3" i="16"/>
  <c r="I4" i="16" s="1"/>
  <c r="E3" i="16"/>
  <c r="E4" i="16" s="1"/>
  <c r="I5" i="12"/>
  <c r="I6" i="12" s="1"/>
  <c r="E3" i="12"/>
  <c r="E4" i="12" s="1"/>
  <c r="C5" i="12"/>
  <c r="C6" i="12" s="1"/>
  <c r="I7" i="12"/>
  <c r="I8" i="12" s="1"/>
  <c r="G9" i="12"/>
  <c r="G10" i="12" s="1"/>
  <c r="E11" i="12"/>
  <c r="E12" i="12" s="1"/>
  <c r="C13" i="12"/>
  <c r="C14" i="12" s="1"/>
  <c r="E3" i="10"/>
  <c r="E4" i="10" s="1"/>
  <c r="C5" i="10"/>
  <c r="C6" i="10" s="1"/>
  <c r="I7" i="10"/>
  <c r="I8" i="10" s="1"/>
  <c r="G9" i="10"/>
  <c r="G10" i="10" s="1"/>
  <c r="E11" i="10"/>
  <c r="E12" i="10" s="1"/>
  <c r="C13" i="10"/>
  <c r="C14" i="10" s="1"/>
  <c r="G3" i="6"/>
  <c r="G4" i="6" s="1"/>
  <c r="E5" i="6"/>
  <c r="E6" i="6" s="1"/>
  <c r="I9" i="6"/>
  <c r="I10" i="6" s="1"/>
  <c r="G11" i="6"/>
  <c r="G12" i="6" s="1"/>
  <c r="I3" i="15"/>
  <c r="I4" i="15" s="1"/>
  <c r="G5" i="15"/>
  <c r="G6" i="15" s="1"/>
  <c r="E7" i="15"/>
  <c r="E8" i="15" s="1"/>
  <c r="C9" i="15"/>
  <c r="C10" i="15" s="1"/>
  <c r="I11" i="15"/>
  <c r="I12" i="15" s="1"/>
  <c r="D3" i="14"/>
  <c r="D4" i="14" s="1"/>
  <c r="D11" i="14"/>
  <c r="D12" i="14" s="1"/>
  <c r="I3" i="13"/>
  <c r="I4" i="13" s="1"/>
  <c r="G5" i="13"/>
  <c r="G6" i="13" s="1"/>
  <c r="E7" i="13"/>
  <c r="E8" i="13" s="1"/>
  <c r="C9" i="13"/>
  <c r="C10" i="13" s="1"/>
  <c r="I11" i="13"/>
  <c r="I12" i="13" s="1"/>
  <c r="I11" i="19"/>
  <c r="E11" i="19"/>
  <c r="I3" i="17"/>
  <c r="I4" i="17" s="1"/>
  <c r="E3" i="17"/>
  <c r="E4" i="17" s="1"/>
  <c r="I11" i="17"/>
  <c r="I12" i="17" s="1"/>
  <c r="E11" i="17"/>
  <c r="E12" i="17" s="1"/>
  <c r="I11" i="16"/>
  <c r="I12" i="16" s="1"/>
  <c r="E11" i="16"/>
  <c r="E12" i="16" s="1"/>
  <c r="I7" i="13"/>
  <c r="I8" i="13" s="1"/>
  <c r="G3" i="12"/>
  <c r="G4" i="12" s="1"/>
  <c r="I9" i="12"/>
  <c r="I10" i="12" s="1"/>
  <c r="G11" i="12"/>
  <c r="G12" i="12" s="1"/>
  <c r="G3" i="10"/>
  <c r="G4" i="10" s="1"/>
  <c r="I9" i="10"/>
  <c r="I10" i="10" s="1"/>
  <c r="G11" i="10"/>
  <c r="G12" i="10" s="1"/>
  <c r="I3" i="6"/>
  <c r="I4" i="6" s="1"/>
  <c r="G5" i="6"/>
  <c r="G6" i="6" s="1"/>
  <c r="I11" i="6"/>
  <c r="I12" i="6" s="1"/>
  <c r="I5" i="15"/>
  <c r="I6" i="15" s="1"/>
  <c r="G7" i="15"/>
  <c r="G8" i="15" s="1"/>
  <c r="E9" i="15"/>
  <c r="E10" i="15" s="1"/>
  <c r="I5" i="13"/>
  <c r="I6" i="13" s="1"/>
  <c r="G7" i="13"/>
  <c r="G8" i="13" s="1"/>
  <c r="E9" i="13"/>
  <c r="E10" i="13" s="1"/>
  <c r="C11" i="13"/>
  <c r="C12" i="13" s="1"/>
  <c r="I5" i="9"/>
  <c r="F5" i="9"/>
  <c r="D5" i="9"/>
  <c r="C13" i="9"/>
  <c r="C14" i="9" s="1"/>
  <c r="C9" i="9"/>
  <c r="H9" i="9"/>
  <c r="H10" i="9" s="1"/>
  <c r="E9" i="16"/>
  <c r="E10" i="16" s="1"/>
  <c r="E3" i="9"/>
  <c r="G3" i="9"/>
  <c r="E5" i="9"/>
  <c r="G5" i="9"/>
  <c r="G6" i="9" s="1"/>
  <c r="E7" i="9"/>
  <c r="G7" i="9"/>
  <c r="E9" i="9"/>
  <c r="G9" i="9"/>
  <c r="G10" i="9" s="1"/>
  <c r="E11" i="9"/>
  <c r="G11" i="9"/>
  <c r="E3" i="19"/>
  <c r="G3" i="19"/>
  <c r="G4" i="19" s="1"/>
  <c r="H5" i="19"/>
  <c r="F5" i="19"/>
  <c r="F6" i="19" s="1"/>
  <c r="D5" i="19"/>
  <c r="C5" i="19"/>
  <c r="C6" i="19" s="1"/>
  <c r="G5" i="19"/>
  <c r="H7" i="19"/>
  <c r="H8" i="19" s="1"/>
  <c r="F7" i="19"/>
  <c r="D7" i="19"/>
  <c r="C7" i="19"/>
  <c r="G7" i="19"/>
  <c r="G8" i="19" s="1"/>
  <c r="H9" i="19"/>
  <c r="F9" i="19"/>
  <c r="F10" i="19" s="1"/>
  <c r="D9" i="19"/>
  <c r="C9" i="19"/>
  <c r="G9" i="19"/>
  <c r="H11" i="19"/>
  <c r="H12" i="19" s="1"/>
  <c r="F11" i="19"/>
  <c r="D11" i="19"/>
  <c r="C11" i="19"/>
  <c r="G11" i="19"/>
  <c r="G12" i="19" s="1"/>
  <c r="D13" i="19"/>
  <c r="C13" i="19"/>
  <c r="C14" i="19" s="1"/>
  <c r="H3" i="18"/>
  <c r="H4" i="18" s="1"/>
  <c r="F3" i="18"/>
  <c r="D3" i="18"/>
  <c r="C3" i="18"/>
  <c r="C4" i="18" s="1"/>
  <c r="G3" i="18"/>
  <c r="H5" i="18"/>
  <c r="H6" i="18" s="1"/>
  <c r="F5" i="18"/>
  <c r="D5" i="18"/>
  <c r="D6" i="18" s="1"/>
  <c r="C5" i="18"/>
  <c r="G5" i="18"/>
  <c r="G6" i="18" s="1"/>
  <c r="H7" i="18"/>
  <c r="H8" i="18" s="1"/>
  <c r="F7" i="18"/>
  <c r="D7" i="18"/>
  <c r="C7" i="18"/>
  <c r="C8" i="18" s="1"/>
  <c r="G7" i="18"/>
  <c r="H9" i="18"/>
  <c r="H10" i="18" s="1"/>
  <c r="F9" i="18"/>
  <c r="D9" i="18"/>
  <c r="D10" i="18" s="1"/>
  <c r="C9" i="18"/>
  <c r="C10" i="18" s="1"/>
  <c r="G9" i="18"/>
  <c r="G10" i="18" s="1"/>
  <c r="H11" i="18"/>
  <c r="H12" i="18" s="1"/>
  <c r="F11" i="18"/>
  <c r="D11" i="18"/>
  <c r="C11" i="18"/>
  <c r="C12" i="18" s="1"/>
  <c r="G11" i="18"/>
  <c r="G12" i="18" s="1"/>
  <c r="D13" i="18"/>
  <c r="D14" i="18" s="1"/>
  <c r="C13" i="18"/>
  <c r="C14" i="18" s="1"/>
  <c r="H3" i="17"/>
  <c r="H4" i="17" s="1"/>
  <c r="F3" i="17"/>
  <c r="D3" i="17"/>
  <c r="D4" i="17" s="1"/>
  <c r="C3" i="17"/>
  <c r="C4" i="17" s="1"/>
  <c r="G3" i="17"/>
  <c r="G4" i="17" s="1"/>
  <c r="H5" i="17"/>
  <c r="H6" i="17" s="1"/>
  <c r="F5" i="17"/>
  <c r="D5" i="17"/>
  <c r="C5" i="17"/>
  <c r="C6" i="17" s="1"/>
  <c r="G5" i="17"/>
  <c r="G6" i="17" s="1"/>
  <c r="H7" i="17"/>
  <c r="H8" i="17" s="1"/>
  <c r="F7" i="17"/>
  <c r="D7" i="17"/>
  <c r="D8" i="17" s="1"/>
  <c r="C7" i="17"/>
  <c r="C8" i="17" s="1"/>
  <c r="G7" i="17"/>
  <c r="G8" i="17" s="1"/>
  <c r="H9" i="17"/>
  <c r="H10" i="17" s="1"/>
  <c r="F9" i="17"/>
  <c r="D9" i="17"/>
  <c r="C9" i="17"/>
  <c r="C10" i="17" s="1"/>
  <c r="G9" i="17"/>
  <c r="G10" i="17" s="1"/>
  <c r="H11" i="17"/>
  <c r="H12" i="17" s="1"/>
  <c r="F11" i="17"/>
  <c r="D11" i="17"/>
  <c r="D12" i="17" s="1"/>
  <c r="C11" i="17"/>
  <c r="C12" i="17" s="1"/>
  <c r="G11" i="17"/>
  <c r="G12" i="17" s="1"/>
  <c r="D13" i="17"/>
  <c r="D14" i="17" s="1"/>
  <c r="C13" i="17"/>
  <c r="C14" i="17" s="1"/>
  <c r="H3" i="16"/>
  <c r="H4" i="16" s="1"/>
  <c r="F3" i="16"/>
  <c r="D3" i="16"/>
  <c r="C3" i="16"/>
  <c r="C4" i="16" s="1"/>
  <c r="G3" i="16"/>
  <c r="G4" i="16" s="1"/>
  <c r="H5" i="16"/>
  <c r="H6" i="16" s="1"/>
  <c r="F5" i="16"/>
  <c r="D5" i="16"/>
  <c r="D6" i="16" s="1"/>
  <c r="C5" i="16"/>
  <c r="C6" i="16" s="1"/>
  <c r="G5" i="16"/>
  <c r="G6" i="16" s="1"/>
  <c r="H7" i="16"/>
  <c r="H8" i="16" s="1"/>
  <c r="F7" i="16"/>
  <c r="D7" i="16"/>
  <c r="C7" i="16"/>
  <c r="C8" i="16" s="1"/>
  <c r="G7" i="16"/>
  <c r="G8" i="16" s="1"/>
  <c r="H9" i="16"/>
  <c r="H10" i="16" s="1"/>
  <c r="F9" i="16"/>
  <c r="D9" i="16"/>
  <c r="D10" i="16" s="1"/>
  <c r="C9" i="16"/>
  <c r="C10" i="16" s="1"/>
  <c r="G9" i="16"/>
  <c r="G10" i="16" s="1"/>
  <c r="H11" i="16"/>
  <c r="H12" i="16" s="1"/>
  <c r="F11" i="16"/>
  <c r="D11" i="16"/>
  <c r="C11" i="16"/>
  <c r="C12" i="16" s="1"/>
  <c r="G11" i="16"/>
  <c r="G12" i="16" s="1"/>
  <c r="D13" i="16"/>
  <c r="D14" i="16" s="1"/>
  <c r="C13" i="16"/>
  <c r="C14" i="16" s="1"/>
  <c r="D4" i="9"/>
  <c r="D6" i="9"/>
  <c r="D8" i="9"/>
  <c r="D10" i="9"/>
  <c r="I4" i="19"/>
  <c r="E4" i="19"/>
  <c r="C4" i="19"/>
  <c r="F4" i="19"/>
  <c r="I6" i="19"/>
  <c r="G6" i="19"/>
  <c r="E6" i="19"/>
  <c r="I8" i="19"/>
  <c r="E8" i="19"/>
  <c r="C8" i="19"/>
  <c r="F8" i="19"/>
  <c r="I10" i="19"/>
  <c r="G10" i="19"/>
  <c r="E10" i="19"/>
  <c r="C10" i="19"/>
  <c r="I12" i="19"/>
  <c r="E12" i="19"/>
  <c r="C12" i="19"/>
  <c r="F12" i="19"/>
  <c r="I4" i="9"/>
  <c r="G4" i="9"/>
  <c r="E4" i="9"/>
  <c r="C4" i="9"/>
  <c r="F4" i="9"/>
  <c r="I6" i="9"/>
  <c r="E6" i="9"/>
  <c r="C6" i="9"/>
  <c r="F6" i="9"/>
  <c r="I8" i="9"/>
  <c r="G8" i="9"/>
  <c r="E8" i="9"/>
  <c r="C8" i="9"/>
  <c r="F8" i="9"/>
  <c r="I10" i="9"/>
  <c r="E10" i="9"/>
  <c r="C10" i="9"/>
  <c r="F10" i="9"/>
  <c r="I12" i="9"/>
  <c r="G12" i="9"/>
  <c r="E12" i="9"/>
  <c r="C12" i="9"/>
  <c r="F12" i="9"/>
  <c r="D4" i="19"/>
  <c r="H4" i="19"/>
  <c r="D6" i="19"/>
  <c r="H6" i="19"/>
  <c r="D8" i="19"/>
  <c r="D10" i="19"/>
  <c r="H10" i="19"/>
  <c r="D12" i="19"/>
  <c r="D14" i="19"/>
  <c r="E4" i="18"/>
  <c r="G4" i="18"/>
  <c r="I4" i="18"/>
  <c r="C6" i="18"/>
  <c r="E6" i="18"/>
  <c r="I6" i="18"/>
  <c r="E8" i="18"/>
  <c r="G8" i="18"/>
  <c r="I8" i="18"/>
  <c r="D4" i="18"/>
  <c r="F4" i="18"/>
  <c r="F6" i="18"/>
  <c r="D8" i="18"/>
  <c r="F8" i="18"/>
  <c r="F10" i="18"/>
  <c r="D12" i="18"/>
  <c r="F12" i="18"/>
  <c r="F4" i="17"/>
  <c r="D6" i="17"/>
  <c r="F6" i="17"/>
  <c r="F8" i="17"/>
  <c r="D10" i="17"/>
  <c r="F10" i="17"/>
  <c r="F12" i="17"/>
  <c r="D4" i="16"/>
  <c r="F4" i="16"/>
  <c r="F6" i="16"/>
  <c r="D8" i="16"/>
  <c r="F8" i="16"/>
  <c r="F10" i="16"/>
  <c r="D12" i="16"/>
  <c r="F12" i="16"/>
  <c r="I3" i="11"/>
  <c r="I4" i="11" s="1"/>
  <c r="G3" i="11"/>
  <c r="G4" i="11" s="1"/>
  <c r="E3" i="11"/>
  <c r="E4" i="11" s="1"/>
  <c r="C3" i="11"/>
  <c r="C4" i="11" s="1"/>
  <c r="F3" i="11"/>
  <c r="F4" i="11" s="1"/>
  <c r="I5" i="11"/>
  <c r="I6" i="11" s="1"/>
  <c r="G5" i="11"/>
  <c r="G6" i="11" s="1"/>
  <c r="E5" i="11"/>
  <c r="E6" i="11" s="1"/>
  <c r="C5" i="11"/>
  <c r="C6" i="11" s="1"/>
  <c r="F5" i="11"/>
  <c r="F6" i="11" s="1"/>
  <c r="I7" i="11"/>
  <c r="I8" i="11" s="1"/>
  <c r="G7" i="11"/>
  <c r="G8" i="11" s="1"/>
  <c r="E7" i="11"/>
  <c r="E8" i="11" s="1"/>
  <c r="C7" i="11"/>
  <c r="C8" i="11" s="1"/>
  <c r="F7" i="11"/>
  <c r="F8" i="11" s="1"/>
  <c r="I9" i="11"/>
  <c r="I10" i="11" s="1"/>
  <c r="G9" i="11"/>
  <c r="G10" i="11" s="1"/>
  <c r="E9" i="11"/>
  <c r="E10" i="11" s="1"/>
  <c r="C9" i="11"/>
  <c r="C10" i="11" s="1"/>
  <c r="F9" i="11"/>
  <c r="F10" i="11" s="1"/>
  <c r="I11" i="11"/>
  <c r="I12" i="11" s="1"/>
  <c r="G11" i="11"/>
  <c r="G12" i="11" s="1"/>
  <c r="E11" i="11"/>
  <c r="E12" i="11" s="1"/>
  <c r="C11" i="11"/>
  <c r="C12" i="11" s="1"/>
  <c r="F11" i="11"/>
  <c r="F12" i="11" s="1"/>
  <c r="D3" i="12"/>
  <c r="D4" i="12" s="1"/>
  <c r="F3" i="12"/>
  <c r="F4" i="12" s="1"/>
  <c r="D5" i="12"/>
  <c r="D6" i="12" s="1"/>
  <c r="F5" i="12"/>
  <c r="F6" i="12" s="1"/>
  <c r="D7" i="12"/>
  <c r="D8" i="12" s="1"/>
  <c r="F7" i="12"/>
  <c r="F8" i="12" s="1"/>
  <c r="D9" i="12"/>
  <c r="D10" i="12" s="1"/>
  <c r="F9" i="12"/>
  <c r="F10" i="12" s="1"/>
  <c r="D11" i="12"/>
  <c r="D12" i="12" s="1"/>
  <c r="F11" i="12"/>
  <c r="F12" i="12" s="1"/>
  <c r="D3" i="10"/>
  <c r="D4" i="10" s="1"/>
  <c r="F3" i="10"/>
  <c r="F4" i="10" s="1"/>
  <c r="D5" i="10"/>
  <c r="D6" i="10" s="1"/>
  <c r="F5" i="10"/>
  <c r="F6" i="10" s="1"/>
  <c r="D7" i="10"/>
  <c r="D8" i="10" s="1"/>
  <c r="F7" i="10"/>
  <c r="F8" i="10" s="1"/>
  <c r="D9" i="10"/>
  <c r="D10" i="10" s="1"/>
  <c r="F9" i="10"/>
  <c r="F10" i="10" s="1"/>
  <c r="D11" i="10"/>
  <c r="D12" i="10" s="1"/>
  <c r="F11" i="10"/>
  <c r="F12" i="10" s="1"/>
  <c r="D3" i="6"/>
  <c r="D4" i="6" s="1"/>
  <c r="F3" i="6"/>
  <c r="F4" i="6" s="1"/>
  <c r="D5" i="6"/>
  <c r="D6" i="6" s="1"/>
  <c r="F5" i="6"/>
  <c r="F6" i="6" s="1"/>
  <c r="D7" i="6"/>
  <c r="D8" i="6" s="1"/>
  <c r="F7" i="6"/>
  <c r="F8" i="6" s="1"/>
  <c r="D9" i="6"/>
  <c r="D10" i="6" s="1"/>
  <c r="F9" i="6"/>
  <c r="F10" i="6" s="1"/>
  <c r="D11" i="6"/>
  <c r="D12" i="6" s="1"/>
  <c r="F11" i="6"/>
  <c r="F12" i="6" s="1"/>
  <c r="I3" i="14"/>
  <c r="I4" i="14" s="1"/>
  <c r="G3" i="14"/>
  <c r="G4" i="14" s="1"/>
  <c r="E3" i="14"/>
  <c r="E4" i="14" s="1"/>
  <c r="C3" i="14"/>
  <c r="C4" i="14" s="1"/>
  <c r="F3" i="14"/>
  <c r="F4" i="14" s="1"/>
  <c r="I5" i="14"/>
  <c r="I6" i="14" s="1"/>
  <c r="G5" i="14"/>
  <c r="G6" i="14" s="1"/>
  <c r="E5" i="14"/>
  <c r="E6" i="14" s="1"/>
  <c r="C5" i="14"/>
  <c r="C6" i="14" s="1"/>
  <c r="F5" i="14"/>
  <c r="F6" i="14" s="1"/>
  <c r="I7" i="14"/>
  <c r="I8" i="14" s="1"/>
  <c r="G7" i="14"/>
  <c r="G8" i="14" s="1"/>
  <c r="E7" i="14"/>
  <c r="E8" i="14" s="1"/>
  <c r="C7" i="14"/>
  <c r="C8" i="14" s="1"/>
  <c r="F7" i="14"/>
  <c r="F8" i="14" s="1"/>
  <c r="I9" i="14"/>
  <c r="I10" i="14" s="1"/>
  <c r="G9" i="14"/>
  <c r="G10" i="14" s="1"/>
  <c r="E9" i="14"/>
  <c r="E10" i="14" s="1"/>
  <c r="C9" i="14"/>
  <c r="C10" i="14" s="1"/>
  <c r="F9" i="14"/>
  <c r="F10" i="14" s="1"/>
  <c r="I11" i="14"/>
  <c r="I12" i="14" s="1"/>
  <c r="G11" i="14"/>
  <c r="G12" i="14" s="1"/>
  <c r="E11" i="14"/>
  <c r="E12" i="14" s="1"/>
  <c r="C11" i="14"/>
  <c r="C12" i="14" s="1"/>
  <c r="F11" i="14"/>
  <c r="F12" i="14" s="1"/>
  <c r="D3" i="15"/>
  <c r="D4" i="15" s="1"/>
  <c r="F3" i="15"/>
  <c r="F4" i="15" s="1"/>
  <c r="D5" i="15"/>
  <c r="D6" i="15" s="1"/>
  <c r="F5" i="15"/>
  <c r="F6" i="15" s="1"/>
  <c r="D7" i="15"/>
  <c r="D8" i="15" s="1"/>
  <c r="F7" i="15"/>
  <c r="F8" i="15" s="1"/>
  <c r="D9" i="15"/>
  <c r="D10" i="15" s="1"/>
  <c r="F9" i="15"/>
  <c r="F10" i="15" s="1"/>
  <c r="D11" i="15"/>
  <c r="D12" i="15" s="1"/>
  <c r="F11" i="15"/>
  <c r="F12" i="15" s="1"/>
  <c r="D3" i="13"/>
  <c r="D4" i="13" s="1"/>
  <c r="F3" i="13"/>
  <c r="F4" i="13" s="1"/>
  <c r="D5" i="13"/>
  <c r="D6" i="13" s="1"/>
  <c r="F5" i="13"/>
  <c r="F6" i="13" s="1"/>
  <c r="D7" i="13"/>
  <c r="D8" i="13" s="1"/>
  <c r="F7" i="13"/>
  <c r="F8" i="13" s="1"/>
  <c r="D9" i="13"/>
  <c r="D10" i="13" s="1"/>
  <c r="F9" i="13"/>
  <c r="F10" i="13" s="1"/>
  <c r="D11" i="13"/>
  <c r="D12" i="13" s="1"/>
  <c r="F11" i="13"/>
  <c r="F12" i="13" s="1"/>
  <c r="C2" i="13" l="1"/>
  <c r="C2" i="15"/>
  <c r="C2" i="16"/>
  <c r="C2" i="17"/>
  <c r="C2" i="19"/>
  <c r="C2" i="9"/>
  <c r="C2" i="14"/>
  <c r="C2" i="18"/>
  <c r="C2" i="10"/>
  <c r="C2" i="11"/>
  <c r="D2" i="12"/>
  <c r="C2" i="12"/>
  <c r="I2" i="19"/>
  <c r="H2" i="19"/>
  <c r="I2" i="18"/>
  <c r="H2" i="18"/>
  <c r="H2" i="17"/>
  <c r="H2" i="16"/>
  <c r="H2" i="15"/>
  <c r="H2" i="14"/>
  <c r="H2" i="13"/>
  <c r="H2" i="12"/>
  <c r="H2" i="11"/>
  <c r="H2" i="10"/>
  <c r="H2" i="9"/>
  <c r="E2" i="19" l="1"/>
  <c r="F2" i="19"/>
  <c r="I2" i="17"/>
  <c r="G2" i="19"/>
  <c r="E2" i="18"/>
  <c r="D2" i="19"/>
  <c r="I2" i="16"/>
  <c r="G2" i="18"/>
  <c r="F2" i="18"/>
  <c r="E2" i="17"/>
  <c r="D2" i="18"/>
  <c r="F2" i="17"/>
  <c r="I2" i="15"/>
  <c r="G2" i="17"/>
  <c r="E2" i="16"/>
  <c r="D2" i="17"/>
  <c r="I2" i="13"/>
  <c r="F2" i="16"/>
  <c r="G2" i="16"/>
  <c r="E2" i="15"/>
  <c r="D2" i="16"/>
  <c r="E2" i="14"/>
  <c r="F2" i="15"/>
  <c r="I2" i="14"/>
  <c r="G2" i="15"/>
  <c r="D2" i="15"/>
  <c r="G2" i="14"/>
  <c r="F2" i="14"/>
  <c r="I2" i="12"/>
  <c r="E2" i="13"/>
  <c r="D2" i="14"/>
  <c r="I2" i="10"/>
  <c r="G2" i="13"/>
  <c r="F2" i="13"/>
  <c r="E2" i="12"/>
  <c r="D2" i="13"/>
  <c r="E2" i="11"/>
  <c r="I2" i="11"/>
  <c r="G2" i="12"/>
  <c r="F2" i="12"/>
  <c r="F2" i="11"/>
  <c r="G2" i="11"/>
  <c r="E2" i="10"/>
  <c r="D2" i="11"/>
  <c r="F2" i="10"/>
  <c r="E2" i="9"/>
  <c r="G2" i="10"/>
  <c r="I2" i="9"/>
  <c r="D2" i="10"/>
  <c r="F2" i="9"/>
  <c r="G2" i="9"/>
  <c r="D2" i="9"/>
  <c r="D2" i="6" l="1"/>
  <c r="C2" i="6" l="1"/>
  <c r="F2" i="6"/>
  <c r="I2" i="6"/>
  <c r="E2" i="6"/>
  <c r="H2" i="6"/>
  <c r="G2" i="6"/>
</calcChain>
</file>

<file path=xl/sharedStrings.xml><?xml version="1.0" encoding="utf-8"?>
<sst xmlns="http://schemas.openxmlformats.org/spreadsheetml/2006/main" count="34" uniqueCount="17">
  <si>
    <t>Anuario de la familia Hansson
Calendario de actividades</t>
  </si>
  <si>
    <t>Fechas importantes</t>
  </si>
  <si>
    <t>Día</t>
  </si>
  <si>
    <t>Describa su evento</t>
  </si>
  <si>
    <t>Año nuevo</t>
  </si>
  <si>
    <t>Cumpleaños de Tim's</t>
  </si>
  <si>
    <t>Descanso de fin de semana</t>
  </si>
  <si>
    <t>Navidad</t>
  </si>
  <si>
    <t>Tipo de evento</t>
  </si>
  <si>
    <t>Días festivos</t>
  </si>
  <si>
    <t>Cumpleaños</t>
  </si>
  <si>
    <t>Su categoría</t>
  </si>
  <si>
    <t>Establezca el primer día de la semana</t>
  </si>
  <si>
    <t>Domingo</t>
  </si>
  <si>
    <t>Nombre hasta un máximo de 5
categorías de eventos</t>
  </si>
  <si>
    <t>Eventos pasados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</si>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</sst>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d"/>
    <numFmt numFmtId="169" formatCode="[$-C0A]d\ &quot;de&quot;\ mmmm\ &quot;de&quot;\ yyyy;@"/>
  </numFmts>
  <fonts count="37" x14ac:knownFonts="1">
    <font>
      <sz val="10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1"/>
      <color theme="1"/>
      <name val="Rockwell"/>
      <family val="4"/>
      <scheme val="major"/>
    </font>
    <font>
      <sz val="10"/>
      <color theme="0"/>
      <name val="Tw Cen MT"/>
      <family val="2"/>
      <scheme val="minor"/>
    </font>
    <font>
      <sz val="11"/>
      <color theme="0"/>
      <name val="Rockwell"/>
      <family val="4"/>
      <scheme val="major"/>
    </font>
    <font>
      <sz val="11"/>
      <name val="Tw Cen MT"/>
      <family val="2"/>
      <scheme val="minor"/>
    </font>
    <font>
      <sz val="10"/>
      <color theme="1"/>
      <name val="Tw Cen MT"/>
      <family val="2"/>
      <scheme val="minor"/>
    </font>
    <font>
      <sz val="11"/>
      <color theme="1" tint="0.34998626667073579"/>
      <name val="Tw Cen MT"/>
      <family val="2"/>
      <scheme val="minor"/>
    </font>
    <font>
      <sz val="11"/>
      <color theme="1" tint="0.34998626667073579"/>
      <name val="Rockwell"/>
      <family val="1"/>
      <scheme val="major"/>
    </font>
    <font>
      <sz val="15"/>
      <color theme="3"/>
      <name val="Rockwell"/>
      <family val="1"/>
      <scheme val="major"/>
    </font>
    <font>
      <sz val="15"/>
      <color theme="1" tint="0.34998626667073579"/>
      <name val="Rockwell"/>
      <family val="1"/>
      <scheme val="major"/>
    </font>
    <font>
      <b/>
      <sz val="26"/>
      <color theme="1" tint="0.34998626667073579"/>
      <name val="Tw Cen MT"/>
      <family val="2"/>
      <scheme val="minor"/>
    </font>
    <font>
      <sz val="11"/>
      <color theme="1" tint="0.24994659260841701"/>
      <name val="Tw Cen MT"/>
      <family val="2"/>
      <scheme val="minor"/>
    </font>
    <font>
      <b/>
      <sz val="28"/>
      <color theme="1"/>
      <name val="Rockwell"/>
      <family val="1"/>
      <scheme val="major"/>
    </font>
    <font>
      <sz val="12"/>
      <color theme="1"/>
      <name val="Tw Cen MT"/>
      <family val="2"/>
      <scheme val="minor"/>
    </font>
    <font>
      <sz val="10"/>
      <color theme="1"/>
      <name val="Rockwell"/>
      <family val="4"/>
      <scheme val="major"/>
    </font>
    <font>
      <i/>
      <sz val="12"/>
      <color theme="1"/>
      <name val="Tw Cen MT"/>
      <family val="2"/>
      <scheme val="minor"/>
    </font>
    <font>
      <sz val="28"/>
      <color theme="1"/>
      <name val="Rockwell"/>
      <family val="1"/>
      <scheme val="major"/>
    </font>
    <font>
      <b/>
      <sz val="11"/>
      <color theme="1" tint="0.24994659260841701"/>
      <name val="Tw Cen MT"/>
      <family val="2"/>
      <scheme val="minor"/>
    </font>
    <font>
      <i/>
      <sz val="11"/>
      <color theme="0" tint="-0.249977111117893"/>
      <name val="Tw Cen MT"/>
      <family val="2"/>
      <scheme val="minor"/>
    </font>
    <font>
      <sz val="14"/>
      <color theme="0"/>
      <name val="Tw Cen MT"/>
      <family val="2"/>
      <scheme val="minor"/>
    </font>
    <font>
      <i/>
      <sz val="11"/>
      <color theme="1" tint="0.34998626667073579"/>
      <name val="Tw Cen MT"/>
      <family val="2"/>
      <scheme val="minor"/>
    </font>
    <font>
      <sz val="22"/>
      <color theme="1"/>
      <name val="Tw Cen MT"/>
      <family val="2"/>
      <scheme val="minor"/>
    </font>
    <font>
      <i/>
      <sz val="11"/>
      <color theme="1"/>
      <name val="Tw Cen MT"/>
      <family val="2"/>
      <scheme val="minor"/>
    </font>
    <font>
      <sz val="13"/>
      <color theme="1" tint="0.34998626667073579"/>
      <name val="Rockwell"/>
      <family val="1"/>
      <scheme val="major"/>
    </font>
    <font>
      <b/>
      <sz val="11"/>
      <color theme="3"/>
      <name val="Tw Cen MT"/>
      <family val="2"/>
      <scheme val="minor"/>
    </font>
    <font>
      <sz val="11"/>
      <color rgb="FF006100"/>
      <name val="Tw Cen MT"/>
      <family val="2"/>
      <scheme val="minor"/>
    </font>
    <font>
      <sz val="11"/>
      <color rgb="FF9C0006"/>
      <name val="Tw Cen MT"/>
      <family val="2"/>
      <scheme val="minor"/>
    </font>
    <font>
      <sz val="11"/>
      <color rgb="FF9C5700"/>
      <name val="Tw Cen MT"/>
      <family val="2"/>
      <scheme val="minor"/>
    </font>
    <font>
      <sz val="11"/>
      <color rgb="FF3F3F76"/>
      <name val="Tw Cen MT"/>
      <family val="2"/>
      <scheme val="minor"/>
    </font>
    <font>
      <b/>
      <sz val="11"/>
      <color rgb="FF3F3F3F"/>
      <name val="Tw Cen MT"/>
      <family val="2"/>
      <scheme val="minor"/>
    </font>
    <font>
      <b/>
      <sz val="11"/>
      <color rgb="FFFA7D00"/>
      <name val="Tw Cen MT"/>
      <family val="2"/>
      <scheme val="minor"/>
    </font>
    <font>
      <sz val="11"/>
      <color rgb="FFFA7D00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rgb="FFFF0000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lightUp">
        <fgColor theme="0" tint="-4.9989318521683403E-2"/>
        <bgColor auto="1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5"/>
      </bottom>
      <diagonal/>
    </border>
    <border>
      <left/>
      <right/>
      <top/>
      <bottom style="thick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4.9989318521683403E-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4.9989318521683403E-2"/>
      </bottom>
      <diagonal/>
    </border>
    <border>
      <left/>
      <right/>
      <top/>
      <bottom style="thick">
        <color theme="6"/>
      </bottom>
      <diagonal/>
    </border>
    <border>
      <left/>
      <right/>
      <top/>
      <bottom style="thick">
        <color theme="6" tint="-0.499984740745262"/>
      </bottom>
      <diagonal/>
    </border>
    <border>
      <left/>
      <right/>
      <top/>
      <bottom style="thick">
        <color theme="4"/>
      </bottom>
      <diagonal/>
    </border>
    <border>
      <left style="thin">
        <color theme="0" tint="-0.14996795556505021"/>
      </left>
      <right style="dotted">
        <color theme="0" tint="-0.14993743705557422"/>
      </right>
      <top style="thin">
        <color theme="0" tint="-4.9989318521683403E-2"/>
      </top>
      <bottom style="thin">
        <color theme="0" tint="-0.14996795556505021"/>
      </bottom>
      <diagonal/>
    </border>
    <border>
      <left style="dotted">
        <color theme="0" tint="-0.14993743705557422"/>
      </left>
      <right style="dotted">
        <color theme="0" tint="-0.14993743705557422"/>
      </right>
      <top style="thin">
        <color theme="0" tint="-4.9989318521683403E-2"/>
      </top>
      <bottom style="thin">
        <color theme="0" tint="-0.14996795556505021"/>
      </bottom>
      <diagonal/>
    </border>
    <border>
      <left style="dotted">
        <color theme="0" tint="-0.14993743705557422"/>
      </left>
      <right style="thin">
        <color theme="0" tint="-0.14996795556505021"/>
      </right>
      <top style="thin">
        <color theme="0" tint="-4.9989318521683403E-2"/>
      </top>
      <bottom style="thin">
        <color theme="0" tint="-0.14996795556505021"/>
      </bottom>
      <diagonal/>
    </border>
    <border>
      <left style="thin">
        <color theme="0"/>
      </left>
      <right/>
      <top/>
      <bottom/>
      <diagonal/>
    </border>
    <border>
      <left style="dotted">
        <color theme="0" tint="-0.14993743705557422"/>
      </left>
      <right/>
      <top style="thin">
        <color theme="0" tint="-4.9989318521683403E-2"/>
      </top>
      <bottom style="thin">
        <color theme="0" tint="-0.14996795556505021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5" fillId="0" borderId="0"/>
    <xf numFmtId="0" fontId="10" fillId="0" borderId="2" applyNumberFormat="0" applyAlignment="0" applyProtection="0"/>
    <xf numFmtId="0" fontId="11" fillId="0" borderId="0">
      <alignment horizontal="left" vertical="top" wrapText="1" indent="1"/>
    </xf>
    <xf numFmtId="0" fontId="9" fillId="0" borderId="1" applyNumberFormat="0" applyFill="0" applyAlignment="0" applyProtection="0"/>
    <xf numFmtId="0" fontId="6" fillId="0" borderId="3">
      <alignment horizontal="left" vertical="top" wrapText="1" indent="1" readingOrder="1"/>
    </xf>
    <xf numFmtId="0" fontId="1" fillId="4" borderId="0" applyNumberFormat="0" applyBorder="0" applyAlignment="0" applyProtection="0"/>
    <xf numFmtId="168" fontId="7" fillId="0" borderId="0">
      <alignment horizontal="left" indent="1"/>
    </xf>
    <xf numFmtId="0" fontId="5" fillId="5" borderId="0" applyNumberFormat="0" applyFont="0" applyBorder="0" applyAlignment="0">
      <alignment horizontal="left" vertical="center" indent="1"/>
    </xf>
    <xf numFmtId="0" fontId="12" fillId="0" borderId="3">
      <alignment horizontal="left" vertical="top" wrapText="1" indent="1"/>
    </xf>
    <xf numFmtId="168" fontId="8" fillId="0" borderId="4">
      <alignment horizontal="left" indent="1"/>
    </xf>
    <xf numFmtId="0" fontId="6" fillId="9" borderId="3">
      <alignment horizontal="left" vertical="top" wrapText="1" indent="1"/>
    </xf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5" fillId="0" borderId="19" applyNumberFormat="0" applyFill="0" applyAlignment="0" applyProtection="0"/>
    <xf numFmtId="0" fontId="25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27" fillId="23" borderId="0" applyNumberFormat="0" applyBorder="0" applyAlignment="0" applyProtection="0"/>
    <xf numFmtId="0" fontId="28" fillId="24" borderId="0" applyNumberFormat="0" applyBorder="0" applyAlignment="0" applyProtection="0"/>
    <xf numFmtId="0" fontId="29" fillId="25" borderId="20" applyNumberFormat="0" applyAlignment="0" applyProtection="0"/>
    <xf numFmtId="0" fontId="30" fillId="26" borderId="21" applyNumberFormat="0" applyAlignment="0" applyProtection="0"/>
    <xf numFmtId="0" fontId="31" fillId="26" borderId="20" applyNumberFormat="0" applyAlignment="0" applyProtection="0"/>
    <xf numFmtId="0" fontId="32" fillId="0" borderId="22" applyNumberFormat="0" applyFill="0" applyAlignment="0" applyProtection="0"/>
    <xf numFmtId="0" fontId="33" fillId="27" borderId="23" applyNumberFormat="0" applyAlignment="0" applyProtection="0"/>
    <xf numFmtId="0" fontId="34" fillId="0" borderId="0" applyNumberFormat="0" applyFill="0" applyBorder="0" applyAlignment="0" applyProtection="0"/>
    <xf numFmtId="0" fontId="6" fillId="28" borderId="24" applyNumberFormat="0" applyFont="0" applyAlignment="0" applyProtection="0"/>
    <xf numFmtId="0" fontId="35" fillId="0" borderId="25" applyNumberFormat="0" applyFill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6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36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</cellStyleXfs>
  <cellXfs count="58">
    <xf numFmtId="0" fontId="0" fillId="0" borderId="0" xfId="0"/>
    <xf numFmtId="0" fontId="0" fillId="0" borderId="0" xfId="0" applyAlignment="1">
      <alignment wrapText="1"/>
    </xf>
    <xf numFmtId="0" fontId="9" fillId="0" borderId="1" xfId="4" applyAlignment="1">
      <alignment horizontal="left" vertical="top" indent="1"/>
    </xf>
    <xf numFmtId="0" fontId="11" fillId="6" borderId="0" xfId="3" applyFill="1" applyAlignment="1">
      <alignment horizontal="left" vertical="center" wrapText="1" indent="1"/>
    </xf>
    <xf numFmtId="0" fontId="0" fillId="10" borderId="0" xfId="0" applyFill="1"/>
    <xf numFmtId="0" fontId="9" fillId="0" borderId="5" xfId="4" applyBorder="1" applyAlignment="1">
      <alignment horizontal="left" vertical="top" indent="1"/>
    </xf>
    <xf numFmtId="0" fontId="0" fillId="11" borderId="0" xfId="0" applyFill="1"/>
    <xf numFmtId="0" fontId="9" fillId="0" borderId="6" xfId="4" applyBorder="1" applyAlignment="1">
      <alignment horizontal="left" vertical="top" indent="1"/>
    </xf>
    <xf numFmtId="0" fontId="9" fillId="0" borderId="7" xfId="4" applyBorder="1" applyAlignment="1">
      <alignment horizontal="left" vertical="top" indent="1"/>
    </xf>
    <xf numFmtId="0" fontId="0" fillId="3" borderId="0" xfId="0" applyFill="1"/>
    <xf numFmtId="0" fontId="0" fillId="12" borderId="0" xfId="0" applyFill="1"/>
    <xf numFmtId="0" fontId="0" fillId="6" borderId="0" xfId="0" applyFill="1"/>
    <xf numFmtId="0" fontId="2" fillId="6" borderId="0" xfId="0" applyFont="1" applyFill="1"/>
    <xf numFmtId="0" fontId="14" fillId="6" borderId="0" xfId="0" applyFont="1" applyFill="1"/>
    <xf numFmtId="0" fontId="15" fillId="6" borderId="0" xfId="0" applyFont="1" applyFill="1"/>
    <xf numFmtId="0" fontId="0" fillId="6" borderId="0" xfId="0" applyFill="1" applyAlignment="1">
      <alignment horizontal="left" indent="1"/>
    </xf>
    <xf numFmtId="0" fontId="15" fillId="6" borderId="0" xfId="0" applyFont="1" applyFill="1" applyAlignment="1">
      <alignment horizontal="left" indent="1"/>
    </xf>
    <xf numFmtId="0" fontId="12" fillId="0" borderId="9" xfId="9" applyBorder="1">
      <alignment horizontal="left" vertical="top" wrapText="1" indent="1"/>
    </xf>
    <xf numFmtId="0" fontId="0" fillId="15" borderId="0" xfId="0" applyFill="1"/>
    <xf numFmtId="0" fontId="3" fillId="16" borderId="0" xfId="0" applyFont="1" applyFill="1"/>
    <xf numFmtId="0" fontId="4" fillId="16" borderId="0" xfId="0" applyFont="1" applyFill="1"/>
    <xf numFmtId="0" fontId="13" fillId="16" borderId="0" xfId="0" applyFont="1" applyFill="1" applyAlignment="1">
      <alignment horizontal="left" vertical="top" wrapText="1" indent="1"/>
    </xf>
    <xf numFmtId="0" fontId="12" fillId="0" borderId="12" xfId="9" applyBorder="1">
      <alignment horizontal="left" vertical="top" wrapText="1" indent="1"/>
    </xf>
    <xf numFmtId="0" fontId="12" fillId="10" borderId="12" xfId="9" applyFill="1" applyBorder="1">
      <alignment horizontal="left" vertical="top" wrapText="1" indent="1"/>
    </xf>
    <xf numFmtId="0" fontId="12" fillId="11" borderId="12" xfId="9" applyFill="1" applyBorder="1">
      <alignment horizontal="left" vertical="top" wrapText="1" indent="1"/>
    </xf>
    <xf numFmtId="0" fontId="12" fillId="3" borderId="12" xfId="9" applyFill="1" applyBorder="1">
      <alignment horizontal="left" vertical="top" wrapText="1" indent="1"/>
    </xf>
    <xf numFmtId="0" fontId="0" fillId="16" borderId="0" xfId="0" applyFill="1"/>
    <xf numFmtId="0" fontId="2" fillId="16" borderId="0" xfId="0" applyFont="1" applyFill="1" applyAlignment="1">
      <alignment wrapText="1"/>
    </xf>
    <xf numFmtId="0" fontId="0" fillId="16" borderId="0" xfId="0" applyFill="1" applyAlignment="1">
      <alignment wrapText="1"/>
    </xf>
    <xf numFmtId="0" fontId="0" fillId="17" borderId="0" xfId="0" applyFill="1"/>
    <xf numFmtId="0" fontId="14" fillId="17" borderId="0" xfId="0" applyFont="1" applyFill="1"/>
    <xf numFmtId="0" fontId="20" fillId="2" borderId="0" xfId="0" applyFont="1" applyFill="1" applyAlignment="1">
      <alignment horizontal="left" vertical="center" indent="1"/>
    </xf>
    <xf numFmtId="0" fontId="20" fillId="20" borderId="0" xfId="0" applyFont="1" applyFill="1" applyAlignment="1">
      <alignment horizontal="left" vertical="center" indent="1"/>
    </xf>
    <xf numFmtId="0" fontId="21" fillId="0" borderId="10" xfId="9" applyFont="1" applyBorder="1">
      <alignment horizontal="left" vertical="top" wrapText="1" indent="1"/>
    </xf>
    <xf numFmtId="0" fontId="16" fillId="6" borderId="0" xfId="0" applyFont="1" applyFill="1" applyAlignment="1">
      <alignment vertical="top" wrapText="1"/>
    </xf>
    <xf numFmtId="0" fontId="17" fillId="16" borderId="11" xfId="0" applyFont="1" applyFill="1" applyBorder="1" applyAlignment="1">
      <alignment wrapText="1"/>
    </xf>
    <xf numFmtId="0" fontId="19" fillId="6" borderId="18" xfId="9" applyFont="1" applyFill="1" applyBorder="1" applyAlignment="1">
      <alignment horizontal="left" vertical="center" wrapText="1" indent="1"/>
    </xf>
    <xf numFmtId="0" fontId="23" fillId="10" borderId="18" xfId="0" applyFont="1" applyFill="1" applyBorder="1" applyAlignment="1">
      <alignment horizontal="left" vertical="center" indent="1"/>
    </xf>
    <xf numFmtId="0" fontId="23" fillId="21" borderId="18" xfId="0" applyFont="1" applyFill="1" applyBorder="1" applyAlignment="1">
      <alignment horizontal="left" vertical="center" indent="1"/>
    </xf>
    <xf numFmtId="0" fontId="23" fillId="11" borderId="18" xfId="0" applyFont="1" applyFill="1" applyBorder="1" applyAlignment="1">
      <alignment horizontal="left" vertical="center" indent="1"/>
    </xf>
    <xf numFmtId="0" fontId="23" fillId="13" borderId="18" xfId="0" applyFont="1" applyFill="1" applyBorder="1" applyAlignment="1">
      <alignment horizontal="left" vertical="center" indent="1"/>
    </xf>
    <xf numFmtId="0" fontId="23" fillId="3" borderId="18" xfId="0" applyFont="1" applyFill="1" applyBorder="1" applyAlignment="1">
      <alignment horizontal="left" vertical="center" indent="1"/>
    </xf>
    <xf numFmtId="0" fontId="23" fillId="14" borderId="18" xfId="0" applyFont="1" applyFill="1" applyBorder="1" applyAlignment="1">
      <alignment horizontal="left" vertical="center" indent="1"/>
    </xf>
    <xf numFmtId="0" fontId="24" fillId="6" borderId="15" xfId="0" applyFont="1" applyFill="1" applyBorder="1" applyAlignment="1">
      <alignment vertical="top" wrapText="1"/>
    </xf>
    <xf numFmtId="0" fontId="19" fillId="18" borderId="18" xfId="9" applyFont="1" applyFill="1" applyBorder="1" applyAlignment="1">
      <alignment horizontal="left" vertical="center" wrapText="1" indent="1"/>
    </xf>
    <xf numFmtId="0" fontId="12" fillId="0" borderId="3" xfId="9">
      <alignment horizontal="left" vertical="top" wrapText="1" indent="1"/>
    </xf>
    <xf numFmtId="169" fontId="18" fillId="0" borderId="8" xfId="9" applyNumberFormat="1" applyFont="1" applyBorder="1">
      <alignment horizontal="left" vertical="top" wrapText="1" indent="1"/>
    </xf>
    <xf numFmtId="168" fontId="8" fillId="0" borderId="4" xfId="10">
      <alignment horizontal="left" indent="1"/>
    </xf>
    <xf numFmtId="0" fontId="13" fillId="16" borderId="0" xfId="0" applyFont="1" applyFill="1" applyAlignment="1">
      <alignment horizontal="left" wrapText="1" indent="1"/>
    </xf>
    <xf numFmtId="0" fontId="22" fillId="17" borderId="0" xfId="0" applyFont="1" applyFill="1" applyAlignment="1">
      <alignment horizontal="left" vertical="center" indent="1"/>
    </xf>
    <xf numFmtId="0" fontId="20" fillId="19" borderId="13" xfId="0" applyFont="1" applyFill="1" applyBorder="1" applyAlignment="1">
      <alignment horizontal="left" vertical="center" indent="1"/>
    </xf>
    <xf numFmtId="0" fontId="24" fillId="6" borderId="0" xfId="0" applyFont="1" applyFill="1" applyAlignment="1">
      <alignment horizontal="center" vertical="top" wrapText="1"/>
    </xf>
    <xf numFmtId="0" fontId="0" fillId="6" borderId="0" xfId="0" applyFill="1" applyAlignment="1">
      <alignment horizontal="center"/>
    </xf>
    <xf numFmtId="0" fontId="23" fillId="21" borderId="16" xfId="0" applyFont="1" applyFill="1" applyBorder="1" applyAlignment="1">
      <alignment horizontal="left" vertical="center"/>
    </xf>
    <xf numFmtId="0" fontId="23" fillId="21" borderId="17" xfId="0" applyFont="1" applyFill="1" applyBorder="1" applyAlignment="1">
      <alignment horizontal="left" vertical="center"/>
    </xf>
    <xf numFmtId="0" fontId="0" fillId="6" borderId="14" xfId="0" applyFill="1" applyBorder="1" applyAlignment="1">
      <alignment horizontal="center"/>
    </xf>
    <xf numFmtId="0" fontId="11" fillId="6" borderId="0" xfId="3" applyFill="1" applyAlignment="1">
      <alignment horizontal="left" vertical="center" wrapText="1" indent="1"/>
    </xf>
    <xf numFmtId="0" fontId="12" fillId="0" borderId="3" xfId="9">
      <alignment horizontal="left" vertical="top" wrapText="1" indent="1"/>
    </xf>
  </cellXfs>
  <cellStyles count="53">
    <cellStyle name="20% - Énfasis1" xfId="33" builtinId="30" customBuiltin="1"/>
    <cellStyle name="20% - Énfasis2" xfId="36" builtinId="34" customBuiltin="1"/>
    <cellStyle name="20% - Énfasis3" xfId="39" builtinId="38" customBuiltin="1"/>
    <cellStyle name="20% - Énfasis4" xfId="42" builtinId="42" customBuiltin="1"/>
    <cellStyle name="20% - Énfasis5" xfId="46" builtinId="46" customBuiltin="1"/>
    <cellStyle name="20% - Énfasis6" xfId="50" builtinId="50" customBuiltin="1"/>
    <cellStyle name="40% - Énfasis1" xfId="34" builtinId="31" customBuiltin="1"/>
    <cellStyle name="40% - Énfasis2" xfId="37" builtinId="35" customBuiltin="1"/>
    <cellStyle name="40% - Énfasis3" xfId="40" builtinId="39" customBuiltin="1"/>
    <cellStyle name="40% - Énfasis4" xfId="43" builtinId="43" customBuiltin="1"/>
    <cellStyle name="40% - Énfasis5" xfId="47" builtinId="47" customBuiltin="1"/>
    <cellStyle name="40% - Énfasis6" xfId="51" builtinId="51" customBuiltin="1"/>
    <cellStyle name="60% - Énfasis1" xfId="35" builtinId="32" customBuiltin="1"/>
    <cellStyle name="60% - Énfasis2" xfId="38" builtinId="36" customBuiltin="1"/>
    <cellStyle name="60% - Énfasis3" xfId="41" builtinId="40" customBuiltin="1"/>
    <cellStyle name="60% - Énfasis4" xfId="44" builtinId="44" customBuiltin="1"/>
    <cellStyle name="60% - Énfasis5" xfId="48" builtinId="48" customBuiltin="1"/>
    <cellStyle name="60% - Énfasis6" xfId="52" builtinId="52" customBuiltin="1"/>
    <cellStyle name="Bueno" xfId="22" builtinId="26" customBuiltin="1"/>
    <cellStyle name="Cálculo" xfId="27" builtinId="22" customBuiltin="1"/>
    <cellStyle name="Celda de comprobación" xfId="29" builtinId="23" customBuiltin="1"/>
    <cellStyle name="Celda vinculada" xfId="28" builtinId="24" customBuiltin="1"/>
    <cellStyle name="Con bandas" xfId="8" xr:uid="{00000000-0005-0000-0000-000004000000}"/>
    <cellStyle name="Día" xfId="7" xr:uid="{00000000-0005-0000-0000-000005000000}"/>
    <cellStyle name="Encabezado 1" xfId="4" builtinId="16" customBuiltin="1"/>
    <cellStyle name="Encabezado 4" xfId="21" builtinId="19" customBuiltin="1"/>
    <cellStyle name="Énfasis1" xfId="12" builtinId="29" customBuiltin="1"/>
    <cellStyle name="Énfasis2" xfId="6" builtinId="33" customBuiltin="1"/>
    <cellStyle name="Énfasis3" xfId="13" builtinId="37" customBuiltin="1"/>
    <cellStyle name="Énfasis4" xfId="14" builtinId="41" customBuiltin="1"/>
    <cellStyle name="Énfasis5" xfId="45" builtinId="45" customBuiltin="1"/>
    <cellStyle name="Énfasis6" xfId="49" builtinId="49" customBuiltin="1"/>
    <cellStyle name="Entrada" xfId="25" builtinId="20" customBuiltin="1"/>
    <cellStyle name="FormatoDía" xfId="10" xr:uid="{00000000-0005-0000-0000-000006000000}"/>
    <cellStyle name="Incorrecto" xfId="23" builtinId="27" customBuiltin="1"/>
    <cellStyle name="Millares" xfId="15" builtinId="3" customBuiltin="1"/>
    <cellStyle name="Millares [0]" xfId="16" builtinId="6" customBuiltin="1"/>
    <cellStyle name="Moneda" xfId="17" builtinId="4" customBuiltin="1"/>
    <cellStyle name="Moneda [0]" xfId="18" builtinId="7" customBuiltin="1"/>
    <cellStyle name="Neutral" xfId="24" builtinId="28" customBuiltin="1"/>
    <cellStyle name="NoEditable" xfId="11" xr:uid="{00000000-0005-0000-0000-00000B000000}"/>
    <cellStyle name="Normal" xfId="0" builtinId="0" customBuiltin="1"/>
    <cellStyle name="Normal 2" xfId="1" xr:uid="{00000000-0005-0000-0000-00000D000000}"/>
    <cellStyle name="Notas" xfId="31" builtinId="10" customBuiltin="1"/>
    <cellStyle name="Porcentaje" xfId="19" builtinId="5" customBuiltin="1"/>
    <cellStyle name="Salida" xfId="26" builtinId="21" customBuiltin="1"/>
    <cellStyle name="Texto de advertencia" xfId="30" builtinId="11" customBuiltin="1"/>
    <cellStyle name="Texto explicativo" xfId="5" builtinId="53" customBuiltin="1"/>
    <cellStyle name="TextoDía" xfId="9" xr:uid="{00000000-0005-0000-0000-000007000000}"/>
    <cellStyle name="Título" xfId="3" builtinId="15" customBuiltin="1"/>
    <cellStyle name="Título 2" xfId="2" builtinId="17" customBuiltin="1"/>
    <cellStyle name="Título 3" xfId="20" builtinId="18" customBuiltin="1"/>
    <cellStyle name="Total" xfId="32" builtinId="25" customBuiltin="1"/>
  </cellStyles>
  <dxfs count="104">
    <dxf>
      <fill>
        <patternFill>
          <bgColor theme="3" tint="0.8999603259376811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ont>
        <color theme="0" tint="-0.34998626667073579"/>
      </font>
    </dxf>
    <dxf>
      <fill>
        <patternFill patternType="lightUp">
          <fgColor theme="0" tint="-4.9989318521683403E-2"/>
        </patternFill>
      </fill>
    </dxf>
    <dxf>
      <fill>
        <patternFill patternType="lightUp">
          <f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ont>
        <color theme="0" tint="-0.34998626667073579"/>
      </font>
    </dxf>
    <dxf>
      <fill>
        <patternFill patternType="lightUp">
          <fgColor theme="0" tint="-4.9989318521683403E-2"/>
        </patternFill>
      </fill>
    </dxf>
    <dxf>
      <fill>
        <patternFill patternType="lightUp">
          <f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ont>
        <color theme="0" tint="-0.34998626667073579"/>
      </font>
    </dxf>
    <dxf>
      <fill>
        <patternFill patternType="lightUp">
          <fgColor theme="0" tint="-4.9989318521683403E-2"/>
        </patternFill>
      </fill>
    </dxf>
    <dxf>
      <fill>
        <patternFill patternType="lightUp">
          <f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ont>
        <color theme="0" tint="-0.34998626667073579"/>
      </font>
    </dxf>
    <dxf>
      <fill>
        <patternFill patternType="lightUp">
          <fgColor theme="0" tint="-4.9989318521683403E-2"/>
        </patternFill>
      </fill>
    </dxf>
    <dxf>
      <fill>
        <patternFill patternType="lightUp">
          <f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ont>
        <color theme="0" tint="-0.34998626667073579"/>
      </font>
    </dxf>
    <dxf>
      <fill>
        <patternFill patternType="lightUp">
          <fgColor theme="0" tint="-4.9989318521683403E-2"/>
        </patternFill>
      </fill>
    </dxf>
    <dxf>
      <fill>
        <patternFill patternType="lightUp">
          <f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ont>
        <color theme="0" tint="-0.34998626667073579"/>
      </font>
    </dxf>
    <dxf>
      <fill>
        <patternFill patternType="lightUp">
          <fgColor theme="0" tint="-4.9989318521683403E-2"/>
        </patternFill>
      </fill>
    </dxf>
    <dxf>
      <fill>
        <patternFill patternType="lightUp">
          <f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ont>
        <color theme="0" tint="-0.34998626667073579"/>
      </font>
    </dxf>
    <dxf>
      <fill>
        <patternFill patternType="lightUp">
          <fgColor theme="0" tint="-4.9989318521683403E-2"/>
        </patternFill>
      </fill>
    </dxf>
    <dxf>
      <fill>
        <patternFill patternType="lightUp">
          <f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ont>
        <color theme="0" tint="-0.34998626667073579"/>
      </font>
    </dxf>
    <dxf>
      <fill>
        <patternFill patternType="lightUp">
          <fgColor theme="0" tint="-4.9989318521683403E-2"/>
        </patternFill>
      </fill>
    </dxf>
    <dxf>
      <fill>
        <patternFill patternType="lightUp">
          <f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ont>
        <b val="0"/>
        <i val="0"/>
        <color theme="0" tint="-0.34998626667073579"/>
      </font>
    </dxf>
    <dxf>
      <fill>
        <patternFill patternType="lightUp">
          <fgColor theme="0" tint="-4.9989318521683403E-2"/>
        </patternFill>
      </fill>
    </dxf>
    <dxf>
      <fill>
        <patternFill patternType="lightUp">
          <f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ont>
        <b val="0"/>
        <i val="0"/>
        <color theme="0" tint="-0.34998626667073579"/>
      </font>
    </dxf>
    <dxf>
      <fill>
        <patternFill patternType="lightUp">
          <fgColor theme="0" tint="-4.9989318521683403E-2"/>
        </patternFill>
      </fill>
    </dxf>
    <dxf>
      <fill>
        <patternFill patternType="lightUp">
          <f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ont>
        <b val="0"/>
        <i val="0"/>
        <color theme="0" tint="-0.34998626667073579"/>
      </font>
    </dxf>
    <dxf>
      <fill>
        <patternFill patternType="lightUp">
          <fgColor theme="0" tint="-4.9989318521683403E-2"/>
        </patternFill>
      </fill>
    </dxf>
    <dxf>
      <fill>
        <patternFill patternType="lightUp">
          <f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 patternType="lightUp">
          <fgColor theme="0" tint="-4.9989318521683403E-2"/>
        </patternFill>
      </fill>
    </dxf>
    <dxf>
      <fill>
        <patternFill patternType="lightUp">
          <fgColor theme="0" tint="-4.9989318521683403E-2"/>
        </patternFill>
      </fill>
    </dxf>
    <dxf>
      <font>
        <b val="0"/>
        <i val="0"/>
        <color theme="0" tint="-0.34998626667073579"/>
      </font>
      <border>
        <vertical/>
        <horizontal/>
      </border>
    </dxf>
    <dxf>
      <fill>
        <patternFill patternType="lightUp">
          <fgColor theme="0" tint="-4.9989318521683403E-2"/>
        </patternFill>
      </fill>
    </dxf>
    <dxf>
      <font>
        <b val="0"/>
        <i/>
        <color theme="0" tint="-0.24994659260841701"/>
      </font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16" fmlaLink="$E$3" max="2999" min="1900" page="10" val="2019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Calendario familiar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Calendario familiar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Calendario familiar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Calendario familiar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Calendario familiar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Calendario familiar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Calendario familiar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Calendario familiar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Calendario familiar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Calendario familiar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Calendario familiar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Calendario familiar'!A1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</xdr:row>
          <xdr:rowOff>857250</xdr:rowOff>
        </xdr:from>
        <xdr:to>
          <xdr:col>6</xdr:col>
          <xdr:colOff>19050</xdr:colOff>
          <xdr:row>2</xdr:row>
          <xdr:rowOff>1162050</xdr:rowOff>
        </xdr:to>
        <xdr:sp macro="" textlink="">
          <xdr:nvSpPr>
            <xdr:cNvPr id="1025" name="Control numérico" descr="Use el botón de control numérico para cambiar de año natural o cambie el año en la celda E3.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7032</xdr:colOff>
      <xdr:row>1</xdr:row>
      <xdr:rowOff>283847</xdr:rowOff>
    </xdr:from>
    <xdr:to>
      <xdr:col>12</xdr:col>
      <xdr:colOff>228600</xdr:colOff>
      <xdr:row>3</xdr:row>
      <xdr:rowOff>1263060</xdr:rowOff>
    </xdr:to>
    <xdr:grpSp>
      <xdr:nvGrpSpPr>
        <xdr:cNvPr id="7" name="Grupo 6" descr="botón de instruccione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pSpPr/>
      </xdr:nvGrpSpPr>
      <xdr:grpSpPr>
        <a:xfrm>
          <a:off x="10998882" y="1245872"/>
          <a:ext cx="1440768" cy="1445938"/>
          <a:chOff x="10998882" y="1245872"/>
          <a:chExt cx="1440768" cy="1445938"/>
        </a:xfrm>
      </xdr:grpSpPr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0998882" y="1245872"/>
            <a:ext cx="1440768" cy="1445938"/>
          </a:xfrm>
          <a:prstGeom prst="ellipse">
            <a:avLst/>
          </a:prstGeom>
          <a:solidFill>
            <a:schemeClr val="accent4">
              <a:lumMod val="50000"/>
            </a:schemeClr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lIns="0" tIns="0" rIns="0" rtlCol="0" anchor="b"/>
          <a:lstStyle/>
          <a:p>
            <a:pPr algn="ctr" rtl="0"/>
            <a:r>
              <a:rPr lang="es" sz="1200">
                <a:latin typeface="Tw Cen MT" panose="020B0602020104020603" pitchFamily="34" charset="0"/>
              </a:rPr>
              <a:t>Establezca fechas importantes</a:t>
            </a:r>
          </a:p>
        </xdr:txBody>
      </xdr:sp>
      <xdr:grpSp>
        <xdr:nvGrpSpPr>
          <xdr:cNvPr id="2" name="Grupo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GrpSpPr/>
        </xdr:nvGrpSpPr>
        <xdr:grpSpPr>
          <a:xfrm>
            <a:off x="11547911" y="1518865"/>
            <a:ext cx="351238" cy="377023"/>
            <a:chOff x="5745956" y="3055144"/>
            <a:chExt cx="695325" cy="742950"/>
          </a:xfrm>
          <a:solidFill>
            <a:schemeClr val="bg1"/>
          </a:solidFill>
        </xdr:grpSpPr>
        <xdr:sp macro="" textlink="">
          <xdr:nvSpPr>
            <xdr:cNvPr id="3" name="Forma libre: forma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/>
          </xdr:nvSpPr>
          <xdr:spPr>
            <a:xfrm>
              <a:off x="5745956" y="3055144"/>
              <a:ext cx="695325" cy="742950"/>
            </a:xfrm>
            <a:custGeom>
              <a:avLst/>
              <a:gdLst>
                <a:gd name="connsiteX0" fmla="*/ 192881 w 695325"/>
                <a:gd name="connsiteY0" fmla="*/ 7144 h 742950"/>
                <a:gd name="connsiteX1" fmla="*/ 111919 w 695325"/>
                <a:gd name="connsiteY1" fmla="*/ 88106 h 742950"/>
                <a:gd name="connsiteX2" fmla="*/ 111919 w 695325"/>
                <a:gd name="connsiteY2" fmla="*/ 112014 h 742950"/>
                <a:gd name="connsiteX3" fmla="*/ 7144 w 695325"/>
                <a:gd name="connsiteY3" fmla="*/ 218123 h 742950"/>
                <a:gd name="connsiteX4" fmla="*/ 7144 w 695325"/>
                <a:gd name="connsiteY4" fmla="*/ 634365 h 742950"/>
                <a:gd name="connsiteX5" fmla="*/ 113348 w 695325"/>
                <a:gd name="connsiteY5" fmla="*/ 740569 h 742950"/>
                <a:gd name="connsiteX6" fmla="*/ 586740 w 695325"/>
                <a:gd name="connsiteY6" fmla="*/ 740569 h 742950"/>
                <a:gd name="connsiteX7" fmla="*/ 692944 w 695325"/>
                <a:gd name="connsiteY7" fmla="*/ 634365 h 742950"/>
                <a:gd name="connsiteX8" fmla="*/ 692944 w 695325"/>
                <a:gd name="connsiteY8" fmla="*/ 217075 h 742950"/>
                <a:gd name="connsiteX9" fmla="*/ 588169 w 695325"/>
                <a:gd name="connsiteY9" fmla="*/ 112300 h 742950"/>
                <a:gd name="connsiteX10" fmla="*/ 588169 w 695325"/>
                <a:gd name="connsiteY10" fmla="*/ 88106 h 742950"/>
                <a:gd name="connsiteX11" fmla="*/ 507206 w 695325"/>
                <a:gd name="connsiteY11" fmla="*/ 7144 h 742950"/>
                <a:gd name="connsiteX12" fmla="*/ 426244 w 695325"/>
                <a:gd name="connsiteY12" fmla="*/ 88106 h 742950"/>
                <a:gd name="connsiteX13" fmla="*/ 426244 w 695325"/>
                <a:gd name="connsiteY13" fmla="*/ 111919 h 742950"/>
                <a:gd name="connsiteX14" fmla="*/ 273844 w 695325"/>
                <a:gd name="connsiteY14" fmla="*/ 111919 h 742950"/>
                <a:gd name="connsiteX15" fmla="*/ 273844 w 695325"/>
                <a:gd name="connsiteY15" fmla="*/ 88106 h 742950"/>
                <a:gd name="connsiteX16" fmla="*/ 192881 w 695325"/>
                <a:gd name="connsiteY16" fmla="*/ 7144 h 742950"/>
                <a:gd name="connsiteX17" fmla="*/ 169069 w 695325"/>
                <a:gd name="connsiteY17" fmla="*/ 88106 h 742950"/>
                <a:gd name="connsiteX18" fmla="*/ 192881 w 695325"/>
                <a:gd name="connsiteY18" fmla="*/ 64294 h 742950"/>
                <a:gd name="connsiteX19" fmla="*/ 216694 w 695325"/>
                <a:gd name="connsiteY19" fmla="*/ 88106 h 742950"/>
                <a:gd name="connsiteX20" fmla="*/ 216694 w 695325"/>
                <a:gd name="connsiteY20" fmla="*/ 207169 h 742950"/>
                <a:gd name="connsiteX21" fmla="*/ 169069 w 695325"/>
                <a:gd name="connsiteY21" fmla="*/ 207169 h 742950"/>
                <a:gd name="connsiteX22" fmla="*/ 483394 w 695325"/>
                <a:gd name="connsiteY22" fmla="*/ 88106 h 742950"/>
                <a:gd name="connsiteX23" fmla="*/ 507206 w 695325"/>
                <a:gd name="connsiteY23" fmla="*/ 64294 h 742950"/>
                <a:gd name="connsiteX24" fmla="*/ 531019 w 695325"/>
                <a:gd name="connsiteY24" fmla="*/ 88106 h 742950"/>
                <a:gd name="connsiteX25" fmla="*/ 531019 w 695325"/>
                <a:gd name="connsiteY25" fmla="*/ 207169 h 742950"/>
                <a:gd name="connsiteX26" fmla="*/ 483394 w 695325"/>
                <a:gd name="connsiteY26" fmla="*/ 207169 h 742950"/>
                <a:gd name="connsiteX27" fmla="*/ 296323 w 695325"/>
                <a:gd name="connsiteY27" fmla="*/ 264319 h 742950"/>
                <a:gd name="connsiteX28" fmla="*/ 635794 w 695325"/>
                <a:gd name="connsiteY28" fmla="*/ 264319 h 742950"/>
                <a:gd name="connsiteX29" fmla="*/ 635794 w 695325"/>
                <a:gd name="connsiteY29" fmla="*/ 634365 h 742950"/>
                <a:gd name="connsiteX30" fmla="*/ 586740 w 695325"/>
                <a:gd name="connsiteY30" fmla="*/ 683419 h 742950"/>
                <a:gd name="connsiteX31" fmla="*/ 113348 w 695325"/>
                <a:gd name="connsiteY31" fmla="*/ 683419 h 742950"/>
                <a:gd name="connsiteX32" fmla="*/ 64294 w 695325"/>
                <a:gd name="connsiteY32" fmla="*/ 634365 h 742950"/>
                <a:gd name="connsiteX33" fmla="*/ 64294 w 695325"/>
                <a:gd name="connsiteY33" fmla="*/ 264319 h 742950"/>
                <a:gd name="connsiteX34" fmla="*/ 296323 w 695325"/>
                <a:gd name="connsiteY34" fmla="*/ 264319 h 7429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</a:cxnLst>
              <a:rect l="l" t="t" r="r" b="b"/>
              <a:pathLst>
                <a:path w="695325" h="742950">
                  <a:moveTo>
                    <a:pt x="192881" y="7144"/>
                  </a:moveTo>
                  <a:cubicBezTo>
                    <a:pt x="148189" y="7196"/>
                    <a:pt x="111971" y="43414"/>
                    <a:pt x="111919" y="88106"/>
                  </a:cubicBezTo>
                  <a:lnTo>
                    <a:pt x="111919" y="112014"/>
                  </a:lnTo>
                  <a:cubicBezTo>
                    <a:pt x="53838" y="112744"/>
                    <a:pt x="7139" y="160037"/>
                    <a:pt x="7144" y="218123"/>
                  </a:cubicBezTo>
                  <a:lnTo>
                    <a:pt x="7144" y="634365"/>
                  </a:lnTo>
                  <a:cubicBezTo>
                    <a:pt x="7144" y="693020"/>
                    <a:pt x="54693" y="740569"/>
                    <a:pt x="113348" y="740569"/>
                  </a:cubicBezTo>
                  <a:lnTo>
                    <a:pt x="586740" y="740569"/>
                  </a:lnTo>
                  <a:cubicBezTo>
                    <a:pt x="645395" y="740569"/>
                    <a:pt x="692944" y="693020"/>
                    <a:pt x="692944" y="634365"/>
                  </a:cubicBezTo>
                  <a:lnTo>
                    <a:pt x="692944" y="217075"/>
                  </a:lnTo>
                  <a:cubicBezTo>
                    <a:pt x="692944" y="159209"/>
                    <a:pt x="646034" y="112300"/>
                    <a:pt x="588169" y="112300"/>
                  </a:cubicBezTo>
                  <a:lnTo>
                    <a:pt x="588169" y="88106"/>
                  </a:lnTo>
                  <a:cubicBezTo>
                    <a:pt x="588169" y="43392"/>
                    <a:pt x="551920" y="7144"/>
                    <a:pt x="507206" y="7144"/>
                  </a:cubicBezTo>
                  <a:cubicBezTo>
                    <a:pt x="462492" y="7144"/>
                    <a:pt x="426244" y="43392"/>
                    <a:pt x="426244" y="88106"/>
                  </a:cubicBezTo>
                  <a:lnTo>
                    <a:pt x="426244" y="111919"/>
                  </a:lnTo>
                  <a:lnTo>
                    <a:pt x="273844" y="111919"/>
                  </a:lnTo>
                  <a:lnTo>
                    <a:pt x="273844" y="88106"/>
                  </a:lnTo>
                  <a:cubicBezTo>
                    <a:pt x="273791" y="43414"/>
                    <a:pt x="237574" y="7196"/>
                    <a:pt x="192881" y="7144"/>
                  </a:cubicBezTo>
                  <a:close/>
                  <a:moveTo>
                    <a:pt x="169069" y="88106"/>
                  </a:moveTo>
                  <a:cubicBezTo>
                    <a:pt x="169069" y="74955"/>
                    <a:pt x="179730" y="64294"/>
                    <a:pt x="192881" y="64294"/>
                  </a:cubicBezTo>
                  <a:cubicBezTo>
                    <a:pt x="206032" y="64294"/>
                    <a:pt x="216694" y="74955"/>
                    <a:pt x="216694" y="88106"/>
                  </a:cubicBezTo>
                  <a:lnTo>
                    <a:pt x="216694" y="207169"/>
                  </a:lnTo>
                  <a:lnTo>
                    <a:pt x="169069" y="207169"/>
                  </a:lnTo>
                  <a:close/>
                  <a:moveTo>
                    <a:pt x="483394" y="88106"/>
                  </a:moveTo>
                  <a:cubicBezTo>
                    <a:pt x="483394" y="74955"/>
                    <a:pt x="494055" y="64294"/>
                    <a:pt x="507206" y="64294"/>
                  </a:cubicBezTo>
                  <a:cubicBezTo>
                    <a:pt x="520357" y="64294"/>
                    <a:pt x="531019" y="74955"/>
                    <a:pt x="531019" y="88106"/>
                  </a:cubicBezTo>
                  <a:lnTo>
                    <a:pt x="531019" y="207169"/>
                  </a:lnTo>
                  <a:lnTo>
                    <a:pt x="483394" y="207169"/>
                  </a:lnTo>
                  <a:close/>
                  <a:moveTo>
                    <a:pt x="296323" y="264319"/>
                  </a:moveTo>
                  <a:lnTo>
                    <a:pt x="635794" y="264319"/>
                  </a:lnTo>
                  <a:lnTo>
                    <a:pt x="635794" y="634365"/>
                  </a:lnTo>
                  <a:cubicBezTo>
                    <a:pt x="635741" y="661435"/>
                    <a:pt x="613810" y="683366"/>
                    <a:pt x="586740" y="683419"/>
                  </a:cubicBezTo>
                  <a:lnTo>
                    <a:pt x="113348" y="683419"/>
                  </a:lnTo>
                  <a:cubicBezTo>
                    <a:pt x="86277" y="683366"/>
                    <a:pt x="64346" y="661435"/>
                    <a:pt x="64294" y="634365"/>
                  </a:cubicBezTo>
                  <a:lnTo>
                    <a:pt x="64294" y="264319"/>
                  </a:lnTo>
                  <a:lnTo>
                    <a:pt x="296323" y="264319"/>
                  </a:ln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  <xdr:sp macro="" textlink="">
          <xdr:nvSpPr>
            <xdr:cNvPr id="4" name="Forma libre: forma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918137" y="3388978"/>
              <a:ext cx="390525" cy="266700"/>
            </a:xfrm>
            <a:custGeom>
              <a:avLst/>
              <a:gdLst>
                <a:gd name="connsiteX0" fmla="*/ 15938 w 390525"/>
                <a:gd name="connsiteY0" fmla="*/ 105554 h 266700"/>
                <a:gd name="connsiteX1" fmla="*/ 15081 w 390525"/>
                <a:gd name="connsiteY1" fmla="*/ 145940 h 266700"/>
                <a:gd name="connsiteX2" fmla="*/ 115379 w 390525"/>
                <a:gd name="connsiteY2" fmla="*/ 250715 h 266700"/>
                <a:gd name="connsiteX3" fmla="*/ 149288 w 390525"/>
                <a:gd name="connsiteY3" fmla="*/ 265193 h 266700"/>
                <a:gd name="connsiteX4" fmla="*/ 149288 w 390525"/>
                <a:gd name="connsiteY4" fmla="*/ 265193 h 266700"/>
                <a:gd name="connsiteX5" fmla="*/ 183007 w 390525"/>
                <a:gd name="connsiteY5" fmla="*/ 251382 h 266700"/>
                <a:gd name="connsiteX6" fmla="*/ 381698 w 390525"/>
                <a:gd name="connsiteY6" fmla="*/ 56119 h 266700"/>
                <a:gd name="connsiteX7" fmla="*/ 382031 w 390525"/>
                <a:gd name="connsiteY7" fmla="*/ 15686 h 266700"/>
                <a:gd name="connsiteX8" fmla="*/ 341598 w 390525"/>
                <a:gd name="connsiteY8" fmla="*/ 15352 h 266700"/>
                <a:gd name="connsiteX9" fmla="*/ 149860 w 390525"/>
                <a:gd name="connsiteY9" fmla="*/ 204138 h 266700"/>
                <a:gd name="connsiteX10" fmla="*/ 56038 w 390525"/>
                <a:gd name="connsiteY10" fmla="*/ 106697 h 266700"/>
                <a:gd name="connsiteX11" fmla="*/ 15938 w 390525"/>
                <a:gd name="connsiteY11" fmla="*/ 105554 h 2667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90525" h="266700">
                  <a:moveTo>
                    <a:pt x="15938" y="105554"/>
                  </a:moveTo>
                  <a:cubicBezTo>
                    <a:pt x="4556" y="116473"/>
                    <a:pt x="4172" y="134548"/>
                    <a:pt x="15081" y="145940"/>
                  </a:cubicBezTo>
                  <a:lnTo>
                    <a:pt x="115379" y="250715"/>
                  </a:lnTo>
                  <a:cubicBezTo>
                    <a:pt x="124280" y="259898"/>
                    <a:pt x="136500" y="265116"/>
                    <a:pt x="149288" y="265193"/>
                  </a:cubicBezTo>
                  <a:lnTo>
                    <a:pt x="149288" y="265193"/>
                  </a:lnTo>
                  <a:cubicBezTo>
                    <a:pt x="161902" y="265179"/>
                    <a:pt x="174007" y="260221"/>
                    <a:pt x="183007" y="251382"/>
                  </a:cubicBezTo>
                  <a:lnTo>
                    <a:pt x="381698" y="56119"/>
                  </a:lnTo>
                  <a:cubicBezTo>
                    <a:pt x="392956" y="45046"/>
                    <a:pt x="393105" y="26943"/>
                    <a:pt x="382031" y="15686"/>
                  </a:cubicBezTo>
                  <a:cubicBezTo>
                    <a:pt x="370958" y="4428"/>
                    <a:pt x="352855" y="4279"/>
                    <a:pt x="341598" y="15352"/>
                  </a:cubicBezTo>
                  <a:lnTo>
                    <a:pt x="149860" y="204138"/>
                  </a:lnTo>
                  <a:lnTo>
                    <a:pt x="56038" y="106697"/>
                  </a:lnTo>
                  <a:cubicBezTo>
                    <a:pt x="45230" y="95420"/>
                    <a:pt x="27371" y="94911"/>
                    <a:pt x="15938" y="105554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7032</xdr:colOff>
      <xdr:row>1</xdr:row>
      <xdr:rowOff>283847</xdr:rowOff>
    </xdr:from>
    <xdr:to>
      <xdr:col>12</xdr:col>
      <xdr:colOff>228600</xdr:colOff>
      <xdr:row>3</xdr:row>
      <xdr:rowOff>1263060</xdr:rowOff>
    </xdr:to>
    <xdr:grpSp>
      <xdr:nvGrpSpPr>
        <xdr:cNvPr id="2" name="Grupo 1" descr="botón de instruccione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998882" y="1245872"/>
          <a:ext cx="1440768" cy="1445938"/>
          <a:chOff x="10998882" y="1245872"/>
          <a:chExt cx="1440768" cy="1445938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0998882" y="1245872"/>
            <a:ext cx="1440768" cy="1445938"/>
          </a:xfrm>
          <a:prstGeom prst="ellipse">
            <a:avLst/>
          </a:prstGeom>
          <a:solidFill>
            <a:schemeClr val="accent4">
              <a:lumMod val="50000"/>
            </a:schemeClr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lIns="0" tIns="0" rIns="0" rtlCol="0" anchor="b"/>
          <a:lstStyle/>
          <a:p>
            <a:pPr algn="ctr" rtl="0"/>
            <a:r>
              <a:rPr lang="es" sz="1200">
                <a:latin typeface="Tw Cen MT" panose="020B0602020104020603" pitchFamily="34" charset="0"/>
              </a:rPr>
              <a:t>Establezca fechas importantes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11547911" y="1518865"/>
            <a:ext cx="351238" cy="377023"/>
            <a:chOff x="5745956" y="3055144"/>
            <a:chExt cx="695325" cy="742950"/>
          </a:xfrm>
          <a:solidFill>
            <a:schemeClr val="bg1"/>
          </a:solidFill>
        </xdr:grpSpPr>
        <xdr:sp macro="" textlink="">
          <xdr:nvSpPr>
            <xdr:cNvPr id="5" name="Forma libre: forma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745956" y="3055144"/>
              <a:ext cx="695325" cy="742950"/>
            </a:xfrm>
            <a:custGeom>
              <a:avLst/>
              <a:gdLst>
                <a:gd name="connsiteX0" fmla="*/ 192881 w 695325"/>
                <a:gd name="connsiteY0" fmla="*/ 7144 h 742950"/>
                <a:gd name="connsiteX1" fmla="*/ 111919 w 695325"/>
                <a:gd name="connsiteY1" fmla="*/ 88106 h 742950"/>
                <a:gd name="connsiteX2" fmla="*/ 111919 w 695325"/>
                <a:gd name="connsiteY2" fmla="*/ 112014 h 742950"/>
                <a:gd name="connsiteX3" fmla="*/ 7144 w 695325"/>
                <a:gd name="connsiteY3" fmla="*/ 218123 h 742950"/>
                <a:gd name="connsiteX4" fmla="*/ 7144 w 695325"/>
                <a:gd name="connsiteY4" fmla="*/ 634365 h 742950"/>
                <a:gd name="connsiteX5" fmla="*/ 113348 w 695325"/>
                <a:gd name="connsiteY5" fmla="*/ 740569 h 742950"/>
                <a:gd name="connsiteX6" fmla="*/ 586740 w 695325"/>
                <a:gd name="connsiteY6" fmla="*/ 740569 h 742950"/>
                <a:gd name="connsiteX7" fmla="*/ 692944 w 695325"/>
                <a:gd name="connsiteY7" fmla="*/ 634365 h 742950"/>
                <a:gd name="connsiteX8" fmla="*/ 692944 w 695325"/>
                <a:gd name="connsiteY8" fmla="*/ 217075 h 742950"/>
                <a:gd name="connsiteX9" fmla="*/ 588169 w 695325"/>
                <a:gd name="connsiteY9" fmla="*/ 112300 h 742950"/>
                <a:gd name="connsiteX10" fmla="*/ 588169 w 695325"/>
                <a:gd name="connsiteY10" fmla="*/ 88106 h 742950"/>
                <a:gd name="connsiteX11" fmla="*/ 507206 w 695325"/>
                <a:gd name="connsiteY11" fmla="*/ 7144 h 742950"/>
                <a:gd name="connsiteX12" fmla="*/ 426244 w 695325"/>
                <a:gd name="connsiteY12" fmla="*/ 88106 h 742950"/>
                <a:gd name="connsiteX13" fmla="*/ 426244 w 695325"/>
                <a:gd name="connsiteY13" fmla="*/ 111919 h 742950"/>
                <a:gd name="connsiteX14" fmla="*/ 273844 w 695325"/>
                <a:gd name="connsiteY14" fmla="*/ 111919 h 742950"/>
                <a:gd name="connsiteX15" fmla="*/ 273844 w 695325"/>
                <a:gd name="connsiteY15" fmla="*/ 88106 h 742950"/>
                <a:gd name="connsiteX16" fmla="*/ 192881 w 695325"/>
                <a:gd name="connsiteY16" fmla="*/ 7144 h 742950"/>
                <a:gd name="connsiteX17" fmla="*/ 169069 w 695325"/>
                <a:gd name="connsiteY17" fmla="*/ 88106 h 742950"/>
                <a:gd name="connsiteX18" fmla="*/ 192881 w 695325"/>
                <a:gd name="connsiteY18" fmla="*/ 64294 h 742950"/>
                <a:gd name="connsiteX19" fmla="*/ 216694 w 695325"/>
                <a:gd name="connsiteY19" fmla="*/ 88106 h 742950"/>
                <a:gd name="connsiteX20" fmla="*/ 216694 w 695325"/>
                <a:gd name="connsiteY20" fmla="*/ 207169 h 742950"/>
                <a:gd name="connsiteX21" fmla="*/ 169069 w 695325"/>
                <a:gd name="connsiteY21" fmla="*/ 207169 h 742950"/>
                <a:gd name="connsiteX22" fmla="*/ 483394 w 695325"/>
                <a:gd name="connsiteY22" fmla="*/ 88106 h 742950"/>
                <a:gd name="connsiteX23" fmla="*/ 507206 w 695325"/>
                <a:gd name="connsiteY23" fmla="*/ 64294 h 742950"/>
                <a:gd name="connsiteX24" fmla="*/ 531019 w 695325"/>
                <a:gd name="connsiteY24" fmla="*/ 88106 h 742950"/>
                <a:gd name="connsiteX25" fmla="*/ 531019 w 695325"/>
                <a:gd name="connsiteY25" fmla="*/ 207169 h 742950"/>
                <a:gd name="connsiteX26" fmla="*/ 483394 w 695325"/>
                <a:gd name="connsiteY26" fmla="*/ 207169 h 742950"/>
                <a:gd name="connsiteX27" fmla="*/ 296323 w 695325"/>
                <a:gd name="connsiteY27" fmla="*/ 264319 h 742950"/>
                <a:gd name="connsiteX28" fmla="*/ 635794 w 695325"/>
                <a:gd name="connsiteY28" fmla="*/ 264319 h 742950"/>
                <a:gd name="connsiteX29" fmla="*/ 635794 w 695325"/>
                <a:gd name="connsiteY29" fmla="*/ 634365 h 742950"/>
                <a:gd name="connsiteX30" fmla="*/ 586740 w 695325"/>
                <a:gd name="connsiteY30" fmla="*/ 683419 h 742950"/>
                <a:gd name="connsiteX31" fmla="*/ 113348 w 695325"/>
                <a:gd name="connsiteY31" fmla="*/ 683419 h 742950"/>
                <a:gd name="connsiteX32" fmla="*/ 64294 w 695325"/>
                <a:gd name="connsiteY32" fmla="*/ 634365 h 742950"/>
                <a:gd name="connsiteX33" fmla="*/ 64294 w 695325"/>
                <a:gd name="connsiteY33" fmla="*/ 264319 h 742950"/>
                <a:gd name="connsiteX34" fmla="*/ 296323 w 695325"/>
                <a:gd name="connsiteY34" fmla="*/ 264319 h 7429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</a:cxnLst>
              <a:rect l="l" t="t" r="r" b="b"/>
              <a:pathLst>
                <a:path w="695325" h="742950">
                  <a:moveTo>
                    <a:pt x="192881" y="7144"/>
                  </a:moveTo>
                  <a:cubicBezTo>
                    <a:pt x="148189" y="7196"/>
                    <a:pt x="111971" y="43414"/>
                    <a:pt x="111919" y="88106"/>
                  </a:cubicBezTo>
                  <a:lnTo>
                    <a:pt x="111919" y="112014"/>
                  </a:lnTo>
                  <a:cubicBezTo>
                    <a:pt x="53838" y="112744"/>
                    <a:pt x="7139" y="160037"/>
                    <a:pt x="7144" y="218123"/>
                  </a:cubicBezTo>
                  <a:lnTo>
                    <a:pt x="7144" y="634365"/>
                  </a:lnTo>
                  <a:cubicBezTo>
                    <a:pt x="7144" y="693020"/>
                    <a:pt x="54693" y="740569"/>
                    <a:pt x="113348" y="740569"/>
                  </a:cubicBezTo>
                  <a:lnTo>
                    <a:pt x="586740" y="740569"/>
                  </a:lnTo>
                  <a:cubicBezTo>
                    <a:pt x="645395" y="740569"/>
                    <a:pt x="692944" y="693020"/>
                    <a:pt x="692944" y="634365"/>
                  </a:cubicBezTo>
                  <a:lnTo>
                    <a:pt x="692944" y="217075"/>
                  </a:lnTo>
                  <a:cubicBezTo>
                    <a:pt x="692944" y="159209"/>
                    <a:pt x="646034" y="112300"/>
                    <a:pt x="588169" y="112300"/>
                  </a:cubicBezTo>
                  <a:lnTo>
                    <a:pt x="588169" y="88106"/>
                  </a:lnTo>
                  <a:cubicBezTo>
                    <a:pt x="588169" y="43392"/>
                    <a:pt x="551920" y="7144"/>
                    <a:pt x="507206" y="7144"/>
                  </a:cubicBezTo>
                  <a:cubicBezTo>
                    <a:pt x="462492" y="7144"/>
                    <a:pt x="426244" y="43392"/>
                    <a:pt x="426244" y="88106"/>
                  </a:cubicBezTo>
                  <a:lnTo>
                    <a:pt x="426244" y="111919"/>
                  </a:lnTo>
                  <a:lnTo>
                    <a:pt x="273844" y="111919"/>
                  </a:lnTo>
                  <a:lnTo>
                    <a:pt x="273844" y="88106"/>
                  </a:lnTo>
                  <a:cubicBezTo>
                    <a:pt x="273791" y="43414"/>
                    <a:pt x="237574" y="7196"/>
                    <a:pt x="192881" y="7144"/>
                  </a:cubicBezTo>
                  <a:close/>
                  <a:moveTo>
                    <a:pt x="169069" y="88106"/>
                  </a:moveTo>
                  <a:cubicBezTo>
                    <a:pt x="169069" y="74955"/>
                    <a:pt x="179730" y="64294"/>
                    <a:pt x="192881" y="64294"/>
                  </a:cubicBezTo>
                  <a:cubicBezTo>
                    <a:pt x="206032" y="64294"/>
                    <a:pt x="216694" y="74955"/>
                    <a:pt x="216694" y="88106"/>
                  </a:cubicBezTo>
                  <a:lnTo>
                    <a:pt x="216694" y="207169"/>
                  </a:lnTo>
                  <a:lnTo>
                    <a:pt x="169069" y="207169"/>
                  </a:lnTo>
                  <a:close/>
                  <a:moveTo>
                    <a:pt x="483394" y="88106"/>
                  </a:moveTo>
                  <a:cubicBezTo>
                    <a:pt x="483394" y="74955"/>
                    <a:pt x="494055" y="64294"/>
                    <a:pt x="507206" y="64294"/>
                  </a:cubicBezTo>
                  <a:cubicBezTo>
                    <a:pt x="520357" y="64294"/>
                    <a:pt x="531019" y="74955"/>
                    <a:pt x="531019" y="88106"/>
                  </a:cubicBezTo>
                  <a:lnTo>
                    <a:pt x="531019" y="207169"/>
                  </a:lnTo>
                  <a:lnTo>
                    <a:pt x="483394" y="207169"/>
                  </a:lnTo>
                  <a:close/>
                  <a:moveTo>
                    <a:pt x="296323" y="264319"/>
                  </a:moveTo>
                  <a:lnTo>
                    <a:pt x="635794" y="264319"/>
                  </a:lnTo>
                  <a:lnTo>
                    <a:pt x="635794" y="634365"/>
                  </a:lnTo>
                  <a:cubicBezTo>
                    <a:pt x="635741" y="661435"/>
                    <a:pt x="613810" y="683366"/>
                    <a:pt x="586740" y="683419"/>
                  </a:cubicBezTo>
                  <a:lnTo>
                    <a:pt x="113348" y="683419"/>
                  </a:lnTo>
                  <a:cubicBezTo>
                    <a:pt x="86277" y="683366"/>
                    <a:pt x="64346" y="661435"/>
                    <a:pt x="64294" y="634365"/>
                  </a:cubicBezTo>
                  <a:lnTo>
                    <a:pt x="64294" y="264319"/>
                  </a:lnTo>
                  <a:lnTo>
                    <a:pt x="296323" y="264319"/>
                  </a:ln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5918137" y="3388978"/>
              <a:ext cx="390525" cy="266700"/>
            </a:xfrm>
            <a:custGeom>
              <a:avLst/>
              <a:gdLst>
                <a:gd name="connsiteX0" fmla="*/ 15938 w 390525"/>
                <a:gd name="connsiteY0" fmla="*/ 105554 h 266700"/>
                <a:gd name="connsiteX1" fmla="*/ 15081 w 390525"/>
                <a:gd name="connsiteY1" fmla="*/ 145940 h 266700"/>
                <a:gd name="connsiteX2" fmla="*/ 115379 w 390525"/>
                <a:gd name="connsiteY2" fmla="*/ 250715 h 266700"/>
                <a:gd name="connsiteX3" fmla="*/ 149288 w 390525"/>
                <a:gd name="connsiteY3" fmla="*/ 265193 h 266700"/>
                <a:gd name="connsiteX4" fmla="*/ 149288 w 390525"/>
                <a:gd name="connsiteY4" fmla="*/ 265193 h 266700"/>
                <a:gd name="connsiteX5" fmla="*/ 183007 w 390525"/>
                <a:gd name="connsiteY5" fmla="*/ 251382 h 266700"/>
                <a:gd name="connsiteX6" fmla="*/ 381698 w 390525"/>
                <a:gd name="connsiteY6" fmla="*/ 56119 h 266700"/>
                <a:gd name="connsiteX7" fmla="*/ 382031 w 390525"/>
                <a:gd name="connsiteY7" fmla="*/ 15686 h 266700"/>
                <a:gd name="connsiteX8" fmla="*/ 341598 w 390525"/>
                <a:gd name="connsiteY8" fmla="*/ 15352 h 266700"/>
                <a:gd name="connsiteX9" fmla="*/ 149860 w 390525"/>
                <a:gd name="connsiteY9" fmla="*/ 204138 h 266700"/>
                <a:gd name="connsiteX10" fmla="*/ 56038 w 390525"/>
                <a:gd name="connsiteY10" fmla="*/ 106697 h 266700"/>
                <a:gd name="connsiteX11" fmla="*/ 15938 w 390525"/>
                <a:gd name="connsiteY11" fmla="*/ 105554 h 2667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90525" h="266700">
                  <a:moveTo>
                    <a:pt x="15938" y="105554"/>
                  </a:moveTo>
                  <a:cubicBezTo>
                    <a:pt x="4556" y="116473"/>
                    <a:pt x="4172" y="134548"/>
                    <a:pt x="15081" y="145940"/>
                  </a:cubicBezTo>
                  <a:lnTo>
                    <a:pt x="115379" y="250715"/>
                  </a:lnTo>
                  <a:cubicBezTo>
                    <a:pt x="124280" y="259898"/>
                    <a:pt x="136500" y="265116"/>
                    <a:pt x="149288" y="265193"/>
                  </a:cubicBezTo>
                  <a:lnTo>
                    <a:pt x="149288" y="265193"/>
                  </a:lnTo>
                  <a:cubicBezTo>
                    <a:pt x="161902" y="265179"/>
                    <a:pt x="174007" y="260221"/>
                    <a:pt x="183007" y="251382"/>
                  </a:cubicBezTo>
                  <a:lnTo>
                    <a:pt x="381698" y="56119"/>
                  </a:lnTo>
                  <a:cubicBezTo>
                    <a:pt x="392956" y="45046"/>
                    <a:pt x="393105" y="26943"/>
                    <a:pt x="382031" y="15686"/>
                  </a:cubicBezTo>
                  <a:cubicBezTo>
                    <a:pt x="370958" y="4428"/>
                    <a:pt x="352855" y="4279"/>
                    <a:pt x="341598" y="15352"/>
                  </a:cubicBezTo>
                  <a:lnTo>
                    <a:pt x="149860" y="204138"/>
                  </a:lnTo>
                  <a:lnTo>
                    <a:pt x="56038" y="106697"/>
                  </a:lnTo>
                  <a:cubicBezTo>
                    <a:pt x="45230" y="95420"/>
                    <a:pt x="27371" y="94911"/>
                    <a:pt x="15938" y="105554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7032</xdr:colOff>
      <xdr:row>1</xdr:row>
      <xdr:rowOff>283847</xdr:rowOff>
    </xdr:from>
    <xdr:to>
      <xdr:col>12</xdr:col>
      <xdr:colOff>228600</xdr:colOff>
      <xdr:row>3</xdr:row>
      <xdr:rowOff>1263060</xdr:rowOff>
    </xdr:to>
    <xdr:grpSp>
      <xdr:nvGrpSpPr>
        <xdr:cNvPr id="2" name="Grupo 1" descr="botón de instruccione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0998882" y="1245872"/>
          <a:ext cx="1440768" cy="1445938"/>
          <a:chOff x="10998882" y="1245872"/>
          <a:chExt cx="1440768" cy="1445938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10998882" y="1245872"/>
            <a:ext cx="1440768" cy="1445938"/>
          </a:xfrm>
          <a:prstGeom prst="ellipse">
            <a:avLst/>
          </a:prstGeom>
          <a:solidFill>
            <a:schemeClr val="accent4">
              <a:lumMod val="50000"/>
            </a:schemeClr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lIns="0" tIns="0" rIns="0" rtlCol="0" anchor="b"/>
          <a:lstStyle/>
          <a:p>
            <a:pPr algn="ctr" rtl="0"/>
            <a:r>
              <a:rPr lang="es" sz="1200">
                <a:latin typeface="Tw Cen MT" panose="020B0602020104020603" pitchFamily="34" charset="0"/>
              </a:rPr>
              <a:t>Establezca fechas importantes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GrpSpPr/>
        </xdr:nvGrpSpPr>
        <xdr:grpSpPr>
          <a:xfrm>
            <a:off x="11547911" y="1518865"/>
            <a:ext cx="351238" cy="377023"/>
            <a:chOff x="5745956" y="3055144"/>
            <a:chExt cx="695325" cy="742950"/>
          </a:xfrm>
          <a:solidFill>
            <a:schemeClr val="bg1"/>
          </a:solidFill>
        </xdr:grpSpPr>
        <xdr:sp macro="" textlink="">
          <xdr:nvSpPr>
            <xdr:cNvPr id="5" name="Forma libre: forma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745956" y="3055144"/>
              <a:ext cx="695325" cy="742950"/>
            </a:xfrm>
            <a:custGeom>
              <a:avLst/>
              <a:gdLst>
                <a:gd name="connsiteX0" fmla="*/ 192881 w 695325"/>
                <a:gd name="connsiteY0" fmla="*/ 7144 h 742950"/>
                <a:gd name="connsiteX1" fmla="*/ 111919 w 695325"/>
                <a:gd name="connsiteY1" fmla="*/ 88106 h 742950"/>
                <a:gd name="connsiteX2" fmla="*/ 111919 w 695325"/>
                <a:gd name="connsiteY2" fmla="*/ 112014 h 742950"/>
                <a:gd name="connsiteX3" fmla="*/ 7144 w 695325"/>
                <a:gd name="connsiteY3" fmla="*/ 218123 h 742950"/>
                <a:gd name="connsiteX4" fmla="*/ 7144 w 695325"/>
                <a:gd name="connsiteY4" fmla="*/ 634365 h 742950"/>
                <a:gd name="connsiteX5" fmla="*/ 113348 w 695325"/>
                <a:gd name="connsiteY5" fmla="*/ 740569 h 742950"/>
                <a:gd name="connsiteX6" fmla="*/ 586740 w 695325"/>
                <a:gd name="connsiteY6" fmla="*/ 740569 h 742950"/>
                <a:gd name="connsiteX7" fmla="*/ 692944 w 695325"/>
                <a:gd name="connsiteY7" fmla="*/ 634365 h 742950"/>
                <a:gd name="connsiteX8" fmla="*/ 692944 w 695325"/>
                <a:gd name="connsiteY8" fmla="*/ 217075 h 742950"/>
                <a:gd name="connsiteX9" fmla="*/ 588169 w 695325"/>
                <a:gd name="connsiteY9" fmla="*/ 112300 h 742950"/>
                <a:gd name="connsiteX10" fmla="*/ 588169 w 695325"/>
                <a:gd name="connsiteY10" fmla="*/ 88106 h 742950"/>
                <a:gd name="connsiteX11" fmla="*/ 507206 w 695325"/>
                <a:gd name="connsiteY11" fmla="*/ 7144 h 742950"/>
                <a:gd name="connsiteX12" fmla="*/ 426244 w 695325"/>
                <a:gd name="connsiteY12" fmla="*/ 88106 h 742950"/>
                <a:gd name="connsiteX13" fmla="*/ 426244 w 695325"/>
                <a:gd name="connsiteY13" fmla="*/ 111919 h 742950"/>
                <a:gd name="connsiteX14" fmla="*/ 273844 w 695325"/>
                <a:gd name="connsiteY14" fmla="*/ 111919 h 742950"/>
                <a:gd name="connsiteX15" fmla="*/ 273844 w 695325"/>
                <a:gd name="connsiteY15" fmla="*/ 88106 h 742950"/>
                <a:gd name="connsiteX16" fmla="*/ 192881 w 695325"/>
                <a:gd name="connsiteY16" fmla="*/ 7144 h 742950"/>
                <a:gd name="connsiteX17" fmla="*/ 169069 w 695325"/>
                <a:gd name="connsiteY17" fmla="*/ 88106 h 742950"/>
                <a:gd name="connsiteX18" fmla="*/ 192881 w 695325"/>
                <a:gd name="connsiteY18" fmla="*/ 64294 h 742950"/>
                <a:gd name="connsiteX19" fmla="*/ 216694 w 695325"/>
                <a:gd name="connsiteY19" fmla="*/ 88106 h 742950"/>
                <a:gd name="connsiteX20" fmla="*/ 216694 w 695325"/>
                <a:gd name="connsiteY20" fmla="*/ 207169 h 742950"/>
                <a:gd name="connsiteX21" fmla="*/ 169069 w 695325"/>
                <a:gd name="connsiteY21" fmla="*/ 207169 h 742950"/>
                <a:gd name="connsiteX22" fmla="*/ 483394 w 695325"/>
                <a:gd name="connsiteY22" fmla="*/ 88106 h 742950"/>
                <a:gd name="connsiteX23" fmla="*/ 507206 w 695325"/>
                <a:gd name="connsiteY23" fmla="*/ 64294 h 742950"/>
                <a:gd name="connsiteX24" fmla="*/ 531019 w 695325"/>
                <a:gd name="connsiteY24" fmla="*/ 88106 h 742950"/>
                <a:gd name="connsiteX25" fmla="*/ 531019 w 695325"/>
                <a:gd name="connsiteY25" fmla="*/ 207169 h 742950"/>
                <a:gd name="connsiteX26" fmla="*/ 483394 w 695325"/>
                <a:gd name="connsiteY26" fmla="*/ 207169 h 742950"/>
                <a:gd name="connsiteX27" fmla="*/ 296323 w 695325"/>
                <a:gd name="connsiteY27" fmla="*/ 264319 h 742950"/>
                <a:gd name="connsiteX28" fmla="*/ 635794 w 695325"/>
                <a:gd name="connsiteY28" fmla="*/ 264319 h 742950"/>
                <a:gd name="connsiteX29" fmla="*/ 635794 w 695325"/>
                <a:gd name="connsiteY29" fmla="*/ 634365 h 742950"/>
                <a:gd name="connsiteX30" fmla="*/ 586740 w 695325"/>
                <a:gd name="connsiteY30" fmla="*/ 683419 h 742950"/>
                <a:gd name="connsiteX31" fmla="*/ 113348 w 695325"/>
                <a:gd name="connsiteY31" fmla="*/ 683419 h 742950"/>
                <a:gd name="connsiteX32" fmla="*/ 64294 w 695325"/>
                <a:gd name="connsiteY32" fmla="*/ 634365 h 742950"/>
                <a:gd name="connsiteX33" fmla="*/ 64294 w 695325"/>
                <a:gd name="connsiteY33" fmla="*/ 264319 h 742950"/>
                <a:gd name="connsiteX34" fmla="*/ 296323 w 695325"/>
                <a:gd name="connsiteY34" fmla="*/ 264319 h 7429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</a:cxnLst>
              <a:rect l="l" t="t" r="r" b="b"/>
              <a:pathLst>
                <a:path w="695325" h="742950">
                  <a:moveTo>
                    <a:pt x="192881" y="7144"/>
                  </a:moveTo>
                  <a:cubicBezTo>
                    <a:pt x="148189" y="7196"/>
                    <a:pt x="111971" y="43414"/>
                    <a:pt x="111919" y="88106"/>
                  </a:cubicBezTo>
                  <a:lnTo>
                    <a:pt x="111919" y="112014"/>
                  </a:lnTo>
                  <a:cubicBezTo>
                    <a:pt x="53838" y="112744"/>
                    <a:pt x="7139" y="160037"/>
                    <a:pt x="7144" y="218123"/>
                  </a:cubicBezTo>
                  <a:lnTo>
                    <a:pt x="7144" y="634365"/>
                  </a:lnTo>
                  <a:cubicBezTo>
                    <a:pt x="7144" y="693020"/>
                    <a:pt x="54693" y="740569"/>
                    <a:pt x="113348" y="740569"/>
                  </a:cubicBezTo>
                  <a:lnTo>
                    <a:pt x="586740" y="740569"/>
                  </a:lnTo>
                  <a:cubicBezTo>
                    <a:pt x="645395" y="740569"/>
                    <a:pt x="692944" y="693020"/>
                    <a:pt x="692944" y="634365"/>
                  </a:cubicBezTo>
                  <a:lnTo>
                    <a:pt x="692944" y="217075"/>
                  </a:lnTo>
                  <a:cubicBezTo>
                    <a:pt x="692944" y="159209"/>
                    <a:pt x="646034" y="112300"/>
                    <a:pt x="588169" y="112300"/>
                  </a:cubicBezTo>
                  <a:lnTo>
                    <a:pt x="588169" y="88106"/>
                  </a:lnTo>
                  <a:cubicBezTo>
                    <a:pt x="588169" y="43392"/>
                    <a:pt x="551920" y="7144"/>
                    <a:pt x="507206" y="7144"/>
                  </a:cubicBezTo>
                  <a:cubicBezTo>
                    <a:pt x="462492" y="7144"/>
                    <a:pt x="426244" y="43392"/>
                    <a:pt x="426244" y="88106"/>
                  </a:cubicBezTo>
                  <a:lnTo>
                    <a:pt x="426244" y="111919"/>
                  </a:lnTo>
                  <a:lnTo>
                    <a:pt x="273844" y="111919"/>
                  </a:lnTo>
                  <a:lnTo>
                    <a:pt x="273844" y="88106"/>
                  </a:lnTo>
                  <a:cubicBezTo>
                    <a:pt x="273791" y="43414"/>
                    <a:pt x="237574" y="7196"/>
                    <a:pt x="192881" y="7144"/>
                  </a:cubicBezTo>
                  <a:close/>
                  <a:moveTo>
                    <a:pt x="169069" y="88106"/>
                  </a:moveTo>
                  <a:cubicBezTo>
                    <a:pt x="169069" y="74955"/>
                    <a:pt x="179730" y="64294"/>
                    <a:pt x="192881" y="64294"/>
                  </a:cubicBezTo>
                  <a:cubicBezTo>
                    <a:pt x="206032" y="64294"/>
                    <a:pt x="216694" y="74955"/>
                    <a:pt x="216694" y="88106"/>
                  </a:cubicBezTo>
                  <a:lnTo>
                    <a:pt x="216694" y="207169"/>
                  </a:lnTo>
                  <a:lnTo>
                    <a:pt x="169069" y="207169"/>
                  </a:lnTo>
                  <a:close/>
                  <a:moveTo>
                    <a:pt x="483394" y="88106"/>
                  </a:moveTo>
                  <a:cubicBezTo>
                    <a:pt x="483394" y="74955"/>
                    <a:pt x="494055" y="64294"/>
                    <a:pt x="507206" y="64294"/>
                  </a:cubicBezTo>
                  <a:cubicBezTo>
                    <a:pt x="520357" y="64294"/>
                    <a:pt x="531019" y="74955"/>
                    <a:pt x="531019" y="88106"/>
                  </a:cubicBezTo>
                  <a:lnTo>
                    <a:pt x="531019" y="207169"/>
                  </a:lnTo>
                  <a:lnTo>
                    <a:pt x="483394" y="207169"/>
                  </a:lnTo>
                  <a:close/>
                  <a:moveTo>
                    <a:pt x="296323" y="264319"/>
                  </a:moveTo>
                  <a:lnTo>
                    <a:pt x="635794" y="264319"/>
                  </a:lnTo>
                  <a:lnTo>
                    <a:pt x="635794" y="634365"/>
                  </a:lnTo>
                  <a:cubicBezTo>
                    <a:pt x="635741" y="661435"/>
                    <a:pt x="613810" y="683366"/>
                    <a:pt x="586740" y="683419"/>
                  </a:cubicBezTo>
                  <a:lnTo>
                    <a:pt x="113348" y="683419"/>
                  </a:lnTo>
                  <a:cubicBezTo>
                    <a:pt x="86277" y="683366"/>
                    <a:pt x="64346" y="661435"/>
                    <a:pt x="64294" y="634365"/>
                  </a:cubicBezTo>
                  <a:lnTo>
                    <a:pt x="64294" y="264319"/>
                  </a:lnTo>
                  <a:lnTo>
                    <a:pt x="296323" y="264319"/>
                  </a:ln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>
            <a:xfrm>
              <a:off x="5918137" y="3388978"/>
              <a:ext cx="390525" cy="266700"/>
            </a:xfrm>
            <a:custGeom>
              <a:avLst/>
              <a:gdLst>
                <a:gd name="connsiteX0" fmla="*/ 15938 w 390525"/>
                <a:gd name="connsiteY0" fmla="*/ 105554 h 266700"/>
                <a:gd name="connsiteX1" fmla="*/ 15081 w 390525"/>
                <a:gd name="connsiteY1" fmla="*/ 145940 h 266700"/>
                <a:gd name="connsiteX2" fmla="*/ 115379 w 390525"/>
                <a:gd name="connsiteY2" fmla="*/ 250715 h 266700"/>
                <a:gd name="connsiteX3" fmla="*/ 149288 w 390525"/>
                <a:gd name="connsiteY3" fmla="*/ 265193 h 266700"/>
                <a:gd name="connsiteX4" fmla="*/ 149288 w 390525"/>
                <a:gd name="connsiteY4" fmla="*/ 265193 h 266700"/>
                <a:gd name="connsiteX5" fmla="*/ 183007 w 390525"/>
                <a:gd name="connsiteY5" fmla="*/ 251382 h 266700"/>
                <a:gd name="connsiteX6" fmla="*/ 381698 w 390525"/>
                <a:gd name="connsiteY6" fmla="*/ 56119 h 266700"/>
                <a:gd name="connsiteX7" fmla="*/ 382031 w 390525"/>
                <a:gd name="connsiteY7" fmla="*/ 15686 h 266700"/>
                <a:gd name="connsiteX8" fmla="*/ 341598 w 390525"/>
                <a:gd name="connsiteY8" fmla="*/ 15352 h 266700"/>
                <a:gd name="connsiteX9" fmla="*/ 149860 w 390525"/>
                <a:gd name="connsiteY9" fmla="*/ 204138 h 266700"/>
                <a:gd name="connsiteX10" fmla="*/ 56038 w 390525"/>
                <a:gd name="connsiteY10" fmla="*/ 106697 h 266700"/>
                <a:gd name="connsiteX11" fmla="*/ 15938 w 390525"/>
                <a:gd name="connsiteY11" fmla="*/ 105554 h 2667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90525" h="266700">
                  <a:moveTo>
                    <a:pt x="15938" y="105554"/>
                  </a:moveTo>
                  <a:cubicBezTo>
                    <a:pt x="4556" y="116473"/>
                    <a:pt x="4172" y="134548"/>
                    <a:pt x="15081" y="145940"/>
                  </a:cubicBezTo>
                  <a:lnTo>
                    <a:pt x="115379" y="250715"/>
                  </a:lnTo>
                  <a:cubicBezTo>
                    <a:pt x="124280" y="259898"/>
                    <a:pt x="136500" y="265116"/>
                    <a:pt x="149288" y="265193"/>
                  </a:cubicBezTo>
                  <a:lnTo>
                    <a:pt x="149288" y="265193"/>
                  </a:lnTo>
                  <a:cubicBezTo>
                    <a:pt x="161902" y="265179"/>
                    <a:pt x="174007" y="260221"/>
                    <a:pt x="183007" y="251382"/>
                  </a:cubicBezTo>
                  <a:lnTo>
                    <a:pt x="381698" y="56119"/>
                  </a:lnTo>
                  <a:cubicBezTo>
                    <a:pt x="392956" y="45046"/>
                    <a:pt x="393105" y="26943"/>
                    <a:pt x="382031" y="15686"/>
                  </a:cubicBezTo>
                  <a:cubicBezTo>
                    <a:pt x="370958" y="4428"/>
                    <a:pt x="352855" y="4279"/>
                    <a:pt x="341598" y="15352"/>
                  </a:cubicBezTo>
                  <a:lnTo>
                    <a:pt x="149860" y="204138"/>
                  </a:lnTo>
                  <a:lnTo>
                    <a:pt x="56038" y="106697"/>
                  </a:lnTo>
                  <a:cubicBezTo>
                    <a:pt x="45230" y="95420"/>
                    <a:pt x="27371" y="94911"/>
                    <a:pt x="15938" y="105554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7032</xdr:colOff>
      <xdr:row>1</xdr:row>
      <xdr:rowOff>283847</xdr:rowOff>
    </xdr:from>
    <xdr:to>
      <xdr:col>12</xdr:col>
      <xdr:colOff>228600</xdr:colOff>
      <xdr:row>3</xdr:row>
      <xdr:rowOff>1263060</xdr:rowOff>
    </xdr:to>
    <xdr:grpSp>
      <xdr:nvGrpSpPr>
        <xdr:cNvPr id="2" name="Grupo 1" descr="botón de instruccione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998882" y="1245872"/>
          <a:ext cx="1440768" cy="1445938"/>
          <a:chOff x="10998882" y="1245872"/>
          <a:chExt cx="1440768" cy="1445938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/>
        </xdr:nvSpPr>
        <xdr:spPr>
          <a:xfrm>
            <a:off x="10998882" y="1245872"/>
            <a:ext cx="1440768" cy="1445938"/>
          </a:xfrm>
          <a:prstGeom prst="ellipse">
            <a:avLst/>
          </a:prstGeom>
          <a:solidFill>
            <a:schemeClr val="accent4">
              <a:lumMod val="50000"/>
            </a:schemeClr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lIns="0" tIns="0" rIns="0" rtlCol="0" anchor="b"/>
          <a:lstStyle/>
          <a:p>
            <a:pPr algn="ctr" rtl="0"/>
            <a:r>
              <a:rPr lang="es" sz="1200">
                <a:latin typeface="Tw Cen MT" panose="020B0602020104020603" pitchFamily="34" charset="0"/>
              </a:rPr>
              <a:t>Establezca fechas importantes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GrpSpPr/>
        </xdr:nvGrpSpPr>
        <xdr:grpSpPr>
          <a:xfrm>
            <a:off x="11547911" y="1518865"/>
            <a:ext cx="351238" cy="377023"/>
            <a:chOff x="5745956" y="3055144"/>
            <a:chExt cx="695325" cy="742950"/>
          </a:xfrm>
          <a:solidFill>
            <a:schemeClr val="bg1"/>
          </a:solidFill>
        </xdr:grpSpPr>
        <xdr:sp macro="" textlink="">
          <xdr:nvSpPr>
            <xdr:cNvPr id="5" name="Forma libre: forma 4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745956" y="3055144"/>
              <a:ext cx="695325" cy="742950"/>
            </a:xfrm>
            <a:custGeom>
              <a:avLst/>
              <a:gdLst>
                <a:gd name="connsiteX0" fmla="*/ 192881 w 695325"/>
                <a:gd name="connsiteY0" fmla="*/ 7144 h 742950"/>
                <a:gd name="connsiteX1" fmla="*/ 111919 w 695325"/>
                <a:gd name="connsiteY1" fmla="*/ 88106 h 742950"/>
                <a:gd name="connsiteX2" fmla="*/ 111919 w 695325"/>
                <a:gd name="connsiteY2" fmla="*/ 112014 h 742950"/>
                <a:gd name="connsiteX3" fmla="*/ 7144 w 695325"/>
                <a:gd name="connsiteY3" fmla="*/ 218123 h 742950"/>
                <a:gd name="connsiteX4" fmla="*/ 7144 w 695325"/>
                <a:gd name="connsiteY4" fmla="*/ 634365 h 742950"/>
                <a:gd name="connsiteX5" fmla="*/ 113348 w 695325"/>
                <a:gd name="connsiteY5" fmla="*/ 740569 h 742950"/>
                <a:gd name="connsiteX6" fmla="*/ 586740 w 695325"/>
                <a:gd name="connsiteY6" fmla="*/ 740569 h 742950"/>
                <a:gd name="connsiteX7" fmla="*/ 692944 w 695325"/>
                <a:gd name="connsiteY7" fmla="*/ 634365 h 742950"/>
                <a:gd name="connsiteX8" fmla="*/ 692944 w 695325"/>
                <a:gd name="connsiteY8" fmla="*/ 217075 h 742950"/>
                <a:gd name="connsiteX9" fmla="*/ 588169 w 695325"/>
                <a:gd name="connsiteY9" fmla="*/ 112300 h 742950"/>
                <a:gd name="connsiteX10" fmla="*/ 588169 w 695325"/>
                <a:gd name="connsiteY10" fmla="*/ 88106 h 742950"/>
                <a:gd name="connsiteX11" fmla="*/ 507206 w 695325"/>
                <a:gd name="connsiteY11" fmla="*/ 7144 h 742950"/>
                <a:gd name="connsiteX12" fmla="*/ 426244 w 695325"/>
                <a:gd name="connsiteY12" fmla="*/ 88106 h 742950"/>
                <a:gd name="connsiteX13" fmla="*/ 426244 w 695325"/>
                <a:gd name="connsiteY13" fmla="*/ 111919 h 742950"/>
                <a:gd name="connsiteX14" fmla="*/ 273844 w 695325"/>
                <a:gd name="connsiteY14" fmla="*/ 111919 h 742950"/>
                <a:gd name="connsiteX15" fmla="*/ 273844 w 695325"/>
                <a:gd name="connsiteY15" fmla="*/ 88106 h 742950"/>
                <a:gd name="connsiteX16" fmla="*/ 192881 w 695325"/>
                <a:gd name="connsiteY16" fmla="*/ 7144 h 742950"/>
                <a:gd name="connsiteX17" fmla="*/ 169069 w 695325"/>
                <a:gd name="connsiteY17" fmla="*/ 88106 h 742950"/>
                <a:gd name="connsiteX18" fmla="*/ 192881 w 695325"/>
                <a:gd name="connsiteY18" fmla="*/ 64294 h 742950"/>
                <a:gd name="connsiteX19" fmla="*/ 216694 w 695325"/>
                <a:gd name="connsiteY19" fmla="*/ 88106 h 742950"/>
                <a:gd name="connsiteX20" fmla="*/ 216694 w 695325"/>
                <a:gd name="connsiteY20" fmla="*/ 207169 h 742950"/>
                <a:gd name="connsiteX21" fmla="*/ 169069 w 695325"/>
                <a:gd name="connsiteY21" fmla="*/ 207169 h 742950"/>
                <a:gd name="connsiteX22" fmla="*/ 483394 w 695325"/>
                <a:gd name="connsiteY22" fmla="*/ 88106 h 742950"/>
                <a:gd name="connsiteX23" fmla="*/ 507206 w 695325"/>
                <a:gd name="connsiteY23" fmla="*/ 64294 h 742950"/>
                <a:gd name="connsiteX24" fmla="*/ 531019 w 695325"/>
                <a:gd name="connsiteY24" fmla="*/ 88106 h 742950"/>
                <a:gd name="connsiteX25" fmla="*/ 531019 w 695325"/>
                <a:gd name="connsiteY25" fmla="*/ 207169 h 742950"/>
                <a:gd name="connsiteX26" fmla="*/ 483394 w 695325"/>
                <a:gd name="connsiteY26" fmla="*/ 207169 h 742950"/>
                <a:gd name="connsiteX27" fmla="*/ 296323 w 695325"/>
                <a:gd name="connsiteY27" fmla="*/ 264319 h 742950"/>
                <a:gd name="connsiteX28" fmla="*/ 635794 w 695325"/>
                <a:gd name="connsiteY28" fmla="*/ 264319 h 742950"/>
                <a:gd name="connsiteX29" fmla="*/ 635794 w 695325"/>
                <a:gd name="connsiteY29" fmla="*/ 634365 h 742950"/>
                <a:gd name="connsiteX30" fmla="*/ 586740 w 695325"/>
                <a:gd name="connsiteY30" fmla="*/ 683419 h 742950"/>
                <a:gd name="connsiteX31" fmla="*/ 113348 w 695325"/>
                <a:gd name="connsiteY31" fmla="*/ 683419 h 742950"/>
                <a:gd name="connsiteX32" fmla="*/ 64294 w 695325"/>
                <a:gd name="connsiteY32" fmla="*/ 634365 h 742950"/>
                <a:gd name="connsiteX33" fmla="*/ 64294 w 695325"/>
                <a:gd name="connsiteY33" fmla="*/ 264319 h 742950"/>
                <a:gd name="connsiteX34" fmla="*/ 296323 w 695325"/>
                <a:gd name="connsiteY34" fmla="*/ 264319 h 7429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</a:cxnLst>
              <a:rect l="l" t="t" r="r" b="b"/>
              <a:pathLst>
                <a:path w="695325" h="742950">
                  <a:moveTo>
                    <a:pt x="192881" y="7144"/>
                  </a:moveTo>
                  <a:cubicBezTo>
                    <a:pt x="148189" y="7196"/>
                    <a:pt x="111971" y="43414"/>
                    <a:pt x="111919" y="88106"/>
                  </a:cubicBezTo>
                  <a:lnTo>
                    <a:pt x="111919" y="112014"/>
                  </a:lnTo>
                  <a:cubicBezTo>
                    <a:pt x="53838" y="112744"/>
                    <a:pt x="7139" y="160037"/>
                    <a:pt x="7144" y="218123"/>
                  </a:cubicBezTo>
                  <a:lnTo>
                    <a:pt x="7144" y="634365"/>
                  </a:lnTo>
                  <a:cubicBezTo>
                    <a:pt x="7144" y="693020"/>
                    <a:pt x="54693" y="740569"/>
                    <a:pt x="113348" y="740569"/>
                  </a:cubicBezTo>
                  <a:lnTo>
                    <a:pt x="586740" y="740569"/>
                  </a:lnTo>
                  <a:cubicBezTo>
                    <a:pt x="645395" y="740569"/>
                    <a:pt x="692944" y="693020"/>
                    <a:pt x="692944" y="634365"/>
                  </a:cubicBezTo>
                  <a:lnTo>
                    <a:pt x="692944" y="217075"/>
                  </a:lnTo>
                  <a:cubicBezTo>
                    <a:pt x="692944" y="159209"/>
                    <a:pt x="646034" y="112300"/>
                    <a:pt x="588169" y="112300"/>
                  </a:cubicBezTo>
                  <a:lnTo>
                    <a:pt x="588169" y="88106"/>
                  </a:lnTo>
                  <a:cubicBezTo>
                    <a:pt x="588169" y="43392"/>
                    <a:pt x="551920" y="7144"/>
                    <a:pt x="507206" y="7144"/>
                  </a:cubicBezTo>
                  <a:cubicBezTo>
                    <a:pt x="462492" y="7144"/>
                    <a:pt x="426244" y="43392"/>
                    <a:pt x="426244" y="88106"/>
                  </a:cubicBezTo>
                  <a:lnTo>
                    <a:pt x="426244" y="111919"/>
                  </a:lnTo>
                  <a:lnTo>
                    <a:pt x="273844" y="111919"/>
                  </a:lnTo>
                  <a:lnTo>
                    <a:pt x="273844" y="88106"/>
                  </a:lnTo>
                  <a:cubicBezTo>
                    <a:pt x="273791" y="43414"/>
                    <a:pt x="237574" y="7196"/>
                    <a:pt x="192881" y="7144"/>
                  </a:cubicBezTo>
                  <a:close/>
                  <a:moveTo>
                    <a:pt x="169069" y="88106"/>
                  </a:moveTo>
                  <a:cubicBezTo>
                    <a:pt x="169069" y="74955"/>
                    <a:pt x="179730" y="64294"/>
                    <a:pt x="192881" y="64294"/>
                  </a:cubicBezTo>
                  <a:cubicBezTo>
                    <a:pt x="206032" y="64294"/>
                    <a:pt x="216694" y="74955"/>
                    <a:pt x="216694" y="88106"/>
                  </a:cubicBezTo>
                  <a:lnTo>
                    <a:pt x="216694" y="207169"/>
                  </a:lnTo>
                  <a:lnTo>
                    <a:pt x="169069" y="207169"/>
                  </a:lnTo>
                  <a:close/>
                  <a:moveTo>
                    <a:pt x="483394" y="88106"/>
                  </a:moveTo>
                  <a:cubicBezTo>
                    <a:pt x="483394" y="74955"/>
                    <a:pt x="494055" y="64294"/>
                    <a:pt x="507206" y="64294"/>
                  </a:cubicBezTo>
                  <a:cubicBezTo>
                    <a:pt x="520357" y="64294"/>
                    <a:pt x="531019" y="74955"/>
                    <a:pt x="531019" y="88106"/>
                  </a:cubicBezTo>
                  <a:lnTo>
                    <a:pt x="531019" y="207169"/>
                  </a:lnTo>
                  <a:lnTo>
                    <a:pt x="483394" y="207169"/>
                  </a:lnTo>
                  <a:close/>
                  <a:moveTo>
                    <a:pt x="296323" y="264319"/>
                  </a:moveTo>
                  <a:lnTo>
                    <a:pt x="635794" y="264319"/>
                  </a:lnTo>
                  <a:lnTo>
                    <a:pt x="635794" y="634365"/>
                  </a:lnTo>
                  <a:cubicBezTo>
                    <a:pt x="635741" y="661435"/>
                    <a:pt x="613810" y="683366"/>
                    <a:pt x="586740" y="683419"/>
                  </a:cubicBezTo>
                  <a:lnTo>
                    <a:pt x="113348" y="683419"/>
                  </a:lnTo>
                  <a:cubicBezTo>
                    <a:pt x="86277" y="683366"/>
                    <a:pt x="64346" y="661435"/>
                    <a:pt x="64294" y="634365"/>
                  </a:cubicBezTo>
                  <a:lnTo>
                    <a:pt x="64294" y="264319"/>
                  </a:lnTo>
                  <a:lnTo>
                    <a:pt x="296323" y="264319"/>
                  </a:ln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SpPr/>
          </xdr:nvSpPr>
          <xdr:spPr>
            <a:xfrm>
              <a:off x="5918137" y="3388978"/>
              <a:ext cx="390525" cy="266700"/>
            </a:xfrm>
            <a:custGeom>
              <a:avLst/>
              <a:gdLst>
                <a:gd name="connsiteX0" fmla="*/ 15938 w 390525"/>
                <a:gd name="connsiteY0" fmla="*/ 105554 h 266700"/>
                <a:gd name="connsiteX1" fmla="*/ 15081 w 390525"/>
                <a:gd name="connsiteY1" fmla="*/ 145940 h 266700"/>
                <a:gd name="connsiteX2" fmla="*/ 115379 w 390525"/>
                <a:gd name="connsiteY2" fmla="*/ 250715 h 266700"/>
                <a:gd name="connsiteX3" fmla="*/ 149288 w 390525"/>
                <a:gd name="connsiteY3" fmla="*/ 265193 h 266700"/>
                <a:gd name="connsiteX4" fmla="*/ 149288 w 390525"/>
                <a:gd name="connsiteY4" fmla="*/ 265193 h 266700"/>
                <a:gd name="connsiteX5" fmla="*/ 183007 w 390525"/>
                <a:gd name="connsiteY5" fmla="*/ 251382 h 266700"/>
                <a:gd name="connsiteX6" fmla="*/ 381698 w 390525"/>
                <a:gd name="connsiteY6" fmla="*/ 56119 h 266700"/>
                <a:gd name="connsiteX7" fmla="*/ 382031 w 390525"/>
                <a:gd name="connsiteY7" fmla="*/ 15686 h 266700"/>
                <a:gd name="connsiteX8" fmla="*/ 341598 w 390525"/>
                <a:gd name="connsiteY8" fmla="*/ 15352 h 266700"/>
                <a:gd name="connsiteX9" fmla="*/ 149860 w 390525"/>
                <a:gd name="connsiteY9" fmla="*/ 204138 h 266700"/>
                <a:gd name="connsiteX10" fmla="*/ 56038 w 390525"/>
                <a:gd name="connsiteY10" fmla="*/ 106697 h 266700"/>
                <a:gd name="connsiteX11" fmla="*/ 15938 w 390525"/>
                <a:gd name="connsiteY11" fmla="*/ 105554 h 2667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90525" h="266700">
                  <a:moveTo>
                    <a:pt x="15938" y="105554"/>
                  </a:moveTo>
                  <a:cubicBezTo>
                    <a:pt x="4556" y="116473"/>
                    <a:pt x="4172" y="134548"/>
                    <a:pt x="15081" y="145940"/>
                  </a:cubicBezTo>
                  <a:lnTo>
                    <a:pt x="115379" y="250715"/>
                  </a:lnTo>
                  <a:cubicBezTo>
                    <a:pt x="124280" y="259898"/>
                    <a:pt x="136500" y="265116"/>
                    <a:pt x="149288" y="265193"/>
                  </a:cubicBezTo>
                  <a:lnTo>
                    <a:pt x="149288" y="265193"/>
                  </a:lnTo>
                  <a:cubicBezTo>
                    <a:pt x="161902" y="265179"/>
                    <a:pt x="174007" y="260221"/>
                    <a:pt x="183007" y="251382"/>
                  </a:cubicBezTo>
                  <a:lnTo>
                    <a:pt x="381698" y="56119"/>
                  </a:lnTo>
                  <a:cubicBezTo>
                    <a:pt x="392956" y="45046"/>
                    <a:pt x="393105" y="26943"/>
                    <a:pt x="382031" y="15686"/>
                  </a:cubicBezTo>
                  <a:cubicBezTo>
                    <a:pt x="370958" y="4428"/>
                    <a:pt x="352855" y="4279"/>
                    <a:pt x="341598" y="15352"/>
                  </a:cubicBezTo>
                  <a:lnTo>
                    <a:pt x="149860" y="204138"/>
                  </a:lnTo>
                  <a:lnTo>
                    <a:pt x="56038" y="106697"/>
                  </a:lnTo>
                  <a:cubicBezTo>
                    <a:pt x="45230" y="95420"/>
                    <a:pt x="27371" y="94911"/>
                    <a:pt x="15938" y="105554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7032</xdr:colOff>
      <xdr:row>1</xdr:row>
      <xdr:rowOff>283847</xdr:rowOff>
    </xdr:from>
    <xdr:to>
      <xdr:col>12</xdr:col>
      <xdr:colOff>228600</xdr:colOff>
      <xdr:row>3</xdr:row>
      <xdr:rowOff>1263060</xdr:rowOff>
    </xdr:to>
    <xdr:grpSp>
      <xdr:nvGrpSpPr>
        <xdr:cNvPr id="2" name="Grupo 1" descr="botón de instruccione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998882" y="1245872"/>
          <a:ext cx="1440768" cy="1445938"/>
          <a:chOff x="10998882" y="1245872"/>
          <a:chExt cx="1440768" cy="1445938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0998882" y="1245872"/>
            <a:ext cx="1440768" cy="1445938"/>
          </a:xfrm>
          <a:prstGeom prst="ellipse">
            <a:avLst/>
          </a:prstGeom>
          <a:solidFill>
            <a:schemeClr val="accent4">
              <a:lumMod val="50000"/>
            </a:schemeClr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lIns="0" tIns="0" rIns="0" rtlCol="0" anchor="b"/>
          <a:lstStyle/>
          <a:p>
            <a:pPr algn="ctr" rtl="0"/>
            <a:r>
              <a:rPr lang="es" sz="1200">
                <a:latin typeface="Tw Cen MT" panose="020B0602020104020603" pitchFamily="34" charset="0"/>
              </a:rPr>
              <a:t>Establezca fechas importantes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11547911" y="1518865"/>
            <a:ext cx="351238" cy="377023"/>
            <a:chOff x="5745956" y="3055144"/>
            <a:chExt cx="695325" cy="742950"/>
          </a:xfrm>
          <a:solidFill>
            <a:schemeClr val="bg1"/>
          </a:solidFill>
        </xdr:grpSpPr>
        <xdr:sp macro="" textlink="">
          <xdr:nvSpPr>
            <xdr:cNvPr id="5" name="Forma libre: forma 4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745956" y="3055144"/>
              <a:ext cx="695325" cy="742950"/>
            </a:xfrm>
            <a:custGeom>
              <a:avLst/>
              <a:gdLst>
                <a:gd name="connsiteX0" fmla="*/ 192881 w 695325"/>
                <a:gd name="connsiteY0" fmla="*/ 7144 h 742950"/>
                <a:gd name="connsiteX1" fmla="*/ 111919 w 695325"/>
                <a:gd name="connsiteY1" fmla="*/ 88106 h 742950"/>
                <a:gd name="connsiteX2" fmla="*/ 111919 w 695325"/>
                <a:gd name="connsiteY2" fmla="*/ 112014 h 742950"/>
                <a:gd name="connsiteX3" fmla="*/ 7144 w 695325"/>
                <a:gd name="connsiteY3" fmla="*/ 218123 h 742950"/>
                <a:gd name="connsiteX4" fmla="*/ 7144 w 695325"/>
                <a:gd name="connsiteY4" fmla="*/ 634365 h 742950"/>
                <a:gd name="connsiteX5" fmla="*/ 113348 w 695325"/>
                <a:gd name="connsiteY5" fmla="*/ 740569 h 742950"/>
                <a:gd name="connsiteX6" fmla="*/ 586740 w 695325"/>
                <a:gd name="connsiteY6" fmla="*/ 740569 h 742950"/>
                <a:gd name="connsiteX7" fmla="*/ 692944 w 695325"/>
                <a:gd name="connsiteY7" fmla="*/ 634365 h 742950"/>
                <a:gd name="connsiteX8" fmla="*/ 692944 w 695325"/>
                <a:gd name="connsiteY8" fmla="*/ 217075 h 742950"/>
                <a:gd name="connsiteX9" fmla="*/ 588169 w 695325"/>
                <a:gd name="connsiteY9" fmla="*/ 112300 h 742950"/>
                <a:gd name="connsiteX10" fmla="*/ 588169 w 695325"/>
                <a:gd name="connsiteY10" fmla="*/ 88106 h 742950"/>
                <a:gd name="connsiteX11" fmla="*/ 507206 w 695325"/>
                <a:gd name="connsiteY11" fmla="*/ 7144 h 742950"/>
                <a:gd name="connsiteX12" fmla="*/ 426244 w 695325"/>
                <a:gd name="connsiteY12" fmla="*/ 88106 h 742950"/>
                <a:gd name="connsiteX13" fmla="*/ 426244 w 695325"/>
                <a:gd name="connsiteY13" fmla="*/ 111919 h 742950"/>
                <a:gd name="connsiteX14" fmla="*/ 273844 w 695325"/>
                <a:gd name="connsiteY14" fmla="*/ 111919 h 742950"/>
                <a:gd name="connsiteX15" fmla="*/ 273844 w 695325"/>
                <a:gd name="connsiteY15" fmla="*/ 88106 h 742950"/>
                <a:gd name="connsiteX16" fmla="*/ 192881 w 695325"/>
                <a:gd name="connsiteY16" fmla="*/ 7144 h 742950"/>
                <a:gd name="connsiteX17" fmla="*/ 169069 w 695325"/>
                <a:gd name="connsiteY17" fmla="*/ 88106 h 742950"/>
                <a:gd name="connsiteX18" fmla="*/ 192881 w 695325"/>
                <a:gd name="connsiteY18" fmla="*/ 64294 h 742950"/>
                <a:gd name="connsiteX19" fmla="*/ 216694 w 695325"/>
                <a:gd name="connsiteY19" fmla="*/ 88106 h 742950"/>
                <a:gd name="connsiteX20" fmla="*/ 216694 w 695325"/>
                <a:gd name="connsiteY20" fmla="*/ 207169 h 742950"/>
                <a:gd name="connsiteX21" fmla="*/ 169069 w 695325"/>
                <a:gd name="connsiteY21" fmla="*/ 207169 h 742950"/>
                <a:gd name="connsiteX22" fmla="*/ 483394 w 695325"/>
                <a:gd name="connsiteY22" fmla="*/ 88106 h 742950"/>
                <a:gd name="connsiteX23" fmla="*/ 507206 w 695325"/>
                <a:gd name="connsiteY23" fmla="*/ 64294 h 742950"/>
                <a:gd name="connsiteX24" fmla="*/ 531019 w 695325"/>
                <a:gd name="connsiteY24" fmla="*/ 88106 h 742950"/>
                <a:gd name="connsiteX25" fmla="*/ 531019 w 695325"/>
                <a:gd name="connsiteY25" fmla="*/ 207169 h 742950"/>
                <a:gd name="connsiteX26" fmla="*/ 483394 w 695325"/>
                <a:gd name="connsiteY26" fmla="*/ 207169 h 742950"/>
                <a:gd name="connsiteX27" fmla="*/ 296323 w 695325"/>
                <a:gd name="connsiteY27" fmla="*/ 264319 h 742950"/>
                <a:gd name="connsiteX28" fmla="*/ 635794 w 695325"/>
                <a:gd name="connsiteY28" fmla="*/ 264319 h 742950"/>
                <a:gd name="connsiteX29" fmla="*/ 635794 w 695325"/>
                <a:gd name="connsiteY29" fmla="*/ 634365 h 742950"/>
                <a:gd name="connsiteX30" fmla="*/ 586740 w 695325"/>
                <a:gd name="connsiteY30" fmla="*/ 683419 h 742950"/>
                <a:gd name="connsiteX31" fmla="*/ 113348 w 695325"/>
                <a:gd name="connsiteY31" fmla="*/ 683419 h 742950"/>
                <a:gd name="connsiteX32" fmla="*/ 64294 w 695325"/>
                <a:gd name="connsiteY32" fmla="*/ 634365 h 742950"/>
                <a:gd name="connsiteX33" fmla="*/ 64294 w 695325"/>
                <a:gd name="connsiteY33" fmla="*/ 264319 h 742950"/>
                <a:gd name="connsiteX34" fmla="*/ 296323 w 695325"/>
                <a:gd name="connsiteY34" fmla="*/ 264319 h 7429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</a:cxnLst>
              <a:rect l="l" t="t" r="r" b="b"/>
              <a:pathLst>
                <a:path w="695325" h="742950">
                  <a:moveTo>
                    <a:pt x="192881" y="7144"/>
                  </a:moveTo>
                  <a:cubicBezTo>
                    <a:pt x="148189" y="7196"/>
                    <a:pt x="111971" y="43414"/>
                    <a:pt x="111919" y="88106"/>
                  </a:cubicBezTo>
                  <a:lnTo>
                    <a:pt x="111919" y="112014"/>
                  </a:lnTo>
                  <a:cubicBezTo>
                    <a:pt x="53838" y="112744"/>
                    <a:pt x="7139" y="160037"/>
                    <a:pt x="7144" y="218123"/>
                  </a:cubicBezTo>
                  <a:lnTo>
                    <a:pt x="7144" y="634365"/>
                  </a:lnTo>
                  <a:cubicBezTo>
                    <a:pt x="7144" y="693020"/>
                    <a:pt x="54693" y="740569"/>
                    <a:pt x="113348" y="740569"/>
                  </a:cubicBezTo>
                  <a:lnTo>
                    <a:pt x="586740" y="740569"/>
                  </a:lnTo>
                  <a:cubicBezTo>
                    <a:pt x="645395" y="740569"/>
                    <a:pt x="692944" y="693020"/>
                    <a:pt x="692944" y="634365"/>
                  </a:cubicBezTo>
                  <a:lnTo>
                    <a:pt x="692944" y="217075"/>
                  </a:lnTo>
                  <a:cubicBezTo>
                    <a:pt x="692944" y="159209"/>
                    <a:pt x="646034" y="112300"/>
                    <a:pt x="588169" y="112300"/>
                  </a:cubicBezTo>
                  <a:lnTo>
                    <a:pt x="588169" y="88106"/>
                  </a:lnTo>
                  <a:cubicBezTo>
                    <a:pt x="588169" y="43392"/>
                    <a:pt x="551920" y="7144"/>
                    <a:pt x="507206" y="7144"/>
                  </a:cubicBezTo>
                  <a:cubicBezTo>
                    <a:pt x="462492" y="7144"/>
                    <a:pt x="426244" y="43392"/>
                    <a:pt x="426244" y="88106"/>
                  </a:cubicBezTo>
                  <a:lnTo>
                    <a:pt x="426244" y="111919"/>
                  </a:lnTo>
                  <a:lnTo>
                    <a:pt x="273844" y="111919"/>
                  </a:lnTo>
                  <a:lnTo>
                    <a:pt x="273844" y="88106"/>
                  </a:lnTo>
                  <a:cubicBezTo>
                    <a:pt x="273791" y="43414"/>
                    <a:pt x="237574" y="7196"/>
                    <a:pt x="192881" y="7144"/>
                  </a:cubicBezTo>
                  <a:close/>
                  <a:moveTo>
                    <a:pt x="169069" y="88106"/>
                  </a:moveTo>
                  <a:cubicBezTo>
                    <a:pt x="169069" y="74955"/>
                    <a:pt x="179730" y="64294"/>
                    <a:pt x="192881" y="64294"/>
                  </a:cubicBezTo>
                  <a:cubicBezTo>
                    <a:pt x="206032" y="64294"/>
                    <a:pt x="216694" y="74955"/>
                    <a:pt x="216694" y="88106"/>
                  </a:cubicBezTo>
                  <a:lnTo>
                    <a:pt x="216694" y="207169"/>
                  </a:lnTo>
                  <a:lnTo>
                    <a:pt x="169069" y="207169"/>
                  </a:lnTo>
                  <a:close/>
                  <a:moveTo>
                    <a:pt x="483394" y="88106"/>
                  </a:moveTo>
                  <a:cubicBezTo>
                    <a:pt x="483394" y="74955"/>
                    <a:pt x="494055" y="64294"/>
                    <a:pt x="507206" y="64294"/>
                  </a:cubicBezTo>
                  <a:cubicBezTo>
                    <a:pt x="520357" y="64294"/>
                    <a:pt x="531019" y="74955"/>
                    <a:pt x="531019" y="88106"/>
                  </a:cubicBezTo>
                  <a:lnTo>
                    <a:pt x="531019" y="207169"/>
                  </a:lnTo>
                  <a:lnTo>
                    <a:pt x="483394" y="207169"/>
                  </a:lnTo>
                  <a:close/>
                  <a:moveTo>
                    <a:pt x="296323" y="264319"/>
                  </a:moveTo>
                  <a:lnTo>
                    <a:pt x="635794" y="264319"/>
                  </a:lnTo>
                  <a:lnTo>
                    <a:pt x="635794" y="634365"/>
                  </a:lnTo>
                  <a:cubicBezTo>
                    <a:pt x="635741" y="661435"/>
                    <a:pt x="613810" y="683366"/>
                    <a:pt x="586740" y="683419"/>
                  </a:cubicBezTo>
                  <a:lnTo>
                    <a:pt x="113348" y="683419"/>
                  </a:lnTo>
                  <a:cubicBezTo>
                    <a:pt x="86277" y="683366"/>
                    <a:pt x="64346" y="661435"/>
                    <a:pt x="64294" y="634365"/>
                  </a:cubicBezTo>
                  <a:lnTo>
                    <a:pt x="64294" y="264319"/>
                  </a:lnTo>
                  <a:lnTo>
                    <a:pt x="296323" y="264319"/>
                  </a:ln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SpPr/>
          </xdr:nvSpPr>
          <xdr:spPr>
            <a:xfrm>
              <a:off x="5918137" y="3388978"/>
              <a:ext cx="390525" cy="266700"/>
            </a:xfrm>
            <a:custGeom>
              <a:avLst/>
              <a:gdLst>
                <a:gd name="connsiteX0" fmla="*/ 15938 w 390525"/>
                <a:gd name="connsiteY0" fmla="*/ 105554 h 266700"/>
                <a:gd name="connsiteX1" fmla="*/ 15081 w 390525"/>
                <a:gd name="connsiteY1" fmla="*/ 145940 h 266700"/>
                <a:gd name="connsiteX2" fmla="*/ 115379 w 390525"/>
                <a:gd name="connsiteY2" fmla="*/ 250715 h 266700"/>
                <a:gd name="connsiteX3" fmla="*/ 149288 w 390525"/>
                <a:gd name="connsiteY3" fmla="*/ 265193 h 266700"/>
                <a:gd name="connsiteX4" fmla="*/ 149288 w 390525"/>
                <a:gd name="connsiteY4" fmla="*/ 265193 h 266700"/>
                <a:gd name="connsiteX5" fmla="*/ 183007 w 390525"/>
                <a:gd name="connsiteY5" fmla="*/ 251382 h 266700"/>
                <a:gd name="connsiteX6" fmla="*/ 381698 w 390525"/>
                <a:gd name="connsiteY6" fmla="*/ 56119 h 266700"/>
                <a:gd name="connsiteX7" fmla="*/ 382031 w 390525"/>
                <a:gd name="connsiteY7" fmla="*/ 15686 h 266700"/>
                <a:gd name="connsiteX8" fmla="*/ 341598 w 390525"/>
                <a:gd name="connsiteY8" fmla="*/ 15352 h 266700"/>
                <a:gd name="connsiteX9" fmla="*/ 149860 w 390525"/>
                <a:gd name="connsiteY9" fmla="*/ 204138 h 266700"/>
                <a:gd name="connsiteX10" fmla="*/ 56038 w 390525"/>
                <a:gd name="connsiteY10" fmla="*/ 106697 h 266700"/>
                <a:gd name="connsiteX11" fmla="*/ 15938 w 390525"/>
                <a:gd name="connsiteY11" fmla="*/ 105554 h 2667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90525" h="266700">
                  <a:moveTo>
                    <a:pt x="15938" y="105554"/>
                  </a:moveTo>
                  <a:cubicBezTo>
                    <a:pt x="4556" y="116473"/>
                    <a:pt x="4172" y="134548"/>
                    <a:pt x="15081" y="145940"/>
                  </a:cubicBezTo>
                  <a:lnTo>
                    <a:pt x="115379" y="250715"/>
                  </a:lnTo>
                  <a:cubicBezTo>
                    <a:pt x="124280" y="259898"/>
                    <a:pt x="136500" y="265116"/>
                    <a:pt x="149288" y="265193"/>
                  </a:cubicBezTo>
                  <a:lnTo>
                    <a:pt x="149288" y="265193"/>
                  </a:lnTo>
                  <a:cubicBezTo>
                    <a:pt x="161902" y="265179"/>
                    <a:pt x="174007" y="260221"/>
                    <a:pt x="183007" y="251382"/>
                  </a:cubicBezTo>
                  <a:lnTo>
                    <a:pt x="381698" y="56119"/>
                  </a:lnTo>
                  <a:cubicBezTo>
                    <a:pt x="392956" y="45046"/>
                    <a:pt x="393105" y="26943"/>
                    <a:pt x="382031" y="15686"/>
                  </a:cubicBezTo>
                  <a:cubicBezTo>
                    <a:pt x="370958" y="4428"/>
                    <a:pt x="352855" y="4279"/>
                    <a:pt x="341598" y="15352"/>
                  </a:cubicBezTo>
                  <a:lnTo>
                    <a:pt x="149860" y="204138"/>
                  </a:lnTo>
                  <a:lnTo>
                    <a:pt x="56038" y="106697"/>
                  </a:lnTo>
                  <a:cubicBezTo>
                    <a:pt x="45230" y="95420"/>
                    <a:pt x="27371" y="94911"/>
                    <a:pt x="15938" y="105554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</xdr:grp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7032</xdr:colOff>
      <xdr:row>1</xdr:row>
      <xdr:rowOff>283847</xdr:rowOff>
    </xdr:from>
    <xdr:to>
      <xdr:col>12</xdr:col>
      <xdr:colOff>228600</xdr:colOff>
      <xdr:row>3</xdr:row>
      <xdr:rowOff>1263060</xdr:rowOff>
    </xdr:to>
    <xdr:grpSp>
      <xdr:nvGrpSpPr>
        <xdr:cNvPr id="2" name="Grupo 1" descr="botón de instruccione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10998882" y="1245872"/>
          <a:ext cx="1440768" cy="1445938"/>
          <a:chOff x="10998882" y="1245872"/>
          <a:chExt cx="1440768" cy="1445938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/>
        </xdr:nvSpPr>
        <xdr:spPr>
          <a:xfrm>
            <a:off x="10998882" y="1245872"/>
            <a:ext cx="1440768" cy="1445938"/>
          </a:xfrm>
          <a:prstGeom prst="ellipse">
            <a:avLst/>
          </a:prstGeom>
          <a:solidFill>
            <a:schemeClr val="accent4">
              <a:lumMod val="50000"/>
            </a:schemeClr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lIns="0" tIns="0" rIns="0" rtlCol="0" anchor="b"/>
          <a:lstStyle/>
          <a:p>
            <a:pPr algn="ctr" rtl="0"/>
            <a:r>
              <a:rPr lang="es" sz="1200">
                <a:latin typeface="Tw Cen MT" panose="020B0602020104020603" pitchFamily="34" charset="0"/>
              </a:rPr>
              <a:t>Establezca fechas importantes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GrpSpPr/>
        </xdr:nvGrpSpPr>
        <xdr:grpSpPr>
          <a:xfrm>
            <a:off x="11547911" y="1518865"/>
            <a:ext cx="351238" cy="377023"/>
            <a:chOff x="5745956" y="3055144"/>
            <a:chExt cx="695325" cy="742950"/>
          </a:xfrm>
          <a:solidFill>
            <a:schemeClr val="bg1"/>
          </a:solidFill>
        </xdr:grpSpPr>
        <xdr:sp macro="" textlink="">
          <xdr:nvSpPr>
            <xdr:cNvPr id="5" name="Forma libre: forma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/>
          </xdr:nvSpPr>
          <xdr:spPr>
            <a:xfrm>
              <a:off x="5745956" y="3055144"/>
              <a:ext cx="695325" cy="742950"/>
            </a:xfrm>
            <a:custGeom>
              <a:avLst/>
              <a:gdLst>
                <a:gd name="connsiteX0" fmla="*/ 192881 w 695325"/>
                <a:gd name="connsiteY0" fmla="*/ 7144 h 742950"/>
                <a:gd name="connsiteX1" fmla="*/ 111919 w 695325"/>
                <a:gd name="connsiteY1" fmla="*/ 88106 h 742950"/>
                <a:gd name="connsiteX2" fmla="*/ 111919 w 695325"/>
                <a:gd name="connsiteY2" fmla="*/ 112014 h 742950"/>
                <a:gd name="connsiteX3" fmla="*/ 7144 w 695325"/>
                <a:gd name="connsiteY3" fmla="*/ 218123 h 742950"/>
                <a:gd name="connsiteX4" fmla="*/ 7144 w 695325"/>
                <a:gd name="connsiteY4" fmla="*/ 634365 h 742950"/>
                <a:gd name="connsiteX5" fmla="*/ 113348 w 695325"/>
                <a:gd name="connsiteY5" fmla="*/ 740569 h 742950"/>
                <a:gd name="connsiteX6" fmla="*/ 586740 w 695325"/>
                <a:gd name="connsiteY6" fmla="*/ 740569 h 742950"/>
                <a:gd name="connsiteX7" fmla="*/ 692944 w 695325"/>
                <a:gd name="connsiteY7" fmla="*/ 634365 h 742950"/>
                <a:gd name="connsiteX8" fmla="*/ 692944 w 695325"/>
                <a:gd name="connsiteY8" fmla="*/ 217075 h 742950"/>
                <a:gd name="connsiteX9" fmla="*/ 588169 w 695325"/>
                <a:gd name="connsiteY9" fmla="*/ 112300 h 742950"/>
                <a:gd name="connsiteX10" fmla="*/ 588169 w 695325"/>
                <a:gd name="connsiteY10" fmla="*/ 88106 h 742950"/>
                <a:gd name="connsiteX11" fmla="*/ 507206 w 695325"/>
                <a:gd name="connsiteY11" fmla="*/ 7144 h 742950"/>
                <a:gd name="connsiteX12" fmla="*/ 426244 w 695325"/>
                <a:gd name="connsiteY12" fmla="*/ 88106 h 742950"/>
                <a:gd name="connsiteX13" fmla="*/ 426244 w 695325"/>
                <a:gd name="connsiteY13" fmla="*/ 111919 h 742950"/>
                <a:gd name="connsiteX14" fmla="*/ 273844 w 695325"/>
                <a:gd name="connsiteY14" fmla="*/ 111919 h 742950"/>
                <a:gd name="connsiteX15" fmla="*/ 273844 w 695325"/>
                <a:gd name="connsiteY15" fmla="*/ 88106 h 742950"/>
                <a:gd name="connsiteX16" fmla="*/ 192881 w 695325"/>
                <a:gd name="connsiteY16" fmla="*/ 7144 h 742950"/>
                <a:gd name="connsiteX17" fmla="*/ 169069 w 695325"/>
                <a:gd name="connsiteY17" fmla="*/ 88106 h 742950"/>
                <a:gd name="connsiteX18" fmla="*/ 192881 w 695325"/>
                <a:gd name="connsiteY18" fmla="*/ 64294 h 742950"/>
                <a:gd name="connsiteX19" fmla="*/ 216694 w 695325"/>
                <a:gd name="connsiteY19" fmla="*/ 88106 h 742950"/>
                <a:gd name="connsiteX20" fmla="*/ 216694 w 695325"/>
                <a:gd name="connsiteY20" fmla="*/ 207169 h 742950"/>
                <a:gd name="connsiteX21" fmla="*/ 169069 w 695325"/>
                <a:gd name="connsiteY21" fmla="*/ 207169 h 742950"/>
                <a:gd name="connsiteX22" fmla="*/ 483394 w 695325"/>
                <a:gd name="connsiteY22" fmla="*/ 88106 h 742950"/>
                <a:gd name="connsiteX23" fmla="*/ 507206 w 695325"/>
                <a:gd name="connsiteY23" fmla="*/ 64294 h 742950"/>
                <a:gd name="connsiteX24" fmla="*/ 531019 w 695325"/>
                <a:gd name="connsiteY24" fmla="*/ 88106 h 742950"/>
                <a:gd name="connsiteX25" fmla="*/ 531019 w 695325"/>
                <a:gd name="connsiteY25" fmla="*/ 207169 h 742950"/>
                <a:gd name="connsiteX26" fmla="*/ 483394 w 695325"/>
                <a:gd name="connsiteY26" fmla="*/ 207169 h 742950"/>
                <a:gd name="connsiteX27" fmla="*/ 296323 w 695325"/>
                <a:gd name="connsiteY27" fmla="*/ 264319 h 742950"/>
                <a:gd name="connsiteX28" fmla="*/ 635794 w 695325"/>
                <a:gd name="connsiteY28" fmla="*/ 264319 h 742950"/>
                <a:gd name="connsiteX29" fmla="*/ 635794 w 695325"/>
                <a:gd name="connsiteY29" fmla="*/ 634365 h 742950"/>
                <a:gd name="connsiteX30" fmla="*/ 586740 w 695325"/>
                <a:gd name="connsiteY30" fmla="*/ 683419 h 742950"/>
                <a:gd name="connsiteX31" fmla="*/ 113348 w 695325"/>
                <a:gd name="connsiteY31" fmla="*/ 683419 h 742950"/>
                <a:gd name="connsiteX32" fmla="*/ 64294 w 695325"/>
                <a:gd name="connsiteY32" fmla="*/ 634365 h 742950"/>
                <a:gd name="connsiteX33" fmla="*/ 64294 w 695325"/>
                <a:gd name="connsiteY33" fmla="*/ 264319 h 742950"/>
                <a:gd name="connsiteX34" fmla="*/ 296323 w 695325"/>
                <a:gd name="connsiteY34" fmla="*/ 264319 h 7429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</a:cxnLst>
              <a:rect l="l" t="t" r="r" b="b"/>
              <a:pathLst>
                <a:path w="695325" h="742950">
                  <a:moveTo>
                    <a:pt x="192881" y="7144"/>
                  </a:moveTo>
                  <a:cubicBezTo>
                    <a:pt x="148189" y="7196"/>
                    <a:pt x="111971" y="43414"/>
                    <a:pt x="111919" y="88106"/>
                  </a:cubicBezTo>
                  <a:lnTo>
                    <a:pt x="111919" y="112014"/>
                  </a:lnTo>
                  <a:cubicBezTo>
                    <a:pt x="53838" y="112744"/>
                    <a:pt x="7139" y="160037"/>
                    <a:pt x="7144" y="218123"/>
                  </a:cubicBezTo>
                  <a:lnTo>
                    <a:pt x="7144" y="634365"/>
                  </a:lnTo>
                  <a:cubicBezTo>
                    <a:pt x="7144" y="693020"/>
                    <a:pt x="54693" y="740569"/>
                    <a:pt x="113348" y="740569"/>
                  </a:cubicBezTo>
                  <a:lnTo>
                    <a:pt x="586740" y="740569"/>
                  </a:lnTo>
                  <a:cubicBezTo>
                    <a:pt x="645395" y="740569"/>
                    <a:pt x="692944" y="693020"/>
                    <a:pt x="692944" y="634365"/>
                  </a:cubicBezTo>
                  <a:lnTo>
                    <a:pt x="692944" y="217075"/>
                  </a:lnTo>
                  <a:cubicBezTo>
                    <a:pt x="692944" y="159209"/>
                    <a:pt x="646034" y="112300"/>
                    <a:pt x="588169" y="112300"/>
                  </a:cubicBezTo>
                  <a:lnTo>
                    <a:pt x="588169" y="88106"/>
                  </a:lnTo>
                  <a:cubicBezTo>
                    <a:pt x="588169" y="43392"/>
                    <a:pt x="551920" y="7144"/>
                    <a:pt x="507206" y="7144"/>
                  </a:cubicBezTo>
                  <a:cubicBezTo>
                    <a:pt x="462492" y="7144"/>
                    <a:pt x="426244" y="43392"/>
                    <a:pt x="426244" y="88106"/>
                  </a:cubicBezTo>
                  <a:lnTo>
                    <a:pt x="426244" y="111919"/>
                  </a:lnTo>
                  <a:lnTo>
                    <a:pt x="273844" y="111919"/>
                  </a:lnTo>
                  <a:lnTo>
                    <a:pt x="273844" y="88106"/>
                  </a:lnTo>
                  <a:cubicBezTo>
                    <a:pt x="273791" y="43414"/>
                    <a:pt x="237574" y="7196"/>
                    <a:pt x="192881" y="7144"/>
                  </a:cubicBezTo>
                  <a:close/>
                  <a:moveTo>
                    <a:pt x="169069" y="88106"/>
                  </a:moveTo>
                  <a:cubicBezTo>
                    <a:pt x="169069" y="74955"/>
                    <a:pt x="179730" y="64294"/>
                    <a:pt x="192881" y="64294"/>
                  </a:cubicBezTo>
                  <a:cubicBezTo>
                    <a:pt x="206032" y="64294"/>
                    <a:pt x="216694" y="74955"/>
                    <a:pt x="216694" y="88106"/>
                  </a:cubicBezTo>
                  <a:lnTo>
                    <a:pt x="216694" y="207169"/>
                  </a:lnTo>
                  <a:lnTo>
                    <a:pt x="169069" y="207169"/>
                  </a:lnTo>
                  <a:close/>
                  <a:moveTo>
                    <a:pt x="483394" y="88106"/>
                  </a:moveTo>
                  <a:cubicBezTo>
                    <a:pt x="483394" y="74955"/>
                    <a:pt x="494055" y="64294"/>
                    <a:pt x="507206" y="64294"/>
                  </a:cubicBezTo>
                  <a:cubicBezTo>
                    <a:pt x="520357" y="64294"/>
                    <a:pt x="531019" y="74955"/>
                    <a:pt x="531019" y="88106"/>
                  </a:cubicBezTo>
                  <a:lnTo>
                    <a:pt x="531019" y="207169"/>
                  </a:lnTo>
                  <a:lnTo>
                    <a:pt x="483394" y="207169"/>
                  </a:lnTo>
                  <a:close/>
                  <a:moveTo>
                    <a:pt x="296323" y="264319"/>
                  </a:moveTo>
                  <a:lnTo>
                    <a:pt x="635794" y="264319"/>
                  </a:lnTo>
                  <a:lnTo>
                    <a:pt x="635794" y="634365"/>
                  </a:lnTo>
                  <a:cubicBezTo>
                    <a:pt x="635741" y="661435"/>
                    <a:pt x="613810" y="683366"/>
                    <a:pt x="586740" y="683419"/>
                  </a:cubicBezTo>
                  <a:lnTo>
                    <a:pt x="113348" y="683419"/>
                  </a:lnTo>
                  <a:cubicBezTo>
                    <a:pt x="86277" y="683366"/>
                    <a:pt x="64346" y="661435"/>
                    <a:pt x="64294" y="634365"/>
                  </a:cubicBezTo>
                  <a:lnTo>
                    <a:pt x="64294" y="264319"/>
                  </a:lnTo>
                  <a:lnTo>
                    <a:pt x="296323" y="264319"/>
                  </a:ln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00000000-0008-0000-0600-000006000000}"/>
                </a:ext>
              </a:extLst>
            </xdr:cNvPr>
            <xdr:cNvSpPr/>
          </xdr:nvSpPr>
          <xdr:spPr>
            <a:xfrm>
              <a:off x="5918137" y="3388978"/>
              <a:ext cx="390525" cy="266700"/>
            </a:xfrm>
            <a:custGeom>
              <a:avLst/>
              <a:gdLst>
                <a:gd name="connsiteX0" fmla="*/ 15938 w 390525"/>
                <a:gd name="connsiteY0" fmla="*/ 105554 h 266700"/>
                <a:gd name="connsiteX1" fmla="*/ 15081 w 390525"/>
                <a:gd name="connsiteY1" fmla="*/ 145940 h 266700"/>
                <a:gd name="connsiteX2" fmla="*/ 115379 w 390525"/>
                <a:gd name="connsiteY2" fmla="*/ 250715 h 266700"/>
                <a:gd name="connsiteX3" fmla="*/ 149288 w 390525"/>
                <a:gd name="connsiteY3" fmla="*/ 265193 h 266700"/>
                <a:gd name="connsiteX4" fmla="*/ 149288 w 390525"/>
                <a:gd name="connsiteY4" fmla="*/ 265193 h 266700"/>
                <a:gd name="connsiteX5" fmla="*/ 183007 w 390525"/>
                <a:gd name="connsiteY5" fmla="*/ 251382 h 266700"/>
                <a:gd name="connsiteX6" fmla="*/ 381698 w 390525"/>
                <a:gd name="connsiteY6" fmla="*/ 56119 h 266700"/>
                <a:gd name="connsiteX7" fmla="*/ 382031 w 390525"/>
                <a:gd name="connsiteY7" fmla="*/ 15686 h 266700"/>
                <a:gd name="connsiteX8" fmla="*/ 341598 w 390525"/>
                <a:gd name="connsiteY8" fmla="*/ 15352 h 266700"/>
                <a:gd name="connsiteX9" fmla="*/ 149860 w 390525"/>
                <a:gd name="connsiteY9" fmla="*/ 204138 h 266700"/>
                <a:gd name="connsiteX10" fmla="*/ 56038 w 390525"/>
                <a:gd name="connsiteY10" fmla="*/ 106697 h 266700"/>
                <a:gd name="connsiteX11" fmla="*/ 15938 w 390525"/>
                <a:gd name="connsiteY11" fmla="*/ 105554 h 2667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90525" h="266700">
                  <a:moveTo>
                    <a:pt x="15938" y="105554"/>
                  </a:moveTo>
                  <a:cubicBezTo>
                    <a:pt x="4556" y="116473"/>
                    <a:pt x="4172" y="134548"/>
                    <a:pt x="15081" y="145940"/>
                  </a:cubicBezTo>
                  <a:lnTo>
                    <a:pt x="115379" y="250715"/>
                  </a:lnTo>
                  <a:cubicBezTo>
                    <a:pt x="124280" y="259898"/>
                    <a:pt x="136500" y="265116"/>
                    <a:pt x="149288" y="265193"/>
                  </a:cubicBezTo>
                  <a:lnTo>
                    <a:pt x="149288" y="265193"/>
                  </a:lnTo>
                  <a:cubicBezTo>
                    <a:pt x="161902" y="265179"/>
                    <a:pt x="174007" y="260221"/>
                    <a:pt x="183007" y="251382"/>
                  </a:cubicBezTo>
                  <a:lnTo>
                    <a:pt x="381698" y="56119"/>
                  </a:lnTo>
                  <a:cubicBezTo>
                    <a:pt x="392956" y="45046"/>
                    <a:pt x="393105" y="26943"/>
                    <a:pt x="382031" y="15686"/>
                  </a:cubicBezTo>
                  <a:cubicBezTo>
                    <a:pt x="370958" y="4428"/>
                    <a:pt x="352855" y="4279"/>
                    <a:pt x="341598" y="15352"/>
                  </a:cubicBezTo>
                  <a:lnTo>
                    <a:pt x="149860" y="204138"/>
                  </a:lnTo>
                  <a:lnTo>
                    <a:pt x="56038" y="106697"/>
                  </a:lnTo>
                  <a:cubicBezTo>
                    <a:pt x="45230" y="95420"/>
                    <a:pt x="27371" y="94911"/>
                    <a:pt x="15938" y="105554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</xdr:grp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7032</xdr:colOff>
      <xdr:row>1</xdr:row>
      <xdr:rowOff>283847</xdr:rowOff>
    </xdr:from>
    <xdr:to>
      <xdr:col>12</xdr:col>
      <xdr:colOff>228600</xdr:colOff>
      <xdr:row>3</xdr:row>
      <xdr:rowOff>1263060</xdr:rowOff>
    </xdr:to>
    <xdr:grpSp>
      <xdr:nvGrpSpPr>
        <xdr:cNvPr id="2" name="Grupo 1" descr="botón de instruccione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10998882" y="1245872"/>
          <a:ext cx="1440768" cy="1445938"/>
          <a:chOff x="10998882" y="1245872"/>
          <a:chExt cx="1440768" cy="1445938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SpPr/>
        </xdr:nvSpPr>
        <xdr:spPr>
          <a:xfrm>
            <a:off x="10998882" y="1245872"/>
            <a:ext cx="1440768" cy="1445938"/>
          </a:xfrm>
          <a:prstGeom prst="ellipse">
            <a:avLst/>
          </a:prstGeom>
          <a:solidFill>
            <a:schemeClr val="accent4">
              <a:lumMod val="50000"/>
            </a:schemeClr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lIns="0" tIns="0" rIns="0" rtlCol="0" anchor="b"/>
          <a:lstStyle/>
          <a:p>
            <a:pPr algn="ctr" rtl="0"/>
            <a:r>
              <a:rPr lang="es" sz="1200">
                <a:latin typeface="Tw Cen MT" panose="020B0602020104020603" pitchFamily="34" charset="0"/>
              </a:rPr>
              <a:t>Establezca fechas importantes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GrpSpPr/>
        </xdr:nvGrpSpPr>
        <xdr:grpSpPr>
          <a:xfrm>
            <a:off x="11547911" y="1518865"/>
            <a:ext cx="351238" cy="377023"/>
            <a:chOff x="5745956" y="3055144"/>
            <a:chExt cx="695325" cy="742950"/>
          </a:xfrm>
          <a:solidFill>
            <a:schemeClr val="bg1"/>
          </a:solidFill>
        </xdr:grpSpPr>
        <xdr:sp macro="" textlink="">
          <xdr:nvSpPr>
            <xdr:cNvPr id="5" name="Forma libre: forma 4">
              <a:extLst>
                <a:ext uri="{FF2B5EF4-FFF2-40B4-BE49-F238E27FC236}">
                  <a16:creationId xmlns:a16="http://schemas.microsoft.com/office/drawing/2014/main" id="{00000000-0008-0000-0700-000005000000}"/>
                </a:ext>
              </a:extLst>
            </xdr:cNvPr>
            <xdr:cNvSpPr/>
          </xdr:nvSpPr>
          <xdr:spPr>
            <a:xfrm>
              <a:off x="5745956" y="3055144"/>
              <a:ext cx="695325" cy="742950"/>
            </a:xfrm>
            <a:custGeom>
              <a:avLst/>
              <a:gdLst>
                <a:gd name="connsiteX0" fmla="*/ 192881 w 695325"/>
                <a:gd name="connsiteY0" fmla="*/ 7144 h 742950"/>
                <a:gd name="connsiteX1" fmla="*/ 111919 w 695325"/>
                <a:gd name="connsiteY1" fmla="*/ 88106 h 742950"/>
                <a:gd name="connsiteX2" fmla="*/ 111919 w 695325"/>
                <a:gd name="connsiteY2" fmla="*/ 112014 h 742950"/>
                <a:gd name="connsiteX3" fmla="*/ 7144 w 695325"/>
                <a:gd name="connsiteY3" fmla="*/ 218123 h 742950"/>
                <a:gd name="connsiteX4" fmla="*/ 7144 w 695325"/>
                <a:gd name="connsiteY4" fmla="*/ 634365 h 742950"/>
                <a:gd name="connsiteX5" fmla="*/ 113348 w 695325"/>
                <a:gd name="connsiteY5" fmla="*/ 740569 h 742950"/>
                <a:gd name="connsiteX6" fmla="*/ 586740 w 695325"/>
                <a:gd name="connsiteY6" fmla="*/ 740569 h 742950"/>
                <a:gd name="connsiteX7" fmla="*/ 692944 w 695325"/>
                <a:gd name="connsiteY7" fmla="*/ 634365 h 742950"/>
                <a:gd name="connsiteX8" fmla="*/ 692944 w 695325"/>
                <a:gd name="connsiteY8" fmla="*/ 217075 h 742950"/>
                <a:gd name="connsiteX9" fmla="*/ 588169 w 695325"/>
                <a:gd name="connsiteY9" fmla="*/ 112300 h 742950"/>
                <a:gd name="connsiteX10" fmla="*/ 588169 w 695325"/>
                <a:gd name="connsiteY10" fmla="*/ 88106 h 742950"/>
                <a:gd name="connsiteX11" fmla="*/ 507206 w 695325"/>
                <a:gd name="connsiteY11" fmla="*/ 7144 h 742950"/>
                <a:gd name="connsiteX12" fmla="*/ 426244 w 695325"/>
                <a:gd name="connsiteY12" fmla="*/ 88106 h 742950"/>
                <a:gd name="connsiteX13" fmla="*/ 426244 w 695325"/>
                <a:gd name="connsiteY13" fmla="*/ 111919 h 742950"/>
                <a:gd name="connsiteX14" fmla="*/ 273844 w 695325"/>
                <a:gd name="connsiteY14" fmla="*/ 111919 h 742950"/>
                <a:gd name="connsiteX15" fmla="*/ 273844 w 695325"/>
                <a:gd name="connsiteY15" fmla="*/ 88106 h 742950"/>
                <a:gd name="connsiteX16" fmla="*/ 192881 w 695325"/>
                <a:gd name="connsiteY16" fmla="*/ 7144 h 742950"/>
                <a:gd name="connsiteX17" fmla="*/ 169069 w 695325"/>
                <a:gd name="connsiteY17" fmla="*/ 88106 h 742950"/>
                <a:gd name="connsiteX18" fmla="*/ 192881 w 695325"/>
                <a:gd name="connsiteY18" fmla="*/ 64294 h 742950"/>
                <a:gd name="connsiteX19" fmla="*/ 216694 w 695325"/>
                <a:gd name="connsiteY19" fmla="*/ 88106 h 742950"/>
                <a:gd name="connsiteX20" fmla="*/ 216694 w 695325"/>
                <a:gd name="connsiteY20" fmla="*/ 207169 h 742950"/>
                <a:gd name="connsiteX21" fmla="*/ 169069 w 695325"/>
                <a:gd name="connsiteY21" fmla="*/ 207169 h 742950"/>
                <a:gd name="connsiteX22" fmla="*/ 483394 w 695325"/>
                <a:gd name="connsiteY22" fmla="*/ 88106 h 742950"/>
                <a:gd name="connsiteX23" fmla="*/ 507206 w 695325"/>
                <a:gd name="connsiteY23" fmla="*/ 64294 h 742950"/>
                <a:gd name="connsiteX24" fmla="*/ 531019 w 695325"/>
                <a:gd name="connsiteY24" fmla="*/ 88106 h 742950"/>
                <a:gd name="connsiteX25" fmla="*/ 531019 w 695325"/>
                <a:gd name="connsiteY25" fmla="*/ 207169 h 742950"/>
                <a:gd name="connsiteX26" fmla="*/ 483394 w 695325"/>
                <a:gd name="connsiteY26" fmla="*/ 207169 h 742950"/>
                <a:gd name="connsiteX27" fmla="*/ 296323 w 695325"/>
                <a:gd name="connsiteY27" fmla="*/ 264319 h 742950"/>
                <a:gd name="connsiteX28" fmla="*/ 635794 w 695325"/>
                <a:gd name="connsiteY28" fmla="*/ 264319 h 742950"/>
                <a:gd name="connsiteX29" fmla="*/ 635794 w 695325"/>
                <a:gd name="connsiteY29" fmla="*/ 634365 h 742950"/>
                <a:gd name="connsiteX30" fmla="*/ 586740 w 695325"/>
                <a:gd name="connsiteY30" fmla="*/ 683419 h 742950"/>
                <a:gd name="connsiteX31" fmla="*/ 113348 w 695325"/>
                <a:gd name="connsiteY31" fmla="*/ 683419 h 742950"/>
                <a:gd name="connsiteX32" fmla="*/ 64294 w 695325"/>
                <a:gd name="connsiteY32" fmla="*/ 634365 h 742950"/>
                <a:gd name="connsiteX33" fmla="*/ 64294 w 695325"/>
                <a:gd name="connsiteY33" fmla="*/ 264319 h 742950"/>
                <a:gd name="connsiteX34" fmla="*/ 296323 w 695325"/>
                <a:gd name="connsiteY34" fmla="*/ 264319 h 7429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</a:cxnLst>
              <a:rect l="l" t="t" r="r" b="b"/>
              <a:pathLst>
                <a:path w="695325" h="742950">
                  <a:moveTo>
                    <a:pt x="192881" y="7144"/>
                  </a:moveTo>
                  <a:cubicBezTo>
                    <a:pt x="148189" y="7196"/>
                    <a:pt x="111971" y="43414"/>
                    <a:pt x="111919" y="88106"/>
                  </a:cubicBezTo>
                  <a:lnTo>
                    <a:pt x="111919" y="112014"/>
                  </a:lnTo>
                  <a:cubicBezTo>
                    <a:pt x="53838" y="112744"/>
                    <a:pt x="7139" y="160037"/>
                    <a:pt x="7144" y="218123"/>
                  </a:cubicBezTo>
                  <a:lnTo>
                    <a:pt x="7144" y="634365"/>
                  </a:lnTo>
                  <a:cubicBezTo>
                    <a:pt x="7144" y="693020"/>
                    <a:pt x="54693" y="740569"/>
                    <a:pt x="113348" y="740569"/>
                  </a:cubicBezTo>
                  <a:lnTo>
                    <a:pt x="586740" y="740569"/>
                  </a:lnTo>
                  <a:cubicBezTo>
                    <a:pt x="645395" y="740569"/>
                    <a:pt x="692944" y="693020"/>
                    <a:pt x="692944" y="634365"/>
                  </a:cubicBezTo>
                  <a:lnTo>
                    <a:pt x="692944" y="217075"/>
                  </a:lnTo>
                  <a:cubicBezTo>
                    <a:pt x="692944" y="159209"/>
                    <a:pt x="646034" y="112300"/>
                    <a:pt x="588169" y="112300"/>
                  </a:cubicBezTo>
                  <a:lnTo>
                    <a:pt x="588169" y="88106"/>
                  </a:lnTo>
                  <a:cubicBezTo>
                    <a:pt x="588169" y="43392"/>
                    <a:pt x="551920" y="7144"/>
                    <a:pt x="507206" y="7144"/>
                  </a:cubicBezTo>
                  <a:cubicBezTo>
                    <a:pt x="462492" y="7144"/>
                    <a:pt x="426244" y="43392"/>
                    <a:pt x="426244" y="88106"/>
                  </a:cubicBezTo>
                  <a:lnTo>
                    <a:pt x="426244" y="111919"/>
                  </a:lnTo>
                  <a:lnTo>
                    <a:pt x="273844" y="111919"/>
                  </a:lnTo>
                  <a:lnTo>
                    <a:pt x="273844" y="88106"/>
                  </a:lnTo>
                  <a:cubicBezTo>
                    <a:pt x="273791" y="43414"/>
                    <a:pt x="237574" y="7196"/>
                    <a:pt x="192881" y="7144"/>
                  </a:cubicBezTo>
                  <a:close/>
                  <a:moveTo>
                    <a:pt x="169069" y="88106"/>
                  </a:moveTo>
                  <a:cubicBezTo>
                    <a:pt x="169069" y="74955"/>
                    <a:pt x="179730" y="64294"/>
                    <a:pt x="192881" y="64294"/>
                  </a:cubicBezTo>
                  <a:cubicBezTo>
                    <a:pt x="206032" y="64294"/>
                    <a:pt x="216694" y="74955"/>
                    <a:pt x="216694" y="88106"/>
                  </a:cubicBezTo>
                  <a:lnTo>
                    <a:pt x="216694" y="207169"/>
                  </a:lnTo>
                  <a:lnTo>
                    <a:pt x="169069" y="207169"/>
                  </a:lnTo>
                  <a:close/>
                  <a:moveTo>
                    <a:pt x="483394" y="88106"/>
                  </a:moveTo>
                  <a:cubicBezTo>
                    <a:pt x="483394" y="74955"/>
                    <a:pt x="494055" y="64294"/>
                    <a:pt x="507206" y="64294"/>
                  </a:cubicBezTo>
                  <a:cubicBezTo>
                    <a:pt x="520357" y="64294"/>
                    <a:pt x="531019" y="74955"/>
                    <a:pt x="531019" y="88106"/>
                  </a:cubicBezTo>
                  <a:lnTo>
                    <a:pt x="531019" y="207169"/>
                  </a:lnTo>
                  <a:lnTo>
                    <a:pt x="483394" y="207169"/>
                  </a:lnTo>
                  <a:close/>
                  <a:moveTo>
                    <a:pt x="296323" y="264319"/>
                  </a:moveTo>
                  <a:lnTo>
                    <a:pt x="635794" y="264319"/>
                  </a:lnTo>
                  <a:lnTo>
                    <a:pt x="635794" y="634365"/>
                  </a:lnTo>
                  <a:cubicBezTo>
                    <a:pt x="635741" y="661435"/>
                    <a:pt x="613810" y="683366"/>
                    <a:pt x="586740" y="683419"/>
                  </a:cubicBezTo>
                  <a:lnTo>
                    <a:pt x="113348" y="683419"/>
                  </a:lnTo>
                  <a:cubicBezTo>
                    <a:pt x="86277" y="683366"/>
                    <a:pt x="64346" y="661435"/>
                    <a:pt x="64294" y="634365"/>
                  </a:cubicBezTo>
                  <a:lnTo>
                    <a:pt x="64294" y="264319"/>
                  </a:lnTo>
                  <a:lnTo>
                    <a:pt x="296323" y="264319"/>
                  </a:ln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00000000-0008-0000-0700-000006000000}"/>
                </a:ext>
              </a:extLst>
            </xdr:cNvPr>
            <xdr:cNvSpPr/>
          </xdr:nvSpPr>
          <xdr:spPr>
            <a:xfrm>
              <a:off x="5918137" y="3388978"/>
              <a:ext cx="390525" cy="266700"/>
            </a:xfrm>
            <a:custGeom>
              <a:avLst/>
              <a:gdLst>
                <a:gd name="connsiteX0" fmla="*/ 15938 w 390525"/>
                <a:gd name="connsiteY0" fmla="*/ 105554 h 266700"/>
                <a:gd name="connsiteX1" fmla="*/ 15081 w 390525"/>
                <a:gd name="connsiteY1" fmla="*/ 145940 h 266700"/>
                <a:gd name="connsiteX2" fmla="*/ 115379 w 390525"/>
                <a:gd name="connsiteY2" fmla="*/ 250715 h 266700"/>
                <a:gd name="connsiteX3" fmla="*/ 149288 w 390525"/>
                <a:gd name="connsiteY3" fmla="*/ 265193 h 266700"/>
                <a:gd name="connsiteX4" fmla="*/ 149288 w 390525"/>
                <a:gd name="connsiteY4" fmla="*/ 265193 h 266700"/>
                <a:gd name="connsiteX5" fmla="*/ 183007 w 390525"/>
                <a:gd name="connsiteY5" fmla="*/ 251382 h 266700"/>
                <a:gd name="connsiteX6" fmla="*/ 381698 w 390525"/>
                <a:gd name="connsiteY6" fmla="*/ 56119 h 266700"/>
                <a:gd name="connsiteX7" fmla="*/ 382031 w 390525"/>
                <a:gd name="connsiteY7" fmla="*/ 15686 h 266700"/>
                <a:gd name="connsiteX8" fmla="*/ 341598 w 390525"/>
                <a:gd name="connsiteY8" fmla="*/ 15352 h 266700"/>
                <a:gd name="connsiteX9" fmla="*/ 149860 w 390525"/>
                <a:gd name="connsiteY9" fmla="*/ 204138 h 266700"/>
                <a:gd name="connsiteX10" fmla="*/ 56038 w 390525"/>
                <a:gd name="connsiteY10" fmla="*/ 106697 h 266700"/>
                <a:gd name="connsiteX11" fmla="*/ 15938 w 390525"/>
                <a:gd name="connsiteY11" fmla="*/ 105554 h 2667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90525" h="266700">
                  <a:moveTo>
                    <a:pt x="15938" y="105554"/>
                  </a:moveTo>
                  <a:cubicBezTo>
                    <a:pt x="4556" y="116473"/>
                    <a:pt x="4172" y="134548"/>
                    <a:pt x="15081" y="145940"/>
                  </a:cubicBezTo>
                  <a:lnTo>
                    <a:pt x="115379" y="250715"/>
                  </a:lnTo>
                  <a:cubicBezTo>
                    <a:pt x="124280" y="259898"/>
                    <a:pt x="136500" y="265116"/>
                    <a:pt x="149288" y="265193"/>
                  </a:cubicBezTo>
                  <a:lnTo>
                    <a:pt x="149288" y="265193"/>
                  </a:lnTo>
                  <a:cubicBezTo>
                    <a:pt x="161902" y="265179"/>
                    <a:pt x="174007" y="260221"/>
                    <a:pt x="183007" y="251382"/>
                  </a:cubicBezTo>
                  <a:lnTo>
                    <a:pt x="381698" y="56119"/>
                  </a:lnTo>
                  <a:cubicBezTo>
                    <a:pt x="392956" y="45046"/>
                    <a:pt x="393105" y="26943"/>
                    <a:pt x="382031" y="15686"/>
                  </a:cubicBezTo>
                  <a:cubicBezTo>
                    <a:pt x="370958" y="4428"/>
                    <a:pt x="352855" y="4279"/>
                    <a:pt x="341598" y="15352"/>
                  </a:cubicBezTo>
                  <a:lnTo>
                    <a:pt x="149860" y="204138"/>
                  </a:lnTo>
                  <a:lnTo>
                    <a:pt x="56038" y="106697"/>
                  </a:lnTo>
                  <a:cubicBezTo>
                    <a:pt x="45230" y="95420"/>
                    <a:pt x="27371" y="94911"/>
                    <a:pt x="15938" y="105554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7032</xdr:colOff>
      <xdr:row>1</xdr:row>
      <xdr:rowOff>283847</xdr:rowOff>
    </xdr:from>
    <xdr:to>
      <xdr:col>12</xdr:col>
      <xdr:colOff>228600</xdr:colOff>
      <xdr:row>3</xdr:row>
      <xdr:rowOff>1263060</xdr:rowOff>
    </xdr:to>
    <xdr:grpSp>
      <xdr:nvGrpSpPr>
        <xdr:cNvPr id="2" name="Grupo 1" descr="botón de instruccione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10998882" y="1245872"/>
          <a:ext cx="1440768" cy="1445938"/>
          <a:chOff x="10998882" y="1245872"/>
          <a:chExt cx="1440768" cy="1445938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SpPr/>
        </xdr:nvSpPr>
        <xdr:spPr>
          <a:xfrm>
            <a:off x="10998882" y="1245872"/>
            <a:ext cx="1440768" cy="1445938"/>
          </a:xfrm>
          <a:prstGeom prst="ellipse">
            <a:avLst/>
          </a:prstGeom>
          <a:solidFill>
            <a:schemeClr val="accent4">
              <a:lumMod val="50000"/>
            </a:schemeClr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lIns="0" tIns="0" rIns="0" rtlCol="0" anchor="b"/>
          <a:lstStyle/>
          <a:p>
            <a:pPr algn="ctr" rtl="0"/>
            <a:r>
              <a:rPr lang="es" sz="1200">
                <a:latin typeface="Tw Cen MT" panose="020B0602020104020603" pitchFamily="34" charset="0"/>
              </a:rPr>
              <a:t>Establezca fechas importantes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GrpSpPr/>
        </xdr:nvGrpSpPr>
        <xdr:grpSpPr>
          <a:xfrm>
            <a:off x="11547911" y="1518865"/>
            <a:ext cx="351238" cy="377023"/>
            <a:chOff x="5745956" y="3055144"/>
            <a:chExt cx="695325" cy="742950"/>
          </a:xfrm>
          <a:solidFill>
            <a:schemeClr val="bg1"/>
          </a:solidFill>
        </xdr:grpSpPr>
        <xdr:sp macro="" textlink="">
          <xdr:nvSpPr>
            <xdr:cNvPr id="5" name="Forma libre: forma 4">
              <a:extLst>
                <a:ext uri="{FF2B5EF4-FFF2-40B4-BE49-F238E27FC236}">
                  <a16:creationId xmlns:a16="http://schemas.microsoft.com/office/drawing/2014/main" id="{00000000-0008-0000-0800-000005000000}"/>
                </a:ext>
              </a:extLst>
            </xdr:cNvPr>
            <xdr:cNvSpPr/>
          </xdr:nvSpPr>
          <xdr:spPr>
            <a:xfrm>
              <a:off x="5745956" y="3055144"/>
              <a:ext cx="695325" cy="742950"/>
            </a:xfrm>
            <a:custGeom>
              <a:avLst/>
              <a:gdLst>
                <a:gd name="connsiteX0" fmla="*/ 192881 w 695325"/>
                <a:gd name="connsiteY0" fmla="*/ 7144 h 742950"/>
                <a:gd name="connsiteX1" fmla="*/ 111919 w 695325"/>
                <a:gd name="connsiteY1" fmla="*/ 88106 h 742950"/>
                <a:gd name="connsiteX2" fmla="*/ 111919 w 695325"/>
                <a:gd name="connsiteY2" fmla="*/ 112014 h 742950"/>
                <a:gd name="connsiteX3" fmla="*/ 7144 w 695325"/>
                <a:gd name="connsiteY3" fmla="*/ 218123 h 742950"/>
                <a:gd name="connsiteX4" fmla="*/ 7144 w 695325"/>
                <a:gd name="connsiteY4" fmla="*/ 634365 h 742950"/>
                <a:gd name="connsiteX5" fmla="*/ 113348 w 695325"/>
                <a:gd name="connsiteY5" fmla="*/ 740569 h 742950"/>
                <a:gd name="connsiteX6" fmla="*/ 586740 w 695325"/>
                <a:gd name="connsiteY6" fmla="*/ 740569 h 742950"/>
                <a:gd name="connsiteX7" fmla="*/ 692944 w 695325"/>
                <a:gd name="connsiteY7" fmla="*/ 634365 h 742950"/>
                <a:gd name="connsiteX8" fmla="*/ 692944 w 695325"/>
                <a:gd name="connsiteY8" fmla="*/ 217075 h 742950"/>
                <a:gd name="connsiteX9" fmla="*/ 588169 w 695325"/>
                <a:gd name="connsiteY9" fmla="*/ 112300 h 742950"/>
                <a:gd name="connsiteX10" fmla="*/ 588169 w 695325"/>
                <a:gd name="connsiteY10" fmla="*/ 88106 h 742950"/>
                <a:gd name="connsiteX11" fmla="*/ 507206 w 695325"/>
                <a:gd name="connsiteY11" fmla="*/ 7144 h 742950"/>
                <a:gd name="connsiteX12" fmla="*/ 426244 w 695325"/>
                <a:gd name="connsiteY12" fmla="*/ 88106 h 742950"/>
                <a:gd name="connsiteX13" fmla="*/ 426244 w 695325"/>
                <a:gd name="connsiteY13" fmla="*/ 111919 h 742950"/>
                <a:gd name="connsiteX14" fmla="*/ 273844 w 695325"/>
                <a:gd name="connsiteY14" fmla="*/ 111919 h 742950"/>
                <a:gd name="connsiteX15" fmla="*/ 273844 w 695325"/>
                <a:gd name="connsiteY15" fmla="*/ 88106 h 742950"/>
                <a:gd name="connsiteX16" fmla="*/ 192881 w 695325"/>
                <a:gd name="connsiteY16" fmla="*/ 7144 h 742950"/>
                <a:gd name="connsiteX17" fmla="*/ 169069 w 695325"/>
                <a:gd name="connsiteY17" fmla="*/ 88106 h 742950"/>
                <a:gd name="connsiteX18" fmla="*/ 192881 w 695325"/>
                <a:gd name="connsiteY18" fmla="*/ 64294 h 742950"/>
                <a:gd name="connsiteX19" fmla="*/ 216694 w 695325"/>
                <a:gd name="connsiteY19" fmla="*/ 88106 h 742950"/>
                <a:gd name="connsiteX20" fmla="*/ 216694 w 695325"/>
                <a:gd name="connsiteY20" fmla="*/ 207169 h 742950"/>
                <a:gd name="connsiteX21" fmla="*/ 169069 w 695325"/>
                <a:gd name="connsiteY21" fmla="*/ 207169 h 742950"/>
                <a:gd name="connsiteX22" fmla="*/ 483394 w 695325"/>
                <a:gd name="connsiteY22" fmla="*/ 88106 h 742950"/>
                <a:gd name="connsiteX23" fmla="*/ 507206 w 695325"/>
                <a:gd name="connsiteY23" fmla="*/ 64294 h 742950"/>
                <a:gd name="connsiteX24" fmla="*/ 531019 w 695325"/>
                <a:gd name="connsiteY24" fmla="*/ 88106 h 742950"/>
                <a:gd name="connsiteX25" fmla="*/ 531019 w 695325"/>
                <a:gd name="connsiteY25" fmla="*/ 207169 h 742950"/>
                <a:gd name="connsiteX26" fmla="*/ 483394 w 695325"/>
                <a:gd name="connsiteY26" fmla="*/ 207169 h 742950"/>
                <a:gd name="connsiteX27" fmla="*/ 296323 w 695325"/>
                <a:gd name="connsiteY27" fmla="*/ 264319 h 742950"/>
                <a:gd name="connsiteX28" fmla="*/ 635794 w 695325"/>
                <a:gd name="connsiteY28" fmla="*/ 264319 h 742950"/>
                <a:gd name="connsiteX29" fmla="*/ 635794 w 695325"/>
                <a:gd name="connsiteY29" fmla="*/ 634365 h 742950"/>
                <a:gd name="connsiteX30" fmla="*/ 586740 w 695325"/>
                <a:gd name="connsiteY30" fmla="*/ 683419 h 742950"/>
                <a:gd name="connsiteX31" fmla="*/ 113348 w 695325"/>
                <a:gd name="connsiteY31" fmla="*/ 683419 h 742950"/>
                <a:gd name="connsiteX32" fmla="*/ 64294 w 695325"/>
                <a:gd name="connsiteY32" fmla="*/ 634365 h 742950"/>
                <a:gd name="connsiteX33" fmla="*/ 64294 w 695325"/>
                <a:gd name="connsiteY33" fmla="*/ 264319 h 742950"/>
                <a:gd name="connsiteX34" fmla="*/ 296323 w 695325"/>
                <a:gd name="connsiteY34" fmla="*/ 264319 h 7429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</a:cxnLst>
              <a:rect l="l" t="t" r="r" b="b"/>
              <a:pathLst>
                <a:path w="695325" h="742950">
                  <a:moveTo>
                    <a:pt x="192881" y="7144"/>
                  </a:moveTo>
                  <a:cubicBezTo>
                    <a:pt x="148189" y="7196"/>
                    <a:pt x="111971" y="43414"/>
                    <a:pt x="111919" y="88106"/>
                  </a:cubicBezTo>
                  <a:lnTo>
                    <a:pt x="111919" y="112014"/>
                  </a:lnTo>
                  <a:cubicBezTo>
                    <a:pt x="53838" y="112744"/>
                    <a:pt x="7139" y="160037"/>
                    <a:pt x="7144" y="218123"/>
                  </a:cubicBezTo>
                  <a:lnTo>
                    <a:pt x="7144" y="634365"/>
                  </a:lnTo>
                  <a:cubicBezTo>
                    <a:pt x="7144" y="693020"/>
                    <a:pt x="54693" y="740569"/>
                    <a:pt x="113348" y="740569"/>
                  </a:cubicBezTo>
                  <a:lnTo>
                    <a:pt x="586740" y="740569"/>
                  </a:lnTo>
                  <a:cubicBezTo>
                    <a:pt x="645395" y="740569"/>
                    <a:pt x="692944" y="693020"/>
                    <a:pt x="692944" y="634365"/>
                  </a:cubicBezTo>
                  <a:lnTo>
                    <a:pt x="692944" y="217075"/>
                  </a:lnTo>
                  <a:cubicBezTo>
                    <a:pt x="692944" y="159209"/>
                    <a:pt x="646034" y="112300"/>
                    <a:pt x="588169" y="112300"/>
                  </a:cubicBezTo>
                  <a:lnTo>
                    <a:pt x="588169" y="88106"/>
                  </a:lnTo>
                  <a:cubicBezTo>
                    <a:pt x="588169" y="43392"/>
                    <a:pt x="551920" y="7144"/>
                    <a:pt x="507206" y="7144"/>
                  </a:cubicBezTo>
                  <a:cubicBezTo>
                    <a:pt x="462492" y="7144"/>
                    <a:pt x="426244" y="43392"/>
                    <a:pt x="426244" y="88106"/>
                  </a:cubicBezTo>
                  <a:lnTo>
                    <a:pt x="426244" y="111919"/>
                  </a:lnTo>
                  <a:lnTo>
                    <a:pt x="273844" y="111919"/>
                  </a:lnTo>
                  <a:lnTo>
                    <a:pt x="273844" y="88106"/>
                  </a:lnTo>
                  <a:cubicBezTo>
                    <a:pt x="273791" y="43414"/>
                    <a:pt x="237574" y="7196"/>
                    <a:pt x="192881" y="7144"/>
                  </a:cubicBezTo>
                  <a:close/>
                  <a:moveTo>
                    <a:pt x="169069" y="88106"/>
                  </a:moveTo>
                  <a:cubicBezTo>
                    <a:pt x="169069" y="74955"/>
                    <a:pt x="179730" y="64294"/>
                    <a:pt x="192881" y="64294"/>
                  </a:cubicBezTo>
                  <a:cubicBezTo>
                    <a:pt x="206032" y="64294"/>
                    <a:pt x="216694" y="74955"/>
                    <a:pt x="216694" y="88106"/>
                  </a:cubicBezTo>
                  <a:lnTo>
                    <a:pt x="216694" y="207169"/>
                  </a:lnTo>
                  <a:lnTo>
                    <a:pt x="169069" y="207169"/>
                  </a:lnTo>
                  <a:close/>
                  <a:moveTo>
                    <a:pt x="483394" y="88106"/>
                  </a:moveTo>
                  <a:cubicBezTo>
                    <a:pt x="483394" y="74955"/>
                    <a:pt x="494055" y="64294"/>
                    <a:pt x="507206" y="64294"/>
                  </a:cubicBezTo>
                  <a:cubicBezTo>
                    <a:pt x="520357" y="64294"/>
                    <a:pt x="531019" y="74955"/>
                    <a:pt x="531019" y="88106"/>
                  </a:cubicBezTo>
                  <a:lnTo>
                    <a:pt x="531019" y="207169"/>
                  </a:lnTo>
                  <a:lnTo>
                    <a:pt x="483394" y="207169"/>
                  </a:lnTo>
                  <a:close/>
                  <a:moveTo>
                    <a:pt x="296323" y="264319"/>
                  </a:moveTo>
                  <a:lnTo>
                    <a:pt x="635794" y="264319"/>
                  </a:lnTo>
                  <a:lnTo>
                    <a:pt x="635794" y="634365"/>
                  </a:lnTo>
                  <a:cubicBezTo>
                    <a:pt x="635741" y="661435"/>
                    <a:pt x="613810" y="683366"/>
                    <a:pt x="586740" y="683419"/>
                  </a:cubicBezTo>
                  <a:lnTo>
                    <a:pt x="113348" y="683419"/>
                  </a:lnTo>
                  <a:cubicBezTo>
                    <a:pt x="86277" y="683366"/>
                    <a:pt x="64346" y="661435"/>
                    <a:pt x="64294" y="634365"/>
                  </a:cubicBezTo>
                  <a:lnTo>
                    <a:pt x="64294" y="264319"/>
                  </a:lnTo>
                  <a:lnTo>
                    <a:pt x="296323" y="264319"/>
                  </a:ln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00000000-0008-0000-0800-000006000000}"/>
                </a:ext>
              </a:extLst>
            </xdr:cNvPr>
            <xdr:cNvSpPr/>
          </xdr:nvSpPr>
          <xdr:spPr>
            <a:xfrm>
              <a:off x="5918137" y="3388978"/>
              <a:ext cx="390525" cy="266700"/>
            </a:xfrm>
            <a:custGeom>
              <a:avLst/>
              <a:gdLst>
                <a:gd name="connsiteX0" fmla="*/ 15938 w 390525"/>
                <a:gd name="connsiteY0" fmla="*/ 105554 h 266700"/>
                <a:gd name="connsiteX1" fmla="*/ 15081 w 390525"/>
                <a:gd name="connsiteY1" fmla="*/ 145940 h 266700"/>
                <a:gd name="connsiteX2" fmla="*/ 115379 w 390525"/>
                <a:gd name="connsiteY2" fmla="*/ 250715 h 266700"/>
                <a:gd name="connsiteX3" fmla="*/ 149288 w 390525"/>
                <a:gd name="connsiteY3" fmla="*/ 265193 h 266700"/>
                <a:gd name="connsiteX4" fmla="*/ 149288 w 390525"/>
                <a:gd name="connsiteY4" fmla="*/ 265193 h 266700"/>
                <a:gd name="connsiteX5" fmla="*/ 183007 w 390525"/>
                <a:gd name="connsiteY5" fmla="*/ 251382 h 266700"/>
                <a:gd name="connsiteX6" fmla="*/ 381698 w 390525"/>
                <a:gd name="connsiteY6" fmla="*/ 56119 h 266700"/>
                <a:gd name="connsiteX7" fmla="*/ 382031 w 390525"/>
                <a:gd name="connsiteY7" fmla="*/ 15686 h 266700"/>
                <a:gd name="connsiteX8" fmla="*/ 341598 w 390525"/>
                <a:gd name="connsiteY8" fmla="*/ 15352 h 266700"/>
                <a:gd name="connsiteX9" fmla="*/ 149860 w 390525"/>
                <a:gd name="connsiteY9" fmla="*/ 204138 h 266700"/>
                <a:gd name="connsiteX10" fmla="*/ 56038 w 390525"/>
                <a:gd name="connsiteY10" fmla="*/ 106697 h 266700"/>
                <a:gd name="connsiteX11" fmla="*/ 15938 w 390525"/>
                <a:gd name="connsiteY11" fmla="*/ 105554 h 2667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90525" h="266700">
                  <a:moveTo>
                    <a:pt x="15938" y="105554"/>
                  </a:moveTo>
                  <a:cubicBezTo>
                    <a:pt x="4556" y="116473"/>
                    <a:pt x="4172" y="134548"/>
                    <a:pt x="15081" y="145940"/>
                  </a:cubicBezTo>
                  <a:lnTo>
                    <a:pt x="115379" y="250715"/>
                  </a:lnTo>
                  <a:cubicBezTo>
                    <a:pt x="124280" y="259898"/>
                    <a:pt x="136500" y="265116"/>
                    <a:pt x="149288" y="265193"/>
                  </a:cubicBezTo>
                  <a:lnTo>
                    <a:pt x="149288" y="265193"/>
                  </a:lnTo>
                  <a:cubicBezTo>
                    <a:pt x="161902" y="265179"/>
                    <a:pt x="174007" y="260221"/>
                    <a:pt x="183007" y="251382"/>
                  </a:cubicBezTo>
                  <a:lnTo>
                    <a:pt x="381698" y="56119"/>
                  </a:lnTo>
                  <a:cubicBezTo>
                    <a:pt x="392956" y="45046"/>
                    <a:pt x="393105" y="26943"/>
                    <a:pt x="382031" y="15686"/>
                  </a:cubicBezTo>
                  <a:cubicBezTo>
                    <a:pt x="370958" y="4428"/>
                    <a:pt x="352855" y="4279"/>
                    <a:pt x="341598" y="15352"/>
                  </a:cubicBezTo>
                  <a:lnTo>
                    <a:pt x="149860" y="204138"/>
                  </a:lnTo>
                  <a:lnTo>
                    <a:pt x="56038" y="106697"/>
                  </a:lnTo>
                  <a:cubicBezTo>
                    <a:pt x="45230" y="95420"/>
                    <a:pt x="27371" y="94911"/>
                    <a:pt x="15938" y="105554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</xdr:grp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7032</xdr:colOff>
      <xdr:row>1</xdr:row>
      <xdr:rowOff>283847</xdr:rowOff>
    </xdr:from>
    <xdr:to>
      <xdr:col>12</xdr:col>
      <xdr:colOff>228600</xdr:colOff>
      <xdr:row>3</xdr:row>
      <xdr:rowOff>1263060</xdr:rowOff>
    </xdr:to>
    <xdr:grpSp>
      <xdr:nvGrpSpPr>
        <xdr:cNvPr id="2" name="Grupo 1" descr="botón de instruccione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10998882" y="1245872"/>
          <a:ext cx="1440768" cy="1445938"/>
          <a:chOff x="10998882" y="1245872"/>
          <a:chExt cx="1440768" cy="1445938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SpPr/>
        </xdr:nvSpPr>
        <xdr:spPr>
          <a:xfrm>
            <a:off x="10998882" y="1245872"/>
            <a:ext cx="1440768" cy="1445938"/>
          </a:xfrm>
          <a:prstGeom prst="ellipse">
            <a:avLst/>
          </a:prstGeom>
          <a:solidFill>
            <a:schemeClr val="accent4">
              <a:lumMod val="50000"/>
            </a:schemeClr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lIns="0" tIns="0" rIns="0" rtlCol="0" anchor="b"/>
          <a:lstStyle/>
          <a:p>
            <a:pPr algn="ctr" rtl="0"/>
            <a:r>
              <a:rPr lang="es" sz="1200">
                <a:latin typeface="Tw Cen MT" panose="020B0602020104020603" pitchFamily="34" charset="0"/>
              </a:rPr>
              <a:t>Establezca fechas importantes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GrpSpPr/>
        </xdr:nvGrpSpPr>
        <xdr:grpSpPr>
          <a:xfrm>
            <a:off x="11547911" y="1518865"/>
            <a:ext cx="351238" cy="377023"/>
            <a:chOff x="5745956" y="3055144"/>
            <a:chExt cx="695325" cy="742950"/>
          </a:xfrm>
          <a:solidFill>
            <a:schemeClr val="bg1"/>
          </a:solidFill>
        </xdr:grpSpPr>
        <xdr:sp macro="" textlink="">
          <xdr:nvSpPr>
            <xdr:cNvPr id="5" name="Forma libre: forma 4">
              <a:extLst>
                <a:ext uri="{FF2B5EF4-FFF2-40B4-BE49-F238E27FC236}">
                  <a16:creationId xmlns:a16="http://schemas.microsoft.com/office/drawing/2014/main" id="{00000000-0008-0000-0900-000005000000}"/>
                </a:ext>
              </a:extLst>
            </xdr:cNvPr>
            <xdr:cNvSpPr/>
          </xdr:nvSpPr>
          <xdr:spPr>
            <a:xfrm>
              <a:off x="5745956" y="3055144"/>
              <a:ext cx="695325" cy="742950"/>
            </a:xfrm>
            <a:custGeom>
              <a:avLst/>
              <a:gdLst>
                <a:gd name="connsiteX0" fmla="*/ 192881 w 695325"/>
                <a:gd name="connsiteY0" fmla="*/ 7144 h 742950"/>
                <a:gd name="connsiteX1" fmla="*/ 111919 w 695325"/>
                <a:gd name="connsiteY1" fmla="*/ 88106 h 742950"/>
                <a:gd name="connsiteX2" fmla="*/ 111919 w 695325"/>
                <a:gd name="connsiteY2" fmla="*/ 112014 h 742950"/>
                <a:gd name="connsiteX3" fmla="*/ 7144 w 695325"/>
                <a:gd name="connsiteY3" fmla="*/ 218123 h 742950"/>
                <a:gd name="connsiteX4" fmla="*/ 7144 w 695325"/>
                <a:gd name="connsiteY4" fmla="*/ 634365 h 742950"/>
                <a:gd name="connsiteX5" fmla="*/ 113348 w 695325"/>
                <a:gd name="connsiteY5" fmla="*/ 740569 h 742950"/>
                <a:gd name="connsiteX6" fmla="*/ 586740 w 695325"/>
                <a:gd name="connsiteY6" fmla="*/ 740569 h 742950"/>
                <a:gd name="connsiteX7" fmla="*/ 692944 w 695325"/>
                <a:gd name="connsiteY7" fmla="*/ 634365 h 742950"/>
                <a:gd name="connsiteX8" fmla="*/ 692944 w 695325"/>
                <a:gd name="connsiteY8" fmla="*/ 217075 h 742950"/>
                <a:gd name="connsiteX9" fmla="*/ 588169 w 695325"/>
                <a:gd name="connsiteY9" fmla="*/ 112300 h 742950"/>
                <a:gd name="connsiteX10" fmla="*/ 588169 w 695325"/>
                <a:gd name="connsiteY10" fmla="*/ 88106 h 742950"/>
                <a:gd name="connsiteX11" fmla="*/ 507206 w 695325"/>
                <a:gd name="connsiteY11" fmla="*/ 7144 h 742950"/>
                <a:gd name="connsiteX12" fmla="*/ 426244 w 695325"/>
                <a:gd name="connsiteY12" fmla="*/ 88106 h 742950"/>
                <a:gd name="connsiteX13" fmla="*/ 426244 w 695325"/>
                <a:gd name="connsiteY13" fmla="*/ 111919 h 742950"/>
                <a:gd name="connsiteX14" fmla="*/ 273844 w 695325"/>
                <a:gd name="connsiteY14" fmla="*/ 111919 h 742950"/>
                <a:gd name="connsiteX15" fmla="*/ 273844 w 695325"/>
                <a:gd name="connsiteY15" fmla="*/ 88106 h 742950"/>
                <a:gd name="connsiteX16" fmla="*/ 192881 w 695325"/>
                <a:gd name="connsiteY16" fmla="*/ 7144 h 742950"/>
                <a:gd name="connsiteX17" fmla="*/ 169069 w 695325"/>
                <a:gd name="connsiteY17" fmla="*/ 88106 h 742950"/>
                <a:gd name="connsiteX18" fmla="*/ 192881 w 695325"/>
                <a:gd name="connsiteY18" fmla="*/ 64294 h 742950"/>
                <a:gd name="connsiteX19" fmla="*/ 216694 w 695325"/>
                <a:gd name="connsiteY19" fmla="*/ 88106 h 742950"/>
                <a:gd name="connsiteX20" fmla="*/ 216694 w 695325"/>
                <a:gd name="connsiteY20" fmla="*/ 207169 h 742950"/>
                <a:gd name="connsiteX21" fmla="*/ 169069 w 695325"/>
                <a:gd name="connsiteY21" fmla="*/ 207169 h 742950"/>
                <a:gd name="connsiteX22" fmla="*/ 483394 w 695325"/>
                <a:gd name="connsiteY22" fmla="*/ 88106 h 742950"/>
                <a:gd name="connsiteX23" fmla="*/ 507206 w 695325"/>
                <a:gd name="connsiteY23" fmla="*/ 64294 h 742950"/>
                <a:gd name="connsiteX24" fmla="*/ 531019 w 695325"/>
                <a:gd name="connsiteY24" fmla="*/ 88106 h 742950"/>
                <a:gd name="connsiteX25" fmla="*/ 531019 w 695325"/>
                <a:gd name="connsiteY25" fmla="*/ 207169 h 742950"/>
                <a:gd name="connsiteX26" fmla="*/ 483394 w 695325"/>
                <a:gd name="connsiteY26" fmla="*/ 207169 h 742950"/>
                <a:gd name="connsiteX27" fmla="*/ 296323 w 695325"/>
                <a:gd name="connsiteY27" fmla="*/ 264319 h 742950"/>
                <a:gd name="connsiteX28" fmla="*/ 635794 w 695325"/>
                <a:gd name="connsiteY28" fmla="*/ 264319 h 742950"/>
                <a:gd name="connsiteX29" fmla="*/ 635794 w 695325"/>
                <a:gd name="connsiteY29" fmla="*/ 634365 h 742950"/>
                <a:gd name="connsiteX30" fmla="*/ 586740 w 695325"/>
                <a:gd name="connsiteY30" fmla="*/ 683419 h 742950"/>
                <a:gd name="connsiteX31" fmla="*/ 113348 w 695325"/>
                <a:gd name="connsiteY31" fmla="*/ 683419 h 742950"/>
                <a:gd name="connsiteX32" fmla="*/ 64294 w 695325"/>
                <a:gd name="connsiteY32" fmla="*/ 634365 h 742950"/>
                <a:gd name="connsiteX33" fmla="*/ 64294 w 695325"/>
                <a:gd name="connsiteY33" fmla="*/ 264319 h 742950"/>
                <a:gd name="connsiteX34" fmla="*/ 296323 w 695325"/>
                <a:gd name="connsiteY34" fmla="*/ 264319 h 7429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</a:cxnLst>
              <a:rect l="l" t="t" r="r" b="b"/>
              <a:pathLst>
                <a:path w="695325" h="742950">
                  <a:moveTo>
                    <a:pt x="192881" y="7144"/>
                  </a:moveTo>
                  <a:cubicBezTo>
                    <a:pt x="148189" y="7196"/>
                    <a:pt x="111971" y="43414"/>
                    <a:pt x="111919" y="88106"/>
                  </a:cubicBezTo>
                  <a:lnTo>
                    <a:pt x="111919" y="112014"/>
                  </a:lnTo>
                  <a:cubicBezTo>
                    <a:pt x="53838" y="112744"/>
                    <a:pt x="7139" y="160037"/>
                    <a:pt x="7144" y="218123"/>
                  </a:cubicBezTo>
                  <a:lnTo>
                    <a:pt x="7144" y="634365"/>
                  </a:lnTo>
                  <a:cubicBezTo>
                    <a:pt x="7144" y="693020"/>
                    <a:pt x="54693" y="740569"/>
                    <a:pt x="113348" y="740569"/>
                  </a:cubicBezTo>
                  <a:lnTo>
                    <a:pt x="586740" y="740569"/>
                  </a:lnTo>
                  <a:cubicBezTo>
                    <a:pt x="645395" y="740569"/>
                    <a:pt x="692944" y="693020"/>
                    <a:pt x="692944" y="634365"/>
                  </a:cubicBezTo>
                  <a:lnTo>
                    <a:pt x="692944" y="217075"/>
                  </a:lnTo>
                  <a:cubicBezTo>
                    <a:pt x="692944" y="159209"/>
                    <a:pt x="646034" y="112300"/>
                    <a:pt x="588169" y="112300"/>
                  </a:cubicBezTo>
                  <a:lnTo>
                    <a:pt x="588169" y="88106"/>
                  </a:lnTo>
                  <a:cubicBezTo>
                    <a:pt x="588169" y="43392"/>
                    <a:pt x="551920" y="7144"/>
                    <a:pt x="507206" y="7144"/>
                  </a:cubicBezTo>
                  <a:cubicBezTo>
                    <a:pt x="462492" y="7144"/>
                    <a:pt x="426244" y="43392"/>
                    <a:pt x="426244" y="88106"/>
                  </a:cubicBezTo>
                  <a:lnTo>
                    <a:pt x="426244" y="111919"/>
                  </a:lnTo>
                  <a:lnTo>
                    <a:pt x="273844" y="111919"/>
                  </a:lnTo>
                  <a:lnTo>
                    <a:pt x="273844" y="88106"/>
                  </a:lnTo>
                  <a:cubicBezTo>
                    <a:pt x="273791" y="43414"/>
                    <a:pt x="237574" y="7196"/>
                    <a:pt x="192881" y="7144"/>
                  </a:cubicBezTo>
                  <a:close/>
                  <a:moveTo>
                    <a:pt x="169069" y="88106"/>
                  </a:moveTo>
                  <a:cubicBezTo>
                    <a:pt x="169069" y="74955"/>
                    <a:pt x="179730" y="64294"/>
                    <a:pt x="192881" y="64294"/>
                  </a:cubicBezTo>
                  <a:cubicBezTo>
                    <a:pt x="206032" y="64294"/>
                    <a:pt x="216694" y="74955"/>
                    <a:pt x="216694" y="88106"/>
                  </a:cubicBezTo>
                  <a:lnTo>
                    <a:pt x="216694" y="207169"/>
                  </a:lnTo>
                  <a:lnTo>
                    <a:pt x="169069" y="207169"/>
                  </a:lnTo>
                  <a:close/>
                  <a:moveTo>
                    <a:pt x="483394" y="88106"/>
                  </a:moveTo>
                  <a:cubicBezTo>
                    <a:pt x="483394" y="74955"/>
                    <a:pt x="494055" y="64294"/>
                    <a:pt x="507206" y="64294"/>
                  </a:cubicBezTo>
                  <a:cubicBezTo>
                    <a:pt x="520357" y="64294"/>
                    <a:pt x="531019" y="74955"/>
                    <a:pt x="531019" y="88106"/>
                  </a:cubicBezTo>
                  <a:lnTo>
                    <a:pt x="531019" y="207169"/>
                  </a:lnTo>
                  <a:lnTo>
                    <a:pt x="483394" y="207169"/>
                  </a:lnTo>
                  <a:close/>
                  <a:moveTo>
                    <a:pt x="296323" y="264319"/>
                  </a:moveTo>
                  <a:lnTo>
                    <a:pt x="635794" y="264319"/>
                  </a:lnTo>
                  <a:lnTo>
                    <a:pt x="635794" y="634365"/>
                  </a:lnTo>
                  <a:cubicBezTo>
                    <a:pt x="635741" y="661435"/>
                    <a:pt x="613810" y="683366"/>
                    <a:pt x="586740" y="683419"/>
                  </a:cubicBezTo>
                  <a:lnTo>
                    <a:pt x="113348" y="683419"/>
                  </a:lnTo>
                  <a:cubicBezTo>
                    <a:pt x="86277" y="683366"/>
                    <a:pt x="64346" y="661435"/>
                    <a:pt x="64294" y="634365"/>
                  </a:cubicBezTo>
                  <a:lnTo>
                    <a:pt x="64294" y="264319"/>
                  </a:lnTo>
                  <a:lnTo>
                    <a:pt x="296323" y="264319"/>
                  </a:ln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00000000-0008-0000-0900-000006000000}"/>
                </a:ext>
              </a:extLst>
            </xdr:cNvPr>
            <xdr:cNvSpPr/>
          </xdr:nvSpPr>
          <xdr:spPr>
            <a:xfrm>
              <a:off x="5918137" y="3388978"/>
              <a:ext cx="390525" cy="266700"/>
            </a:xfrm>
            <a:custGeom>
              <a:avLst/>
              <a:gdLst>
                <a:gd name="connsiteX0" fmla="*/ 15938 w 390525"/>
                <a:gd name="connsiteY0" fmla="*/ 105554 h 266700"/>
                <a:gd name="connsiteX1" fmla="*/ 15081 w 390525"/>
                <a:gd name="connsiteY1" fmla="*/ 145940 h 266700"/>
                <a:gd name="connsiteX2" fmla="*/ 115379 w 390525"/>
                <a:gd name="connsiteY2" fmla="*/ 250715 h 266700"/>
                <a:gd name="connsiteX3" fmla="*/ 149288 w 390525"/>
                <a:gd name="connsiteY3" fmla="*/ 265193 h 266700"/>
                <a:gd name="connsiteX4" fmla="*/ 149288 w 390525"/>
                <a:gd name="connsiteY4" fmla="*/ 265193 h 266700"/>
                <a:gd name="connsiteX5" fmla="*/ 183007 w 390525"/>
                <a:gd name="connsiteY5" fmla="*/ 251382 h 266700"/>
                <a:gd name="connsiteX6" fmla="*/ 381698 w 390525"/>
                <a:gd name="connsiteY6" fmla="*/ 56119 h 266700"/>
                <a:gd name="connsiteX7" fmla="*/ 382031 w 390525"/>
                <a:gd name="connsiteY7" fmla="*/ 15686 h 266700"/>
                <a:gd name="connsiteX8" fmla="*/ 341598 w 390525"/>
                <a:gd name="connsiteY8" fmla="*/ 15352 h 266700"/>
                <a:gd name="connsiteX9" fmla="*/ 149860 w 390525"/>
                <a:gd name="connsiteY9" fmla="*/ 204138 h 266700"/>
                <a:gd name="connsiteX10" fmla="*/ 56038 w 390525"/>
                <a:gd name="connsiteY10" fmla="*/ 106697 h 266700"/>
                <a:gd name="connsiteX11" fmla="*/ 15938 w 390525"/>
                <a:gd name="connsiteY11" fmla="*/ 105554 h 2667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90525" h="266700">
                  <a:moveTo>
                    <a:pt x="15938" y="105554"/>
                  </a:moveTo>
                  <a:cubicBezTo>
                    <a:pt x="4556" y="116473"/>
                    <a:pt x="4172" y="134548"/>
                    <a:pt x="15081" y="145940"/>
                  </a:cubicBezTo>
                  <a:lnTo>
                    <a:pt x="115379" y="250715"/>
                  </a:lnTo>
                  <a:cubicBezTo>
                    <a:pt x="124280" y="259898"/>
                    <a:pt x="136500" y="265116"/>
                    <a:pt x="149288" y="265193"/>
                  </a:cubicBezTo>
                  <a:lnTo>
                    <a:pt x="149288" y="265193"/>
                  </a:lnTo>
                  <a:cubicBezTo>
                    <a:pt x="161902" y="265179"/>
                    <a:pt x="174007" y="260221"/>
                    <a:pt x="183007" y="251382"/>
                  </a:cubicBezTo>
                  <a:lnTo>
                    <a:pt x="381698" y="56119"/>
                  </a:lnTo>
                  <a:cubicBezTo>
                    <a:pt x="392956" y="45046"/>
                    <a:pt x="393105" y="26943"/>
                    <a:pt x="382031" y="15686"/>
                  </a:cubicBezTo>
                  <a:cubicBezTo>
                    <a:pt x="370958" y="4428"/>
                    <a:pt x="352855" y="4279"/>
                    <a:pt x="341598" y="15352"/>
                  </a:cubicBezTo>
                  <a:lnTo>
                    <a:pt x="149860" y="204138"/>
                  </a:lnTo>
                  <a:lnTo>
                    <a:pt x="56038" y="106697"/>
                  </a:lnTo>
                  <a:cubicBezTo>
                    <a:pt x="45230" y="95420"/>
                    <a:pt x="27371" y="94911"/>
                    <a:pt x="15938" y="105554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</xdr:grp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7032</xdr:colOff>
      <xdr:row>1</xdr:row>
      <xdr:rowOff>283847</xdr:rowOff>
    </xdr:from>
    <xdr:to>
      <xdr:col>12</xdr:col>
      <xdr:colOff>228600</xdr:colOff>
      <xdr:row>3</xdr:row>
      <xdr:rowOff>1263060</xdr:rowOff>
    </xdr:to>
    <xdr:grpSp>
      <xdr:nvGrpSpPr>
        <xdr:cNvPr id="2" name="Grupo 1" descr="botón de instruccione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10998882" y="1245872"/>
          <a:ext cx="1440768" cy="1445938"/>
          <a:chOff x="10998882" y="1245872"/>
          <a:chExt cx="1440768" cy="1445938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SpPr/>
        </xdr:nvSpPr>
        <xdr:spPr>
          <a:xfrm>
            <a:off x="10998882" y="1245872"/>
            <a:ext cx="1440768" cy="1445938"/>
          </a:xfrm>
          <a:prstGeom prst="ellipse">
            <a:avLst/>
          </a:prstGeom>
          <a:solidFill>
            <a:schemeClr val="accent4">
              <a:lumMod val="50000"/>
            </a:schemeClr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lIns="0" tIns="0" rIns="0" rtlCol="0" anchor="b"/>
          <a:lstStyle/>
          <a:p>
            <a:pPr algn="ctr" rtl="0"/>
            <a:r>
              <a:rPr lang="es" sz="1200">
                <a:latin typeface="Tw Cen MT" panose="020B0602020104020603" pitchFamily="34" charset="0"/>
              </a:rPr>
              <a:t>Establezca fechas importantes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GrpSpPr/>
        </xdr:nvGrpSpPr>
        <xdr:grpSpPr>
          <a:xfrm>
            <a:off x="11547911" y="1518865"/>
            <a:ext cx="351238" cy="377023"/>
            <a:chOff x="5745956" y="3055144"/>
            <a:chExt cx="695325" cy="742950"/>
          </a:xfrm>
          <a:solidFill>
            <a:schemeClr val="bg1"/>
          </a:solidFill>
        </xdr:grpSpPr>
        <xdr:sp macro="" textlink="">
          <xdr:nvSpPr>
            <xdr:cNvPr id="5" name="Forma libre: forma 4">
              <a:extLst>
                <a:ext uri="{FF2B5EF4-FFF2-40B4-BE49-F238E27FC236}">
                  <a16:creationId xmlns:a16="http://schemas.microsoft.com/office/drawing/2014/main" id="{00000000-0008-0000-0A00-000005000000}"/>
                </a:ext>
              </a:extLst>
            </xdr:cNvPr>
            <xdr:cNvSpPr/>
          </xdr:nvSpPr>
          <xdr:spPr>
            <a:xfrm>
              <a:off x="5745956" y="3055144"/>
              <a:ext cx="695325" cy="742950"/>
            </a:xfrm>
            <a:custGeom>
              <a:avLst/>
              <a:gdLst>
                <a:gd name="connsiteX0" fmla="*/ 192881 w 695325"/>
                <a:gd name="connsiteY0" fmla="*/ 7144 h 742950"/>
                <a:gd name="connsiteX1" fmla="*/ 111919 w 695325"/>
                <a:gd name="connsiteY1" fmla="*/ 88106 h 742950"/>
                <a:gd name="connsiteX2" fmla="*/ 111919 w 695325"/>
                <a:gd name="connsiteY2" fmla="*/ 112014 h 742950"/>
                <a:gd name="connsiteX3" fmla="*/ 7144 w 695325"/>
                <a:gd name="connsiteY3" fmla="*/ 218123 h 742950"/>
                <a:gd name="connsiteX4" fmla="*/ 7144 w 695325"/>
                <a:gd name="connsiteY4" fmla="*/ 634365 h 742950"/>
                <a:gd name="connsiteX5" fmla="*/ 113348 w 695325"/>
                <a:gd name="connsiteY5" fmla="*/ 740569 h 742950"/>
                <a:gd name="connsiteX6" fmla="*/ 586740 w 695325"/>
                <a:gd name="connsiteY6" fmla="*/ 740569 h 742950"/>
                <a:gd name="connsiteX7" fmla="*/ 692944 w 695325"/>
                <a:gd name="connsiteY7" fmla="*/ 634365 h 742950"/>
                <a:gd name="connsiteX8" fmla="*/ 692944 w 695325"/>
                <a:gd name="connsiteY8" fmla="*/ 217075 h 742950"/>
                <a:gd name="connsiteX9" fmla="*/ 588169 w 695325"/>
                <a:gd name="connsiteY9" fmla="*/ 112300 h 742950"/>
                <a:gd name="connsiteX10" fmla="*/ 588169 w 695325"/>
                <a:gd name="connsiteY10" fmla="*/ 88106 h 742950"/>
                <a:gd name="connsiteX11" fmla="*/ 507206 w 695325"/>
                <a:gd name="connsiteY11" fmla="*/ 7144 h 742950"/>
                <a:gd name="connsiteX12" fmla="*/ 426244 w 695325"/>
                <a:gd name="connsiteY12" fmla="*/ 88106 h 742950"/>
                <a:gd name="connsiteX13" fmla="*/ 426244 w 695325"/>
                <a:gd name="connsiteY13" fmla="*/ 111919 h 742950"/>
                <a:gd name="connsiteX14" fmla="*/ 273844 w 695325"/>
                <a:gd name="connsiteY14" fmla="*/ 111919 h 742950"/>
                <a:gd name="connsiteX15" fmla="*/ 273844 w 695325"/>
                <a:gd name="connsiteY15" fmla="*/ 88106 h 742950"/>
                <a:gd name="connsiteX16" fmla="*/ 192881 w 695325"/>
                <a:gd name="connsiteY16" fmla="*/ 7144 h 742950"/>
                <a:gd name="connsiteX17" fmla="*/ 169069 w 695325"/>
                <a:gd name="connsiteY17" fmla="*/ 88106 h 742950"/>
                <a:gd name="connsiteX18" fmla="*/ 192881 w 695325"/>
                <a:gd name="connsiteY18" fmla="*/ 64294 h 742950"/>
                <a:gd name="connsiteX19" fmla="*/ 216694 w 695325"/>
                <a:gd name="connsiteY19" fmla="*/ 88106 h 742950"/>
                <a:gd name="connsiteX20" fmla="*/ 216694 w 695325"/>
                <a:gd name="connsiteY20" fmla="*/ 207169 h 742950"/>
                <a:gd name="connsiteX21" fmla="*/ 169069 w 695325"/>
                <a:gd name="connsiteY21" fmla="*/ 207169 h 742950"/>
                <a:gd name="connsiteX22" fmla="*/ 483394 w 695325"/>
                <a:gd name="connsiteY22" fmla="*/ 88106 h 742950"/>
                <a:gd name="connsiteX23" fmla="*/ 507206 w 695325"/>
                <a:gd name="connsiteY23" fmla="*/ 64294 h 742950"/>
                <a:gd name="connsiteX24" fmla="*/ 531019 w 695325"/>
                <a:gd name="connsiteY24" fmla="*/ 88106 h 742950"/>
                <a:gd name="connsiteX25" fmla="*/ 531019 w 695325"/>
                <a:gd name="connsiteY25" fmla="*/ 207169 h 742950"/>
                <a:gd name="connsiteX26" fmla="*/ 483394 w 695325"/>
                <a:gd name="connsiteY26" fmla="*/ 207169 h 742950"/>
                <a:gd name="connsiteX27" fmla="*/ 296323 w 695325"/>
                <a:gd name="connsiteY27" fmla="*/ 264319 h 742950"/>
                <a:gd name="connsiteX28" fmla="*/ 635794 w 695325"/>
                <a:gd name="connsiteY28" fmla="*/ 264319 h 742950"/>
                <a:gd name="connsiteX29" fmla="*/ 635794 w 695325"/>
                <a:gd name="connsiteY29" fmla="*/ 634365 h 742950"/>
                <a:gd name="connsiteX30" fmla="*/ 586740 w 695325"/>
                <a:gd name="connsiteY30" fmla="*/ 683419 h 742950"/>
                <a:gd name="connsiteX31" fmla="*/ 113348 w 695325"/>
                <a:gd name="connsiteY31" fmla="*/ 683419 h 742950"/>
                <a:gd name="connsiteX32" fmla="*/ 64294 w 695325"/>
                <a:gd name="connsiteY32" fmla="*/ 634365 h 742950"/>
                <a:gd name="connsiteX33" fmla="*/ 64294 w 695325"/>
                <a:gd name="connsiteY33" fmla="*/ 264319 h 742950"/>
                <a:gd name="connsiteX34" fmla="*/ 296323 w 695325"/>
                <a:gd name="connsiteY34" fmla="*/ 264319 h 7429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</a:cxnLst>
              <a:rect l="l" t="t" r="r" b="b"/>
              <a:pathLst>
                <a:path w="695325" h="742950">
                  <a:moveTo>
                    <a:pt x="192881" y="7144"/>
                  </a:moveTo>
                  <a:cubicBezTo>
                    <a:pt x="148189" y="7196"/>
                    <a:pt x="111971" y="43414"/>
                    <a:pt x="111919" y="88106"/>
                  </a:cubicBezTo>
                  <a:lnTo>
                    <a:pt x="111919" y="112014"/>
                  </a:lnTo>
                  <a:cubicBezTo>
                    <a:pt x="53838" y="112744"/>
                    <a:pt x="7139" y="160037"/>
                    <a:pt x="7144" y="218123"/>
                  </a:cubicBezTo>
                  <a:lnTo>
                    <a:pt x="7144" y="634365"/>
                  </a:lnTo>
                  <a:cubicBezTo>
                    <a:pt x="7144" y="693020"/>
                    <a:pt x="54693" y="740569"/>
                    <a:pt x="113348" y="740569"/>
                  </a:cubicBezTo>
                  <a:lnTo>
                    <a:pt x="586740" y="740569"/>
                  </a:lnTo>
                  <a:cubicBezTo>
                    <a:pt x="645395" y="740569"/>
                    <a:pt x="692944" y="693020"/>
                    <a:pt x="692944" y="634365"/>
                  </a:cubicBezTo>
                  <a:lnTo>
                    <a:pt x="692944" y="217075"/>
                  </a:lnTo>
                  <a:cubicBezTo>
                    <a:pt x="692944" y="159209"/>
                    <a:pt x="646034" y="112300"/>
                    <a:pt x="588169" y="112300"/>
                  </a:cubicBezTo>
                  <a:lnTo>
                    <a:pt x="588169" y="88106"/>
                  </a:lnTo>
                  <a:cubicBezTo>
                    <a:pt x="588169" y="43392"/>
                    <a:pt x="551920" y="7144"/>
                    <a:pt x="507206" y="7144"/>
                  </a:cubicBezTo>
                  <a:cubicBezTo>
                    <a:pt x="462492" y="7144"/>
                    <a:pt x="426244" y="43392"/>
                    <a:pt x="426244" y="88106"/>
                  </a:cubicBezTo>
                  <a:lnTo>
                    <a:pt x="426244" y="111919"/>
                  </a:lnTo>
                  <a:lnTo>
                    <a:pt x="273844" y="111919"/>
                  </a:lnTo>
                  <a:lnTo>
                    <a:pt x="273844" y="88106"/>
                  </a:lnTo>
                  <a:cubicBezTo>
                    <a:pt x="273791" y="43414"/>
                    <a:pt x="237574" y="7196"/>
                    <a:pt x="192881" y="7144"/>
                  </a:cubicBezTo>
                  <a:close/>
                  <a:moveTo>
                    <a:pt x="169069" y="88106"/>
                  </a:moveTo>
                  <a:cubicBezTo>
                    <a:pt x="169069" y="74955"/>
                    <a:pt x="179730" y="64294"/>
                    <a:pt x="192881" y="64294"/>
                  </a:cubicBezTo>
                  <a:cubicBezTo>
                    <a:pt x="206032" y="64294"/>
                    <a:pt x="216694" y="74955"/>
                    <a:pt x="216694" y="88106"/>
                  </a:cubicBezTo>
                  <a:lnTo>
                    <a:pt x="216694" y="207169"/>
                  </a:lnTo>
                  <a:lnTo>
                    <a:pt x="169069" y="207169"/>
                  </a:lnTo>
                  <a:close/>
                  <a:moveTo>
                    <a:pt x="483394" y="88106"/>
                  </a:moveTo>
                  <a:cubicBezTo>
                    <a:pt x="483394" y="74955"/>
                    <a:pt x="494055" y="64294"/>
                    <a:pt x="507206" y="64294"/>
                  </a:cubicBezTo>
                  <a:cubicBezTo>
                    <a:pt x="520357" y="64294"/>
                    <a:pt x="531019" y="74955"/>
                    <a:pt x="531019" y="88106"/>
                  </a:cubicBezTo>
                  <a:lnTo>
                    <a:pt x="531019" y="207169"/>
                  </a:lnTo>
                  <a:lnTo>
                    <a:pt x="483394" y="207169"/>
                  </a:lnTo>
                  <a:close/>
                  <a:moveTo>
                    <a:pt x="296323" y="264319"/>
                  </a:moveTo>
                  <a:lnTo>
                    <a:pt x="635794" y="264319"/>
                  </a:lnTo>
                  <a:lnTo>
                    <a:pt x="635794" y="634365"/>
                  </a:lnTo>
                  <a:cubicBezTo>
                    <a:pt x="635741" y="661435"/>
                    <a:pt x="613810" y="683366"/>
                    <a:pt x="586740" y="683419"/>
                  </a:cubicBezTo>
                  <a:lnTo>
                    <a:pt x="113348" y="683419"/>
                  </a:lnTo>
                  <a:cubicBezTo>
                    <a:pt x="86277" y="683366"/>
                    <a:pt x="64346" y="661435"/>
                    <a:pt x="64294" y="634365"/>
                  </a:cubicBezTo>
                  <a:lnTo>
                    <a:pt x="64294" y="264319"/>
                  </a:lnTo>
                  <a:lnTo>
                    <a:pt x="296323" y="264319"/>
                  </a:ln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SpPr/>
          </xdr:nvSpPr>
          <xdr:spPr>
            <a:xfrm>
              <a:off x="5918137" y="3388978"/>
              <a:ext cx="390525" cy="266700"/>
            </a:xfrm>
            <a:custGeom>
              <a:avLst/>
              <a:gdLst>
                <a:gd name="connsiteX0" fmla="*/ 15938 w 390525"/>
                <a:gd name="connsiteY0" fmla="*/ 105554 h 266700"/>
                <a:gd name="connsiteX1" fmla="*/ 15081 w 390525"/>
                <a:gd name="connsiteY1" fmla="*/ 145940 h 266700"/>
                <a:gd name="connsiteX2" fmla="*/ 115379 w 390525"/>
                <a:gd name="connsiteY2" fmla="*/ 250715 h 266700"/>
                <a:gd name="connsiteX3" fmla="*/ 149288 w 390525"/>
                <a:gd name="connsiteY3" fmla="*/ 265193 h 266700"/>
                <a:gd name="connsiteX4" fmla="*/ 149288 w 390525"/>
                <a:gd name="connsiteY4" fmla="*/ 265193 h 266700"/>
                <a:gd name="connsiteX5" fmla="*/ 183007 w 390525"/>
                <a:gd name="connsiteY5" fmla="*/ 251382 h 266700"/>
                <a:gd name="connsiteX6" fmla="*/ 381698 w 390525"/>
                <a:gd name="connsiteY6" fmla="*/ 56119 h 266700"/>
                <a:gd name="connsiteX7" fmla="*/ 382031 w 390525"/>
                <a:gd name="connsiteY7" fmla="*/ 15686 h 266700"/>
                <a:gd name="connsiteX8" fmla="*/ 341598 w 390525"/>
                <a:gd name="connsiteY8" fmla="*/ 15352 h 266700"/>
                <a:gd name="connsiteX9" fmla="*/ 149860 w 390525"/>
                <a:gd name="connsiteY9" fmla="*/ 204138 h 266700"/>
                <a:gd name="connsiteX10" fmla="*/ 56038 w 390525"/>
                <a:gd name="connsiteY10" fmla="*/ 106697 h 266700"/>
                <a:gd name="connsiteX11" fmla="*/ 15938 w 390525"/>
                <a:gd name="connsiteY11" fmla="*/ 105554 h 2667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90525" h="266700">
                  <a:moveTo>
                    <a:pt x="15938" y="105554"/>
                  </a:moveTo>
                  <a:cubicBezTo>
                    <a:pt x="4556" y="116473"/>
                    <a:pt x="4172" y="134548"/>
                    <a:pt x="15081" y="145940"/>
                  </a:cubicBezTo>
                  <a:lnTo>
                    <a:pt x="115379" y="250715"/>
                  </a:lnTo>
                  <a:cubicBezTo>
                    <a:pt x="124280" y="259898"/>
                    <a:pt x="136500" y="265116"/>
                    <a:pt x="149288" y="265193"/>
                  </a:cubicBezTo>
                  <a:lnTo>
                    <a:pt x="149288" y="265193"/>
                  </a:lnTo>
                  <a:cubicBezTo>
                    <a:pt x="161902" y="265179"/>
                    <a:pt x="174007" y="260221"/>
                    <a:pt x="183007" y="251382"/>
                  </a:cubicBezTo>
                  <a:lnTo>
                    <a:pt x="381698" y="56119"/>
                  </a:lnTo>
                  <a:cubicBezTo>
                    <a:pt x="392956" y="45046"/>
                    <a:pt x="393105" y="26943"/>
                    <a:pt x="382031" y="15686"/>
                  </a:cubicBezTo>
                  <a:cubicBezTo>
                    <a:pt x="370958" y="4428"/>
                    <a:pt x="352855" y="4279"/>
                    <a:pt x="341598" y="15352"/>
                  </a:cubicBezTo>
                  <a:lnTo>
                    <a:pt x="149860" y="204138"/>
                  </a:lnTo>
                  <a:lnTo>
                    <a:pt x="56038" y="106697"/>
                  </a:lnTo>
                  <a:cubicBezTo>
                    <a:pt x="45230" y="95420"/>
                    <a:pt x="27371" y="94911"/>
                    <a:pt x="15938" y="105554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</xdr:grp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7032</xdr:colOff>
      <xdr:row>1</xdr:row>
      <xdr:rowOff>283847</xdr:rowOff>
    </xdr:from>
    <xdr:to>
      <xdr:col>12</xdr:col>
      <xdr:colOff>228600</xdr:colOff>
      <xdr:row>3</xdr:row>
      <xdr:rowOff>1263060</xdr:rowOff>
    </xdr:to>
    <xdr:grpSp>
      <xdr:nvGrpSpPr>
        <xdr:cNvPr id="2" name="Grupo 1" descr="botón de instruccione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0998882" y="1245872"/>
          <a:ext cx="1440768" cy="1445938"/>
          <a:chOff x="10998882" y="1245872"/>
          <a:chExt cx="1440768" cy="1445938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SpPr/>
        </xdr:nvSpPr>
        <xdr:spPr>
          <a:xfrm>
            <a:off x="10998882" y="1245872"/>
            <a:ext cx="1440768" cy="1445938"/>
          </a:xfrm>
          <a:prstGeom prst="ellipse">
            <a:avLst/>
          </a:prstGeom>
          <a:solidFill>
            <a:schemeClr val="accent4">
              <a:lumMod val="50000"/>
            </a:schemeClr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lIns="0" tIns="0" rIns="0" rtlCol="0" anchor="b"/>
          <a:lstStyle/>
          <a:p>
            <a:pPr algn="ctr" rtl="0"/>
            <a:r>
              <a:rPr lang="es" sz="1200">
                <a:latin typeface="Tw Cen MT" panose="020B0602020104020603" pitchFamily="34" charset="0"/>
              </a:rPr>
              <a:t>Establezca fechas importantes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GrpSpPr/>
        </xdr:nvGrpSpPr>
        <xdr:grpSpPr>
          <a:xfrm>
            <a:off x="11547911" y="1518865"/>
            <a:ext cx="351238" cy="377023"/>
            <a:chOff x="5745956" y="3055144"/>
            <a:chExt cx="695325" cy="742950"/>
          </a:xfrm>
          <a:solidFill>
            <a:schemeClr val="bg1"/>
          </a:solidFill>
        </xdr:grpSpPr>
        <xdr:sp macro="" textlink="">
          <xdr:nvSpPr>
            <xdr:cNvPr id="5" name="Forma libre: forma 4">
              <a:extLst>
                <a:ext uri="{FF2B5EF4-FFF2-40B4-BE49-F238E27FC236}">
                  <a16:creationId xmlns:a16="http://schemas.microsoft.com/office/drawing/2014/main" id="{00000000-0008-0000-0B00-000005000000}"/>
                </a:ext>
              </a:extLst>
            </xdr:cNvPr>
            <xdr:cNvSpPr/>
          </xdr:nvSpPr>
          <xdr:spPr>
            <a:xfrm>
              <a:off x="5745956" y="3055144"/>
              <a:ext cx="695325" cy="742950"/>
            </a:xfrm>
            <a:custGeom>
              <a:avLst/>
              <a:gdLst>
                <a:gd name="connsiteX0" fmla="*/ 192881 w 695325"/>
                <a:gd name="connsiteY0" fmla="*/ 7144 h 742950"/>
                <a:gd name="connsiteX1" fmla="*/ 111919 w 695325"/>
                <a:gd name="connsiteY1" fmla="*/ 88106 h 742950"/>
                <a:gd name="connsiteX2" fmla="*/ 111919 w 695325"/>
                <a:gd name="connsiteY2" fmla="*/ 112014 h 742950"/>
                <a:gd name="connsiteX3" fmla="*/ 7144 w 695325"/>
                <a:gd name="connsiteY3" fmla="*/ 218123 h 742950"/>
                <a:gd name="connsiteX4" fmla="*/ 7144 w 695325"/>
                <a:gd name="connsiteY4" fmla="*/ 634365 h 742950"/>
                <a:gd name="connsiteX5" fmla="*/ 113348 w 695325"/>
                <a:gd name="connsiteY5" fmla="*/ 740569 h 742950"/>
                <a:gd name="connsiteX6" fmla="*/ 586740 w 695325"/>
                <a:gd name="connsiteY6" fmla="*/ 740569 h 742950"/>
                <a:gd name="connsiteX7" fmla="*/ 692944 w 695325"/>
                <a:gd name="connsiteY7" fmla="*/ 634365 h 742950"/>
                <a:gd name="connsiteX8" fmla="*/ 692944 w 695325"/>
                <a:gd name="connsiteY8" fmla="*/ 217075 h 742950"/>
                <a:gd name="connsiteX9" fmla="*/ 588169 w 695325"/>
                <a:gd name="connsiteY9" fmla="*/ 112300 h 742950"/>
                <a:gd name="connsiteX10" fmla="*/ 588169 w 695325"/>
                <a:gd name="connsiteY10" fmla="*/ 88106 h 742950"/>
                <a:gd name="connsiteX11" fmla="*/ 507206 w 695325"/>
                <a:gd name="connsiteY11" fmla="*/ 7144 h 742950"/>
                <a:gd name="connsiteX12" fmla="*/ 426244 w 695325"/>
                <a:gd name="connsiteY12" fmla="*/ 88106 h 742950"/>
                <a:gd name="connsiteX13" fmla="*/ 426244 w 695325"/>
                <a:gd name="connsiteY13" fmla="*/ 111919 h 742950"/>
                <a:gd name="connsiteX14" fmla="*/ 273844 w 695325"/>
                <a:gd name="connsiteY14" fmla="*/ 111919 h 742950"/>
                <a:gd name="connsiteX15" fmla="*/ 273844 w 695325"/>
                <a:gd name="connsiteY15" fmla="*/ 88106 h 742950"/>
                <a:gd name="connsiteX16" fmla="*/ 192881 w 695325"/>
                <a:gd name="connsiteY16" fmla="*/ 7144 h 742950"/>
                <a:gd name="connsiteX17" fmla="*/ 169069 w 695325"/>
                <a:gd name="connsiteY17" fmla="*/ 88106 h 742950"/>
                <a:gd name="connsiteX18" fmla="*/ 192881 w 695325"/>
                <a:gd name="connsiteY18" fmla="*/ 64294 h 742950"/>
                <a:gd name="connsiteX19" fmla="*/ 216694 w 695325"/>
                <a:gd name="connsiteY19" fmla="*/ 88106 h 742950"/>
                <a:gd name="connsiteX20" fmla="*/ 216694 w 695325"/>
                <a:gd name="connsiteY20" fmla="*/ 207169 h 742950"/>
                <a:gd name="connsiteX21" fmla="*/ 169069 w 695325"/>
                <a:gd name="connsiteY21" fmla="*/ 207169 h 742950"/>
                <a:gd name="connsiteX22" fmla="*/ 483394 w 695325"/>
                <a:gd name="connsiteY22" fmla="*/ 88106 h 742950"/>
                <a:gd name="connsiteX23" fmla="*/ 507206 w 695325"/>
                <a:gd name="connsiteY23" fmla="*/ 64294 h 742950"/>
                <a:gd name="connsiteX24" fmla="*/ 531019 w 695325"/>
                <a:gd name="connsiteY24" fmla="*/ 88106 h 742950"/>
                <a:gd name="connsiteX25" fmla="*/ 531019 w 695325"/>
                <a:gd name="connsiteY25" fmla="*/ 207169 h 742950"/>
                <a:gd name="connsiteX26" fmla="*/ 483394 w 695325"/>
                <a:gd name="connsiteY26" fmla="*/ 207169 h 742950"/>
                <a:gd name="connsiteX27" fmla="*/ 296323 w 695325"/>
                <a:gd name="connsiteY27" fmla="*/ 264319 h 742950"/>
                <a:gd name="connsiteX28" fmla="*/ 635794 w 695325"/>
                <a:gd name="connsiteY28" fmla="*/ 264319 h 742950"/>
                <a:gd name="connsiteX29" fmla="*/ 635794 w 695325"/>
                <a:gd name="connsiteY29" fmla="*/ 634365 h 742950"/>
                <a:gd name="connsiteX30" fmla="*/ 586740 w 695325"/>
                <a:gd name="connsiteY30" fmla="*/ 683419 h 742950"/>
                <a:gd name="connsiteX31" fmla="*/ 113348 w 695325"/>
                <a:gd name="connsiteY31" fmla="*/ 683419 h 742950"/>
                <a:gd name="connsiteX32" fmla="*/ 64294 w 695325"/>
                <a:gd name="connsiteY32" fmla="*/ 634365 h 742950"/>
                <a:gd name="connsiteX33" fmla="*/ 64294 w 695325"/>
                <a:gd name="connsiteY33" fmla="*/ 264319 h 742950"/>
                <a:gd name="connsiteX34" fmla="*/ 296323 w 695325"/>
                <a:gd name="connsiteY34" fmla="*/ 264319 h 7429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</a:cxnLst>
              <a:rect l="l" t="t" r="r" b="b"/>
              <a:pathLst>
                <a:path w="695325" h="742950">
                  <a:moveTo>
                    <a:pt x="192881" y="7144"/>
                  </a:moveTo>
                  <a:cubicBezTo>
                    <a:pt x="148189" y="7196"/>
                    <a:pt x="111971" y="43414"/>
                    <a:pt x="111919" y="88106"/>
                  </a:cubicBezTo>
                  <a:lnTo>
                    <a:pt x="111919" y="112014"/>
                  </a:lnTo>
                  <a:cubicBezTo>
                    <a:pt x="53838" y="112744"/>
                    <a:pt x="7139" y="160037"/>
                    <a:pt x="7144" y="218123"/>
                  </a:cubicBezTo>
                  <a:lnTo>
                    <a:pt x="7144" y="634365"/>
                  </a:lnTo>
                  <a:cubicBezTo>
                    <a:pt x="7144" y="693020"/>
                    <a:pt x="54693" y="740569"/>
                    <a:pt x="113348" y="740569"/>
                  </a:cubicBezTo>
                  <a:lnTo>
                    <a:pt x="586740" y="740569"/>
                  </a:lnTo>
                  <a:cubicBezTo>
                    <a:pt x="645395" y="740569"/>
                    <a:pt x="692944" y="693020"/>
                    <a:pt x="692944" y="634365"/>
                  </a:cubicBezTo>
                  <a:lnTo>
                    <a:pt x="692944" y="217075"/>
                  </a:lnTo>
                  <a:cubicBezTo>
                    <a:pt x="692944" y="159209"/>
                    <a:pt x="646034" y="112300"/>
                    <a:pt x="588169" y="112300"/>
                  </a:cubicBezTo>
                  <a:lnTo>
                    <a:pt x="588169" y="88106"/>
                  </a:lnTo>
                  <a:cubicBezTo>
                    <a:pt x="588169" y="43392"/>
                    <a:pt x="551920" y="7144"/>
                    <a:pt x="507206" y="7144"/>
                  </a:cubicBezTo>
                  <a:cubicBezTo>
                    <a:pt x="462492" y="7144"/>
                    <a:pt x="426244" y="43392"/>
                    <a:pt x="426244" y="88106"/>
                  </a:cubicBezTo>
                  <a:lnTo>
                    <a:pt x="426244" y="111919"/>
                  </a:lnTo>
                  <a:lnTo>
                    <a:pt x="273844" y="111919"/>
                  </a:lnTo>
                  <a:lnTo>
                    <a:pt x="273844" y="88106"/>
                  </a:lnTo>
                  <a:cubicBezTo>
                    <a:pt x="273791" y="43414"/>
                    <a:pt x="237574" y="7196"/>
                    <a:pt x="192881" y="7144"/>
                  </a:cubicBezTo>
                  <a:close/>
                  <a:moveTo>
                    <a:pt x="169069" y="88106"/>
                  </a:moveTo>
                  <a:cubicBezTo>
                    <a:pt x="169069" y="74955"/>
                    <a:pt x="179730" y="64294"/>
                    <a:pt x="192881" y="64294"/>
                  </a:cubicBezTo>
                  <a:cubicBezTo>
                    <a:pt x="206032" y="64294"/>
                    <a:pt x="216694" y="74955"/>
                    <a:pt x="216694" y="88106"/>
                  </a:cubicBezTo>
                  <a:lnTo>
                    <a:pt x="216694" y="207169"/>
                  </a:lnTo>
                  <a:lnTo>
                    <a:pt x="169069" y="207169"/>
                  </a:lnTo>
                  <a:close/>
                  <a:moveTo>
                    <a:pt x="483394" y="88106"/>
                  </a:moveTo>
                  <a:cubicBezTo>
                    <a:pt x="483394" y="74955"/>
                    <a:pt x="494055" y="64294"/>
                    <a:pt x="507206" y="64294"/>
                  </a:cubicBezTo>
                  <a:cubicBezTo>
                    <a:pt x="520357" y="64294"/>
                    <a:pt x="531019" y="74955"/>
                    <a:pt x="531019" y="88106"/>
                  </a:cubicBezTo>
                  <a:lnTo>
                    <a:pt x="531019" y="207169"/>
                  </a:lnTo>
                  <a:lnTo>
                    <a:pt x="483394" y="207169"/>
                  </a:lnTo>
                  <a:close/>
                  <a:moveTo>
                    <a:pt x="296323" y="264319"/>
                  </a:moveTo>
                  <a:lnTo>
                    <a:pt x="635794" y="264319"/>
                  </a:lnTo>
                  <a:lnTo>
                    <a:pt x="635794" y="634365"/>
                  </a:lnTo>
                  <a:cubicBezTo>
                    <a:pt x="635741" y="661435"/>
                    <a:pt x="613810" y="683366"/>
                    <a:pt x="586740" y="683419"/>
                  </a:cubicBezTo>
                  <a:lnTo>
                    <a:pt x="113348" y="683419"/>
                  </a:lnTo>
                  <a:cubicBezTo>
                    <a:pt x="86277" y="683366"/>
                    <a:pt x="64346" y="661435"/>
                    <a:pt x="64294" y="634365"/>
                  </a:cubicBezTo>
                  <a:lnTo>
                    <a:pt x="64294" y="264319"/>
                  </a:lnTo>
                  <a:lnTo>
                    <a:pt x="296323" y="264319"/>
                  </a:ln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5918137" y="3388978"/>
              <a:ext cx="390525" cy="266700"/>
            </a:xfrm>
            <a:custGeom>
              <a:avLst/>
              <a:gdLst>
                <a:gd name="connsiteX0" fmla="*/ 15938 w 390525"/>
                <a:gd name="connsiteY0" fmla="*/ 105554 h 266700"/>
                <a:gd name="connsiteX1" fmla="*/ 15081 w 390525"/>
                <a:gd name="connsiteY1" fmla="*/ 145940 h 266700"/>
                <a:gd name="connsiteX2" fmla="*/ 115379 w 390525"/>
                <a:gd name="connsiteY2" fmla="*/ 250715 h 266700"/>
                <a:gd name="connsiteX3" fmla="*/ 149288 w 390525"/>
                <a:gd name="connsiteY3" fmla="*/ 265193 h 266700"/>
                <a:gd name="connsiteX4" fmla="*/ 149288 w 390525"/>
                <a:gd name="connsiteY4" fmla="*/ 265193 h 266700"/>
                <a:gd name="connsiteX5" fmla="*/ 183007 w 390525"/>
                <a:gd name="connsiteY5" fmla="*/ 251382 h 266700"/>
                <a:gd name="connsiteX6" fmla="*/ 381698 w 390525"/>
                <a:gd name="connsiteY6" fmla="*/ 56119 h 266700"/>
                <a:gd name="connsiteX7" fmla="*/ 382031 w 390525"/>
                <a:gd name="connsiteY7" fmla="*/ 15686 h 266700"/>
                <a:gd name="connsiteX8" fmla="*/ 341598 w 390525"/>
                <a:gd name="connsiteY8" fmla="*/ 15352 h 266700"/>
                <a:gd name="connsiteX9" fmla="*/ 149860 w 390525"/>
                <a:gd name="connsiteY9" fmla="*/ 204138 h 266700"/>
                <a:gd name="connsiteX10" fmla="*/ 56038 w 390525"/>
                <a:gd name="connsiteY10" fmla="*/ 106697 h 266700"/>
                <a:gd name="connsiteX11" fmla="*/ 15938 w 390525"/>
                <a:gd name="connsiteY11" fmla="*/ 105554 h 2667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90525" h="266700">
                  <a:moveTo>
                    <a:pt x="15938" y="105554"/>
                  </a:moveTo>
                  <a:cubicBezTo>
                    <a:pt x="4556" y="116473"/>
                    <a:pt x="4172" y="134548"/>
                    <a:pt x="15081" y="145940"/>
                  </a:cubicBezTo>
                  <a:lnTo>
                    <a:pt x="115379" y="250715"/>
                  </a:lnTo>
                  <a:cubicBezTo>
                    <a:pt x="124280" y="259898"/>
                    <a:pt x="136500" y="265116"/>
                    <a:pt x="149288" y="265193"/>
                  </a:cubicBezTo>
                  <a:lnTo>
                    <a:pt x="149288" y="265193"/>
                  </a:lnTo>
                  <a:cubicBezTo>
                    <a:pt x="161902" y="265179"/>
                    <a:pt x="174007" y="260221"/>
                    <a:pt x="183007" y="251382"/>
                  </a:cubicBezTo>
                  <a:lnTo>
                    <a:pt x="381698" y="56119"/>
                  </a:lnTo>
                  <a:cubicBezTo>
                    <a:pt x="392956" y="45046"/>
                    <a:pt x="393105" y="26943"/>
                    <a:pt x="382031" y="15686"/>
                  </a:cubicBezTo>
                  <a:cubicBezTo>
                    <a:pt x="370958" y="4428"/>
                    <a:pt x="352855" y="4279"/>
                    <a:pt x="341598" y="15352"/>
                  </a:cubicBezTo>
                  <a:lnTo>
                    <a:pt x="149860" y="204138"/>
                  </a:lnTo>
                  <a:lnTo>
                    <a:pt x="56038" y="106697"/>
                  </a:lnTo>
                  <a:cubicBezTo>
                    <a:pt x="45230" y="95420"/>
                    <a:pt x="27371" y="94911"/>
                    <a:pt x="15938" y="105554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</xdr:grp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7032</xdr:colOff>
      <xdr:row>1</xdr:row>
      <xdr:rowOff>283847</xdr:rowOff>
    </xdr:from>
    <xdr:to>
      <xdr:col>12</xdr:col>
      <xdr:colOff>228600</xdr:colOff>
      <xdr:row>3</xdr:row>
      <xdr:rowOff>1263060</xdr:rowOff>
    </xdr:to>
    <xdr:grpSp>
      <xdr:nvGrpSpPr>
        <xdr:cNvPr id="2" name="Grupo 1" descr="botón de instruccione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10998882" y="1245872"/>
          <a:ext cx="1440768" cy="1445938"/>
          <a:chOff x="10998882" y="1245872"/>
          <a:chExt cx="1440768" cy="1445938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SpPr/>
        </xdr:nvSpPr>
        <xdr:spPr>
          <a:xfrm>
            <a:off x="10998882" y="1245872"/>
            <a:ext cx="1440768" cy="1445938"/>
          </a:xfrm>
          <a:prstGeom prst="ellipse">
            <a:avLst/>
          </a:prstGeom>
          <a:solidFill>
            <a:schemeClr val="accent4">
              <a:lumMod val="50000"/>
            </a:schemeClr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lIns="0" tIns="0" rIns="0" rtlCol="0" anchor="b"/>
          <a:lstStyle/>
          <a:p>
            <a:pPr algn="ctr" rtl="0"/>
            <a:r>
              <a:rPr lang="es" sz="1200">
                <a:latin typeface="Tw Cen MT" panose="020B0602020104020603" pitchFamily="34" charset="0"/>
              </a:rPr>
              <a:t>Establezca fechas importantes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GrpSpPr/>
        </xdr:nvGrpSpPr>
        <xdr:grpSpPr>
          <a:xfrm>
            <a:off x="11547911" y="1518865"/>
            <a:ext cx="351238" cy="377023"/>
            <a:chOff x="5745956" y="3055144"/>
            <a:chExt cx="695325" cy="742950"/>
          </a:xfrm>
          <a:solidFill>
            <a:schemeClr val="bg1"/>
          </a:solidFill>
        </xdr:grpSpPr>
        <xdr:sp macro="" textlink="">
          <xdr:nvSpPr>
            <xdr:cNvPr id="5" name="Forma libre: forma 4">
              <a:extLst>
                <a:ext uri="{FF2B5EF4-FFF2-40B4-BE49-F238E27FC236}">
                  <a16:creationId xmlns:a16="http://schemas.microsoft.com/office/drawing/2014/main" id="{00000000-0008-0000-0C00-000005000000}"/>
                </a:ext>
              </a:extLst>
            </xdr:cNvPr>
            <xdr:cNvSpPr/>
          </xdr:nvSpPr>
          <xdr:spPr>
            <a:xfrm>
              <a:off x="5745956" y="3055144"/>
              <a:ext cx="695325" cy="742950"/>
            </a:xfrm>
            <a:custGeom>
              <a:avLst/>
              <a:gdLst>
                <a:gd name="connsiteX0" fmla="*/ 192881 w 695325"/>
                <a:gd name="connsiteY0" fmla="*/ 7144 h 742950"/>
                <a:gd name="connsiteX1" fmla="*/ 111919 w 695325"/>
                <a:gd name="connsiteY1" fmla="*/ 88106 h 742950"/>
                <a:gd name="connsiteX2" fmla="*/ 111919 w 695325"/>
                <a:gd name="connsiteY2" fmla="*/ 112014 h 742950"/>
                <a:gd name="connsiteX3" fmla="*/ 7144 w 695325"/>
                <a:gd name="connsiteY3" fmla="*/ 218123 h 742950"/>
                <a:gd name="connsiteX4" fmla="*/ 7144 w 695325"/>
                <a:gd name="connsiteY4" fmla="*/ 634365 h 742950"/>
                <a:gd name="connsiteX5" fmla="*/ 113348 w 695325"/>
                <a:gd name="connsiteY5" fmla="*/ 740569 h 742950"/>
                <a:gd name="connsiteX6" fmla="*/ 586740 w 695325"/>
                <a:gd name="connsiteY6" fmla="*/ 740569 h 742950"/>
                <a:gd name="connsiteX7" fmla="*/ 692944 w 695325"/>
                <a:gd name="connsiteY7" fmla="*/ 634365 h 742950"/>
                <a:gd name="connsiteX8" fmla="*/ 692944 w 695325"/>
                <a:gd name="connsiteY8" fmla="*/ 217075 h 742950"/>
                <a:gd name="connsiteX9" fmla="*/ 588169 w 695325"/>
                <a:gd name="connsiteY9" fmla="*/ 112300 h 742950"/>
                <a:gd name="connsiteX10" fmla="*/ 588169 w 695325"/>
                <a:gd name="connsiteY10" fmla="*/ 88106 h 742950"/>
                <a:gd name="connsiteX11" fmla="*/ 507206 w 695325"/>
                <a:gd name="connsiteY11" fmla="*/ 7144 h 742950"/>
                <a:gd name="connsiteX12" fmla="*/ 426244 w 695325"/>
                <a:gd name="connsiteY12" fmla="*/ 88106 h 742950"/>
                <a:gd name="connsiteX13" fmla="*/ 426244 w 695325"/>
                <a:gd name="connsiteY13" fmla="*/ 111919 h 742950"/>
                <a:gd name="connsiteX14" fmla="*/ 273844 w 695325"/>
                <a:gd name="connsiteY14" fmla="*/ 111919 h 742950"/>
                <a:gd name="connsiteX15" fmla="*/ 273844 w 695325"/>
                <a:gd name="connsiteY15" fmla="*/ 88106 h 742950"/>
                <a:gd name="connsiteX16" fmla="*/ 192881 w 695325"/>
                <a:gd name="connsiteY16" fmla="*/ 7144 h 742950"/>
                <a:gd name="connsiteX17" fmla="*/ 169069 w 695325"/>
                <a:gd name="connsiteY17" fmla="*/ 88106 h 742950"/>
                <a:gd name="connsiteX18" fmla="*/ 192881 w 695325"/>
                <a:gd name="connsiteY18" fmla="*/ 64294 h 742950"/>
                <a:gd name="connsiteX19" fmla="*/ 216694 w 695325"/>
                <a:gd name="connsiteY19" fmla="*/ 88106 h 742950"/>
                <a:gd name="connsiteX20" fmla="*/ 216694 w 695325"/>
                <a:gd name="connsiteY20" fmla="*/ 207169 h 742950"/>
                <a:gd name="connsiteX21" fmla="*/ 169069 w 695325"/>
                <a:gd name="connsiteY21" fmla="*/ 207169 h 742950"/>
                <a:gd name="connsiteX22" fmla="*/ 483394 w 695325"/>
                <a:gd name="connsiteY22" fmla="*/ 88106 h 742950"/>
                <a:gd name="connsiteX23" fmla="*/ 507206 w 695325"/>
                <a:gd name="connsiteY23" fmla="*/ 64294 h 742950"/>
                <a:gd name="connsiteX24" fmla="*/ 531019 w 695325"/>
                <a:gd name="connsiteY24" fmla="*/ 88106 h 742950"/>
                <a:gd name="connsiteX25" fmla="*/ 531019 w 695325"/>
                <a:gd name="connsiteY25" fmla="*/ 207169 h 742950"/>
                <a:gd name="connsiteX26" fmla="*/ 483394 w 695325"/>
                <a:gd name="connsiteY26" fmla="*/ 207169 h 742950"/>
                <a:gd name="connsiteX27" fmla="*/ 296323 w 695325"/>
                <a:gd name="connsiteY27" fmla="*/ 264319 h 742950"/>
                <a:gd name="connsiteX28" fmla="*/ 635794 w 695325"/>
                <a:gd name="connsiteY28" fmla="*/ 264319 h 742950"/>
                <a:gd name="connsiteX29" fmla="*/ 635794 w 695325"/>
                <a:gd name="connsiteY29" fmla="*/ 634365 h 742950"/>
                <a:gd name="connsiteX30" fmla="*/ 586740 w 695325"/>
                <a:gd name="connsiteY30" fmla="*/ 683419 h 742950"/>
                <a:gd name="connsiteX31" fmla="*/ 113348 w 695325"/>
                <a:gd name="connsiteY31" fmla="*/ 683419 h 742950"/>
                <a:gd name="connsiteX32" fmla="*/ 64294 w 695325"/>
                <a:gd name="connsiteY32" fmla="*/ 634365 h 742950"/>
                <a:gd name="connsiteX33" fmla="*/ 64294 w 695325"/>
                <a:gd name="connsiteY33" fmla="*/ 264319 h 742950"/>
                <a:gd name="connsiteX34" fmla="*/ 296323 w 695325"/>
                <a:gd name="connsiteY34" fmla="*/ 264319 h 7429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</a:cxnLst>
              <a:rect l="l" t="t" r="r" b="b"/>
              <a:pathLst>
                <a:path w="695325" h="742950">
                  <a:moveTo>
                    <a:pt x="192881" y="7144"/>
                  </a:moveTo>
                  <a:cubicBezTo>
                    <a:pt x="148189" y="7196"/>
                    <a:pt x="111971" y="43414"/>
                    <a:pt x="111919" y="88106"/>
                  </a:cubicBezTo>
                  <a:lnTo>
                    <a:pt x="111919" y="112014"/>
                  </a:lnTo>
                  <a:cubicBezTo>
                    <a:pt x="53838" y="112744"/>
                    <a:pt x="7139" y="160037"/>
                    <a:pt x="7144" y="218123"/>
                  </a:cubicBezTo>
                  <a:lnTo>
                    <a:pt x="7144" y="634365"/>
                  </a:lnTo>
                  <a:cubicBezTo>
                    <a:pt x="7144" y="693020"/>
                    <a:pt x="54693" y="740569"/>
                    <a:pt x="113348" y="740569"/>
                  </a:cubicBezTo>
                  <a:lnTo>
                    <a:pt x="586740" y="740569"/>
                  </a:lnTo>
                  <a:cubicBezTo>
                    <a:pt x="645395" y="740569"/>
                    <a:pt x="692944" y="693020"/>
                    <a:pt x="692944" y="634365"/>
                  </a:cubicBezTo>
                  <a:lnTo>
                    <a:pt x="692944" y="217075"/>
                  </a:lnTo>
                  <a:cubicBezTo>
                    <a:pt x="692944" y="159209"/>
                    <a:pt x="646034" y="112300"/>
                    <a:pt x="588169" y="112300"/>
                  </a:cubicBezTo>
                  <a:lnTo>
                    <a:pt x="588169" y="88106"/>
                  </a:lnTo>
                  <a:cubicBezTo>
                    <a:pt x="588169" y="43392"/>
                    <a:pt x="551920" y="7144"/>
                    <a:pt x="507206" y="7144"/>
                  </a:cubicBezTo>
                  <a:cubicBezTo>
                    <a:pt x="462492" y="7144"/>
                    <a:pt x="426244" y="43392"/>
                    <a:pt x="426244" y="88106"/>
                  </a:cubicBezTo>
                  <a:lnTo>
                    <a:pt x="426244" y="111919"/>
                  </a:lnTo>
                  <a:lnTo>
                    <a:pt x="273844" y="111919"/>
                  </a:lnTo>
                  <a:lnTo>
                    <a:pt x="273844" y="88106"/>
                  </a:lnTo>
                  <a:cubicBezTo>
                    <a:pt x="273791" y="43414"/>
                    <a:pt x="237574" y="7196"/>
                    <a:pt x="192881" y="7144"/>
                  </a:cubicBezTo>
                  <a:close/>
                  <a:moveTo>
                    <a:pt x="169069" y="88106"/>
                  </a:moveTo>
                  <a:cubicBezTo>
                    <a:pt x="169069" y="74955"/>
                    <a:pt x="179730" y="64294"/>
                    <a:pt x="192881" y="64294"/>
                  </a:cubicBezTo>
                  <a:cubicBezTo>
                    <a:pt x="206032" y="64294"/>
                    <a:pt x="216694" y="74955"/>
                    <a:pt x="216694" y="88106"/>
                  </a:cubicBezTo>
                  <a:lnTo>
                    <a:pt x="216694" y="207169"/>
                  </a:lnTo>
                  <a:lnTo>
                    <a:pt x="169069" y="207169"/>
                  </a:lnTo>
                  <a:close/>
                  <a:moveTo>
                    <a:pt x="483394" y="88106"/>
                  </a:moveTo>
                  <a:cubicBezTo>
                    <a:pt x="483394" y="74955"/>
                    <a:pt x="494055" y="64294"/>
                    <a:pt x="507206" y="64294"/>
                  </a:cubicBezTo>
                  <a:cubicBezTo>
                    <a:pt x="520357" y="64294"/>
                    <a:pt x="531019" y="74955"/>
                    <a:pt x="531019" y="88106"/>
                  </a:cubicBezTo>
                  <a:lnTo>
                    <a:pt x="531019" y="207169"/>
                  </a:lnTo>
                  <a:lnTo>
                    <a:pt x="483394" y="207169"/>
                  </a:lnTo>
                  <a:close/>
                  <a:moveTo>
                    <a:pt x="296323" y="264319"/>
                  </a:moveTo>
                  <a:lnTo>
                    <a:pt x="635794" y="264319"/>
                  </a:lnTo>
                  <a:lnTo>
                    <a:pt x="635794" y="634365"/>
                  </a:lnTo>
                  <a:cubicBezTo>
                    <a:pt x="635741" y="661435"/>
                    <a:pt x="613810" y="683366"/>
                    <a:pt x="586740" y="683419"/>
                  </a:cubicBezTo>
                  <a:lnTo>
                    <a:pt x="113348" y="683419"/>
                  </a:lnTo>
                  <a:cubicBezTo>
                    <a:pt x="86277" y="683366"/>
                    <a:pt x="64346" y="661435"/>
                    <a:pt x="64294" y="634365"/>
                  </a:cubicBezTo>
                  <a:lnTo>
                    <a:pt x="64294" y="264319"/>
                  </a:lnTo>
                  <a:lnTo>
                    <a:pt x="296323" y="264319"/>
                  </a:ln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00000000-0008-0000-0C00-000006000000}"/>
                </a:ext>
              </a:extLst>
            </xdr:cNvPr>
            <xdr:cNvSpPr/>
          </xdr:nvSpPr>
          <xdr:spPr>
            <a:xfrm>
              <a:off x="5918137" y="3388978"/>
              <a:ext cx="390525" cy="266700"/>
            </a:xfrm>
            <a:custGeom>
              <a:avLst/>
              <a:gdLst>
                <a:gd name="connsiteX0" fmla="*/ 15938 w 390525"/>
                <a:gd name="connsiteY0" fmla="*/ 105554 h 266700"/>
                <a:gd name="connsiteX1" fmla="*/ 15081 w 390525"/>
                <a:gd name="connsiteY1" fmla="*/ 145940 h 266700"/>
                <a:gd name="connsiteX2" fmla="*/ 115379 w 390525"/>
                <a:gd name="connsiteY2" fmla="*/ 250715 h 266700"/>
                <a:gd name="connsiteX3" fmla="*/ 149288 w 390525"/>
                <a:gd name="connsiteY3" fmla="*/ 265193 h 266700"/>
                <a:gd name="connsiteX4" fmla="*/ 149288 w 390525"/>
                <a:gd name="connsiteY4" fmla="*/ 265193 h 266700"/>
                <a:gd name="connsiteX5" fmla="*/ 183007 w 390525"/>
                <a:gd name="connsiteY5" fmla="*/ 251382 h 266700"/>
                <a:gd name="connsiteX6" fmla="*/ 381698 w 390525"/>
                <a:gd name="connsiteY6" fmla="*/ 56119 h 266700"/>
                <a:gd name="connsiteX7" fmla="*/ 382031 w 390525"/>
                <a:gd name="connsiteY7" fmla="*/ 15686 h 266700"/>
                <a:gd name="connsiteX8" fmla="*/ 341598 w 390525"/>
                <a:gd name="connsiteY8" fmla="*/ 15352 h 266700"/>
                <a:gd name="connsiteX9" fmla="*/ 149860 w 390525"/>
                <a:gd name="connsiteY9" fmla="*/ 204138 h 266700"/>
                <a:gd name="connsiteX10" fmla="*/ 56038 w 390525"/>
                <a:gd name="connsiteY10" fmla="*/ 106697 h 266700"/>
                <a:gd name="connsiteX11" fmla="*/ 15938 w 390525"/>
                <a:gd name="connsiteY11" fmla="*/ 105554 h 2667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90525" h="266700">
                  <a:moveTo>
                    <a:pt x="15938" y="105554"/>
                  </a:moveTo>
                  <a:cubicBezTo>
                    <a:pt x="4556" y="116473"/>
                    <a:pt x="4172" y="134548"/>
                    <a:pt x="15081" y="145940"/>
                  </a:cubicBezTo>
                  <a:lnTo>
                    <a:pt x="115379" y="250715"/>
                  </a:lnTo>
                  <a:cubicBezTo>
                    <a:pt x="124280" y="259898"/>
                    <a:pt x="136500" y="265116"/>
                    <a:pt x="149288" y="265193"/>
                  </a:cubicBezTo>
                  <a:lnTo>
                    <a:pt x="149288" y="265193"/>
                  </a:lnTo>
                  <a:cubicBezTo>
                    <a:pt x="161902" y="265179"/>
                    <a:pt x="174007" y="260221"/>
                    <a:pt x="183007" y="251382"/>
                  </a:cubicBezTo>
                  <a:lnTo>
                    <a:pt x="381698" y="56119"/>
                  </a:lnTo>
                  <a:cubicBezTo>
                    <a:pt x="392956" y="45046"/>
                    <a:pt x="393105" y="26943"/>
                    <a:pt x="382031" y="15686"/>
                  </a:cubicBezTo>
                  <a:cubicBezTo>
                    <a:pt x="370958" y="4428"/>
                    <a:pt x="352855" y="4279"/>
                    <a:pt x="341598" y="15352"/>
                  </a:cubicBezTo>
                  <a:lnTo>
                    <a:pt x="149860" y="204138"/>
                  </a:lnTo>
                  <a:lnTo>
                    <a:pt x="56038" y="106697"/>
                  </a:lnTo>
                  <a:cubicBezTo>
                    <a:pt x="45230" y="95420"/>
                    <a:pt x="27371" y="94911"/>
                    <a:pt x="15938" y="105554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endParaRPr lang="en-US" sz="3600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9_calendar">
  <a:themeElements>
    <a:clrScheme name="Custom 124">
      <a:dk1>
        <a:sysClr val="windowText" lastClr="000000"/>
      </a:dk1>
      <a:lt1>
        <a:sysClr val="window" lastClr="FFFFFF"/>
      </a:lt1>
      <a:dk2>
        <a:srgbClr val="12121E"/>
      </a:dk2>
      <a:lt2>
        <a:srgbClr val="F2F2F2"/>
      </a:lt2>
      <a:accent1>
        <a:srgbClr val="FCD9C4"/>
      </a:accent1>
      <a:accent2>
        <a:srgbClr val="8CE7F3"/>
      </a:accent2>
      <a:accent3>
        <a:srgbClr val="D6F2B0"/>
      </a:accent3>
      <a:accent4>
        <a:srgbClr val="ECAED0"/>
      </a:accent4>
      <a:accent5>
        <a:srgbClr val="F9BD99"/>
      </a:accent5>
      <a:accent6>
        <a:srgbClr val="A7E356"/>
      </a:accent6>
      <a:hlink>
        <a:srgbClr val="FCD9C4"/>
      </a:hlink>
      <a:folHlink>
        <a:srgbClr val="FCD9C4"/>
      </a:folHlink>
    </a:clrScheme>
    <a:fontScheme name="Custom 207">
      <a:majorFont>
        <a:latin typeface="Rockwell"/>
        <a:ea typeface=""/>
        <a:cs typeface=""/>
      </a:majorFont>
      <a:minorFont>
        <a:latin typeface="Tw Cen M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/>
    <pageSetUpPr autoPageBreaks="0" fitToPage="1"/>
  </sheetPr>
  <dimension ref="A1:I37"/>
  <sheetViews>
    <sheetView showGridLines="0" showRowColHeaders="0" tabSelected="1" zoomScale="106" zoomScaleNormal="106" workbookViewId="0"/>
  </sheetViews>
  <sheetFormatPr baseColWidth="10" defaultColWidth="9.140625" defaultRowHeight="12.75" x14ac:dyDescent="0.2"/>
  <cols>
    <col min="1" max="1" width="32.7109375" customWidth="1"/>
    <col min="2" max="2" width="26.5703125" customWidth="1"/>
    <col min="3" max="3" width="58.85546875" customWidth="1"/>
    <col min="4" max="4" width="1.140625" customWidth="1"/>
    <col min="5" max="5" width="22.5703125" customWidth="1"/>
    <col min="6" max="7" width="2.5703125" customWidth="1"/>
    <col min="8" max="8" width="24.5703125" customWidth="1"/>
    <col min="9" max="9" width="2.5703125" customWidth="1"/>
  </cols>
  <sheetData>
    <row r="1" spans="1:9" ht="8.25" customHeight="1" x14ac:dyDescent="0.2">
      <c r="A1" s="18"/>
      <c r="B1" s="18"/>
      <c r="C1" s="18"/>
      <c r="D1" s="18"/>
      <c r="E1" s="18"/>
      <c r="F1" s="18"/>
      <c r="G1" s="18"/>
      <c r="H1" s="18"/>
      <c r="I1" s="18"/>
    </row>
    <row r="2" spans="1:9" ht="15" customHeight="1" x14ac:dyDescent="0.2">
      <c r="A2" s="26"/>
      <c r="B2" s="19"/>
      <c r="C2" s="20"/>
      <c r="D2" s="20"/>
      <c r="E2" s="19"/>
      <c r="F2" s="26"/>
      <c r="G2" s="26"/>
      <c r="H2" s="26"/>
      <c r="I2" s="26"/>
    </row>
    <row r="3" spans="1:9" s="1" customFormat="1" ht="96.75" customHeight="1" x14ac:dyDescent="0.55000000000000004">
      <c r="A3" s="27"/>
      <c r="B3" s="48" t="s">
        <v>0</v>
      </c>
      <c r="C3" s="48"/>
      <c r="D3" s="21"/>
      <c r="E3" s="35">
        <v>2019</v>
      </c>
      <c r="F3" s="28"/>
      <c r="G3" s="28"/>
      <c r="H3" s="28"/>
      <c r="I3" s="28"/>
    </row>
    <row r="4" spans="1:9" ht="34.5" customHeight="1" x14ac:dyDescent="0.25">
      <c r="A4" s="29"/>
      <c r="B4" s="49" t="s">
        <v>1</v>
      </c>
      <c r="C4" s="49"/>
      <c r="D4" s="49"/>
      <c r="E4" s="49"/>
      <c r="F4" s="30"/>
      <c r="G4" s="30"/>
      <c r="H4" s="29"/>
      <c r="I4" s="29"/>
    </row>
    <row r="5" spans="1:9" ht="28.5" customHeight="1" x14ac:dyDescent="0.25">
      <c r="A5" s="11"/>
      <c r="B5" s="32" t="s">
        <v>2</v>
      </c>
      <c r="C5" s="31" t="s">
        <v>3</v>
      </c>
      <c r="D5" s="50" t="s">
        <v>8</v>
      </c>
      <c r="E5" s="50"/>
      <c r="F5" s="13"/>
      <c r="G5" s="13"/>
      <c r="H5" s="11"/>
      <c r="I5" s="11"/>
    </row>
    <row r="6" spans="1:9" ht="20.100000000000001" customHeight="1" x14ac:dyDescent="0.2">
      <c r="A6" s="12"/>
      <c r="B6" s="46">
        <v>43466</v>
      </c>
      <c r="C6" s="17" t="s">
        <v>4</v>
      </c>
      <c r="D6" s="22"/>
      <c r="E6" s="33" t="s">
        <v>9</v>
      </c>
      <c r="F6" s="11"/>
      <c r="G6" s="51" t="s">
        <v>12</v>
      </c>
      <c r="H6" s="51"/>
      <c r="I6" s="11"/>
    </row>
    <row r="7" spans="1:9" ht="20.100000000000001" customHeight="1" x14ac:dyDescent="0.2">
      <c r="A7" s="12"/>
      <c r="B7" s="46">
        <v>43482</v>
      </c>
      <c r="C7" s="17" t="s">
        <v>5</v>
      </c>
      <c r="D7" s="24"/>
      <c r="E7" s="33" t="s">
        <v>10</v>
      </c>
      <c r="F7" s="11"/>
      <c r="G7" s="51"/>
      <c r="H7" s="51"/>
      <c r="I7" s="11"/>
    </row>
    <row r="8" spans="1:9" ht="20.100000000000001" customHeight="1" x14ac:dyDescent="0.2">
      <c r="A8" s="12"/>
      <c r="B8" s="46">
        <v>43483</v>
      </c>
      <c r="C8" s="17" t="s">
        <v>6</v>
      </c>
      <c r="D8" s="25"/>
      <c r="E8" s="33" t="s">
        <v>11</v>
      </c>
      <c r="F8" s="11"/>
      <c r="G8" s="43"/>
      <c r="H8" s="43"/>
      <c r="I8" s="11"/>
    </row>
    <row r="9" spans="1:9" ht="20.100000000000001" customHeight="1" x14ac:dyDescent="0.2">
      <c r="A9" s="12"/>
      <c r="B9" s="46">
        <v>43824</v>
      </c>
      <c r="C9" s="17" t="s">
        <v>7</v>
      </c>
      <c r="D9" s="23"/>
      <c r="E9" s="33" t="s">
        <v>9</v>
      </c>
      <c r="F9" s="11"/>
      <c r="G9" s="53" t="s">
        <v>13</v>
      </c>
      <c r="H9" s="54"/>
      <c r="I9" s="11"/>
    </row>
    <row r="10" spans="1:9" ht="20.100000000000001" customHeight="1" x14ac:dyDescent="0.2">
      <c r="A10" s="12"/>
      <c r="B10" s="46"/>
      <c r="C10" s="17"/>
      <c r="D10" s="22"/>
      <c r="E10" s="33"/>
      <c r="F10" s="11"/>
      <c r="G10" s="52"/>
      <c r="H10" s="52"/>
      <c r="I10" s="11"/>
    </row>
    <row r="11" spans="1:9" ht="20.100000000000001" customHeight="1" x14ac:dyDescent="0.2">
      <c r="A11" s="12"/>
      <c r="B11" s="46"/>
      <c r="C11" s="17"/>
      <c r="D11" s="22"/>
      <c r="E11" s="33"/>
      <c r="F11" s="11"/>
      <c r="G11" s="55"/>
      <c r="H11" s="55"/>
      <c r="I11" s="11"/>
    </row>
    <row r="12" spans="1:9" ht="20.100000000000001" customHeight="1" x14ac:dyDescent="0.2">
      <c r="A12" s="12"/>
      <c r="B12" s="46"/>
      <c r="C12" s="17"/>
      <c r="D12" s="22"/>
      <c r="E12" s="33"/>
      <c r="F12" s="11"/>
      <c r="G12" s="51" t="s">
        <v>14</v>
      </c>
      <c r="H12" s="51"/>
      <c r="I12" s="11"/>
    </row>
    <row r="13" spans="1:9" ht="20.100000000000001" customHeight="1" x14ac:dyDescent="0.2">
      <c r="A13" s="12"/>
      <c r="B13" s="46"/>
      <c r="C13" s="17"/>
      <c r="D13" s="22"/>
      <c r="E13" s="33"/>
      <c r="F13" s="11"/>
      <c r="G13" s="51"/>
      <c r="H13" s="51"/>
      <c r="I13" s="11"/>
    </row>
    <row r="14" spans="1:9" ht="20.100000000000001" customHeight="1" x14ac:dyDescent="0.2">
      <c r="A14" s="12"/>
      <c r="B14" s="46"/>
      <c r="C14" s="17"/>
      <c r="D14" s="22"/>
      <c r="E14" s="33"/>
      <c r="F14" s="11"/>
      <c r="G14" s="51"/>
      <c r="H14" s="51"/>
      <c r="I14" s="11"/>
    </row>
    <row r="15" spans="1:9" ht="20.100000000000001" customHeight="1" x14ac:dyDescent="0.2">
      <c r="A15" s="12"/>
      <c r="B15" s="46"/>
      <c r="C15" s="17"/>
      <c r="D15" s="22"/>
      <c r="E15" s="33"/>
      <c r="F15" s="11"/>
      <c r="G15" s="44"/>
      <c r="H15" s="36" t="s">
        <v>15</v>
      </c>
      <c r="I15" s="11"/>
    </row>
    <row r="16" spans="1:9" ht="20.100000000000001" customHeight="1" x14ac:dyDescent="0.2">
      <c r="A16" s="12"/>
      <c r="B16" s="46"/>
      <c r="C16" s="17"/>
      <c r="D16" s="22"/>
      <c r="E16" s="33"/>
      <c r="F16" s="11"/>
      <c r="G16" s="37"/>
      <c r="H16" s="38" t="s">
        <v>9</v>
      </c>
      <c r="I16" s="11"/>
    </row>
    <row r="17" spans="1:9" ht="20.100000000000001" customHeight="1" x14ac:dyDescent="0.2">
      <c r="A17" s="11"/>
      <c r="B17" s="46"/>
      <c r="C17" s="17"/>
      <c r="D17" s="22"/>
      <c r="E17" s="33"/>
      <c r="F17" s="11"/>
      <c r="G17" s="39"/>
      <c r="H17" s="38" t="s">
        <v>10</v>
      </c>
      <c r="I17" s="11"/>
    </row>
    <row r="18" spans="1:9" ht="20.100000000000001" customHeight="1" x14ac:dyDescent="0.2">
      <c r="A18" s="11"/>
      <c r="B18" s="46"/>
      <c r="C18" s="17"/>
      <c r="D18" s="22"/>
      <c r="E18" s="33"/>
      <c r="F18" s="11"/>
      <c r="G18" s="40"/>
      <c r="H18" s="38" t="s">
        <v>11</v>
      </c>
      <c r="I18" s="11"/>
    </row>
    <row r="19" spans="1:9" ht="20.100000000000001" customHeight="1" x14ac:dyDescent="0.2">
      <c r="A19" s="11"/>
      <c r="B19" s="46"/>
      <c r="C19" s="17"/>
      <c r="D19" s="22"/>
      <c r="E19" s="33"/>
      <c r="F19" s="11"/>
      <c r="G19" s="41"/>
      <c r="H19" s="38" t="s">
        <v>11</v>
      </c>
      <c r="I19" s="11"/>
    </row>
    <row r="20" spans="1:9" ht="20.100000000000001" customHeight="1" x14ac:dyDescent="0.2">
      <c r="A20" s="11"/>
      <c r="B20" s="46"/>
      <c r="C20" s="17"/>
      <c r="D20" s="22"/>
      <c r="E20" s="33"/>
      <c r="F20" s="11"/>
      <c r="G20" s="42"/>
      <c r="H20" s="38" t="s">
        <v>11</v>
      </c>
      <c r="I20" s="11"/>
    </row>
    <row r="21" spans="1:9" ht="20.100000000000001" customHeight="1" x14ac:dyDescent="0.2">
      <c r="A21" s="11"/>
      <c r="B21" s="46"/>
      <c r="C21" s="17"/>
      <c r="D21" s="22"/>
      <c r="E21" s="33"/>
      <c r="F21" s="11"/>
      <c r="G21" s="11"/>
      <c r="H21" s="11"/>
      <c r="I21" s="34"/>
    </row>
    <row r="22" spans="1:9" ht="20.100000000000001" customHeight="1" x14ac:dyDescent="0.2">
      <c r="A22" s="11"/>
      <c r="B22" s="46"/>
      <c r="C22" s="17"/>
      <c r="D22" s="22"/>
      <c r="E22" s="33"/>
      <c r="F22" s="11"/>
      <c r="G22" s="11"/>
      <c r="H22" s="11"/>
      <c r="I22" s="34"/>
    </row>
    <row r="23" spans="1:9" ht="20.100000000000001" customHeight="1" x14ac:dyDescent="0.2">
      <c r="A23" s="11"/>
      <c r="B23" s="46"/>
      <c r="C23" s="17"/>
      <c r="D23" s="22"/>
      <c r="E23" s="33"/>
      <c r="F23" s="11"/>
      <c r="G23" s="11"/>
      <c r="H23" s="11"/>
      <c r="I23" s="34"/>
    </row>
    <row r="24" spans="1:9" ht="20.100000000000001" customHeight="1" x14ac:dyDescent="0.2">
      <c r="A24" s="11"/>
      <c r="B24" s="46"/>
      <c r="C24" s="17"/>
      <c r="D24" s="22"/>
      <c r="E24" s="33"/>
      <c r="F24" s="11"/>
      <c r="G24" s="11"/>
      <c r="H24" s="11"/>
      <c r="I24" s="34"/>
    </row>
    <row r="25" spans="1:9" ht="20.100000000000001" customHeight="1" x14ac:dyDescent="0.2">
      <c r="A25" s="11"/>
      <c r="B25" s="46"/>
      <c r="C25" s="17"/>
      <c r="D25" s="22"/>
      <c r="E25" s="33"/>
      <c r="F25" s="11"/>
      <c r="G25" s="11"/>
      <c r="H25" s="11"/>
      <c r="I25" s="34"/>
    </row>
    <row r="26" spans="1:9" ht="20.100000000000001" customHeight="1" x14ac:dyDescent="0.2">
      <c r="A26" s="11"/>
      <c r="B26" s="46"/>
      <c r="C26" s="17"/>
      <c r="D26" s="22"/>
      <c r="E26" s="33"/>
      <c r="F26" s="11"/>
      <c r="G26" s="11"/>
      <c r="H26" s="11"/>
      <c r="I26" s="34"/>
    </row>
    <row r="27" spans="1:9" ht="20.100000000000001" customHeight="1" x14ac:dyDescent="0.2">
      <c r="A27" s="11"/>
      <c r="B27" s="46"/>
      <c r="C27" s="17"/>
      <c r="D27" s="22"/>
      <c r="E27" s="33"/>
      <c r="F27" s="11"/>
      <c r="G27" s="11"/>
      <c r="H27" s="11"/>
      <c r="I27" s="34"/>
    </row>
    <row r="28" spans="1:9" ht="20.100000000000001" customHeight="1" x14ac:dyDescent="0.2">
      <c r="A28" s="11"/>
      <c r="B28" s="46"/>
      <c r="C28" s="17"/>
      <c r="D28" s="22"/>
      <c r="E28" s="33"/>
      <c r="F28" s="11"/>
      <c r="G28" s="11"/>
      <c r="H28" s="11"/>
      <c r="I28" s="34"/>
    </row>
    <row r="29" spans="1:9" ht="20.100000000000001" customHeight="1" x14ac:dyDescent="0.2">
      <c r="A29" s="11"/>
      <c r="B29" s="46"/>
      <c r="C29" s="17"/>
      <c r="D29" s="22"/>
      <c r="E29" s="33"/>
      <c r="F29" s="11"/>
      <c r="G29" s="11"/>
      <c r="H29" s="11"/>
      <c r="I29" s="34"/>
    </row>
    <row r="30" spans="1:9" ht="20.100000000000001" customHeight="1" x14ac:dyDescent="0.2">
      <c r="A30" s="11"/>
      <c r="B30" s="46"/>
      <c r="C30" s="17"/>
      <c r="D30" s="22"/>
      <c r="E30" s="33"/>
      <c r="F30" s="11"/>
      <c r="G30" s="11"/>
      <c r="H30" s="11"/>
      <c r="I30" s="11"/>
    </row>
    <row r="31" spans="1:9" ht="20.100000000000001" customHeight="1" x14ac:dyDescent="0.2">
      <c r="A31" s="11"/>
      <c r="B31" s="46"/>
      <c r="C31" s="17"/>
      <c r="D31" s="22"/>
      <c r="E31" s="33"/>
      <c r="F31" s="11"/>
      <c r="G31" s="11"/>
      <c r="H31" s="11"/>
      <c r="I31" s="11"/>
    </row>
    <row r="32" spans="1:9" ht="20.100000000000001" customHeight="1" x14ac:dyDescent="0.2">
      <c r="A32" s="11"/>
      <c r="B32" s="46"/>
      <c r="C32" s="17"/>
      <c r="D32" s="22"/>
      <c r="E32" s="33"/>
      <c r="F32" s="11"/>
      <c r="G32" s="11"/>
      <c r="H32" s="11"/>
      <c r="I32" s="11"/>
    </row>
    <row r="33" spans="1:9" ht="20.100000000000001" customHeight="1" x14ac:dyDescent="0.2">
      <c r="A33" s="11"/>
      <c r="B33" s="46"/>
      <c r="C33" s="17"/>
      <c r="D33" s="22"/>
      <c r="E33" s="33"/>
      <c r="F33" s="11"/>
      <c r="G33" s="11"/>
      <c r="H33" s="11"/>
      <c r="I33" s="11"/>
    </row>
    <row r="34" spans="1:9" ht="20.100000000000001" customHeight="1" x14ac:dyDescent="0.2">
      <c r="A34" s="11"/>
      <c r="B34" s="46"/>
      <c r="C34" s="17"/>
      <c r="D34" s="22"/>
      <c r="E34" s="33"/>
      <c r="F34" s="11"/>
      <c r="G34" s="11"/>
      <c r="H34" s="11"/>
      <c r="I34" s="11"/>
    </row>
    <row r="35" spans="1:9" ht="20.100000000000001" customHeight="1" x14ac:dyDescent="0.2">
      <c r="A35" s="11"/>
      <c r="B35" s="46"/>
      <c r="C35" s="17"/>
      <c r="D35" s="22"/>
      <c r="E35" s="33"/>
      <c r="F35" s="11"/>
      <c r="G35" s="11"/>
      <c r="H35" s="11"/>
      <c r="I35" s="11"/>
    </row>
    <row r="36" spans="1:9" x14ac:dyDescent="0.2">
      <c r="A36" s="11"/>
      <c r="B36" s="15"/>
      <c r="C36" s="16"/>
      <c r="D36" s="16"/>
      <c r="E36" s="16"/>
      <c r="F36" s="11"/>
      <c r="G36" s="11"/>
      <c r="H36" s="11"/>
      <c r="I36" s="11"/>
    </row>
    <row r="37" spans="1:9" x14ac:dyDescent="0.2">
      <c r="A37" s="11"/>
      <c r="B37" s="11"/>
      <c r="C37" s="14"/>
      <c r="D37" s="14"/>
      <c r="E37" s="14"/>
      <c r="F37" s="11"/>
      <c r="G37" s="11"/>
      <c r="H37" s="11"/>
      <c r="I37" s="11"/>
    </row>
  </sheetData>
  <dataConsolidate/>
  <mergeCells count="8">
    <mergeCell ref="B3:C3"/>
    <mergeCell ref="B4:E4"/>
    <mergeCell ref="D5:E5"/>
    <mergeCell ref="G12:H14"/>
    <mergeCell ref="G6:H7"/>
    <mergeCell ref="G10:H10"/>
    <mergeCell ref="G9:H9"/>
    <mergeCell ref="G11:H11"/>
  </mergeCells>
  <conditionalFormatting sqref="D6:D35">
    <cfRule type="expression" dxfId="103" priority="2" stopIfTrue="1">
      <formula>AND(B6&lt;&gt;"",B6&lt;TODAY())</formula>
    </cfRule>
    <cfRule type="expression" dxfId="102" priority="3" stopIfTrue="1">
      <formula>AND(E6&lt;&gt;"",E6=$H$16)</formula>
    </cfRule>
    <cfRule type="expression" dxfId="101" priority="4" stopIfTrue="1">
      <formula>AND(E6&lt;&gt;"",E6=$H$17)</formula>
    </cfRule>
    <cfRule type="expression" dxfId="100" priority="5" stopIfTrue="1">
      <formula>AND(E6&lt;&gt;"",E6=$H$18)</formula>
    </cfRule>
    <cfRule type="expression" dxfId="99" priority="6" stopIfTrue="1">
      <formula>AND(E6&lt;&gt;"",E6=$H$19)</formula>
    </cfRule>
    <cfRule type="expression" dxfId="98" priority="7" stopIfTrue="1">
      <formula>AND(E6&lt;&gt;"",E6=$H$20)</formula>
    </cfRule>
  </conditionalFormatting>
  <conditionalFormatting sqref="B6:C35 E6:E35">
    <cfRule type="expression" dxfId="97" priority="1">
      <formula>AND($B6&lt;&gt;"",$B6&lt;TODAY())</formula>
    </cfRule>
  </conditionalFormatting>
  <dataValidations count="6">
    <dataValidation type="list" allowBlank="1" showInputMessage="1" showErrorMessage="1" sqref="E6:E35" xr:uid="{00000000-0002-0000-0000-000000000000}">
      <formula1>Categorias_de_eventos</formula1>
    </dataValidation>
    <dataValidation type="list" allowBlank="1" showInputMessage="1" showErrorMessage="1" sqref="G9:H9" xr:uid="{00000000-0002-0000-0000-000001000000}">
      <formula1>"Domingo, Lunes"</formula1>
    </dataValidation>
    <dataValidation allowBlank="1" showInputMessage="1" showErrorMessage="1" promptTitle="Calendario de eventos anuales" prompt="Escriba todas las fechas importantes en esta pestaña. _x000a__x000a_Las pestañas mensuales se actualizarán automáticamente con cada evento. " sqref="A1" xr:uid="{00000000-0002-0000-0000-000002000000}"/>
    <dataValidation allowBlank="1" showInputMessage="1" showErrorMessage="1" prompt="Modifique esta celda con el nombre de familia" sqref="B3:C3" xr:uid="{00000000-0002-0000-0000-000003000000}"/>
    <dataValidation allowBlank="1" showInputMessage="1" showErrorMessage="1" prompt="Actualice esta celda con el año natural utilizando los botones de número" sqref="E3" xr:uid="{00000000-0002-0000-0000-000004000000}"/>
    <dataValidation allowBlank="1" showInputMessage="1" showErrorMessage="1" prompt="Escriba fechas importantes en esta columna. Escriba solo el mes y el día, el año se agregará automáticamente. _x000a__x000a_Use una sola fila para cada fecha. Si haya varios eventos con el mismo día, combine la descripción de los eventos en la fecha." sqref="B5" xr:uid="{00000000-0002-0000-0000-000005000000}"/>
  </dataValidations>
  <printOptions horizontalCentered="1"/>
  <pageMargins left="0.25" right="0.25" top="0.75" bottom="0.75" header="0.3" footer="0.3"/>
  <pageSetup paperSize="9" scale="79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ontrol numérico">
              <controlPr defaultSize="0" print="0" autoPict="0" altText="Use el botón de control numérico para cambiar de año natural o cambie el año en la celda E3.">
                <anchor moveWithCells="1">
                  <from>
                    <xdr:col>5</xdr:col>
                    <xdr:colOff>38100</xdr:colOff>
                    <xdr:row>2</xdr:row>
                    <xdr:rowOff>857250</xdr:rowOff>
                  </from>
                  <to>
                    <xdr:col>6</xdr:col>
                    <xdr:colOff>19050</xdr:colOff>
                    <xdr:row>2</xdr:row>
                    <xdr:rowOff>1162050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I14"/>
  <sheetViews>
    <sheetView showGridLines="0" showRowColHeaders="0" zoomScaleNormal="100" workbookViewId="0"/>
  </sheetViews>
  <sheetFormatPr baseColWidth="10" defaultColWidth="9.140625" defaultRowHeight="12.75" x14ac:dyDescent="0.2"/>
  <cols>
    <col min="2" max="2" width="1.5703125" customWidth="1"/>
    <col min="3" max="9" width="20.7109375" customWidth="1"/>
  </cols>
  <sheetData>
    <row r="1" spans="2:9" ht="75.75" customHeight="1" x14ac:dyDescent="0.2">
      <c r="B1" s="4"/>
      <c r="C1" s="56" t="str">
        <f>"Enero "&amp;"de "&amp;AñoCalendario</f>
        <v>Enero de 2019</v>
      </c>
      <c r="D1" s="56"/>
      <c r="E1" s="56"/>
      <c r="F1" s="3"/>
      <c r="G1" s="3"/>
      <c r="H1" s="3"/>
      <c r="I1" s="3"/>
    </row>
    <row r="2" spans="2:9" ht="22.5" customHeight="1" thickBot="1" x14ac:dyDescent="0.25">
      <c r="C2" s="2" t="str">
        <f t="shared" ref="C2:I2" si="0">TEXT(C3,"dddd")</f>
        <v>domingo</v>
      </c>
      <c r="D2" s="2" t="str">
        <f t="shared" si="0"/>
        <v>lunes</v>
      </c>
      <c r="E2" s="2" t="str">
        <f t="shared" si="0"/>
        <v>martes</v>
      </c>
      <c r="F2" s="2" t="str">
        <f t="shared" si="0"/>
        <v>miércoles</v>
      </c>
      <c r="G2" s="2" t="str">
        <f t="shared" si="0"/>
        <v>jueves</v>
      </c>
      <c r="H2" s="2" t="str">
        <f t="shared" si="0"/>
        <v>viernes</v>
      </c>
      <c r="I2" s="2" t="str">
        <f t="shared" si="0"/>
        <v>sábado</v>
      </c>
    </row>
    <row r="3" spans="2:9" ht="14.25" customHeight="1" thickTop="1" x14ac:dyDescent="0.2">
      <c r="C3" s="47">
        <f t="array" ref="C3:I3">DíasYSemanas+DATE(AñoCalendario,1,1)-WEEKDAY(DATE(AñoCalendario,1,1),(InicioDeSemana="Lunes")+1)+1</f>
        <v>43464</v>
      </c>
      <c r="D3" s="47">
        <v>43465</v>
      </c>
      <c r="E3" s="47">
        <v>43466</v>
      </c>
      <c r="F3" s="47">
        <v>43467</v>
      </c>
      <c r="G3" s="47">
        <v>43468</v>
      </c>
      <c r="H3" s="47">
        <v>43469</v>
      </c>
      <c r="I3" s="47">
        <v>43470</v>
      </c>
    </row>
    <row r="4" spans="2:9" ht="99.95" customHeight="1" x14ac:dyDescent="0.2">
      <c r="C4" s="45" t="str">
        <f t="shared" ref="C4:I4" si="1">IFERROR(VLOOKUP(C3,Fechas_importantes,2,FALSE),"")</f>
        <v/>
      </c>
      <c r="D4" s="45" t="str">
        <f t="shared" si="1"/>
        <v/>
      </c>
      <c r="E4" s="45" t="str">
        <f t="shared" si="1"/>
        <v>Año nuevo</v>
      </c>
      <c r="F4" s="45" t="str">
        <f t="shared" si="1"/>
        <v/>
      </c>
      <c r="G4" s="45" t="str">
        <f t="shared" si="1"/>
        <v/>
      </c>
      <c r="H4" s="45" t="str">
        <f t="shared" si="1"/>
        <v/>
      </c>
      <c r="I4" s="45" t="str">
        <f t="shared" si="1"/>
        <v/>
      </c>
    </row>
    <row r="5" spans="2:9" ht="15" customHeight="1" x14ac:dyDescent="0.2">
      <c r="C5" s="47">
        <f t="array" ref="C5:I5">DíasYSemanas+DATE(AñoCalendario,1,1)-WEEKDAY(DATE(AñoCalendario,1,1),(InicioDeSemana="Lunes")+1)+8</f>
        <v>43471</v>
      </c>
      <c r="D5" s="47">
        <v>43472</v>
      </c>
      <c r="E5" s="47">
        <v>43473</v>
      </c>
      <c r="F5" s="47">
        <v>43474</v>
      </c>
      <c r="G5" s="47">
        <v>43475</v>
      </c>
      <c r="H5" s="47">
        <v>43476</v>
      </c>
      <c r="I5" s="47">
        <v>43477</v>
      </c>
    </row>
    <row r="6" spans="2:9" ht="99.95" customHeight="1" x14ac:dyDescent="0.2">
      <c r="C6" s="45" t="str">
        <f t="shared" ref="C6:I6" si="2">IFERROR(VLOOKUP(C5,Fechas_importantes,2,FALSE),"")</f>
        <v/>
      </c>
      <c r="D6" s="45" t="str">
        <f t="shared" si="2"/>
        <v/>
      </c>
      <c r="E6" s="45" t="str">
        <f t="shared" si="2"/>
        <v/>
      </c>
      <c r="F6" s="45" t="str">
        <f t="shared" si="2"/>
        <v/>
      </c>
      <c r="G6" s="45" t="str">
        <f t="shared" si="2"/>
        <v/>
      </c>
      <c r="H6" s="45" t="str">
        <f t="shared" si="2"/>
        <v/>
      </c>
      <c r="I6" s="45" t="str">
        <f t="shared" si="2"/>
        <v/>
      </c>
    </row>
    <row r="7" spans="2:9" ht="15" customHeight="1" x14ac:dyDescent="0.2">
      <c r="C7" s="47">
        <f t="array" ref="C7:I7">DíasYSemanas+DATE(AñoCalendario,1,1)-WEEKDAY(DATE(AñoCalendario,1,1),(InicioDeSemana="Lunes")+1)+15</f>
        <v>43478</v>
      </c>
      <c r="D7" s="47">
        <v>43479</v>
      </c>
      <c r="E7" s="47">
        <v>43480</v>
      </c>
      <c r="F7" s="47">
        <v>43481</v>
      </c>
      <c r="G7" s="47">
        <v>43482</v>
      </c>
      <c r="H7" s="47">
        <v>43483</v>
      </c>
      <c r="I7" s="47">
        <v>43484</v>
      </c>
    </row>
    <row r="8" spans="2:9" ht="99.95" customHeight="1" x14ac:dyDescent="0.2">
      <c r="C8" s="45" t="str">
        <f t="shared" ref="C8:I8" si="3">IFERROR(VLOOKUP(C7,Fechas_importantes,2,FALSE),"")</f>
        <v/>
      </c>
      <c r="D8" s="45" t="str">
        <f t="shared" si="3"/>
        <v/>
      </c>
      <c r="E8" s="45" t="str">
        <f t="shared" si="3"/>
        <v/>
      </c>
      <c r="F8" s="45" t="str">
        <f t="shared" si="3"/>
        <v/>
      </c>
      <c r="G8" s="45" t="str">
        <f t="shared" si="3"/>
        <v>Cumpleaños de Tim's</v>
      </c>
      <c r="H8" s="45" t="str">
        <f t="shared" si="3"/>
        <v>Descanso de fin de semana</v>
      </c>
      <c r="I8" s="45" t="str">
        <f t="shared" si="3"/>
        <v/>
      </c>
    </row>
    <row r="9" spans="2:9" ht="15" customHeight="1" x14ac:dyDescent="0.2">
      <c r="C9" s="47">
        <f t="array" ref="C9:I9">DíasYSemanas+DATE(AñoCalendario,1,1)-WEEKDAY(DATE(AñoCalendario,1,1),(InicioDeSemana="Lunes")+1)+22</f>
        <v>43485</v>
      </c>
      <c r="D9" s="47">
        <v>43486</v>
      </c>
      <c r="E9" s="47">
        <v>43487</v>
      </c>
      <c r="F9" s="47">
        <v>43488</v>
      </c>
      <c r="G9" s="47">
        <v>43489</v>
      </c>
      <c r="H9" s="47">
        <v>43490</v>
      </c>
      <c r="I9" s="47">
        <v>43491</v>
      </c>
    </row>
    <row r="10" spans="2:9" ht="99.95" customHeight="1" x14ac:dyDescent="0.2">
      <c r="C10" s="45" t="str">
        <f t="shared" ref="C10:I10" si="4">IFERROR(VLOOKUP(C9,Fechas_importantes,2,FALSE),"")</f>
        <v/>
      </c>
      <c r="D10" s="45" t="str">
        <f t="shared" si="4"/>
        <v/>
      </c>
      <c r="E10" s="45" t="str">
        <f t="shared" si="4"/>
        <v/>
      </c>
      <c r="F10" s="45" t="str">
        <f t="shared" si="4"/>
        <v/>
      </c>
      <c r="G10" s="45" t="str">
        <f t="shared" si="4"/>
        <v/>
      </c>
      <c r="H10" s="45" t="str">
        <f t="shared" si="4"/>
        <v/>
      </c>
      <c r="I10" s="45" t="str">
        <f t="shared" si="4"/>
        <v/>
      </c>
    </row>
    <row r="11" spans="2:9" ht="15" customHeight="1" x14ac:dyDescent="0.2">
      <c r="C11" s="47">
        <f t="array" ref="C11:I11">DíasYSemanas+DATE(AñoCalendario,1,1)-WEEKDAY(DATE(AñoCalendario,1,1),(InicioDeSemana="Lunes")+1)+29</f>
        <v>43492</v>
      </c>
      <c r="D11" s="47">
        <v>43493</v>
      </c>
      <c r="E11" s="47">
        <v>43494</v>
      </c>
      <c r="F11" s="47">
        <v>43495</v>
      </c>
      <c r="G11" s="47">
        <v>43496</v>
      </c>
      <c r="H11" s="47">
        <v>43497</v>
      </c>
      <c r="I11" s="47">
        <v>43498</v>
      </c>
    </row>
    <row r="12" spans="2:9" ht="99.95" customHeight="1" x14ac:dyDescent="0.2">
      <c r="C12" s="45" t="str">
        <f t="shared" ref="C12:I12" si="5">IFERROR(VLOOKUP(C11,Fechas_importantes,2,FALSE),"")</f>
        <v/>
      </c>
      <c r="D12" s="45" t="str">
        <f t="shared" si="5"/>
        <v/>
      </c>
      <c r="E12" s="45" t="str">
        <f t="shared" si="5"/>
        <v/>
      </c>
      <c r="F12" s="45" t="str">
        <f t="shared" si="5"/>
        <v/>
      </c>
      <c r="G12" s="45" t="str">
        <f t="shared" si="5"/>
        <v/>
      </c>
      <c r="H12" s="45" t="str">
        <f t="shared" si="5"/>
        <v/>
      </c>
      <c r="I12" s="45" t="str">
        <f t="shared" si="5"/>
        <v/>
      </c>
    </row>
    <row r="13" spans="2:9" ht="15" customHeight="1" x14ac:dyDescent="0.2">
      <c r="C13" s="47">
        <f t="array" ref="C13:D13">DíasYSemanas+DATE(AñoCalendario,1,1)-WEEKDAY(DATE(AñoCalendario,1,1),(InicioDeSemana="Lunes")+1)+36</f>
        <v>43499</v>
      </c>
      <c r="D13" s="47">
        <v>43500</v>
      </c>
      <c r="E13" s="57" t="s">
        <v>16</v>
      </c>
      <c r="F13" s="57"/>
      <c r="G13" s="57"/>
      <c r="H13" s="57"/>
      <c r="I13" s="57"/>
    </row>
    <row r="14" spans="2:9" ht="99.95" customHeight="1" x14ac:dyDescent="0.2">
      <c r="C14" s="45" t="str">
        <f>IFERROR(VLOOKUP(C13,Fechas_importantes,2,FALSE),"")</f>
        <v/>
      </c>
      <c r="D14" s="45" t="str">
        <f>IFERROR(VLOOKUP(D13,Fechas_importantes,2,FALSE),"")</f>
        <v/>
      </c>
      <c r="E14" s="57"/>
      <c r="F14" s="57"/>
      <c r="G14" s="57"/>
      <c r="H14" s="57"/>
      <c r="I14" s="57"/>
    </row>
  </sheetData>
  <mergeCells count="3">
    <mergeCell ref="C1:E1"/>
    <mergeCell ref="E13:I13"/>
    <mergeCell ref="E14:I14"/>
  </mergeCells>
  <conditionalFormatting sqref="C4:H4">
    <cfRule type="expression" dxfId="96" priority="9">
      <formula>DAY(C3)&gt;8</formula>
    </cfRule>
  </conditionalFormatting>
  <conditionalFormatting sqref="C2:I2">
    <cfRule type="expression" dxfId="95" priority="3">
      <formula>OR(C2="Domingo",C2="Sábado")</formula>
    </cfRule>
  </conditionalFormatting>
  <conditionalFormatting sqref="C12:I12">
    <cfRule type="expression" dxfId="94" priority="2">
      <formula>AND(DAY(C11)&gt;=1,DAY(C11)&lt;=15)</formula>
    </cfRule>
  </conditionalFormatting>
  <conditionalFormatting sqref="C14:D14">
    <cfRule type="expression" dxfId="93" priority="1">
      <formula>AND(DAY(C13)&gt;=1,DAY(C13)&lt;=15)</formula>
    </cfRule>
  </conditionalFormatting>
  <dataValidations count="3">
    <dataValidation allowBlank="1" showInputMessage="1" prompt="Escriba las notas del mes en la siguiente celda" sqref="E13:I13" xr:uid="{00000000-0002-0000-0100-000000000000}"/>
    <dataValidation allowBlank="1" showInputMessage="1" prompt="Escriba las notas del mes en esta celda" sqref="E14:I14" xr:uid="{00000000-0002-0000-0100-000001000000}"/>
    <dataValidation allowBlank="1" showInputMessage="1" showErrorMessage="1" prompt="Los eventos del mes se actualizan automáticamente en esta pestaña. Para agregar o modificar un evento, haga clic en el botón Establecer fechas importantes. Los días del mes anterior y del siguiente aparecen sombreados." sqref="A1" xr:uid="{00000000-0002-0000-0100-000002000000}"/>
  </dataValidations>
  <printOptions horizontalCentered="1"/>
  <pageMargins left="0.25" right="0.25" top="0.75" bottom="0.75" header="0.3" footer="0.3"/>
  <pageSetup paperSize="9" scale="7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11AD5CDF-2D82-4086-ADF0-760A8E9E39CF}">
            <xm:f>VLOOKUP(C3,Fechas_importantes,4,FALSE)='Calendario familiar'!$H$16</xm:f>
            <x14:dxf>
              <fill>
                <patternFill>
                  <bgColor theme="5"/>
                </patternFill>
              </fill>
            </x14:dxf>
          </x14:cfRule>
          <x14:cfRule type="expression" priority="5" stopIfTrue="1" id="{621DC866-3CE0-4179-81FE-3850B6511D09}">
            <xm:f>VLOOKUP(C3,Fechas_importantes,4,FALSE)='Calendario familiar'!$H$17</xm:f>
            <x14:dxf>
              <fill>
                <patternFill>
                  <bgColor theme="6"/>
                </patternFill>
              </fill>
            </x14:dxf>
          </x14:cfRule>
          <x14:cfRule type="expression" priority="6" stopIfTrue="1" id="{1306898D-5440-4761-95A6-0E7814CE2018}">
            <xm:f>VLOOKUP(C3,Fechas_importantes,4,FALSE)='Calendario familiar'!$H$18</xm:f>
            <x14:dxf>
              <fill>
                <patternFill>
                  <bgColor theme="7"/>
                </patternFill>
              </fill>
            </x14:dxf>
          </x14:cfRule>
          <x14:cfRule type="expression" priority="7" stopIfTrue="1" id="{DAA072B4-D52B-4233-94E8-469525E9BB17}">
            <xm:f>VLOOKUP(C3,Fechas_importantes,4,FALSE)='Calendario familiar'!$H$19</xm:f>
            <x14:dxf>
              <fill>
                <patternFill>
                  <bgColor theme="4"/>
                </patternFill>
              </fill>
            </x14:dxf>
          </x14:cfRule>
          <x14:cfRule type="expression" priority="8" stopIfTrue="1" id="{B3E901C4-3515-495F-9E3B-262AB26E4556}">
            <xm:f>VLOOKUP(C3,Fechas_importantes,4,FALSE)='Calendario familiar'!$H$20</xm:f>
            <x14:dxf>
              <fill>
                <patternFill>
                  <bgColor theme="3" tint="0.89996032593768116"/>
                </patternFill>
              </fill>
            </x14:dxf>
          </x14:cfRule>
          <xm:sqref>C3:I3 C5:I5 C7:I7 C9:I9 C11:I11 C13:D13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14"/>
  <sheetViews>
    <sheetView showGridLines="0" showRowColHeaders="0" zoomScaleNormal="100" workbookViewId="0"/>
  </sheetViews>
  <sheetFormatPr baseColWidth="10" defaultColWidth="9.140625" defaultRowHeight="12.75" x14ac:dyDescent="0.2"/>
  <cols>
    <col min="2" max="2" width="1.5703125" customWidth="1"/>
    <col min="3" max="9" width="20.7109375" customWidth="1"/>
  </cols>
  <sheetData>
    <row r="1" spans="2:9" ht="75.75" customHeight="1" x14ac:dyDescent="0.2">
      <c r="B1" s="4"/>
      <c r="C1" s="56" t="str">
        <f>"Febrero "&amp;"de "&amp;AñoCalendario</f>
        <v>Febrero de 2019</v>
      </c>
      <c r="D1" s="56"/>
      <c r="E1" s="56"/>
      <c r="F1" s="3"/>
      <c r="G1" s="3"/>
      <c r="H1" s="3"/>
      <c r="I1" s="3"/>
    </row>
    <row r="2" spans="2:9" ht="22.5" customHeight="1" thickBot="1" x14ac:dyDescent="0.25">
      <c r="C2" s="2" t="str">
        <f t="shared" ref="C2:I2" si="0">TEXT(C3,"dddd")</f>
        <v>domingo</v>
      </c>
      <c r="D2" s="2" t="str">
        <f t="shared" si="0"/>
        <v>lunes</v>
      </c>
      <c r="E2" s="2" t="str">
        <f t="shared" si="0"/>
        <v>martes</v>
      </c>
      <c r="F2" s="2" t="str">
        <f t="shared" si="0"/>
        <v>miércoles</v>
      </c>
      <c r="G2" s="2" t="str">
        <f t="shared" si="0"/>
        <v>jueves</v>
      </c>
      <c r="H2" s="2" t="str">
        <f t="shared" si="0"/>
        <v>viernes</v>
      </c>
      <c r="I2" s="2" t="str">
        <f t="shared" si="0"/>
        <v>sábado</v>
      </c>
    </row>
    <row r="3" spans="2:9" ht="14.25" customHeight="1" thickTop="1" x14ac:dyDescent="0.2">
      <c r="C3" s="47">
        <f t="array" ref="C3:I3">DíasYSemanas+DATE(AñoCalendario,2,1)-WEEKDAY(DATE(AñoCalendario,2,1),(InicioDeSemana="Lunes")+1)+1</f>
        <v>43492</v>
      </c>
      <c r="D3" s="47">
        <v>43493</v>
      </c>
      <c r="E3" s="47">
        <v>43494</v>
      </c>
      <c r="F3" s="47">
        <v>43495</v>
      </c>
      <c r="G3" s="47">
        <v>43496</v>
      </c>
      <c r="H3" s="47">
        <v>43497</v>
      </c>
      <c r="I3" s="47">
        <v>43498</v>
      </c>
    </row>
    <row r="4" spans="2:9" ht="99.95" customHeight="1" x14ac:dyDescent="0.2">
      <c r="C4" s="45" t="str">
        <f t="shared" ref="C4:I4" si="1">IFERROR(VLOOKUP(C3,Fechas_importantes,2,FALSE),"")</f>
        <v/>
      </c>
      <c r="D4" s="45" t="str">
        <f t="shared" si="1"/>
        <v/>
      </c>
      <c r="E4" s="45" t="str">
        <f t="shared" si="1"/>
        <v/>
      </c>
      <c r="F4" s="45" t="str">
        <f t="shared" si="1"/>
        <v/>
      </c>
      <c r="G4" s="45" t="str">
        <f t="shared" si="1"/>
        <v/>
      </c>
      <c r="H4" s="45" t="str">
        <f t="shared" si="1"/>
        <v/>
      </c>
      <c r="I4" s="45" t="str">
        <f t="shared" si="1"/>
        <v/>
      </c>
    </row>
    <row r="5" spans="2:9" ht="15" customHeight="1" x14ac:dyDescent="0.2">
      <c r="C5" s="47">
        <f t="array" ref="C5:I5">DíasYSemanas+DATE(AñoCalendario,2,1)-WEEKDAY(DATE(AñoCalendario,2,1),(InicioDeSemana="Lunes")+1)+8</f>
        <v>43499</v>
      </c>
      <c r="D5" s="47">
        <v>43500</v>
      </c>
      <c r="E5" s="47">
        <v>43501</v>
      </c>
      <c r="F5" s="47">
        <v>43502</v>
      </c>
      <c r="G5" s="47">
        <v>43503</v>
      </c>
      <c r="H5" s="47">
        <v>43504</v>
      </c>
      <c r="I5" s="47">
        <v>43505</v>
      </c>
    </row>
    <row r="6" spans="2:9" ht="99.95" customHeight="1" x14ac:dyDescent="0.2">
      <c r="C6" s="45" t="str">
        <f t="shared" ref="C6:I6" si="2">IFERROR(VLOOKUP(C5,Fechas_importantes,2,FALSE),"")</f>
        <v/>
      </c>
      <c r="D6" s="45" t="str">
        <f t="shared" si="2"/>
        <v/>
      </c>
      <c r="E6" s="45" t="str">
        <f t="shared" si="2"/>
        <v/>
      </c>
      <c r="F6" s="45" t="str">
        <f t="shared" si="2"/>
        <v/>
      </c>
      <c r="G6" s="45" t="str">
        <f t="shared" si="2"/>
        <v/>
      </c>
      <c r="H6" s="45" t="str">
        <f t="shared" si="2"/>
        <v/>
      </c>
      <c r="I6" s="45" t="str">
        <f t="shared" si="2"/>
        <v/>
      </c>
    </row>
    <row r="7" spans="2:9" ht="15" customHeight="1" x14ac:dyDescent="0.2">
      <c r="C7" s="47">
        <f t="array" ref="C7:I7">DíasYSemanas+DATE(AñoCalendario,2,1)-WEEKDAY(DATE(AñoCalendario,2,1),(InicioDeSemana="Lunes")+1)+15</f>
        <v>43506</v>
      </c>
      <c r="D7" s="47">
        <v>43507</v>
      </c>
      <c r="E7" s="47">
        <v>43508</v>
      </c>
      <c r="F7" s="47">
        <v>43509</v>
      </c>
      <c r="G7" s="47">
        <v>43510</v>
      </c>
      <c r="H7" s="47">
        <v>43511</v>
      </c>
      <c r="I7" s="47">
        <v>43512</v>
      </c>
    </row>
    <row r="8" spans="2:9" ht="99.95" customHeight="1" x14ac:dyDescent="0.2">
      <c r="C8" s="45" t="str">
        <f t="shared" ref="C8:I8" si="3">IFERROR(VLOOKUP(C7,Fechas_importantes,2,FALSE),"")</f>
        <v/>
      </c>
      <c r="D8" s="45" t="str">
        <f t="shared" si="3"/>
        <v/>
      </c>
      <c r="E8" s="45" t="str">
        <f t="shared" si="3"/>
        <v/>
      </c>
      <c r="F8" s="45" t="str">
        <f t="shared" si="3"/>
        <v/>
      </c>
      <c r="G8" s="45" t="str">
        <f t="shared" si="3"/>
        <v/>
      </c>
      <c r="H8" s="45" t="str">
        <f t="shared" si="3"/>
        <v/>
      </c>
      <c r="I8" s="45" t="str">
        <f t="shared" si="3"/>
        <v/>
      </c>
    </row>
    <row r="9" spans="2:9" ht="15" customHeight="1" x14ac:dyDescent="0.2">
      <c r="C9" s="47">
        <f t="array" ref="C9:I9">DíasYSemanas+DATE(AñoCalendario,2,1)-WEEKDAY(DATE(AñoCalendario,2,1),(InicioDeSemana="Lunes")+1)+22</f>
        <v>43513</v>
      </c>
      <c r="D9" s="47">
        <v>43514</v>
      </c>
      <c r="E9" s="47">
        <v>43515</v>
      </c>
      <c r="F9" s="47">
        <v>43516</v>
      </c>
      <c r="G9" s="47">
        <v>43517</v>
      </c>
      <c r="H9" s="47">
        <v>43518</v>
      </c>
      <c r="I9" s="47">
        <v>43519</v>
      </c>
    </row>
    <row r="10" spans="2:9" ht="99.95" customHeight="1" x14ac:dyDescent="0.2">
      <c r="C10" s="45" t="str">
        <f t="shared" ref="C10:I10" si="4">IFERROR(VLOOKUP(C9,Fechas_importantes,2,FALSE),"")</f>
        <v/>
      </c>
      <c r="D10" s="45" t="str">
        <f t="shared" si="4"/>
        <v/>
      </c>
      <c r="E10" s="45" t="str">
        <f t="shared" si="4"/>
        <v/>
      </c>
      <c r="F10" s="45" t="str">
        <f t="shared" si="4"/>
        <v/>
      </c>
      <c r="G10" s="45" t="str">
        <f t="shared" si="4"/>
        <v/>
      </c>
      <c r="H10" s="45" t="str">
        <f t="shared" si="4"/>
        <v/>
      </c>
      <c r="I10" s="45" t="str">
        <f t="shared" si="4"/>
        <v/>
      </c>
    </row>
    <row r="11" spans="2:9" ht="15" customHeight="1" x14ac:dyDescent="0.2">
      <c r="C11" s="47">
        <f t="array" ref="C11:I11">DíasYSemanas+DATE(AñoCalendario,2,1)-WEEKDAY(DATE(AñoCalendario,2,1),(InicioDeSemana="Lunes")+1)+29</f>
        <v>43520</v>
      </c>
      <c r="D11" s="47">
        <v>43521</v>
      </c>
      <c r="E11" s="47">
        <v>43522</v>
      </c>
      <c r="F11" s="47">
        <v>43523</v>
      </c>
      <c r="G11" s="47">
        <v>43524</v>
      </c>
      <c r="H11" s="47">
        <v>43525</v>
      </c>
      <c r="I11" s="47">
        <v>43526</v>
      </c>
    </row>
    <row r="12" spans="2:9" ht="99.95" customHeight="1" x14ac:dyDescent="0.2">
      <c r="C12" s="45" t="str">
        <f t="shared" ref="C12:I12" si="5">IFERROR(VLOOKUP(C11,Fechas_importantes,2,FALSE),"")</f>
        <v/>
      </c>
      <c r="D12" s="45" t="str">
        <f t="shared" si="5"/>
        <v/>
      </c>
      <c r="E12" s="45" t="str">
        <f t="shared" si="5"/>
        <v/>
      </c>
      <c r="F12" s="45" t="str">
        <f t="shared" si="5"/>
        <v/>
      </c>
      <c r="G12" s="45" t="str">
        <f t="shared" si="5"/>
        <v/>
      </c>
      <c r="H12" s="45" t="str">
        <f t="shared" si="5"/>
        <v/>
      </c>
      <c r="I12" s="45" t="str">
        <f t="shared" si="5"/>
        <v/>
      </c>
    </row>
    <row r="13" spans="2:9" ht="15" customHeight="1" x14ac:dyDescent="0.2">
      <c r="C13" s="47">
        <f t="array" ref="C13:D13">DíasYSemanas+DATE(AñoCalendario,2,1)-WEEKDAY(DATE(AñoCalendario,2,1),(InicioDeSemana="Lunes")+1)+36</f>
        <v>43527</v>
      </c>
      <c r="D13" s="47">
        <v>43528</v>
      </c>
      <c r="E13" s="57" t="s">
        <v>16</v>
      </c>
      <c r="F13" s="57"/>
      <c r="G13" s="57"/>
      <c r="H13" s="57"/>
      <c r="I13" s="57"/>
    </row>
    <row r="14" spans="2:9" ht="99.95" customHeight="1" x14ac:dyDescent="0.2">
      <c r="C14" s="45" t="str">
        <f>IFERROR(VLOOKUP(C13,Fechas_importantes,2,FALSE),"")</f>
        <v/>
      </c>
      <c r="D14" s="45" t="str">
        <f>IFERROR(VLOOKUP(D13,Fechas_importantes,2,FALSE),"")</f>
        <v/>
      </c>
      <c r="E14" s="57"/>
      <c r="F14" s="57"/>
      <c r="G14" s="57"/>
      <c r="H14" s="57"/>
      <c r="I14" s="57"/>
    </row>
  </sheetData>
  <mergeCells count="3">
    <mergeCell ref="C1:E1"/>
    <mergeCell ref="E13:I13"/>
    <mergeCell ref="E14:I14"/>
  </mergeCells>
  <conditionalFormatting sqref="C12:I12 C14:D14">
    <cfRule type="expression" dxfId="87" priority="8">
      <formula>AND(DAY(C11)&gt;=1,DAY(C11)&lt;=15)</formula>
    </cfRule>
  </conditionalFormatting>
  <conditionalFormatting sqref="C4:H4">
    <cfRule type="expression" dxfId="86" priority="7">
      <formula>DAY(C3)&gt;8</formula>
    </cfRule>
  </conditionalFormatting>
  <conditionalFormatting sqref="C2:I2">
    <cfRule type="expression" dxfId="85" priority="1">
      <formula>OR(C2="Domingo",C2="Sábado")</formula>
    </cfRule>
  </conditionalFormatting>
  <dataValidations count="3">
    <dataValidation allowBlank="1" showInputMessage="1" prompt="Escriba las notas del mes en esta celda" sqref="E14:I14" xr:uid="{00000000-0002-0000-0200-000000000000}"/>
    <dataValidation allowBlank="1" showInputMessage="1" prompt="Escriba las notas del mes en la siguiente celda" sqref="E13:I13" xr:uid="{00000000-0002-0000-0200-000001000000}"/>
    <dataValidation allowBlank="1" showInputMessage="1" showErrorMessage="1" prompt="Los eventos del mes se actualizan automáticamente en esta pestaña. Para agregar o modificar un evento, haga clic en el botón Establecer fechas importantes. Los días del mes anterior y del siguiente aparecen sombreados." sqref="A1" xr:uid="{00000000-0002-0000-0200-000002000000}"/>
  </dataValidations>
  <printOptions horizontalCentered="1"/>
  <pageMargins left="0.25" right="0.25" top="0.75" bottom="0.75" header="0.3" footer="0.3"/>
  <pageSetup paperSize="9" scale="7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DBA1FC5-3A3B-476D-8F91-BED66A74AF8B}">
            <xm:f>VLOOKUP(C3,Fechas_importantes,4,FALSE)='Calendario familiar'!$H$16</xm:f>
            <x14:dxf>
              <fill>
                <patternFill>
                  <bgColor theme="5"/>
                </patternFill>
              </fill>
            </x14:dxf>
          </x14:cfRule>
          <x14:cfRule type="expression" priority="3" stopIfTrue="1" id="{07BA3878-3F9A-4B77-8D12-C73F8257DA0E}">
            <xm:f>VLOOKUP(C3,Fechas_importantes,4,FALSE)='Calendario familiar'!$H$17</xm:f>
            <x14:dxf>
              <fill>
                <patternFill>
                  <bgColor theme="6"/>
                </patternFill>
              </fill>
            </x14:dxf>
          </x14:cfRule>
          <x14:cfRule type="expression" priority="4" stopIfTrue="1" id="{51F4AAD1-9401-41BC-8615-D279A930BDF4}">
            <xm:f>VLOOKUP(C3,Fechas_importantes,4,FALSE)='Calendario familiar'!$H$18</xm:f>
            <x14:dxf>
              <fill>
                <patternFill>
                  <bgColor theme="7"/>
                </patternFill>
              </fill>
            </x14:dxf>
          </x14:cfRule>
          <x14:cfRule type="expression" priority="5" stopIfTrue="1" id="{A6879963-B21D-45D6-99B3-62A686F69569}">
            <xm:f>VLOOKUP(C3,Fechas_importantes,4,FALSE)='Calendario familiar'!$H$19</xm:f>
            <x14:dxf>
              <fill>
                <patternFill>
                  <bgColor theme="4"/>
                </patternFill>
              </fill>
            </x14:dxf>
          </x14:cfRule>
          <x14:cfRule type="expression" priority="6" stopIfTrue="1" id="{019B9027-A586-48B1-AC35-FF26FE589978}">
            <xm:f>VLOOKUP(C3,Fechas_importantes,4,FALSE)='Calendario familiar'!$H$20</xm:f>
            <x14:dxf>
              <fill>
                <patternFill>
                  <bgColor theme="3" tint="0.89996032593768116"/>
                </patternFill>
              </fill>
            </x14:dxf>
          </x14:cfRule>
          <xm:sqref>C3:I3 C5:I5 C7:I7 C9:I9 C11:I11 C13:D13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I14"/>
  <sheetViews>
    <sheetView showGridLines="0" showRowColHeaders="0" zoomScaleNormal="100" workbookViewId="0"/>
  </sheetViews>
  <sheetFormatPr baseColWidth="10" defaultColWidth="9.140625" defaultRowHeight="12.75" x14ac:dyDescent="0.2"/>
  <cols>
    <col min="2" max="2" width="1.5703125" customWidth="1"/>
    <col min="3" max="9" width="20.7109375" customWidth="1"/>
  </cols>
  <sheetData>
    <row r="1" spans="2:9" ht="75.75" customHeight="1" x14ac:dyDescent="0.2">
      <c r="B1" s="6"/>
      <c r="C1" s="56" t="str">
        <f>"Marzo "&amp;"de "&amp;AñoCalendario</f>
        <v>Marzo de 2019</v>
      </c>
      <c r="D1" s="56"/>
      <c r="E1" s="56"/>
      <c r="F1" s="3"/>
      <c r="G1" s="3"/>
      <c r="H1" s="3"/>
      <c r="I1" s="3"/>
    </row>
    <row r="2" spans="2:9" ht="22.5" customHeight="1" thickBot="1" x14ac:dyDescent="0.25">
      <c r="C2" s="5" t="str">
        <f t="shared" ref="C2:I2" si="0">TEXT(C3,"dddd")</f>
        <v>domingo</v>
      </c>
      <c r="D2" s="5" t="str">
        <f t="shared" si="0"/>
        <v>lunes</v>
      </c>
      <c r="E2" s="5" t="str">
        <f t="shared" si="0"/>
        <v>martes</v>
      </c>
      <c r="F2" s="5" t="str">
        <f t="shared" si="0"/>
        <v>miércoles</v>
      </c>
      <c r="G2" s="5" t="str">
        <f t="shared" si="0"/>
        <v>jueves</v>
      </c>
      <c r="H2" s="5" t="str">
        <f t="shared" si="0"/>
        <v>viernes</v>
      </c>
      <c r="I2" s="5" t="str">
        <f t="shared" si="0"/>
        <v>sábado</v>
      </c>
    </row>
    <row r="3" spans="2:9" ht="14.25" customHeight="1" thickTop="1" x14ac:dyDescent="0.2">
      <c r="C3" s="47">
        <f t="array" ref="C3:I3">DíasYSemanas+DATE(AñoCalendario,3,1)-WEEKDAY(DATE(AñoCalendario,3,1),(InicioDeSemana="Lunes")+1)+1</f>
        <v>43520</v>
      </c>
      <c r="D3" s="47">
        <v>43521</v>
      </c>
      <c r="E3" s="47">
        <v>43522</v>
      </c>
      <c r="F3" s="47">
        <v>43523</v>
      </c>
      <c r="G3" s="47">
        <v>43524</v>
      </c>
      <c r="H3" s="47">
        <v>43525</v>
      </c>
      <c r="I3" s="47">
        <v>43526</v>
      </c>
    </row>
    <row r="4" spans="2:9" ht="99.95" customHeight="1" x14ac:dyDescent="0.2">
      <c r="C4" s="45" t="str">
        <f t="shared" ref="C4:I4" si="1">IFERROR(VLOOKUP(C3,Fechas_importantes,2,FALSE),"")</f>
        <v/>
      </c>
      <c r="D4" s="45" t="str">
        <f t="shared" si="1"/>
        <v/>
      </c>
      <c r="E4" s="45" t="str">
        <f t="shared" si="1"/>
        <v/>
      </c>
      <c r="F4" s="45" t="str">
        <f t="shared" si="1"/>
        <v/>
      </c>
      <c r="G4" s="45" t="str">
        <f t="shared" si="1"/>
        <v/>
      </c>
      <c r="H4" s="45" t="str">
        <f t="shared" si="1"/>
        <v/>
      </c>
      <c r="I4" s="45" t="str">
        <f t="shared" si="1"/>
        <v/>
      </c>
    </row>
    <row r="5" spans="2:9" ht="15" customHeight="1" x14ac:dyDescent="0.2">
      <c r="C5" s="47">
        <f t="array" ref="C5:I5">DíasYSemanas+DATE(AñoCalendario,3,1)-WEEKDAY(DATE(AñoCalendario,3,1),(InicioDeSemana="Lunes")+1)+8</f>
        <v>43527</v>
      </c>
      <c r="D5" s="47">
        <v>43528</v>
      </c>
      <c r="E5" s="47">
        <v>43529</v>
      </c>
      <c r="F5" s="47">
        <v>43530</v>
      </c>
      <c r="G5" s="47">
        <v>43531</v>
      </c>
      <c r="H5" s="47">
        <v>43532</v>
      </c>
      <c r="I5" s="47">
        <v>43533</v>
      </c>
    </row>
    <row r="6" spans="2:9" ht="99.95" customHeight="1" x14ac:dyDescent="0.2">
      <c r="C6" s="45" t="str">
        <f t="shared" ref="C6:I6" si="2">IFERROR(VLOOKUP(C5,Fechas_importantes,2,FALSE),"")</f>
        <v/>
      </c>
      <c r="D6" s="45" t="str">
        <f t="shared" si="2"/>
        <v/>
      </c>
      <c r="E6" s="45" t="str">
        <f t="shared" si="2"/>
        <v/>
      </c>
      <c r="F6" s="45" t="str">
        <f t="shared" si="2"/>
        <v/>
      </c>
      <c r="G6" s="45" t="str">
        <f t="shared" si="2"/>
        <v/>
      </c>
      <c r="H6" s="45" t="str">
        <f t="shared" si="2"/>
        <v/>
      </c>
      <c r="I6" s="45" t="str">
        <f t="shared" si="2"/>
        <v/>
      </c>
    </row>
    <row r="7" spans="2:9" ht="15" customHeight="1" x14ac:dyDescent="0.2">
      <c r="C7" s="47">
        <f t="array" ref="C7:I7">DíasYSemanas+DATE(AñoCalendario,3,1)-WEEKDAY(DATE(AñoCalendario,3,1),(InicioDeSemana="Lunes")+1)+15</f>
        <v>43534</v>
      </c>
      <c r="D7" s="47">
        <v>43535</v>
      </c>
      <c r="E7" s="47">
        <v>43536</v>
      </c>
      <c r="F7" s="47">
        <v>43537</v>
      </c>
      <c r="G7" s="47">
        <v>43538</v>
      </c>
      <c r="H7" s="47">
        <v>43539</v>
      </c>
      <c r="I7" s="47">
        <v>43540</v>
      </c>
    </row>
    <row r="8" spans="2:9" ht="99.95" customHeight="1" x14ac:dyDescent="0.2">
      <c r="C8" s="45" t="str">
        <f t="shared" ref="C8:I8" si="3">IFERROR(VLOOKUP(C7,Fechas_importantes,2,FALSE),"")</f>
        <v/>
      </c>
      <c r="D8" s="45" t="str">
        <f t="shared" si="3"/>
        <v/>
      </c>
      <c r="E8" s="45" t="str">
        <f t="shared" si="3"/>
        <v/>
      </c>
      <c r="F8" s="45" t="str">
        <f t="shared" si="3"/>
        <v/>
      </c>
      <c r="G8" s="45" t="str">
        <f t="shared" si="3"/>
        <v/>
      </c>
      <c r="H8" s="45" t="str">
        <f t="shared" si="3"/>
        <v/>
      </c>
      <c r="I8" s="45" t="str">
        <f t="shared" si="3"/>
        <v/>
      </c>
    </row>
    <row r="9" spans="2:9" ht="15" customHeight="1" x14ac:dyDescent="0.2">
      <c r="C9" s="47">
        <f t="array" ref="C9:I9">DíasYSemanas+DATE(AñoCalendario,3,1)-WEEKDAY(DATE(AñoCalendario,3,1),(InicioDeSemana="Lunes")+1)+22</f>
        <v>43541</v>
      </c>
      <c r="D9" s="47">
        <v>43542</v>
      </c>
      <c r="E9" s="47">
        <v>43543</v>
      </c>
      <c r="F9" s="47">
        <v>43544</v>
      </c>
      <c r="G9" s="47">
        <v>43545</v>
      </c>
      <c r="H9" s="47">
        <v>43546</v>
      </c>
      <c r="I9" s="47">
        <v>43547</v>
      </c>
    </row>
    <row r="10" spans="2:9" ht="99.95" customHeight="1" x14ac:dyDescent="0.2">
      <c r="C10" s="45" t="str">
        <f t="shared" ref="C10:I10" si="4">IFERROR(VLOOKUP(C9,Fechas_importantes,2,FALSE),"")</f>
        <v/>
      </c>
      <c r="D10" s="45" t="str">
        <f t="shared" si="4"/>
        <v/>
      </c>
      <c r="E10" s="45" t="str">
        <f t="shared" si="4"/>
        <v/>
      </c>
      <c r="F10" s="45" t="str">
        <f t="shared" si="4"/>
        <v/>
      </c>
      <c r="G10" s="45" t="str">
        <f t="shared" si="4"/>
        <v/>
      </c>
      <c r="H10" s="45" t="str">
        <f t="shared" si="4"/>
        <v/>
      </c>
      <c r="I10" s="45" t="str">
        <f t="shared" si="4"/>
        <v/>
      </c>
    </row>
    <row r="11" spans="2:9" ht="15" customHeight="1" x14ac:dyDescent="0.2">
      <c r="C11" s="47">
        <f t="array" ref="C11:I11">DíasYSemanas+DATE(AñoCalendario,3,1)-WEEKDAY(DATE(AñoCalendario,3,1),(InicioDeSemana="Lunes")+1)+29</f>
        <v>43548</v>
      </c>
      <c r="D11" s="47">
        <v>43549</v>
      </c>
      <c r="E11" s="47">
        <v>43550</v>
      </c>
      <c r="F11" s="47">
        <v>43551</v>
      </c>
      <c r="G11" s="47">
        <v>43552</v>
      </c>
      <c r="H11" s="47">
        <v>43553</v>
      </c>
      <c r="I11" s="47">
        <v>43554</v>
      </c>
    </row>
    <row r="12" spans="2:9" ht="99.95" customHeight="1" x14ac:dyDescent="0.2">
      <c r="C12" s="45" t="str">
        <f t="shared" ref="C12:I12" si="5">IFERROR(VLOOKUP(C11,Fechas_importantes,2,FALSE),"")</f>
        <v/>
      </c>
      <c r="D12" s="45" t="str">
        <f t="shared" si="5"/>
        <v/>
      </c>
      <c r="E12" s="45" t="str">
        <f t="shared" si="5"/>
        <v/>
      </c>
      <c r="F12" s="45" t="str">
        <f t="shared" si="5"/>
        <v/>
      </c>
      <c r="G12" s="45" t="str">
        <f t="shared" si="5"/>
        <v/>
      </c>
      <c r="H12" s="45" t="str">
        <f t="shared" si="5"/>
        <v/>
      </c>
      <c r="I12" s="45" t="str">
        <f t="shared" si="5"/>
        <v/>
      </c>
    </row>
    <row r="13" spans="2:9" ht="15" customHeight="1" x14ac:dyDescent="0.2">
      <c r="C13" s="47">
        <f t="array" ref="C13:D13">DíasYSemanas+DATE(AñoCalendario,3,1)-WEEKDAY(DATE(AñoCalendario,3,1),(InicioDeSemana="Lunes")+1)+36</f>
        <v>43555</v>
      </c>
      <c r="D13" s="47">
        <v>43556</v>
      </c>
      <c r="E13" s="57" t="s">
        <v>16</v>
      </c>
      <c r="F13" s="57"/>
      <c r="G13" s="57"/>
      <c r="H13" s="57"/>
      <c r="I13" s="57"/>
    </row>
    <row r="14" spans="2:9" ht="99.95" customHeight="1" x14ac:dyDescent="0.2">
      <c r="C14" s="45" t="str">
        <f>IFERROR(VLOOKUP(C13,Fechas_importantes,2,FALSE),"")</f>
        <v/>
      </c>
      <c r="D14" s="45" t="str">
        <f>IFERROR(VLOOKUP(D13,Fechas_importantes,2,FALSE),"")</f>
        <v/>
      </c>
      <c r="E14" s="57"/>
      <c r="F14" s="57"/>
      <c r="G14" s="57"/>
      <c r="H14" s="57"/>
      <c r="I14" s="57"/>
    </row>
  </sheetData>
  <mergeCells count="3">
    <mergeCell ref="C1:E1"/>
    <mergeCell ref="E13:I13"/>
    <mergeCell ref="E14:I14"/>
  </mergeCells>
  <conditionalFormatting sqref="C12:I12 C14:D14">
    <cfRule type="expression" dxfId="79" priority="8">
      <formula>AND(DAY(C11)&gt;=1,DAY(C11)&lt;=15)</formula>
    </cfRule>
  </conditionalFormatting>
  <conditionalFormatting sqref="C4:H4">
    <cfRule type="expression" dxfId="78" priority="7">
      <formula>DAY(C3)&gt;8</formula>
    </cfRule>
  </conditionalFormatting>
  <conditionalFormatting sqref="C2:I2">
    <cfRule type="expression" dxfId="77" priority="1">
      <formula>OR(C2="Domingo",C2="Sábado")</formula>
    </cfRule>
  </conditionalFormatting>
  <dataValidations count="3">
    <dataValidation allowBlank="1" showInputMessage="1" prompt="Escriba las notas del mes en la siguiente celda" sqref="E13:I13" xr:uid="{00000000-0002-0000-0300-000000000000}"/>
    <dataValidation allowBlank="1" showInputMessage="1" prompt="Escriba las notas del mes en esta celda" sqref="E14:I14" xr:uid="{00000000-0002-0000-0300-000001000000}"/>
    <dataValidation allowBlank="1" showInputMessage="1" showErrorMessage="1" prompt="Los eventos del mes se actualizan automáticamente en esta pestaña. Para agregar o modificar un evento, haga clic en el botón Establecer fechas importantes. Los días del mes anterior y del siguiente aparecen sombreados." sqref="A1" xr:uid="{00000000-0002-0000-0300-000002000000}"/>
  </dataValidations>
  <printOptions horizontalCentered="1"/>
  <pageMargins left="0.25" right="0.25" top="0.75" bottom="0.75" header="0.3" footer="0.3"/>
  <pageSetup paperSize="9" scale="7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028D071-F9F8-4C70-989C-C1C9402A3EB2}">
            <xm:f>VLOOKUP(C3,Fechas_importantes,4,FALSE)='Calendario familiar'!$H$16</xm:f>
            <x14:dxf>
              <fill>
                <patternFill>
                  <bgColor theme="5"/>
                </patternFill>
              </fill>
            </x14:dxf>
          </x14:cfRule>
          <x14:cfRule type="expression" priority="3" stopIfTrue="1" id="{8633E92D-5369-49F4-9E17-593A2913769D}">
            <xm:f>VLOOKUP(C3,Fechas_importantes,4,FALSE)='Calendario familiar'!$H$17</xm:f>
            <x14:dxf>
              <fill>
                <patternFill>
                  <bgColor theme="6"/>
                </patternFill>
              </fill>
            </x14:dxf>
          </x14:cfRule>
          <x14:cfRule type="expression" priority="4" stopIfTrue="1" id="{806DAECC-0DA2-462C-9905-294C6FAACB9A}">
            <xm:f>VLOOKUP(C3,Fechas_importantes,4,FALSE)='Calendario familiar'!$H$18</xm:f>
            <x14:dxf>
              <fill>
                <patternFill>
                  <bgColor theme="7"/>
                </patternFill>
              </fill>
            </x14:dxf>
          </x14:cfRule>
          <x14:cfRule type="expression" priority="5" stopIfTrue="1" id="{234B52BD-7F5F-44DB-86C7-C2C9830C99D7}">
            <xm:f>VLOOKUP(C3,Fechas_importantes,4,FALSE)='Calendario familiar'!$H$19</xm:f>
            <x14:dxf>
              <fill>
                <patternFill>
                  <bgColor theme="4"/>
                </patternFill>
              </fill>
            </x14:dxf>
          </x14:cfRule>
          <x14:cfRule type="expression" priority="6" stopIfTrue="1" id="{958B6650-FFB1-41A6-B287-43972A85C920}">
            <xm:f>VLOOKUP(C3,Fechas_importantes,4,FALSE)='Calendario familiar'!$H$20</xm:f>
            <x14:dxf>
              <fill>
                <patternFill>
                  <bgColor theme="3" tint="0.89996032593768116"/>
                </patternFill>
              </fill>
            </x14:dxf>
          </x14:cfRule>
          <xm:sqref>C3:I3 C5:I5 C7:I7 C9:I9 C11:I11 C13:D13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I14"/>
  <sheetViews>
    <sheetView showGridLines="0" showRowColHeaders="0" zoomScaleNormal="100" workbookViewId="0"/>
  </sheetViews>
  <sheetFormatPr baseColWidth="10" defaultColWidth="9.140625" defaultRowHeight="12.75" x14ac:dyDescent="0.2"/>
  <cols>
    <col min="2" max="2" width="1.5703125" customWidth="1"/>
    <col min="3" max="9" width="20.7109375" customWidth="1"/>
  </cols>
  <sheetData>
    <row r="1" spans="2:9" ht="75.75" customHeight="1" x14ac:dyDescent="0.2">
      <c r="B1" s="6"/>
      <c r="C1" s="56" t="str">
        <f>"Abril "&amp;"de "&amp;AñoCalendario</f>
        <v>Abril de 2019</v>
      </c>
      <c r="D1" s="56"/>
      <c r="E1" s="56"/>
      <c r="F1" s="3"/>
      <c r="G1" s="3"/>
      <c r="H1" s="3"/>
      <c r="I1" s="3"/>
    </row>
    <row r="2" spans="2:9" ht="22.5" customHeight="1" thickBot="1" x14ac:dyDescent="0.25">
      <c r="C2" s="5" t="str">
        <f t="shared" ref="C2:I2" si="0">TEXT(C3,"dddd")</f>
        <v>domingo</v>
      </c>
      <c r="D2" s="5" t="str">
        <f t="shared" si="0"/>
        <v>lunes</v>
      </c>
      <c r="E2" s="5" t="str">
        <f t="shared" si="0"/>
        <v>martes</v>
      </c>
      <c r="F2" s="5" t="str">
        <f t="shared" si="0"/>
        <v>miércoles</v>
      </c>
      <c r="G2" s="5" t="str">
        <f t="shared" si="0"/>
        <v>jueves</v>
      </c>
      <c r="H2" s="5" t="str">
        <f t="shared" si="0"/>
        <v>viernes</v>
      </c>
      <c r="I2" s="5" t="str">
        <f t="shared" si="0"/>
        <v>sábado</v>
      </c>
    </row>
    <row r="3" spans="2:9" ht="14.25" customHeight="1" thickTop="1" x14ac:dyDescent="0.2">
      <c r="C3" s="47">
        <f t="array" ref="C3:I3">DíasYSemanas+DATE(AñoCalendario,4,1)-WEEKDAY(DATE(AñoCalendario,4,1),(InicioDeSemana="Lunes")+1)+1</f>
        <v>43555</v>
      </c>
      <c r="D3" s="47">
        <v>43556</v>
      </c>
      <c r="E3" s="47">
        <v>43557</v>
      </c>
      <c r="F3" s="47">
        <v>43558</v>
      </c>
      <c r="G3" s="47">
        <v>43559</v>
      </c>
      <c r="H3" s="47">
        <v>43560</v>
      </c>
      <c r="I3" s="47">
        <v>43561</v>
      </c>
    </row>
    <row r="4" spans="2:9" ht="99.95" customHeight="1" x14ac:dyDescent="0.2">
      <c r="C4" s="45" t="str">
        <f t="shared" ref="C4:I4" si="1">IFERROR(VLOOKUP(C3,Fechas_importantes,2,FALSE),"")</f>
        <v/>
      </c>
      <c r="D4" s="45" t="str">
        <f t="shared" si="1"/>
        <v/>
      </c>
      <c r="E4" s="45" t="str">
        <f t="shared" si="1"/>
        <v/>
      </c>
      <c r="F4" s="45" t="str">
        <f t="shared" si="1"/>
        <v/>
      </c>
      <c r="G4" s="45" t="str">
        <f t="shared" si="1"/>
        <v/>
      </c>
      <c r="H4" s="45" t="str">
        <f t="shared" si="1"/>
        <v/>
      </c>
      <c r="I4" s="45" t="str">
        <f t="shared" si="1"/>
        <v/>
      </c>
    </row>
    <row r="5" spans="2:9" ht="15" customHeight="1" x14ac:dyDescent="0.2">
      <c r="C5" s="47">
        <f t="array" ref="C5:I5">DíasYSemanas+DATE(AñoCalendario,4,1)-WEEKDAY(DATE(AñoCalendario,4,1),(InicioDeSemana="Lunes")+1)+8</f>
        <v>43562</v>
      </c>
      <c r="D5" s="47">
        <v>43563</v>
      </c>
      <c r="E5" s="47">
        <v>43564</v>
      </c>
      <c r="F5" s="47">
        <v>43565</v>
      </c>
      <c r="G5" s="47">
        <v>43566</v>
      </c>
      <c r="H5" s="47">
        <v>43567</v>
      </c>
      <c r="I5" s="47">
        <v>43568</v>
      </c>
    </row>
    <row r="6" spans="2:9" ht="99.95" customHeight="1" x14ac:dyDescent="0.2">
      <c r="C6" s="45" t="str">
        <f t="shared" ref="C6:I6" si="2">IFERROR(VLOOKUP(C5,Fechas_importantes,2,FALSE),"")</f>
        <v/>
      </c>
      <c r="D6" s="45" t="str">
        <f t="shared" si="2"/>
        <v/>
      </c>
      <c r="E6" s="45" t="str">
        <f t="shared" si="2"/>
        <v/>
      </c>
      <c r="F6" s="45" t="str">
        <f t="shared" si="2"/>
        <v/>
      </c>
      <c r="G6" s="45" t="str">
        <f t="shared" si="2"/>
        <v/>
      </c>
      <c r="H6" s="45" t="str">
        <f t="shared" si="2"/>
        <v/>
      </c>
      <c r="I6" s="45" t="str">
        <f t="shared" si="2"/>
        <v/>
      </c>
    </row>
    <row r="7" spans="2:9" ht="15" customHeight="1" x14ac:dyDescent="0.2">
      <c r="C7" s="47">
        <f t="array" ref="C7:I7">DíasYSemanas+DATE(AñoCalendario,4,1)-WEEKDAY(DATE(AñoCalendario,4,1),(InicioDeSemana="Lunes")+1)+15</f>
        <v>43569</v>
      </c>
      <c r="D7" s="47">
        <v>43570</v>
      </c>
      <c r="E7" s="47">
        <v>43571</v>
      </c>
      <c r="F7" s="47">
        <v>43572</v>
      </c>
      <c r="G7" s="47">
        <v>43573</v>
      </c>
      <c r="H7" s="47">
        <v>43574</v>
      </c>
      <c r="I7" s="47">
        <v>43575</v>
      </c>
    </row>
    <row r="8" spans="2:9" ht="99.95" customHeight="1" x14ac:dyDescent="0.2">
      <c r="C8" s="45" t="str">
        <f t="shared" ref="C8:I8" si="3">IFERROR(VLOOKUP(C7,Fechas_importantes,2,FALSE),"")</f>
        <v/>
      </c>
      <c r="D8" s="45" t="str">
        <f t="shared" si="3"/>
        <v/>
      </c>
      <c r="E8" s="45" t="str">
        <f t="shared" si="3"/>
        <v/>
      </c>
      <c r="F8" s="45" t="str">
        <f t="shared" si="3"/>
        <v/>
      </c>
      <c r="G8" s="45" t="str">
        <f t="shared" si="3"/>
        <v/>
      </c>
      <c r="H8" s="45" t="str">
        <f t="shared" si="3"/>
        <v/>
      </c>
      <c r="I8" s="45" t="str">
        <f t="shared" si="3"/>
        <v/>
      </c>
    </row>
    <row r="9" spans="2:9" ht="15" customHeight="1" x14ac:dyDescent="0.2">
      <c r="C9" s="47">
        <f t="array" ref="C9:I9">DíasYSemanas+DATE(AñoCalendario,4,1)-WEEKDAY(DATE(AñoCalendario,4,1),(InicioDeSemana="Lunes")+1)+22</f>
        <v>43576</v>
      </c>
      <c r="D9" s="47">
        <v>43577</v>
      </c>
      <c r="E9" s="47">
        <v>43578</v>
      </c>
      <c r="F9" s="47">
        <v>43579</v>
      </c>
      <c r="G9" s="47">
        <v>43580</v>
      </c>
      <c r="H9" s="47">
        <v>43581</v>
      </c>
      <c r="I9" s="47">
        <v>43582</v>
      </c>
    </row>
    <row r="10" spans="2:9" ht="99.95" customHeight="1" x14ac:dyDescent="0.2">
      <c r="C10" s="45" t="str">
        <f t="shared" ref="C10:I10" si="4">IFERROR(VLOOKUP(C9,Fechas_importantes,2,FALSE),"")</f>
        <v/>
      </c>
      <c r="D10" s="45" t="str">
        <f t="shared" si="4"/>
        <v/>
      </c>
      <c r="E10" s="45" t="str">
        <f t="shared" si="4"/>
        <v/>
      </c>
      <c r="F10" s="45" t="str">
        <f t="shared" si="4"/>
        <v/>
      </c>
      <c r="G10" s="45" t="str">
        <f t="shared" si="4"/>
        <v/>
      </c>
      <c r="H10" s="45" t="str">
        <f t="shared" si="4"/>
        <v/>
      </c>
      <c r="I10" s="45" t="str">
        <f t="shared" si="4"/>
        <v/>
      </c>
    </row>
    <row r="11" spans="2:9" ht="15" customHeight="1" x14ac:dyDescent="0.2">
      <c r="C11" s="47">
        <f t="array" ref="C11:I11">DíasYSemanas+DATE(AñoCalendario,4,1)-WEEKDAY(DATE(AñoCalendario,4,1),(InicioDeSemana="Lunes")+1)+29</f>
        <v>43583</v>
      </c>
      <c r="D11" s="47">
        <v>43584</v>
      </c>
      <c r="E11" s="47">
        <v>43585</v>
      </c>
      <c r="F11" s="47">
        <v>43586</v>
      </c>
      <c r="G11" s="47">
        <v>43587</v>
      </c>
      <c r="H11" s="47">
        <v>43588</v>
      </c>
      <c r="I11" s="47">
        <v>43589</v>
      </c>
    </row>
    <row r="12" spans="2:9" ht="99.95" customHeight="1" x14ac:dyDescent="0.2">
      <c r="C12" s="45" t="str">
        <f t="shared" ref="C12:I12" si="5">IFERROR(VLOOKUP(C11,Fechas_importantes,2,FALSE),"")</f>
        <v/>
      </c>
      <c r="D12" s="45" t="str">
        <f t="shared" si="5"/>
        <v/>
      </c>
      <c r="E12" s="45" t="str">
        <f t="shared" si="5"/>
        <v/>
      </c>
      <c r="F12" s="45" t="str">
        <f t="shared" si="5"/>
        <v/>
      </c>
      <c r="G12" s="45" t="str">
        <f t="shared" si="5"/>
        <v/>
      </c>
      <c r="H12" s="45" t="str">
        <f t="shared" si="5"/>
        <v/>
      </c>
      <c r="I12" s="45" t="str">
        <f t="shared" si="5"/>
        <v/>
      </c>
    </row>
    <row r="13" spans="2:9" ht="15" customHeight="1" x14ac:dyDescent="0.2">
      <c r="C13" s="47">
        <f t="array" ref="C13:D13">DíasYSemanas+DATE(AñoCalendario,4,1)-WEEKDAY(DATE(AñoCalendario,4,1),(InicioDeSemana="Lunes")+1)+36</f>
        <v>43590</v>
      </c>
      <c r="D13" s="47">
        <v>43591</v>
      </c>
      <c r="E13" s="57" t="s">
        <v>16</v>
      </c>
      <c r="F13" s="57"/>
      <c r="G13" s="57"/>
      <c r="H13" s="57"/>
      <c r="I13" s="57"/>
    </row>
    <row r="14" spans="2:9" ht="99.95" customHeight="1" x14ac:dyDescent="0.2">
      <c r="C14" s="45" t="str">
        <f>IFERROR(VLOOKUP(C13,Fechas_importantes,2,FALSE),"")</f>
        <v/>
      </c>
      <c r="D14" s="45" t="str">
        <f>IFERROR(VLOOKUP(D13,Fechas_importantes,2,FALSE),"")</f>
        <v/>
      </c>
      <c r="E14" s="57"/>
      <c r="F14" s="57"/>
      <c r="G14" s="57"/>
      <c r="H14" s="57"/>
      <c r="I14" s="57"/>
    </row>
  </sheetData>
  <mergeCells count="3">
    <mergeCell ref="C1:E1"/>
    <mergeCell ref="E13:I13"/>
    <mergeCell ref="E14:I14"/>
  </mergeCells>
  <conditionalFormatting sqref="C12:I12 C14:D14">
    <cfRule type="expression" dxfId="71" priority="8">
      <formula>AND(DAY(C11)&gt;=1,DAY(C11)&lt;=15)</formula>
    </cfRule>
  </conditionalFormatting>
  <conditionalFormatting sqref="C4:H4">
    <cfRule type="expression" dxfId="70" priority="7">
      <formula>DAY(C3)&gt;8</formula>
    </cfRule>
  </conditionalFormatting>
  <conditionalFormatting sqref="C2:I2">
    <cfRule type="expression" dxfId="69" priority="1">
      <formula>OR(C2="Domingo",C2="Sábado")</formula>
    </cfRule>
  </conditionalFormatting>
  <dataValidations count="3">
    <dataValidation allowBlank="1" showInputMessage="1" prompt="Escriba las notas del mes en esta celda" sqref="E14:I14" xr:uid="{00000000-0002-0000-0400-000000000000}"/>
    <dataValidation allowBlank="1" showInputMessage="1" prompt="Escriba las notas del mes en la siguiente celda" sqref="E13:I13" xr:uid="{00000000-0002-0000-0400-000001000000}"/>
    <dataValidation allowBlank="1" showInputMessage="1" showErrorMessage="1" prompt="Los eventos del mes se actualizan automáticamente en esta pestaña. Para agregar o modificar un evento, haga clic en el botón Establecer fechas importantes. Los días del mes anterior y del siguiente aparecen sombreados." sqref="A1" xr:uid="{00000000-0002-0000-0400-000002000000}"/>
  </dataValidations>
  <printOptions horizontalCentered="1"/>
  <pageMargins left="0.25" right="0.25" top="0.75" bottom="0.75" header="0.3" footer="0.3"/>
  <pageSetup paperSize="9" scale="7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6B7C3CD-08CF-48D8-982E-E460D73C2239}">
            <xm:f>VLOOKUP(C3,Fechas_importantes,4,FALSE)='Calendario familiar'!$H$16</xm:f>
            <x14:dxf>
              <fill>
                <patternFill>
                  <bgColor theme="5"/>
                </patternFill>
              </fill>
            </x14:dxf>
          </x14:cfRule>
          <x14:cfRule type="expression" priority="3" stopIfTrue="1" id="{04ABAA43-2378-44CE-9AEF-46F687BDE069}">
            <xm:f>VLOOKUP(C3,Fechas_importantes,4,FALSE)='Calendario familiar'!$H$17</xm:f>
            <x14:dxf>
              <fill>
                <patternFill>
                  <bgColor theme="6"/>
                </patternFill>
              </fill>
            </x14:dxf>
          </x14:cfRule>
          <x14:cfRule type="expression" priority="4" stopIfTrue="1" id="{4C181735-F73B-43DF-9360-7254B38B3B3E}">
            <xm:f>VLOOKUP(C3,Fechas_importantes,4,FALSE)='Calendario familiar'!$H$18</xm:f>
            <x14:dxf>
              <fill>
                <patternFill>
                  <bgColor theme="7"/>
                </patternFill>
              </fill>
            </x14:dxf>
          </x14:cfRule>
          <x14:cfRule type="expression" priority="5" stopIfTrue="1" id="{563939E2-F06A-416C-97FC-29A795D5EF7A}">
            <xm:f>VLOOKUP(C3,Fechas_importantes,4,FALSE)='Calendario familiar'!$H$19</xm:f>
            <x14:dxf>
              <fill>
                <patternFill>
                  <bgColor theme="4"/>
                </patternFill>
              </fill>
            </x14:dxf>
          </x14:cfRule>
          <x14:cfRule type="expression" priority="6" stopIfTrue="1" id="{AF19B908-DDB7-4215-90CE-21B989C2CC11}">
            <xm:f>VLOOKUP(C3,Fechas_importantes,4,FALSE)='Calendario familiar'!$H$20</xm:f>
            <x14:dxf>
              <fill>
                <patternFill>
                  <bgColor theme="3" tint="0.89996032593768116"/>
                </patternFill>
              </fill>
            </x14:dxf>
          </x14:cfRule>
          <xm:sqref>C3:I3 C5:I5 C7:I7 C9:I9 C11:I11 C13:D13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I14"/>
  <sheetViews>
    <sheetView showGridLines="0" showRowColHeaders="0" zoomScaleNormal="100" workbookViewId="0"/>
  </sheetViews>
  <sheetFormatPr baseColWidth="10" defaultColWidth="9.140625" defaultRowHeight="12.75" x14ac:dyDescent="0.2"/>
  <cols>
    <col min="2" max="2" width="1.5703125" customWidth="1"/>
    <col min="3" max="9" width="20.7109375" customWidth="1"/>
  </cols>
  <sheetData>
    <row r="1" spans="2:9" ht="75.75" customHeight="1" x14ac:dyDescent="0.2">
      <c r="B1" s="6"/>
      <c r="C1" s="56" t="str">
        <f>"Mayo "&amp;"de "&amp;AñoCalendario</f>
        <v>Mayo de 2019</v>
      </c>
      <c r="D1" s="56"/>
      <c r="E1" s="56"/>
      <c r="F1" s="3"/>
      <c r="G1" s="3"/>
      <c r="H1" s="3"/>
      <c r="I1" s="3"/>
    </row>
    <row r="2" spans="2:9" ht="22.5" customHeight="1" thickBot="1" x14ac:dyDescent="0.25">
      <c r="C2" s="5" t="str">
        <f t="shared" ref="C2:D2" si="0">TEXT(C3,"dddd")</f>
        <v>domingo</v>
      </c>
      <c r="D2" s="5" t="str">
        <f t="shared" si="0"/>
        <v>lunes</v>
      </c>
      <c r="E2" s="5" t="str">
        <f t="shared" ref="E2:I2" si="1">TEXT(E3,"dddd")</f>
        <v>martes</v>
      </c>
      <c r="F2" s="5" t="str">
        <f t="shared" si="1"/>
        <v>miércoles</v>
      </c>
      <c r="G2" s="5" t="str">
        <f t="shared" si="1"/>
        <v>jueves</v>
      </c>
      <c r="H2" s="5" t="str">
        <f t="shared" si="1"/>
        <v>viernes</v>
      </c>
      <c r="I2" s="5" t="str">
        <f t="shared" si="1"/>
        <v>sábado</v>
      </c>
    </row>
    <row r="3" spans="2:9" ht="14.25" customHeight="1" thickTop="1" x14ac:dyDescent="0.2">
      <c r="C3" s="47">
        <f t="array" ref="C3:I3">DíasYSemanas+DATE(AñoCalendario,5,1)-WEEKDAY(DATE(AñoCalendario,5,1),(InicioDeSemana="Lunes")+1)+1</f>
        <v>43583</v>
      </c>
      <c r="D3" s="47">
        <v>43584</v>
      </c>
      <c r="E3" s="47">
        <v>43585</v>
      </c>
      <c r="F3" s="47">
        <v>43586</v>
      </c>
      <c r="G3" s="47">
        <v>43587</v>
      </c>
      <c r="H3" s="47">
        <v>43588</v>
      </c>
      <c r="I3" s="47">
        <v>43589</v>
      </c>
    </row>
    <row r="4" spans="2:9" ht="99.95" customHeight="1" x14ac:dyDescent="0.2">
      <c r="C4" s="45" t="str">
        <f t="shared" ref="C4:I4" si="2">IFERROR(VLOOKUP(C3,Fechas_importantes,2,FALSE),"")</f>
        <v/>
      </c>
      <c r="D4" s="45" t="str">
        <f t="shared" si="2"/>
        <v/>
      </c>
      <c r="E4" s="45" t="str">
        <f t="shared" si="2"/>
        <v/>
      </c>
      <c r="F4" s="45" t="str">
        <f t="shared" si="2"/>
        <v/>
      </c>
      <c r="G4" s="45" t="str">
        <f t="shared" si="2"/>
        <v/>
      </c>
      <c r="H4" s="45" t="str">
        <f t="shared" si="2"/>
        <v/>
      </c>
      <c r="I4" s="45" t="str">
        <f t="shared" si="2"/>
        <v/>
      </c>
    </row>
    <row r="5" spans="2:9" ht="15" customHeight="1" x14ac:dyDescent="0.2">
      <c r="C5" s="47">
        <f t="array" ref="C5:I5">DíasYSemanas+DATE(AñoCalendario,5,1)-WEEKDAY(DATE(AñoCalendario,5,1),(InicioDeSemana="Lunes")+1)+8</f>
        <v>43590</v>
      </c>
      <c r="D5" s="47">
        <v>43591</v>
      </c>
      <c r="E5" s="47">
        <v>43592</v>
      </c>
      <c r="F5" s="47">
        <v>43593</v>
      </c>
      <c r="G5" s="47">
        <v>43594</v>
      </c>
      <c r="H5" s="47">
        <v>43595</v>
      </c>
      <c r="I5" s="47">
        <v>43596</v>
      </c>
    </row>
    <row r="6" spans="2:9" ht="99.95" customHeight="1" x14ac:dyDescent="0.2">
      <c r="C6" s="45" t="str">
        <f t="shared" ref="C6:I6" si="3">IFERROR(VLOOKUP(C5,Fechas_importantes,2,FALSE),"")</f>
        <v/>
      </c>
      <c r="D6" s="45" t="str">
        <f t="shared" si="3"/>
        <v/>
      </c>
      <c r="E6" s="45" t="str">
        <f t="shared" si="3"/>
        <v/>
      </c>
      <c r="F6" s="45" t="str">
        <f t="shared" si="3"/>
        <v/>
      </c>
      <c r="G6" s="45" t="str">
        <f t="shared" si="3"/>
        <v/>
      </c>
      <c r="H6" s="45" t="str">
        <f t="shared" si="3"/>
        <v/>
      </c>
      <c r="I6" s="45" t="str">
        <f t="shared" si="3"/>
        <v/>
      </c>
    </row>
    <row r="7" spans="2:9" ht="15" customHeight="1" x14ac:dyDescent="0.2">
      <c r="C7" s="47">
        <f t="array" ref="C7:I7">DíasYSemanas+DATE(AñoCalendario,5,1)-WEEKDAY(DATE(AñoCalendario,5,1),(InicioDeSemana="Lunes")+1)+15</f>
        <v>43597</v>
      </c>
      <c r="D7" s="47">
        <v>43598</v>
      </c>
      <c r="E7" s="47">
        <v>43599</v>
      </c>
      <c r="F7" s="47">
        <v>43600</v>
      </c>
      <c r="G7" s="47">
        <v>43601</v>
      </c>
      <c r="H7" s="47">
        <v>43602</v>
      </c>
      <c r="I7" s="47">
        <v>43603</v>
      </c>
    </row>
    <row r="8" spans="2:9" ht="99.95" customHeight="1" x14ac:dyDescent="0.2">
      <c r="C8" s="45" t="str">
        <f t="shared" ref="C8:I8" si="4">IFERROR(VLOOKUP(C7,Fechas_importantes,2,FALSE),"")</f>
        <v/>
      </c>
      <c r="D8" s="45" t="str">
        <f t="shared" si="4"/>
        <v/>
      </c>
      <c r="E8" s="45" t="str">
        <f t="shared" si="4"/>
        <v/>
      </c>
      <c r="F8" s="45" t="str">
        <f t="shared" si="4"/>
        <v/>
      </c>
      <c r="G8" s="45" t="str">
        <f t="shared" si="4"/>
        <v/>
      </c>
      <c r="H8" s="45" t="str">
        <f t="shared" si="4"/>
        <v/>
      </c>
      <c r="I8" s="45" t="str">
        <f t="shared" si="4"/>
        <v/>
      </c>
    </row>
    <row r="9" spans="2:9" ht="15" customHeight="1" x14ac:dyDescent="0.2">
      <c r="C9" s="47">
        <f t="array" ref="C9:I9">DíasYSemanas+DATE(AñoCalendario,5,1)-WEEKDAY(DATE(AñoCalendario,5,1),(InicioDeSemana="Lunes")+1)+22</f>
        <v>43604</v>
      </c>
      <c r="D9" s="47">
        <v>43605</v>
      </c>
      <c r="E9" s="47">
        <v>43606</v>
      </c>
      <c r="F9" s="47">
        <v>43607</v>
      </c>
      <c r="G9" s="47">
        <v>43608</v>
      </c>
      <c r="H9" s="47">
        <v>43609</v>
      </c>
      <c r="I9" s="47">
        <v>43610</v>
      </c>
    </row>
    <row r="10" spans="2:9" ht="99.95" customHeight="1" x14ac:dyDescent="0.2">
      <c r="C10" s="45" t="str">
        <f t="shared" ref="C10:I10" si="5">IFERROR(VLOOKUP(C9,Fechas_importantes,2,FALSE),"")</f>
        <v/>
      </c>
      <c r="D10" s="45" t="str">
        <f t="shared" si="5"/>
        <v/>
      </c>
      <c r="E10" s="45" t="str">
        <f t="shared" si="5"/>
        <v/>
      </c>
      <c r="F10" s="45" t="str">
        <f t="shared" si="5"/>
        <v/>
      </c>
      <c r="G10" s="45" t="str">
        <f t="shared" si="5"/>
        <v/>
      </c>
      <c r="H10" s="45" t="str">
        <f t="shared" si="5"/>
        <v/>
      </c>
      <c r="I10" s="45" t="str">
        <f t="shared" si="5"/>
        <v/>
      </c>
    </row>
    <row r="11" spans="2:9" ht="15" customHeight="1" x14ac:dyDescent="0.2">
      <c r="C11" s="47">
        <f t="array" ref="C11:I11">DíasYSemanas+DATE(AñoCalendario,5,1)-WEEKDAY(DATE(AñoCalendario,5,1),(InicioDeSemana="Lunes")+1)+29</f>
        <v>43611</v>
      </c>
      <c r="D11" s="47">
        <v>43612</v>
      </c>
      <c r="E11" s="47">
        <v>43613</v>
      </c>
      <c r="F11" s="47">
        <v>43614</v>
      </c>
      <c r="G11" s="47">
        <v>43615</v>
      </c>
      <c r="H11" s="47">
        <v>43616</v>
      </c>
      <c r="I11" s="47">
        <v>43617</v>
      </c>
    </row>
    <row r="12" spans="2:9" ht="99.95" customHeight="1" x14ac:dyDescent="0.2">
      <c r="C12" s="45" t="str">
        <f t="shared" ref="C12:I12" si="6">IFERROR(VLOOKUP(C11,Fechas_importantes,2,FALSE),"")</f>
        <v/>
      </c>
      <c r="D12" s="45" t="str">
        <f t="shared" si="6"/>
        <v/>
      </c>
      <c r="E12" s="45" t="str">
        <f t="shared" si="6"/>
        <v/>
      </c>
      <c r="F12" s="45" t="str">
        <f t="shared" si="6"/>
        <v/>
      </c>
      <c r="G12" s="45" t="str">
        <f t="shared" si="6"/>
        <v/>
      </c>
      <c r="H12" s="45" t="str">
        <f t="shared" si="6"/>
        <v/>
      </c>
      <c r="I12" s="45" t="str">
        <f t="shared" si="6"/>
        <v/>
      </c>
    </row>
    <row r="13" spans="2:9" ht="15" customHeight="1" x14ac:dyDescent="0.2">
      <c r="C13" s="47">
        <f t="array" ref="C13:D13">DíasYSemanas+DATE(AñoCalendario,5,1)-WEEKDAY(DATE(AñoCalendario,5,1),(InicioDeSemana="Lunes")+1)+36</f>
        <v>43618</v>
      </c>
      <c r="D13" s="47">
        <v>43619</v>
      </c>
      <c r="E13" s="57" t="s">
        <v>16</v>
      </c>
      <c r="F13" s="57"/>
      <c r="G13" s="57"/>
      <c r="H13" s="57"/>
      <c r="I13" s="57"/>
    </row>
    <row r="14" spans="2:9" ht="99.95" customHeight="1" x14ac:dyDescent="0.2">
      <c r="C14" s="45" t="str">
        <f>IFERROR(VLOOKUP(C13,Fechas_importantes,2,FALSE),"")</f>
        <v/>
      </c>
      <c r="D14" s="45" t="str">
        <f>IFERROR(VLOOKUP(D13,Fechas_importantes,2,FALSE),"")</f>
        <v/>
      </c>
      <c r="E14" s="57"/>
      <c r="F14" s="57"/>
      <c r="G14" s="57"/>
      <c r="H14" s="57"/>
      <c r="I14" s="57"/>
    </row>
  </sheetData>
  <mergeCells count="3">
    <mergeCell ref="C1:E1"/>
    <mergeCell ref="E13:I13"/>
    <mergeCell ref="E14:I14"/>
  </mergeCells>
  <conditionalFormatting sqref="C12:I12 C14:D14">
    <cfRule type="expression" dxfId="63" priority="8">
      <formula>AND(DAY(C11)&gt;=1,DAY(C11)&lt;=15)</formula>
    </cfRule>
  </conditionalFormatting>
  <conditionalFormatting sqref="C4:H4">
    <cfRule type="expression" dxfId="62" priority="7">
      <formula>DAY(C3)&gt;8</formula>
    </cfRule>
  </conditionalFormatting>
  <conditionalFormatting sqref="C2:I2">
    <cfRule type="expression" dxfId="61" priority="1">
      <formula>OR(C2="Domingo",C2="Sábado")</formula>
    </cfRule>
  </conditionalFormatting>
  <dataValidations count="3">
    <dataValidation allowBlank="1" showInputMessage="1" prompt="Escriba las notas del mes en la siguiente celda" sqref="E13:I13" xr:uid="{00000000-0002-0000-0500-000000000000}"/>
    <dataValidation allowBlank="1" showInputMessage="1" prompt="Escriba las notas del mes en esta celda" sqref="E14:I14" xr:uid="{00000000-0002-0000-0500-000001000000}"/>
    <dataValidation allowBlank="1" showInputMessage="1" showErrorMessage="1" prompt="Los eventos del mes se actualizan automáticamente en esta pestaña. Para agregar o modificar un evento, haga clic en el botón Establecer fechas importantes. Los días del mes anterior y del siguiente aparecen sombreados." sqref="A1" xr:uid="{00000000-0002-0000-0500-000002000000}"/>
  </dataValidations>
  <printOptions horizontalCentered="1"/>
  <pageMargins left="0.25" right="0.25" top="0.75" bottom="0.75" header="0.3" footer="0.3"/>
  <pageSetup paperSize="9" scale="7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18C48B3-12E0-4CAD-8779-AC69EF41AA8B}">
            <xm:f>VLOOKUP(C3,Fechas_importantes,4,FALSE)='Calendario familiar'!$H$16</xm:f>
            <x14:dxf>
              <fill>
                <patternFill>
                  <bgColor theme="5"/>
                </patternFill>
              </fill>
            </x14:dxf>
          </x14:cfRule>
          <x14:cfRule type="expression" priority="3" stopIfTrue="1" id="{B5DA4FAB-F37E-4946-A6AB-33DDBF8BD059}">
            <xm:f>VLOOKUP(C3,Fechas_importantes,4,FALSE)='Calendario familiar'!$H$17</xm:f>
            <x14:dxf>
              <fill>
                <patternFill>
                  <bgColor theme="6"/>
                </patternFill>
              </fill>
            </x14:dxf>
          </x14:cfRule>
          <x14:cfRule type="expression" priority="4" stopIfTrue="1" id="{9950CC0C-5B2F-4EE2-861D-54943945BA85}">
            <xm:f>VLOOKUP(C3,Fechas_importantes,4,FALSE)='Calendario familiar'!$H$18</xm:f>
            <x14:dxf>
              <fill>
                <patternFill>
                  <bgColor theme="7"/>
                </patternFill>
              </fill>
            </x14:dxf>
          </x14:cfRule>
          <x14:cfRule type="expression" priority="5" stopIfTrue="1" id="{7A8AC698-662A-4B67-857D-853346E87B9C}">
            <xm:f>VLOOKUP(C3,Fechas_importantes,4,FALSE)='Calendario familiar'!$H$19</xm:f>
            <x14:dxf>
              <fill>
                <patternFill>
                  <bgColor theme="4"/>
                </patternFill>
              </fill>
            </x14:dxf>
          </x14:cfRule>
          <x14:cfRule type="expression" priority="6" stopIfTrue="1" id="{FD49A4D9-F0A9-439D-89BA-B1BA22FEF90E}">
            <xm:f>VLOOKUP(C3,Fechas_importantes,4,FALSE)='Calendario familiar'!$H$20</xm:f>
            <x14:dxf>
              <fill>
                <patternFill>
                  <bgColor theme="3" tint="0.89996032593768116"/>
                </patternFill>
              </fill>
            </x14:dxf>
          </x14:cfRule>
          <xm:sqref>C3:I3 C5:I5 C7:I7 C9:I9 C11:I11 C13:D13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I14"/>
  <sheetViews>
    <sheetView showGridLines="0" showRowColHeaders="0" zoomScaleNormal="100" workbookViewId="0"/>
  </sheetViews>
  <sheetFormatPr baseColWidth="10" defaultColWidth="9.140625" defaultRowHeight="12.75" x14ac:dyDescent="0.2"/>
  <cols>
    <col min="2" max="2" width="1.5703125" customWidth="1"/>
    <col min="3" max="9" width="20.7109375" customWidth="1"/>
  </cols>
  <sheetData>
    <row r="1" spans="2:9" ht="75.75" customHeight="1" x14ac:dyDescent="0.2">
      <c r="B1" s="10"/>
      <c r="C1" s="56" t="str">
        <f>"Junio "&amp;"de "&amp;AñoCalendario</f>
        <v>Junio de 2019</v>
      </c>
      <c r="D1" s="56"/>
      <c r="E1" s="56"/>
      <c r="F1" s="3"/>
      <c r="G1" s="3"/>
      <c r="H1" s="3"/>
      <c r="I1" s="3"/>
    </row>
    <row r="2" spans="2:9" ht="22.5" customHeight="1" thickBot="1" x14ac:dyDescent="0.25">
      <c r="C2" s="7" t="str">
        <f t="shared" ref="C2:I2" si="0">TEXT(C3,"dddd")</f>
        <v>domingo</v>
      </c>
      <c r="D2" s="7" t="str">
        <f t="shared" si="0"/>
        <v>lunes</v>
      </c>
      <c r="E2" s="7" t="str">
        <f t="shared" si="0"/>
        <v>martes</v>
      </c>
      <c r="F2" s="7" t="str">
        <f t="shared" si="0"/>
        <v>miércoles</v>
      </c>
      <c r="G2" s="7" t="str">
        <f t="shared" si="0"/>
        <v>jueves</v>
      </c>
      <c r="H2" s="7" t="str">
        <f t="shared" si="0"/>
        <v>viernes</v>
      </c>
      <c r="I2" s="7" t="str">
        <f t="shared" si="0"/>
        <v>sábado</v>
      </c>
    </row>
    <row r="3" spans="2:9" ht="14.25" customHeight="1" thickTop="1" x14ac:dyDescent="0.2">
      <c r="C3" s="47">
        <f t="array" ref="C3:I3">DíasYSemanas+DATE(AñoCalendario,6,1)-WEEKDAY(DATE(AñoCalendario,6,1),(InicioDeSemana="Lunes")+1)+1</f>
        <v>43611</v>
      </c>
      <c r="D3" s="47">
        <v>43612</v>
      </c>
      <c r="E3" s="47">
        <v>43613</v>
      </c>
      <c r="F3" s="47">
        <v>43614</v>
      </c>
      <c r="G3" s="47">
        <v>43615</v>
      </c>
      <c r="H3" s="47">
        <v>43616</v>
      </c>
      <c r="I3" s="47">
        <v>43617</v>
      </c>
    </row>
    <row r="4" spans="2:9" ht="99.95" customHeight="1" x14ac:dyDescent="0.2">
      <c r="C4" s="45" t="str">
        <f t="shared" ref="C4:I4" si="1">IFERROR(VLOOKUP(C3,Fechas_importantes,2,FALSE),"")</f>
        <v/>
      </c>
      <c r="D4" s="45" t="str">
        <f t="shared" si="1"/>
        <v/>
      </c>
      <c r="E4" s="45" t="str">
        <f t="shared" si="1"/>
        <v/>
      </c>
      <c r="F4" s="45" t="str">
        <f t="shared" si="1"/>
        <v/>
      </c>
      <c r="G4" s="45" t="str">
        <f t="shared" si="1"/>
        <v/>
      </c>
      <c r="H4" s="45" t="str">
        <f t="shared" si="1"/>
        <v/>
      </c>
      <c r="I4" s="45" t="str">
        <f t="shared" si="1"/>
        <v/>
      </c>
    </row>
    <row r="5" spans="2:9" ht="15" customHeight="1" x14ac:dyDescent="0.2">
      <c r="C5" s="47">
        <f t="array" ref="C5:I5">DíasYSemanas+DATE(AñoCalendario,6,1)-WEEKDAY(DATE(AñoCalendario,6,1),(InicioDeSemana="Lunes")+1)+8</f>
        <v>43618</v>
      </c>
      <c r="D5" s="47">
        <v>43619</v>
      </c>
      <c r="E5" s="47">
        <v>43620</v>
      </c>
      <c r="F5" s="47">
        <v>43621</v>
      </c>
      <c r="G5" s="47">
        <v>43622</v>
      </c>
      <c r="H5" s="47">
        <v>43623</v>
      </c>
      <c r="I5" s="47">
        <v>43624</v>
      </c>
    </row>
    <row r="6" spans="2:9" ht="99.95" customHeight="1" x14ac:dyDescent="0.2">
      <c r="C6" s="45" t="str">
        <f t="shared" ref="C6:I6" si="2">IFERROR(VLOOKUP(C5,Fechas_importantes,2,FALSE),"")</f>
        <v/>
      </c>
      <c r="D6" s="45" t="str">
        <f t="shared" si="2"/>
        <v/>
      </c>
      <c r="E6" s="45" t="str">
        <f t="shared" si="2"/>
        <v/>
      </c>
      <c r="F6" s="45" t="str">
        <f t="shared" si="2"/>
        <v/>
      </c>
      <c r="G6" s="45" t="str">
        <f t="shared" si="2"/>
        <v/>
      </c>
      <c r="H6" s="45" t="str">
        <f t="shared" si="2"/>
        <v/>
      </c>
      <c r="I6" s="45" t="str">
        <f t="shared" si="2"/>
        <v/>
      </c>
    </row>
    <row r="7" spans="2:9" ht="15" customHeight="1" x14ac:dyDescent="0.2">
      <c r="C7" s="47">
        <f t="array" ref="C7:I7">DíasYSemanas+DATE(AñoCalendario,6,1)-WEEKDAY(DATE(AñoCalendario,6,1),(InicioDeSemana="Lunes")+1)+15</f>
        <v>43625</v>
      </c>
      <c r="D7" s="47">
        <v>43626</v>
      </c>
      <c r="E7" s="47">
        <v>43627</v>
      </c>
      <c r="F7" s="47">
        <v>43628</v>
      </c>
      <c r="G7" s="47">
        <v>43629</v>
      </c>
      <c r="H7" s="47">
        <v>43630</v>
      </c>
      <c r="I7" s="47">
        <v>43631</v>
      </c>
    </row>
    <row r="8" spans="2:9" ht="99.95" customHeight="1" x14ac:dyDescent="0.2">
      <c r="C8" s="45" t="str">
        <f t="shared" ref="C8:I8" si="3">IFERROR(VLOOKUP(C7,Fechas_importantes,2,FALSE),"")</f>
        <v/>
      </c>
      <c r="D8" s="45" t="str">
        <f t="shared" si="3"/>
        <v/>
      </c>
      <c r="E8" s="45" t="str">
        <f t="shared" si="3"/>
        <v/>
      </c>
      <c r="F8" s="45" t="str">
        <f t="shared" si="3"/>
        <v/>
      </c>
      <c r="G8" s="45" t="str">
        <f t="shared" si="3"/>
        <v/>
      </c>
      <c r="H8" s="45" t="str">
        <f t="shared" si="3"/>
        <v/>
      </c>
      <c r="I8" s="45" t="str">
        <f t="shared" si="3"/>
        <v/>
      </c>
    </row>
    <row r="9" spans="2:9" ht="15" customHeight="1" x14ac:dyDescent="0.2">
      <c r="C9" s="47">
        <f t="array" ref="C9:I9">DíasYSemanas+DATE(AñoCalendario,6,1)-WEEKDAY(DATE(AñoCalendario,6,1),(InicioDeSemana="Lunes")+1)+22</f>
        <v>43632</v>
      </c>
      <c r="D9" s="47">
        <v>43633</v>
      </c>
      <c r="E9" s="47">
        <v>43634</v>
      </c>
      <c r="F9" s="47">
        <v>43635</v>
      </c>
      <c r="G9" s="47">
        <v>43636</v>
      </c>
      <c r="H9" s="47">
        <v>43637</v>
      </c>
      <c r="I9" s="47">
        <v>43638</v>
      </c>
    </row>
    <row r="10" spans="2:9" ht="99.95" customHeight="1" x14ac:dyDescent="0.2">
      <c r="C10" s="45" t="str">
        <f t="shared" ref="C10:I10" si="4">IFERROR(VLOOKUP(C9,Fechas_importantes,2,FALSE),"")</f>
        <v/>
      </c>
      <c r="D10" s="45" t="str">
        <f t="shared" si="4"/>
        <v/>
      </c>
      <c r="E10" s="45" t="str">
        <f t="shared" si="4"/>
        <v/>
      </c>
      <c r="F10" s="45" t="str">
        <f t="shared" si="4"/>
        <v/>
      </c>
      <c r="G10" s="45" t="str">
        <f t="shared" si="4"/>
        <v/>
      </c>
      <c r="H10" s="45" t="str">
        <f t="shared" si="4"/>
        <v/>
      </c>
      <c r="I10" s="45" t="str">
        <f t="shared" si="4"/>
        <v/>
      </c>
    </row>
    <row r="11" spans="2:9" ht="15" customHeight="1" x14ac:dyDescent="0.2">
      <c r="C11" s="47">
        <f t="array" ref="C11:I11">DíasYSemanas+DATE(AñoCalendario,6,1)-WEEKDAY(DATE(AñoCalendario,6,1),(InicioDeSemana="Lunes")+1)+29</f>
        <v>43639</v>
      </c>
      <c r="D11" s="47">
        <v>43640</v>
      </c>
      <c r="E11" s="47">
        <v>43641</v>
      </c>
      <c r="F11" s="47">
        <v>43642</v>
      </c>
      <c r="G11" s="47">
        <v>43643</v>
      </c>
      <c r="H11" s="47">
        <v>43644</v>
      </c>
      <c r="I11" s="47">
        <v>43645</v>
      </c>
    </row>
    <row r="12" spans="2:9" ht="99.95" customHeight="1" x14ac:dyDescent="0.2">
      <c r="C12" s="45" t="str">
        <f t="shared" ref="C12:I12" si="5">IFERROR(VLOOKUP(C11,Fechas_importantes,2,FALSE),"")</f>
        <v/>
      </c>
      <c r="D12" s="45" t="str">
        <f t="shared" si="5"/>
        <v/>
      </c>
      <c r="E12" s="45" t="str">
        <f t="shared" si="5"/>
        <v/>
      </c>
      <c r="F12" s="45" t="str">
        <f t="shared" si="5"/>
        <v/>
      </c>
      <c r="G12" s="45" t="str">
        <f t="shared" si="5"/>
        <v/>
      </c>
      <c r="H12" s="45" t="str">
        <f t="shared" si="5"/>
        <v/>
      </c>
      <c r="I12" s="45" t="str">
        <f t="shared" si="5"/>
        <v/>
      </c>
    </row>
    <row r="13" spans="2:9" ht="15" customHeight="1" x14ac:dyDescent="0.2">
      <c r="C13" s="47">
        <f t="array" ref="C13:D13">DíasYSemanas+DATE(AñoCalendario,6,1)-WEEKDAY(DATE(AñoCalendario,6,1),(InicioDeSemana="Lunes")+1)+36</f>
        <v>43646</v>
      </c>
      <c r="D13" s="47">
        <v>43647</v>
      </c>
      <c r="E13" s="57" t="s">
        <v>16</v>
      </c>
      <c r="F13" s="57"/>
      <c r="G13" s="57"/>
      <c r="H13" s="57"/>
      <c r="I13" s="57"/>
    </row>
    <row r="14" spans="2:9" ht="99.95" customHeight="1" x14ac:dyDescent="0.2">
      <c r="C14" s="45" t="str">
        <f>IFERROR(VLOOKUP(C13,Fechas_importantes,2,FALSE),"")</f>
        <v/>
      </c>
      <c r="D14" s="45" t="str">
        <f>IFERROR(VLOOKUP(D13,Fechas_importantes,2,FALSE),"")</f>
        <v/>
      </c>
      <c r="E14" s="57"/>
      <c r="F14" s="57"/>
      <c r="G14" s="57"/>
      <c r="H14" s="57"/>
      <c r="I14" s="57"/>
    </row>
  </sheetData>
  <mergeCells count="3">
    <mergeCell ref="C1:E1"/>
    <mergeCell ref="E13:I13"/>
    <mergeCell ref="E14:I14"/>
  </mergeCells>
  <conditionalFormatting sqref="C12:I12 C14:D14">
    <cfRule type="expression" dxfId="55" priority="8">
      <formula>AND(DAY(C11)&gt;=1,DAY(C11)&lt;=15)</formula>
    </cfRule>
  </conditionalFormatting>
  <conditionalFormatting sqref="C4:H4">
    <cfRule type="expression" dxfId="54" priority="7">
      <formula>DAY(C3)&gt;8</formula>
    </cfRule>
  </conditionalFormatting>
  <conditionalFormatting sqref="C2:I2">
    <cfRule type="expression" dxfId="53" priority="1">
      <formula>OR(C2="Domingo",C2="Sábado")</formula>
    </cfRule>
  </conditionalFormatting>
  <dataValidations count="3">
    <dataValidation allowBlank="1" showInputMessage="1" prompt="Escriba las notas del mes en esta celda" sqref="E14:I14" xr:uid="{00000000-0002-0000-0600-000000000000}"/>
    <dataValidation allowBlank="1" showInputMessage="1" prompt="Escriba las notas del mes en la siguiente celda" sqref="E13:I13" xr:uid="{00000000-0002-0000-0600-000001000000}"/>
    <dataValidation allowBlank="1" showInputMessage="1" showErrorMessage="1" prompt="Los eventos del mes se actualizan automáticamente en esta pestaña. Para agregar o modificar un evento, haga clic en el botón Establecer fechas importantes. Los días del mes anterior y del siguiente aparecen sombreados." sqref="A1" xr:uid="{00000000-0002-0000-0600-000002000000}"/>
  </dataValidations>
  <printOptions horizontalCentered="1"/>
  <pageMargins left="0.25" right="0.25" top="0.75" bottom="0.75" header="0.3" footer="0.3"/>
  <pageSetup paperSize="9" scale="7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97EFA03-8E04-4D2E-BB8F-8E76C7A7AAD3}">
            <xm:f>VLOOKUP(C3,Fechas_importantes,4,FALSE)='Calendario familiar'!$H$16</xm:f>
            <x14:dxf>
              <fill>
                <patternFill>
                  <bgColor theme="5"/>
                </patternFill>
              </fill>
            </x14:dxf>
          </x14:cfRule>
          <x14:cfRule type="expression" priority="3" stopIfTrue="1" id="{FC5BCC40-4D2C-4FE0-9B08-0463A1035F83}">
            <xm:f>VLOOKUP(C3,Fechas_importantes,4,FALSE)='Calendario familiar'!$H$17</xm:f>
            <x14:dxf>
              <fill>
                <patternFill>
                  <bgColor theme="6"/>
                </patternFill>
              </fill>
            </x14:dxf>
          </x14:cfRule>
          <x14:cfRule type="expression" priority="4" stopIfTrue="1" id="{E5D69B0C-5C02-4611-BFD5-33FD2A2D2E05}">
            <xm:f>VLOOKUP(C3,Fechas_importantes,4,FALSE)='Calendario familiar'!$H$18</xm:f>
            <x14:dxf>
              <fill>
                <patternFill>
                  <bgColor theme="7"/>
                </patternFill>
              </fill>
            </x14:dxf>
          </x14:cfRule>
          <x14:cfRule type="expression" priority="5" stopIfTrue="1" id="{77605858-4031-4CB0-B962-E0B9F45A9524}">
            <xm:f>VLOOKUP(C3,Fechas_importantes,4,FALSE)='Calendario familiar'!$H$19</xm:f>
            <x14:dxf>
              <fill>
                <patternFill>
                  <bgColor theme="4"/>
                </patternFill>
              </fill>
            </x14:dxf>
          </x14:cfRule>
          <x14:cfRule type="expression" priority="6" stopIfTrue="1" id="{CD28860A-C610-45D2-850C-317289DB56F6}">
            <xm:f>VLOOKUP(C3,Fechas_importantes,4,FALSE)='Calendario familiar'!$H$20</xm:f>
            <x14:dxf>
              <fill>
                <patternFill>
                  <bgColor theme="3" tint="0.89996032593768116"/>
                </patternFill>
              </fill>
            </x14:dxf>
          </x14:cfRule>
          <xm:sqref>C3:I3 C5:I5 C7:I7 C9:I9 C11:I11 C13:D13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I14"/>
  <sheetViews>
    <sheetView showGridLines="0" showRowColHeaders="0" zoomScaleNormal="100" workbookViewId="0"/>
  </sheetViews>
  <sheetFormatPr baseColWidth="10" defaultColWidth="9.140625" defaultRowHeight="12.75" x14ac:dyDescent="0.2"/>
  <cols>
    <col min="2" max="2" width="1.5703125" customWidth="1"/>
    <col min="3" max="9" width="20.7109375" customWidth="1"/>
  </cols>
  <sheetData>
    <row r="1" spans="2:9" ht="75.75" customHeight="1" x14ac:dyDescent="0.2">
      <c r="B1" s="10"/>
      <c r="C1" s="56" t="str">
        <f>"Julio "&amp;"de "&amp;AñoCalendario</f>
        <v>Julio de 2019</v>
      </c>
      <c r="D1" s="56"/>
      <c r="E1" s="56"/>
      <c r="F1" s="3"/>
      <c r="G1" s="3"/>
      <c r="H1" s="3"/>
      <c r="I1" s="3"/>
    </row>
    <row r="2" spans="2:9" ht="22.5" customHeight="1" thickBot="1" x14ac:dyDescent="0.25">
      <c r="C2" s="7" t="str">
        <f t="shared" ref="C2:I2" si="0">TEXT(C3,"dddd")</f>
        <v>domingo</v>
      </c>
      <c r="D2" s="7" t="str">
        <f t="shared" si="0"/>
        <v>lunes</v>
      </c>
      <c r="E2" s="7" t="str">
        <f t="shared" si="0"/>
        <v>martes</v>
      </c>
      <c r="F2" s="7" t="str">
        <f t="shared" si="0"/>
        <v>miércoles</v>
      </c>
      <c r="G2" s="7" t="str">
        <f t="shared" si="0"/>
        <v>jueves</v>
      </c>
      <c r="H2" s="7" t="str">
        <f t="shared" si="0"/>
        <v>viernes</v>
      </c>
      <c r="I2" s="7" t="str">
        <f t="shared" si="0"/>
        <v>sábado</v>
      </c>
    </row>
    <row r="3" spans="2:9" ht="14.25" customHeight="1" thickTop="1" x14ac:dyDescent="0.2">
      <c r="C3" s="47">
        <f t="array" ref="C3:I3">DíasYSemanas+DATE(AñoCalendario,7,1)-WEEKDAY(DATE(AñoCalendario,7,1),(InicioDeSemana="Lunes")+1)+1</f>
        <v>43646</v>
      </c>
      <c r="D3" s="47">
        <v>43647</v>
      </c>
      <c r="E3" s="47">
        <v>43648</v>
      </c>
      <c r="F3" s="47">
        <v>43649</v>
      </c>
      <c r="G3" s="47">
        <v>43650</v>
      </c>
      <c r="H3" s="47">
        <v>43651</v>
      </c>
      <c r="I3" s="47">
        <v>43652</v>
      </c>
    </row>
    <row r="4" spans="2:9" ht="99.95" customHeight="1" x14ac:dyDescent="0.2">
      <c r="C4" s="45" t="str">
        <f t="shared" ref="C4:I4" si="1">IFERROR(VLOOKUP(C3,Fechas_importantes,2,FALSE),"")</f>
        <v/>
      </c>
      <c r="D4" s="45" t="str">
        <f t="shared" si="1"/>
        <v/>
      </c>
      <c r="E4" s="45" t="str">
        <f t="shared" si="1"/>
        <v/>
      </c>
      <c r="F4" s="45" t="str">
        <f t="shared" si="1"/>
        <v/>
      </c>
      <c r="G4" s="45" t="str">
        <f t="shared" si="1"/>
        <v/>
      </c>
      <c r="H4" s="45" t="str">
        <f t="shared" si="1"/>
        <v/>
      </c>
      <c r="I4" s="45" t="str">
        <f t="shared" si="1"/>
        <v/>
      </c>
    </row>
    <row r="5" spans="2:9" ht="15" customHeight="1" x14ac:dyDescent="0.2">
      <c r="C5" s="47">
        <f t="array" ref="C5:I5">DíasYSemanas+DATE(AñoCalendario,7,1)-WEEKDAY(DATE(AñoCalendario,7,1),(InicioDeSemana="Lunes")+1)+8</f>
        <v>43653</v>
      </c>
      <c r="D5" s="47">
        <v>43654</v>
      </c>
      <c r="E5" s="47">
        <v>43655</v>
      </c>
      <c r="F5" s="47">
        <v>43656</v>
      </c>
      <c r="G5" s="47">
        <v>43657</v>
      </c>
      <c r="H5" s="47">
        <v>43658</v>
      </c>
      <c r="I5" s="47">
        <v>43659</v>
      </c>
    </row>
    <row r="6" spans="2:9" ht="99.95" customHeight="1" x14ac:dyDescent="0.2">
      <c r="C6" s="45" t="str">
        <f t="shared" ref="C6:I6" si="2">IFERROR(VLOOKUP(C5,Fechas_importantes,2,FALSE),"")</f>
        <v/>
      </c>
      <c r="D6" s="45" t="str">
        <f t="shared" si="2"/>
        <v/>
      </c>
      <c r="E6" s="45" t="str">
        <f t="shared" si="2"/>
        <v/>
      </c>
      <c r="F6" s="45" t="str">
        <f t="shared" si="2"/>
        <v/>
      </c>
      <c r="G6" s="45" t="str">
        <f t="shared" si="2"/>
        <v/>
      </c>
      <c r="H6" s="45" t="str">
        <f t="shared" si="2"/>
        <v/>
      </c>
      <c r="I6" s="45" t="str">
        <f t="shared" si="2"/>
        <v/>
      </c>
    </row>
    <row r="7" spans="2:9" ht="15" customHeight="1" x14ac:dyDescent="0.2">
      <c r="C7" s="47">
        <f t="array" ref="C7:I7">DíasYSemanas+DATE(AñoCalendario,7,1)-WEEKDAY(DATE(AñoCalendario,7,1),(InicioDeSemana="Lunes")+1)+15</f>
        <v>43660</v>
      </c>
      <c r="D7" s="47">
        <v>43661</v>
      </c>
      <c r="E7" s="47">
        <v>43662</v>
      </c>
      <c r="F7" s="47">
        <v>43663</v>
      </c>
      <c r="G7" s="47">
        <v>43664</v>
      </c>
      <c r="H7" s="47">
        <v>43665</v>
      </c>
      <c r="I7" s="47">
        <v>43666</v>
      </c>
    </row>
    <row r="8" spans="2:9" ht="99.95" customHeight="1" x14ac:dyDescent="0.2">
      <c r="C8" s="45" t="str">
        <f t="shared" ref="C8:I8" si="3">IFERROR(VLOOKUP(C7,Fechas_importantes,2,FALSE),"")</f>
        <v/>
      </c>
      <c r="D8" s="45" t="str">
        <f t="shared" si="3"/>
        <v/>
      </c>
      <c r="E8" s="45" t="str">
        <f t="shared" si="3"/>
        <v/>
      </c>
      <c r="F8" s="45" t="str">
        <f t="shared" si="3"/>
        <v/>
      </c>
      <c r="G8" s="45" t="str">
        <f t="shared" si="3"/>
        <v/>
      </c>
      <c r="H8" s="45" t="str">
        <f t="shared" si="3"/>
        <v/>
      </c>
      <c r="I8" s="45" t="str">
        <f t="shared" si="3"/>
        <v/>
      </c>
    </row>
    <row r="9" spans="2:9" ht="15" customHeight="1" x14ac:dyDescent="0.2">
      <c r="C9" s="47">
        <f t="array" ref="C9:I9">DíasYSemanas+DATE(AñoCalendario,7,1)-WEEKDAY(DATE(AñoCalendario,7,1),(InicioDeSemana="Lunes")+1)+22</f>
        <v>43667</v>
      </c>
      <c r="D9" s="47">
        <v>43668</v>
      </c>
      <c r="E9" s="47">
        <v>43669</v>
      </c>
      <c r="F9" s="47">
        <v>43670</v>
      </c>
      <c r="G9" s="47">
        <v>43671</v>
      </c>
      <c r="H9" s="47">
        <v>43672</v>
      </c>
      <c r="I9" s="47">
        <v>43673</v>
      </c>
    </row>
    <row r="10" spans="2:9" ht="99.95" customHeight="1" x14ac:dyDescent="0.2">
      <c r="C10" s="45" t="str">
        <f t="shared" ref="C10:I10" si="4">IFERROR(VLOOKUP(C9,Fechas_importantes,2,FALSE),"")</f>
        <v/>
      </c>
      <c r="D10" s="45" t="str">
        <f t="shared" si="4"/>
        <v/>
      </c>
      <c r="E10" s="45" t="str">
        <f t="shared" si="4"/>
        <v/>
      </c>
      <c r="F10" s="45" t="str">
        <f t="shared" si="4"/>
        <v/>
      </c>
      <c r="G10" s="45" t="str">
        <f t="shared" si="4"/>
        <v/>
      </c>
      <c r="H10" s="45" t="str">
        <f t="shared" si="4"/>
        <v/>
      </c>
      <c r="I10" s="45" t="str">
        <f t="shared" si="4"/>
        <v/>
      </c>
    </row>
    <row r="11" spans="2:9" ht="15" customHeight="1" x14ac:dyDescent="0.2">
      <c r="C11" s="47">
        <f t="array" ref="C11:I11">DíasYSemanas+DATE(AñoCalendario,7,1)-WEEKDAY(DATE(AñoCalendario,7,1),(InicioDeSemana="Lunes")+1)+29</f>
        <v>43674</v>
      </c>
      <c r="D11" s="47">
        <v>43675</v>
      </c>
      <c r="E11" s="47">
        <v>43676</v>
      </c>
      <c r="F11" s="47">
        <v>43677</v>
      </c>
      <c r="G11" s="47">
        <v>43678</v>
      </c>
      <c r="H11" s="47">
        <v>43679</v>
      </c>
      <c r="I11" s="47">
        <v>43680</v>
      </c>
    </row>
    <row r="12" spans="2:9" ht="99.95" customHeight="1" x14ac:dyDescent="0.2">
      <c r="C12" s="45" t="str">
        <f t="shared" ref="C12:I12" si="5">IFERROR(VLOOKUP(C11,Fechas_importantes,2,FALSE),"")</f>
        <v/>
      </c>
      <c r="D12" s="45" t="str">
        <f t="shared" si="5"/>
        <v/>
      </c>
      <c r="E12" s="45" t="str">
        <f t="shared" si="5"/>
        <v/>
      </c>
      <c r="F12" s="45" t="str">
        <f t="shared" si="5"/>
        <v/>
      </c>
      <c r="G12" s="45" t="str">
        <f t="shared" si="5"/>
        <v/>
      </c>
      <c r="H12" s="45" t="str">
        <f t="shared" si="5"/>
        <v/>
      </c>
      <c r="I12" s="45" t="str">
        <f t="shared" si="5"/>
        <v/>
      </c>
    </row>
    <row r="13" spans="2:9" ht="15" customHeight="1" x14ac:dyDescent="0.2">
      <c r="C13" s="47">
        <f t="array" ref="C13:D13">DíasYSemanas+DATE(AñoCalendario,7,1)-WEEKDAY(DATE(AñoCalendario,7,1),(InicioDeSemana="Lunes")+1)+36</f>
        <v>43681</v>
      </c>
      <c r="D13" s="47">
        <v>43682</v>
      </c>
      <c r="E13" s="57" t="s">
        <v>16</v>
      </c>
      <c r="F13" s="57"/>
      <c r="G13" s="57"/>
      <c r="H13" s="57"/>
      <c r="I13" s="57"/>
    </row>
    <row r="14" spans="2:9" ht="99.95" customHeight="1" x14ac:dyDescent="0.2">
      <c r="C14" s="45" t="str">
        <f>IFERROR(VLOOKUP(C13,Fechas_importantes,2,FALSE),"")</f>
        <v/>
      </c>
      <c r="D14" s="45" t="str">
        <f>IFERROR(VLOOKUP(D13,Fechas_importantes,2,FALSE),"")</f>
        <v/>
      </c>
      <c r="E14" s="57"/>
      <c r="F14" s="57"/>
      <c r="G14" s="57"/>
      <c r="H14" s="57"/>
      <c r="I14" s="57"/>
    </row>
  </sheetData>
  <mergeCells count="3">
    <mergeCell ref="C1:E1"/>
    <mergeCell ref="E13:I13"/>
    <mergeCell ref="E14:I14"/>
  </mergeCells>
  <conditionalFormatting sqref="C12:I12 C14:D14">
    <cfRule type="expression" dxfId="47" priority="8">
      <formula>AND(DAY(C11)&gt;=1,DAY(C11)&lt;=15)</formula>
    </cfRule>
  </conditionalFormatting>
  <conditionalFormatting sqref="C4:H4">
    <cfRule type="expression" dxfId="46" priority="7">
      <formula>DAY(C3)&gt;8</formula>
    </cfRule>
  </conditionalFormatting>
  <conditionalFormatting sqref="C2:I2">
    <cfRule type="expression" dxfId="45" priority="1">
      <formula>OR(C2="Domingo",C2="Sábado")</formula>
    </cfRule>
  </conditionalFormatting>
  <dataValidations count="3">
    <dataValidation allowBlank="1" showInputMessage="1" prompt="Escriba las notas del mes en la siguiente celda" sqref="E13:I13" xr:uid="{00000000-0002-0000-0700-000000000000}"/>
    <dataValidation allowBlank="1" showInputMessage="1" prompt="Escriba las notas del mes en esta celda" sqref="E14:I14" xr:uid="{00000000-0002-0000-0700-000001000000}"/>
    <dataValidation allowBlank="1" showInputMessage="1" showErrorMessage="1" prompt="Los eventos del mes se actualizan automáticamente en esta pestaña. Para agregar o modificar un evento, haga clic en el botón Establecer fechas importantes. Los días del mes anterior y del siguiente aparecen sombreados." sqref="A1" xr:uid="{00000000-0002-0000-0700-000002000000}"/>
  </dataValidations>
  <printOptions horizontalCentered="1"/>
  <pageMargins left="0.25" right="0.25" top="0.75" bottom="0.75" header="0.3" footer="0.3"/>
  <pageSetup paperSize="9" scale="7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7563375-18DB-4576-B495-8FD8BF8B262D}">
            <xm:f>VLOOKUP(C3,Fechas_importantes,4,FALSE)='Calendario familiar'!$H$16</xm:f>
            <x14:dxf>
              <fill>
                <patternFill>
                  <bgColor theme="5"/>
                </patternFill>
              </fill>
            </x14:dxf>
          </x14:cfRule>
          <x14:cfRule type="expression" priority="3" stopIfTrue="1" id="{E9E31A63-5644-47BA-A97C-6C63BD88F95F}">
            <xm:f>VLOOKUP(C3,Fechas_importantes,4,FALSE)='Calendario familiar'!$H$17</xm:f>
            <x14:dxf>
              <fill>
                <patternFill>
                  <bgColor theme="6"/>
                </patternFill>
              </fill>
            </x14:dxf>
          </x14:cfRule>
          <x14:cfRule type="expression" priority="4" stopIfTrue="1" id="{088E1A4A-19B6-4958-987C-A4A964CA2031}">
            <xm:f>VLOOKUP(C3,Fechas_importantes,4,FALSE)='Calendario familiar'!$H$18</xm:f>
            <x14:dxf>
              <fill>
                <patternFill>
                  <bgColor theme="7"/>
                </patternFill>
              </fill>
            </x14:dxf>
          </x14:cfRule>
          <x14:cfRule type="expression" priority="5" stopIfTrue="1" id="{0CAD0AA2-5C84-44C1-BDE6-B617E78A3EB7}">
            <xm:f>VLOOKUP(C3,Fechas_importantes,4,FALSE)='Calendario familiar'!$H$19</xm:f>
            <x14:dxf>
              <fill>
                <patternFill>
                  <bgColor theme="4"/>
                </patternFill>
              </fill>
            </x14:dxf>
          </x14:cfRule>
          <x14:cfRule type="expression" priority="6" stopIfTrue="1" id="{479ECEC0-6149-4150-8F2B-9B8918CB3A1C}">
            <xm:f>VLOOKUP(C3,Fechas_importantes,4,FALSE)='Calendario familiar'!$H$20</xm:f>
            <x14:dxf>
              <fill>
                <patternFill>
                  <bgColor theme="3" tint="0.89996032593768116"/>
                </patternFill>
              </fill>
            </x14:dxf>
          </x14:cfRule>
          <xm:sqref>C3:I3 C5:I5 C7:I7 C9:I9 C11:I11 C13:D13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I14"/>
  <sheetViews>
    <sheetView showGridLines="0" showRowColHeaders="0" zoomScaleNormal="100" workbookViewId="0"/>
  </sheetViews>
  <sheetFormatPr baseColWidth="10" defaultColWidth="9.140625" defaultRowHeight="12.75" x14ac:dyDescent="0.2"/>
  <cols>
    <col min="2" max="2" width="1.5703125" customWidth="1"/>
    <col min="3" max="9" width="20.7109375" customWidth="1"/>
  </cols>
  <sheetData>
    <row r="1" spans="2:9" ht="75.75" customHeight="1" x14ac:dyDescent="0.2">
      <c r="B1" s="10"/>
      <c r="C1" s="56" t="str">
        <f>"Agosto "&amp;"de "&amp;AñoCalendario</f>
        <v>Agosto de 2019</v>
      </c>
      <c r="D1" s="56"/>
      <c r="E1" s="56"/>
      <c r="F1" s="3"/>
      <c r="G1" s="3"/>
      <c r="H1" s="3"/>
      <c r="I1" s="3"/>
    </row>
    <row r="2" spans="2:9" ht="22.5" customHeight="1" thickBot="1" x14ac:dyDescent="0.25">
      <c r="C2" s="7" t="str">
        <f t="shared" ref="C2:I2" si="0">TEXT(C3,"dddd")</f>
        <v>domingo</v>
      </c>
      <c r="D2" s="7" t="str">
        <f t="shared" si="0"/>
        <v>lunes</v>
      </c>
      <c r="E2" s="7" t="str">
        <f t="shared" si="0"/>
        <v>martes</v>
      </c>
      <c r="F2" s="7" t="str">
        <f t="shared" si="0"/>
        <v>miércoles</v>
      </c>
      <c r="G2" s="7" t="str">
        <f t="shared" si="0"/>
        <v>jueves</v>
      </c>
      <c r="H2" s="7" t="str">
        <f t="shared" si="0"/>
        <v>viernes</v>
      </c>
      <c r="I2" s="7" t="str">
        <f t="shared" si="0"/>
        <v>sábado</v>
      </c>
    </row>
    <row r="3" spans="2:9" ht="14.25" customHeight="1" thickTop="1" x14ac:dyDescent="0.2">
      <c r="C3" s="47">
        <f t="array" ref="C3:I3">DíasYSemanas+DATE(AñoCalendario,8,1)-WEEKDAY(DATE(AñoCalendario,8,1),(InicioDeSemana="Lunes")+1)+1</f>
        <v>43674</v>
      </c>
      <c r="D3" s="47">
        <v>43675</v>
      </c>
      <c r="E3" s="47">
        <v>43676</v>
      </c>
      <c r="F3" s="47">
        <v>43677</v>
      </c>
      <c r="G3" s="47">
        <v>43678</v>
      </c>
      <c r="H3" s="47">
        <v>43679</v>
      </c>
      <c r="I3" s="47">
        <v>43680</v>
      </c>
    </row>
    <row r="4" spans="2:9" ht="99.95" customHeight="1" x14ac:dyDescent="0.2">
      <c r="C4" s="45" t="str">
        <f t="shared" ref="C4:I4" si="1">IFERROR(VLOOKUP(C3,Fechas_importantes,2,FALSE),"")</f>
        <v/>
      </c>
      <c r="D4" s="45" t="str">
        <f t="shared" si="1"/>
        <v/>
      </c>
      <c r="E4" s="45" t="str">
        <f t="shared" si="1"/>
        <v/>
      </c>
      <c r="F4" s="45" t="str">
        <f t="shared" si="1"/>
        <v/>
      </c>
      <c r="G4" s="45" t="str">
        <f t="shared" si="1"/>
        <v/>
      </c>
      <c r="H4" s="45" t="str">
        <f t="shared" si="1"/>
        <v/>
      </c>
      <c r="I4" s="45" t="str">
        <f t="shared" si="1"/>
        <v/>
      </c>
    </row>
    <row r="5" spans="2:9" ht="15" customHeight="1" x14ac:dyDescent="0.2">
      <c r="C5" s="47">
        <f t="array" ref="C5:I5">DíasYSemanas+DATE(AñoCalendario,8,1)-WEEKDAY(DATE(AñoCalendario,8,1),(InicioDeSemana="Lunes")+1)+8</f>
        <v>43681</v>
      </c>
      <c r="D5" s="47">
        <v>43682</v>
      </c>
      <c r="E5" s="47">
        <v>43683</v>
      </c>
      <c r="F5" s="47">
        <v>43684</v>
      </c>
      <c r="G5" s="47">
        <v>43685</v>
      </c>
      <c r="H5" s="47">
        <v>43686</v>
      </c>
      <c r="I5" s="47">
        <v>43687</v>
      </c>
    </row>
    <row r="6" spans="2:9" ht="99.95" customHeight="1" x14ac:dyDescent="0.2">
      <c r="C6" s="45" t="str">
        <f t="shared" ref="C6:I6" si="2">IFERROR(VLOOKUP(C5,Fechas_importantes,2,FALSE),"")</f>
        <v/>
      </c>
      <c r="D6" s="45" t="str">
        <f t="shared" si="2"/>
        <v/>
      </c>
      <c r="E6" s="45" t="str">
        <f t="shared" si="2"/>
        <v/>
      </c>
      <c r="F6" s="45" t="str">
        <f t="shared" si="2"/>
        <v/>
      </c>
      <c r="G6" s="45" t="str">
        <f t="shared" si="2"/>
        <v/>
      </c>
      <c r="H6" s="45" t="str">
        <f t="shared" si="2"/>
        <v/>
      </c>
      <c r="I6" s="45" t="str">
        <f t="shared" si="2"/>
        <v/>
      </c>
    </row>
    <row r="7" spans="2:9" ht="15" customHeight="1" x14ac:dyDescent="0.2">
      <c r="C7" s="47">
        <f t="array" ref="C7:I7">DíasYSemanas+DATE(AñoCalendario,8,1)-WEEKDAY(DATE(AñoCalendario,8,1),(InicioDeSemana="Lunes")+1)+15</f>
        <v>43688</v>
      </c>
      <c r="D7" s="47">
        <v>43689</v>
      </c>
      <c r="E7" s="47">
        <v>43690</v>
      </c>
      <c r="F7" s="47">
        <v>43691</v>
      </c>
      <c r="G7" s="47">
        <v>43692</v>
      </c>
      <c r="H7" s="47">
        <v>43693</v>
      </c>
      <c r="I7" s="47">
        <v>43694</v>
      </c>
    </row>
    <row r="8" spans="2:9" ht="99.95" customHeight="1" x14ac:dyDescent="0.2">
      <c r="C8" s="45" t="str">
        <f t="shared" ref="C8:I8" si="3">IFERROR(VLOOKUP(C7,Fechas_importantes,2,FALSE),"")</f>
        <v/>
      </c>
      <c r="D8" s="45" t="str">
        <f t="shared" si="3"/>
        <v/>
      </c>
      <c r="E8" s="45" t="str">
        <f t="shared" si="3"/>
        <v/>
      </c>
      <c r="F8" s="45" t="str">
        <f t="shared" si="3"/>
        <v/>
      </c>
      <c r="G8" s="45" t="str">
        <f t="shared" si="3"/>
        <v/>
      </c>
      <c r="H8" s="45" t="str">
        <f t="shared" si="3"/>
        <v/>
      </c>
      <c r="I8" s="45" t="str">
        <f t="shared" si="3"/>
        <v/>
      </c>
    </row>
    <row r="9" spans="2:9" ht="15" customHeight="1" x14ac:dyDescent="0.2">
      <c r="C9" s="47">
        <f t="array" ref="C9:I9">DíasYSemanas+DATE(AñoCalendario,8,1)-WEEKDAY(DATE(AñoCalendario,8,1),(InicioDeSemana="Lunes")+1)+22</f>
        <v>43695</v>
      </c>
      <c r="D9" s="47">
        <v>43696</v>
      </c>
      <c r="E9" s="47">
        <v>43697</v>
      </c>
      <c r="F9" s="47">
        <v>43698</v>
      </c>
      <c r="G9" s="47">
        <v>43699</v>
      </c>
      <c r="H9" s="47">
        <v>43700</v>
      </c>
      <c r="I9" s="47">
        <v>43701</v>
      </c>
    </row>
    <row r="10" spans="2:9" ht="99.95" customHeight="1" x14ac:dyDescent="0.2">
      <c r="C10" s="45" t="str">
        <f t="shared" ref="C10:I10" si="4">IFERROR(VLOOKUP(C9,Fechas_importantes,2,FALSE),"")</f>
        <v/>
      </c>
      <c r="D10" s="45" t="str">
        <f t="shared" si="4"/>
        <v/>
      </c>
      <c r="E10" s="45" t="str">
        <f t="shared" si="4"/>
        <v/>
      </c>
      <c r="F10" s="45" t="str">
        <f t="shared" si="4"/>
        <v/>
      </c>
      <c r="G10" s="45" t="str">
        <f t="shared" si="4"/>
        <v/>
      </c>
      <c r="H10" s="45" t="str">
        <f t="shared" si="4"/>
        <v/>
      </c>
      <c r="I10" s="45" t="str">
        <f t="shared" si="4"/>
        <v/>
      </c>
    </row>
    <row r="11" spans="2:9" ht="15" customHeight="1" x14ac:dyDescent="0.2">
      <c r="C11" s="47">
        <f t="array" ref="C11:I11">DíasYSemanas+DATE(AñoCalendario,8,1)-WEEKDAY(DATE(AñoCalendario,8,1),(InicioDeSemana="Lunes")+1)+29</f>
        <v>43702</v>
      </c>
      <c r="D11" s="47">
        <v>43703</v>
      </c>
      <c r="E11" s="47">
        <v>43704</v>
      </c>
      <c r="F11" s="47">
        <v>43705</v>
      </c>
      <c r="G11" s="47">
        <v>43706</v>
      </c>
      <c r="H11" s="47">
        <v>43707</v>
      </c>
      <c r="I11" s="47">
        <v>43708</v>
      </c>
    </row>
    <row r="12" spans="2:9" ht="99.95" customHeight="1" x14ac:dyDescent="0.2">
      <c r="C12" s="45" t="str">
        <f t="shared" ref="C12:I12" si="5">IFERROR(VLOOKUP(C11,Fechas_importantes,2,FALSE),"")</f>
        <v/>
      </c>
      <c r="D12" s="45" t="str">
        <f t="shared" si="5"/>
        <v/>
      </c>
      <c r="E12" s="45" t="str">
        <f t="shared" si="5"/>
        <v/>
      </c>
      <c r="F12" s="45" t="str">
        <f t="shared" si="5"/>
        <v/>
      </c>
      <c r="G12" s="45" t="str">
        <f t="shared" si="5"/>
        <v/>
      </c>
      <c r="H12" s="45" t="str">
        <f t="shared" si="5"/>
        <v/>
      </c>
      <c r="I12" s="45" t="str">
        <f t="shared" si="5"/>
        <v/>
      </c>
    </row>
    <row r="13" spans="2:9" ht="15" customHeight="1" x14ac:dyDescent="0.2">
      <c r="C13" s="47">
        <f t="array" ref="C13:D13">DíasYSemanas+DATE(AñoCalendario,8,1)-WEEKDAY(DATE(AñoCalendario,8,1),(InicioDeSemana="Lunes")+1)+36</f>
        <v>43709</v>
      </c>
      <c r="D13" s="47">
        <v>43710</v>
      </c>
      <c r="E13" s="57" t="s">
        <v>16</v>
      </c>
      <c r="F13" s="57"/>
      <c r="G13" s="57"/>
      <c r="H13" s="57"/>
      <c r="I13" s="57"/>
    </row>
    <row r="14" spans="2:9" ht="99.95" customHeight="1" x14ac:dyDescent="0.2">
      <c r="C14" s="45" t="str">
        <f>IFERROR(VLOOKUP(C13,Fechas_importantes,2,FALSE),"")</f>
        <v/>
      </c>
      <c r="D14" s="45" t="str">
        <f>IFERROR(VLOOKUP(D13,Fechas_importantes,2,FALSE),"")</f>
        <v/>
      </c>
      <c r="E14" s="57"/>
      <c r="F14" s="57"/>
      <c r="G14" s="57"/>
      <c r="H14" s="57"/>
      <c r="I14" s="57"/>
    </row>
  </sheetData>
  <mergeCells count="3">
    <mergeCell ref="C1:E1"/>
    <mergeCell ref="E13:I13"/>
    <mergeCell ref="E14:I14"/>
  </mergeCells>
  <conditionalFormatting sqref="C12:I12 C14:D14">
    <cfRule type="expression" dxfId="39" priority="8">
      <formula>AND(DAY(C11)&gt;=1,DAY(C11)&lt;=15)</formula>
    </cfRule>
  </conditionalFormatting>
  <conditionalFormatting sqref="C4:H4">
    <cfRule type="expression" dxfId="38" priority="7">
      <formula>DAY(C3)&gt;8</formula>
    </cfRule>
  </conditionalFormatting>
  <conditionalFormatting sqref="C2:I2">
    <cfRule type="expression" dxfId="37" priority="1">
      <formula>OR(C2="Domingo",C2="Sábado")</formula>
    </cfRule>
  </conditionalFormatting>
  <dataValidations count="3">
    <dataValidation allowBlank="1" showInputMessage="1" prompt="Escriba las notas del mes en esta celda" sqref="E14:I14" xr:uid="{00000000-0002-0000-0800-000000000000}"/>
    <dataValidation allowBlank="1" showInputMessage="1" prompt="Escriba las notas del mes en la siguiente celda" sqref="E13:I13" xr:uid="{00000000-0002-0000-0800-000001000000}"/>
    <dataValidation allowBlank="1" showInputMessage="1" showErrorMessage="1" prompt="Los eventos del mes se actualizan automáticamente en esta pestaña. Para agregar o modificar un evento, haga clic en el botón Establecer fechas importantes. Los días del mes anterior y del siguiente aparecen sombreados." sqref="A1" xr:uid="{00000000-0002-0000-0800-000002000000}"/>
  </dataValidations>
  <printOptions horizontalCentered="1"/>
  <pageMargins left="0.25" right="0.25" top="0.75" bottom="0.75" header="0.3" footer="0.3"/>
  <pageSetup paperSize="9" scale="7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BE0D384-59D2-4B4B-9FC7-0660A6DA9886}">
            <xm:f>VLOOKUP(C3,Fechas_importantes,4,FALSE)='Calendario familiar'!$H$16</xm:f>
            <x14:dxf>
              <fill>
                <patternFill>
                  <bgColor theme="5"/>
                </patternFill>
              </fill>
            </x14:dxf>
          </x14:cfRule>
          <x14:cfRule type="expression" priority="3" stopIfTrue="1" id="{EAE649BF-EE3C-4BB7-AFB8-6BC938586D29}">
            <xm:f>VLOOKUP(C3,Fechas_importantes,4,FALSE)='Calendario familiar'!$H$17</xm:f>
            <x14:dxf>
              <fill>
                <patternFill>
                  <bgColor theme="6"/>
                </patternFill>
              </fill>
            </x14:dxf>
          </x14:cfRule>
          <x14:cfRule type="expression" priority="4" stopIfTrue="1" id="{32B16BA7-F5DF-4DEA-B15A-2063499C96DF}">
            <xm:f>VLOOKUP(C3,Fechas_importantes,4,FALSE)='Calendario familiar'!$H$18</xm:f>
            <x14:dxf>
              <fill>
                <patternFill>
                  <bgColor theme="7"/>
                </patternFill>
              </fill>
            </x14:dxf>
          </x14:cfRule>
          <x14:cfRule type="expression" priority="5" stopIfTrue="1" id="{57C50AE7-BB01-4B21-BCB7-ECD70114B0F5}">
            <xm:f>VLOOKUP(C3,Fechas_importantes,4,FALSE)='Calendario familiar'!$H$19</xm:f>
            <x14:dxf>
              <fill>
                <patternFill>
                  <bgColor theme="4"/>
                </patternFill>
              </fill>
            </x14:dxf>
          </x14:cfRule>
          <x14:cfRule type="expression" priority="6" stopIfTrue="1" id="{7CAA4289-E230-4AF7-BEAA-4AC7FDB7377F}">
            <xm:f>VLOOKUP(C3,Fechas_importantes,4,FALSE)='Calendario familiar'!$H$20</xm:f>
            <x14:dxf>
              <fill>
                <patternFill>
                  <bgColor theme="3" tint="0.89996032593768116"/>
                </patternFill>
              </fill>
            </x14:dxf>
          </x14:cfRule>
          <xm:sqref>C3:I3 C5:I5 C7:I7 C9:I9 C11:I11 C13:D13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I14"/>
  <sheetViews>
    <sheetView showGridLines="0" showRowColHeaders="0" zoomScaleNormal="100" workbookViewId="0"/>
  </sheetViews>
  <sheetFormatPr baseColWidth="10" defaultColWidth="9.140625" defaultRowHeight="12.75" x14ac:dyDescent="0.2"/>
  <cols>
    <col min="2" max="2" width="1.5703125" customWidth="1"/>
    <col min="3" max="9" width="20.7109375" customWidth="1"/>
  </cols>
  <sheetData>
    <row r="1" spans="2:9" ht="75.75" customHeight="1" x14ac:dyDescent="0.2">
      <c r="B1" s="9"/>
      <c r="C1" s="56" t="str">
        <f>"Septiembre "&amp;"de "&amp;AñoCalendario</f>
        <v>Septiembre de 2019</v>
      </c>
      <c r="D1" s="56"/>
      <c r="E1" s="56"/>
      <c r="F1" s="3"/>
      <c r="G1" s="3"/>
      <c r="H1" s="3"/>
      <c r="I1" s="3"/>
    </row>
    <row r="2" spans="2:9" ht="22.5" customHeight="1" thickBot="1" x14ac:dyDescent="0.25">
      <c r="C2" s="8" t="str">
        <f t="shared" ref="C2:I2" si="0">TEXT(C3,"dddd")</f>
        <v>domingo</v>
      </c>
      <c r="D2" s="8" t="str">
        <f t="shared" si="0"/>
        <v>lunes</v>
      </c>
      <c r="E2" s="8" t="str">
        <f t="shared" si="0"/>
        <v>martes</v>
      </c>
      <c r="F2" s="8" t="str">
        <f t="shared" si="0"/>
        <v>miércoles</v>
      </c>
      <c r="G2" s="8" t="str">
        <f t="shared" si="0"/>
        <v>jueves</v>
      </c>
      <c r="H2" s="8" t="str">
        <f t="shared" si="0"/>
        <v>viernes</v>
      </c>
      <c r="I2" s="8" t="str">
        <f t="shared" si="0"/>
        <v>sábado</v>
      </c>
    </row>
    <row r="3" spans="2:9" ht="14.25" customHeight="1" thickTop="1" x14ac:dyDescent="0.2">
      <c r="C3" s="47">
        <f t="array" ref="C3:I3">DíasYSemanas+DATE(AñoCalendario,9,1)-WEEKDAY(DATE(AñoCalendario,9,1),(InicioDeSemana="Lunes")+1)+1</f>
        <v>43709</v>
      </c>
      <c r="D3" s="47">
        <v>43710</v>
      </c>
      <c r="E3" s="47">
        <v>43711</v>
      </c>
      <c r="F3" s="47">
        <v>43712</v>
      </c>
      <c r="G3" s="47">
        <v>43713</v>
      </c>
      <c r="H3" s="47">
        <v>43714</v>
      </c>
      <c r="I3" s="47">
        <v>43715</v>
      </c>
    </row>
    <row r="4" spans="2:9" ht="99.95" customHeight="1" x14ac:dyDescent="0.2">
      <c r="C4" s="45" t="str">
        <f t="shared" ref="C4:I4" si="1">IFERROR(VLOOKUP(C3,Fechas_importantes,2,FALSE),"")</f>
        <v/>
      </c>
      <c r="D4" s="45" t="str">
        <f t="shared" si="1"/>
        <v/>
      </c>
      <c r="E4" s="45" t="str">
        <f t="shared" si="1"/>
        <v/>
      </c>
      <c r="F4" s="45" t="str">
        <f t="shared" si="1"/>
        <v/>
      </c>
      <c r="G4" s="45" t="str">
        <f t="shared" si="1"/>
        <v/>
      </c>
      <c r="H4" s="45" t="str">
        <f t="shared" si="1"/>
        <v/>
      </c>
      <c r="I4" s="45" t="str">
        <f t="shared" si="1"/>
        <v/>
      </c>
    </row>
    <row r="5" spans="2:9" ht="15" customHeight="1" x14ac:dyDescent="0.2">
      <c r="C5" s="47">
        <f t="array" ref="C5:I5">DíasYSemanas+DATE(AñoCalendario,9,1)-WEEKDAY(DATE(AñoCalendario,9,1),(InicioDeSemana="Lunes")+1)+8</f>
        <v>43716</v>
      </c>
      <c r="D5" s="47">
        <v>43717</v>
      </c>
      <c r="E5" s="47">
        <v>43718</v>
      </c>
      <c r="F5" s="47">
        <v>43719</v>
      </c>
      <c r="G5" s="47">
        <v>43720</v>
      </c>
      <c r="H5" s="47">
        <v>43721</v>
      </c>
      <c r="I5" s="47">
        <v>43722</v>
      </c>
    </row>
    <row r="6" spans="2:9" ht="99.95" customHeight="1" x14ac:dyDescent="0.2">
      <c r="C6" s="45" t="str">
        <f t="shared" ref="C6:I6" si="2">IFERROR(VLOOKUP(C5,Fechas_importantes,2,FALSE),"")</f>
        <v/>
      </c>
      <c r="D6" s="45" t="str">
        <f t="shared" si="2"/>
        <v/>
      </c>
      <c r="E6" s="45" t="str">
        <f t="shared" si="2"/>
        <v/>
      </c>
      <c r="F6" s="45" t="str">
        <f t="shared" si="2"/>
        <v/>
      </c>
      <c r="G6" s="45" t="str">
        <f t="shared" si="2"/>
        <v/>
      </c>
      <c r="H6" s="45" t="str">
        <f t="shared" si="2"/>
        <v/>
      </c>
      <c r="I6" s="45" t="str">
        <f t="shared" si="2"/>
        <v/>
      </c>
    </row>
    <row r="7" spans="2:9" ht="15" customHeight="1" x14ac:dyDescent="0.2">
      <c r="C7" s="47">
        <f t="array" ref="C7:I7">DíasYSemanas+DATE(AñoCalendario,9,1)-WEEKDAY(DATE(AñoCalendario,9,1),(InicioDeSemana="Lunes")+1)+15</f>
        <v>43723</v>
      </c>
      <c r="D7" s="47">
        <v>43724</v>
      </c>
      <c r="E7" s="47">
        <v>43725</v>
      </c>
      <c r="F7" s="47">
        <v>43726</v>
      </c>
      <c r="G7" s="47">
        <v>43727</v>
      </c>
      <c r="H7" s="47">
        <v>43728</v>
      </c>
      <c r="I7" s="47">
        <v>43729</v>
      </c>
    </row>
    <row r="8" spans="2:9" ht="99.95" customHeight="1" x14ac:dyDescent="0.2">
      <c r="C8" s="45" t="str">
        <f t="shared" ref="C8:I8" si="3">IFERROR(VLOOKUP(C7,Fechas_importantes,2,FALSE),"")</f>
        <v/>
      </c>
      <c r="D8" s="45" t="str">
        <f t="shared" si="3"/>
        <v/>
      </c>
      <c r="E8" s="45" t="str">
        <f t="shared" si="3"/>
        <v/>
      </c>
      <c r="F8" s="45" t="str">
        <f t="shared" si="3"/>
        <v/>
      </c>
      <c r="G8" s="45" t="str">
        <f t="shared" si="3"/>
        <v/>
      </c>
      <c r="H8" s="45" t="str">
        <f t="shared" si="3"/>
        <v/>
      </c>
      <c r="I8" s="45" t="str">
        <f t="shared" si="3"/>
        <v/>
      </c>
    </row>
    <row r="9" spans="2:9" ht="15" customHeight="1" x14ac:dyDescent="0.2">
      <c r="C9" s="47">
        <f t="array" ref="C9:I9">DíasYSemanas+DATE(AñoCalendario,9,1)-WEEKDAY(DATE(AñoCalendario,9,1),(InicioDeSemana="Lunes")+1)+22</f>
        <v>43730</v>
      </c>
      <c r="D9" s="47">
        <v>43731</v>
      </c>
      <c r="E9" s="47">
        <v>43732</v>
      </c>
      <c r="F9" s="47">
        <v>43733</v>
      </c>
      <c r="G9" s="47">
        <v>43734</v>
      </c>
      <c r="H9" s="47">
        <v>43735</v>
      </c>
      <c r="I9" s="47">
        <v>43736</v>
      </c>
    </row>
    <row r="10" spans="2:9" ht="99.95" customHeight="1" x14ac:dyDescent="0.2">
      <c r="C10" s="45" t="str">
        <f t="shared" ref="C10:I10" si="4">IFERROR(VLOOKUP(C9,Fechas_importantes,2,FALSE),"")</f>
        <v/>
      </c>
      <c r="D10" s="45" t="str">
        <f t="shared" si="4"/>
        <v/>
      </c>
      <c r="E10" s="45" t="str">
        <f t="shared" si="4"/>
        <v/>
      </c>
      <c r="F10" s="45" t="str">
        <f t="shared" si="4"/>
        <v/>
      </c>
      <c r="G10" s="45" t="str">
        <f t="shared" si="4"/>
        <v/>
      </c>
      <c r="H10" s="45" t="str">
        <f t="shared" si="4"/>
        <v/>
      </c>
      <c r="I10" s="45" t="str">
        <f t="shared" si="4"/>
        <v/>
      </c>
    </row>
    <row r="11" spans="2:9" ht="15" customHeight="1" x14ac:dyDescent="0.2">
      <c r="C11" s="47">
        <f t="array" ref="C11:I11">DíasYSemanas+DATE(AñoCalendario,9,1)-WEEKDAY(DATE(AñoCalendario,9,1),(InicioDeSemana="Lunes")+1)+29</f>
        <v>43737</v>
      </c>
      <c r="D11" s="47">
        <v>43738</v>
      </c>
      <c r="E11" s="47">
        <v>43739</v>
      </c>
      <c r="F11" s="47">
        <v>43740</v>
      </c>
      <c r="G11" s="47">
        <v>43741</v>
      </c>
      <c r="H11" s="47">
        <v>43742</v>
      </c>
      <c r="I11" s="47">
        <v>43743</v>
      </c>
    </row>
    <row r="12" spans="2:9" ht="99.95" customHeight="1" x14ac:dyDescent="0.2">
      <c r="C12" s="45" t="str">
        <f t="shared" ref="C12:I12" si="5">IFERROR(VLOOKUP(C11,Fechas_importantes,2,FALSE),"")</f>
        <v/>
      </c>
      <c r="D12" s="45" t="str">
        <f t="shared" si="5"/>
        <v/>
      </c>
      <c r="E12" s="45" t="str">
        <f t="shared" si="5"/>
        <v/>
      </c>
      <c r="F12" s="45" t="str">
        <f t="shared" si="5"/>
        <v/>
      </c>
      <c r="G12" s="45" t="str">
        <f t="shared" si="5"/>
        <v/>
      </c>
      <c r="H12" s="45" t="str">
        <f t="shared" si="5"/>
        <v/>
      </c>
      <c r="I12" s="45" t="str">
        <f t="shared" si="5"/>
        <v/>
      </c>
    </row>
    <row r="13" spans="2:9" ht="15" customHeight="1" x14ac:dyDescent="0.2">
      <c r="C13" s="47">
        <f t="array" ref="C13:D13">DíasYSemanas+DATE(AñoCalendario,9,1)-WEEKDAY(DATE(AñoCalendario,9,1),(InicioDeSemana="Lunes")+1)+36</f>
        <v>43744</v>
      </c>
      <c r="D13" s="47">
        <v>43745</v>
      </c>
      <c r="E13" s="57" t="s">
        <v>16</v>
      </c>
      <c r="F13" s="57"/>
      <c r="G13" s="57"/>
      <c r="H13" s="57"/>
      <c r="I13" s="57"/>
    </row>
    <row r="14" spans="2:9" ht="99.95" customHeight="1" x14ac:dyDescent="0.2">
      <c r="C14" s="45" t="str">
        <f>IFERROR(VLOOKUP(C13,Fechas_importantes,2,FALSE),"")</f>
        <v/>
      </c>
      <c r="D14" s="45" t="str">
        <f>IFERROR(VLOOKUP(D13,Fechas_importantes,2,FALSE),"")</f>
        <v/>
      </c>
      <c r="E14" s="57"/>
      <c r="F14" s="57"/>
      <c r="G14" s="57"/>
      <c r="H14" s="57"/>
      <c r="I14" s="57"/>
    </row>
  </sheetData>
  <mergeCells count="3">
    <mergeCell ref="C1:E1"/>
    <mergeCell ref="E13:I13"/>
    <mergeCell ref="E14:I14"/>
  </mergeCells>
  <conditionalFormatting sqref="C12:I12 C14:D14">
    <cfRule type="expression" dxfId="31" priority="8">
      <formula>AND(DAY(C11)&gt;=1,DAY(C11)&lt;=15)</formula>
    </cfRule>
  </conditionalFormatting>
  <conditionalFormatting sqref="C4:H4">
    <cfRule type="expression" dxfId="30" priority="7">
      <formula>DAY(C3)&gt;8</formula>
    </cfRule>
  </conditionalFormatting>
  <conditionalFormatting sqref="C2:I2">
    <cfRule type="expression" dxfId="29" priority="1">
      <formula>OR(C2="Domingo",C2="Sábado")</formula>
    </cfRule>
  </conditionalFormatting>
  <dataValidations count="3">
    <dataValidation allowBlank="1" showInputMessage="1" prompt="Escriba las notas del mes en la siguiente celda" sqref="E13:I13" xr:uid="{00000000-0002-0000-0900-000000000000}"/>
    <dataValidation allowBlank="1" showInputMessage="1" prompt="Escriba las notas del mes en esta celda" sqref="E14:I14" xr:uid="{00000000-0002-0000-0900-000001000000}"/>
    <dataValidation allowBlank="1" showInputMessage="1" showErrorMessage="1" prompt="Los eventos del mes se actualizan automáticamente en esta pestaña. Para agregar o modificar un evento, haga clic en el botón Establecer fechas importantes. Los días del mes anterior y del siguiente aparecen sombreados." sqref="A1" xr:uid="{00000000-0002-0000-0900-000002000000}"/>
  </dataValidations>
  <printOptions horizontalCentered="1"/>
  <pageMargins left="0.25" right="0.25" top="0.75" bottom="0.75" header="0.3" footer="0.3"/>
  <pageSetup paperSize="9" scale="7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680D30F-C9F3-4CC6-A7F8-43B6DFA95B67}">
            <xm:f>VLOOKUP(C3,Fechas_importantes,4,FALSE)='Calendario familiar'!$H$16</xm:f>
            <x14:dxf>
              <fill>
                <patternFill>
                  <bgColor theme="5"/>
                </patternFill>
              </fill>
            </x14:dxf>
          </x14:cfRule>
          <x14:cfRule type="expression" priority="3" stopIfTrue="1" id="{349213BC-8AEB-4CF5-9DCF-199CC011AFFC}">
            <xm:f>VLOOKUP(C3,Fechas_importantes,4,FALSE)='Calendario familiar'!$H$17</xm:f>
            <x14:dxf>
              <fill>
                <patternFill>
                  <bgColor theme="6"/>
                </patternFill>
              </fill>
            </x14:dxf>
          </x14:cfRule>
          <x14:cfRule type="expression" priority="4" stopIfTrue="1" id="{3179DDA1-DDA7-4B0B-A170-EEA6431CB7C4}">
            <xm:f>VLOOKUP(C3,Fechas_importantes,4,FALSE)='Calendario familiar'!$H$18</xm:f>
            <x14:dxf>
              <fill>
                <patternFill>
                  <bgColor theme="7"/>
                </patternFill>
              </fill>
            </x14:dxf>
          </x14:cfRule>
          <x14:cfRule type="expression" priority="5" stopIfTrue="1" id="{AB3497E2-C183-40AE-A233-9D26760589AE}">
            <xm:f>VLOOKUP(C3,Fechas_importantes,4,FALSE)='Calendario familiar'!$H$19</xm:f>
            <x14:dxf>
              <fill>
                <patternFill>
                  <bgColor theme="4"/>
                </patternFill>
              </fill>
            </x14:dxf>
          </x14:cfRule>
          <x14:cfRule type="expression" priority="6" stopIfTrue="1" id="{869F356C-AF59-47E8-8484-367D811CBF79}">
            <xm:f>VLOOKUP(C3,Fechas_importantes,4,FALSE)='Calendario familiar'!$H$20</xm:f>
            <x14:dxf>
              <fill>
                <patternFill>
                  <bgColor theme="3" tint="0.89996032593768116"/>
                </patternFill>
              </fill>
            </x14:dxf>
          </x14:cfRule>
          <xm:sqref>C3:I3 C5:I5 C7:I7 C9:I9 C11:I11 C13:D13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I14"/>
  <sheetViews>
    <sheetView showGridLines="0" showRowColHeaders="0" zoomScaleNormal="100" workbookViewId="0"/>
  </sheetViews>
  <sheetFormatPr baseColWidth="10" defaultColWidth="9.140625" defaultRowHeight="12.75" x14ac:dyDescent="0.2"/>
  <cols>
    <col min="2" max="2" width="1.5703125" customWidth="1"/>
    <col min="3" max="9" width="20.7109375" customWidth="1"/>
  </cols>
  <sheetData>
    <row r="1" spans="2:9" ht="75.75" customHeight="1" x14ac:dyDescent="0.2">
      <c r="B1" s="9"/>
      <c r="C1" s="56" t="str">
        <f>"Octubre "&amp;"de "&amp;AñoCalendario</f>
        <v>Octubre de 2019</v>
      </c>
      <c r="D1" s="56"/>
      <c r="E1" s="56"/>
      <c r="F1" s="3"/>
      <c r="G1" s="3"/>
      <c r="H1" s="3"/>
      <c r="I1" s="3"/>
    </row>
    <row r="2" spans="2:9" ht="22.5" customHeight="1" thickBot="1" x14ac:dyDescent="0.25">
      <c r="C2" s="8" t="str">
        <f t="shared" ref="C2:I2" si="0">TEXT(C3,"dddd")</f>
        <v>domingo</v>
      </c>
      <c r="D2" s="8" t="str">
        <f t="shared" si="0"/>
        <v>lunes</v>
      </c>
      <c r="E2" s="8" t="str">
        <f t="shared" si="0"/>
        <v>martes</v>
      </c>
      <c r="F2" s="8" t="str">
        <f t="shared" si="0"/>
        <v>miércoles</v>
      </c>
      <c r="G2" s="8" t="str">
        <f t="shared" si="0"/>
        <v>jueves</v>
      </c>
      <c r="H2" s="8" t="str">
        <f t="shared" si="0"/>
        <v>viernes</v>
      </c>
      <c r="I2" s="8" t="str">
        <f t="shared" si="0"/>
        <v>sábado</v>
      </c>
    </row>
    <row r="3" spans="2:9" ht="14.25" customHeight="1" thickTop="1" x14ac:dyDescent="0.2">
      <c r="C3" s="47">
        <f t="array" ref="C3:I3">DíasYSemanas+DATE(AñoCalendario,10,1)-WEEKDAY(DATE(AñoCalendario,10,1),(InicioDeSemana="Lunes")+1)+1</f>
        <v>43737</v>
      </c>
      <c r="D3" s="47">
        <v>43738</v>
      </c>
      <c r="E3" s="47">
        <v>43739</v>
      </c>
      <c r="F3" s="47">
        <v>43740</v>
      </c>
      <c r="G3" s="47">
        <v>43741</v>
      </c>
      <c r="H3" s="47">
        <v>43742</v>
      </c>
      <c r="I3" s="47">
        <v>43743</v>
      </c>
    </row>
    <row r="4" spans="2:9" ht="99.95" customHeight="1" x14ac:dyDescent="0.2">
      <c r="C4" s="45" t="str">
        <f t="shared" ref="C4:I4" si="1">IFERROR(VLOOKUP(C3,Fechas_importantes,2,FALSE),"")</f>
        <v/>
      </c>
      <c r="D4" s="45" t="str">
        <f t="shared" si="1"/>
        <v/>
      </c>
      <c r="E4" s="45" t="str">
        <f t="shared" si="1"/>
        <v/>
      </c>
      <c r="F4" s="45" t="str">
        <f t="shared" si="1"/>
        <v/>
      </c>
      <c r="G4" s="45" t="str">
        <f t="shared" si="1"/>
        <v/>
      </c>
      <c r="H4" s="45" t="str">
        <f t="shared" si="1"/>
        <v/>
      </c>
      <c r="I4" s="45" t="str">
        <f t="shared" si="1"/>
        <v/>
      </c>
    </row>
    <row r="5" spans="2:9" ht="15" customHeight="1" x14ac:dyDescent="0.2">
      <c r="C5" s="47">
        <f t="array" ref="C5:I5">DíasYSemanas+DATE(AñoCalendario,10,1)-WEEKDAY(DATE(AñoCalendario,10,1),(InicioDeSemana="Lunes")+1)+8</f>
        <v>43744</v>
      </c>
      <c r="D5" s="47">
        <v>43745</v>
      </c>
      <c r="E5" s="47">
        <v>43746</v>
      </c>
      <c r="F5" s="47">
        <v>43747</v>
      </c>
      <c r="G5" s="47">
        <v>43748</v>
      </c>
      <c r="H5" s="47">
        <v>43749</v>
      </c>
      <c r="I5" s="47">
        <v>43750</v>
      </c>
    </row>
    <row r="6" spans="2:9" ht="99.95" customHeight="1" x14ac:dyDescent="0.2">
      <c r="C6" s="45" t="str">
        <f t="shared" ref="C6:I6" si="2">IFERROR(VLOOKUP(C5,Fechas_importantes,2,FALSE),"")</f>
        <v/>
      </c>
      <c r="D6" s="45" t="str">
        <f t="shared" si="2"/>
        <v/>
      </c>
      <c r="E6" s="45" t="str">
        <f t="shared" si="2"/>
        <v/>
      </c>
      <c r="F6" s="45" t="str">
        <f t="shared" si="2"/>
        <v/>
      </c>
      <c r="G6" s="45" t="str">
        <f t="shared" si="2"/>
        <v/>
      </c>
      <c r="H6" s="45" t="str">
        <f t="shared" si="2"/>
        <v/>
      </c>
      <c r="I6" s="45" t="str">
        <f t="shared" si="2"/>
        <v/>
      </c>
    </row>
    <row r="7" spans="2:9" ht="15" customHeight="1" x14ac:dyDescent="0.2">
      <c r="C7" s="47">
        <f t="array" ref="C7:I7">DíasYSemanas+DATE(AñoCalendario,10,1)-WEEKDAY(DATE(AñoCalendario,10,1),(InicioDeSemana="Lunes")+1)+15</f>
        <v>43751</v>
      </c>
      <c r="D7" s="47">
        <v>43752</v>
      </c>
      <c r="E7" s="47">
        <v>43753</v>
      </c>
      <c r="F7" s="47">
        <v>43754</v>
      </c>
      <c r="G7" s="47">
        <v>43755</v>
      </c>
      <c r="H7" s="47">
        <v>43756</v>
      </c>
      <c r="I7" s="47">
        <v>43757</v>
      </c>
    </row>
    <row r="8" spans="2:9" ht="99.95" customHeight="1" x14ac:dyDescent="0.2">
      <c r="C8" s="45" t="str">
        <f t="shared" ref="C8:I8" si="3">IFERROR(VLOOKUP(C7,Fechas_importantes,2,FALSE),"")</f>
        <v/>
      </c>
      <c r="D8" s="45" t="str">
        <f t="shared" si="3"/>
        <v/>
      </c>
      <c r="E8" s="45" t="str">
        <f t="shared" si="3"/>
        <v/>
      </c>
      <c r="F8" s="45" t="str">
        <f t="shared" si="3"/>
        <v/>
      </c>
      <c r="G8" s="45" t="str">
        <f t="shared" si="3"/>
        <v/>
      </c>
      <c r="H8" s="45" t="str">
        <f t="shared" si="3"/>
        <v/>
      </c>
      <c r="I8" s="45" t="str">
        <f t="shared" si="3"/>
        <v/>
      </c>
    </row>
    <row r="9" spans="2:9" ht="15" customHeight="1" x14ac:dyDescent="0.2">
      <c r="C9" s="47">
        <f t="array" ref="C9:I9">DíasYSemanas+DATE(AñoCalendario,10,1)-WEEKDAY(DATE(AñoCalendario,10,1),(InicioDeSemana="Lunes")+1)+22</f>
        <v>43758</v>
      </c>
      <c r="D9" s="47">
        <v>43759</v>
      </c>
      <c r="E9" s="47">
        <v>43760</v>
      </c>
      <c r="F9" s="47">
        <v>43761</v>
      </c>
      <c r="G9" s="47">
        <v>43762</v>
      </c>
      <c r="H9" s="47">
        <v>43763</v>
      </c>
      <c r="I9" s="47">
        <v>43764</v>
      </c>
    </row>
    <row r="10" spans="2:9" ht="99.95" customHeight="1" x14ac:dyDescent="0.2">
      <c r="C10" s="45" t="str">
        <f t="shared" ref="C10:I10" si="4">IFERROR(VLOOKUP(C9,Fechas_importantes,2,FALSE),"")</f>
        <v/>
      </c>
      <c r="D10" s="45" t="str">
        <f t="shared" si="4"/>
        <v/>
      </c>
      <c r="E10" s="45" t="str">
        <f t="shared" si="4"/>
        <v/>
      </c>
      <c r="F10" s="45" t="str">
        <f t="shared" si="4"/>
        <v/>
      </c>
      <c r="G10" s="45" t="str">
        <f t="shared" si="4"/>
        <v/>
      </c>
      <c r="H10" s="45" t="str">
        <f t="shared" si="4"/>
        <v/>
      </c>
      <c r="I10" s="45" t="str">
        <f t="shared" si="4"/>
        <v/>
      </c>
    </row>
    <row r="11" spans="2:9" ht="15" customHeight="1" x14ac:dyDescent="0.2">
      <c r="C11" s="47">
        <f t="array" ref="C11:I11">DíasYSemanas+DATE(AñoCalendario,10,1)-WEEKDAY(DATE(AñoCalendario,10,1),(InicioDeSemana="Lunes")+1)+29</f>
        <v>43765</v>
      </c>
      <c r="D11" s="47">
        <v>43766</v>
      </c>
      <c r="E11" s="47">
        <v>43767</v>
      </c>
      <c r="F11" s="47">
        <v>43768</v>
      </c>
      <c r="G11" s="47">
        <v>43769</v>
      </c>
      <c r="H11" s="47">
        <v>43770</v>
      </c>
      <c r="I11" s="47">
        <v>43771</v>
      </c>
    </row>
    <row r="12" spans="2:9" ht="99.95" customHeight="1" x14ac:dyDescent="0.2">
      <c r="C12" s="45" t="str">
        <f t="shared" ref="C12:I12" si="5">IFERROR(VLOOKUP(C11,Fechas_importantes,2,FALSE),"")</f>
        <v/>
      </c>
      <c r="D12" s="45" t="str">
        <f t="shared" si="5"/>
        <v/>
      </c>
      <c r="E12" s="45" t="str">
        <f t="shared" si="5"/>
        <v/>
      </c>
      <c r="F12" s="45" t="str">
        <f t="shared" si="5"/>
        <v/>
      </c>
      <c r="G12" s="45" t="str">
        <f t="shared" si="5"/>
        <v/>
      </c>
      <c r="H12" s="45" t="str">
        <f t="shared" si="5"/>
        <v/>
      </c>
      <c r="I12" s="45" t="str">
        <f t="shared" si="5"/>
        <v/>
      </c>
    </row>
    <row r="13" spans="2:9" ht="15" customHeight="1" x14ac:dyDescent="0.2">
      <c r="C13" s="47">
        <f t="array" ref="C13:D13">DíasYSemanas+DATE(AñoCalendario,10,1)-WEEKDAY(DATE(AñoCalendario,10,1),(InicioDeSemana="Lunes")+1)+36</f>
        <v>43772</v>
      </c>
      <c r="D13" s="47">
        <v>43773</v>
      </c>
      <c r="E13" s="57" t="s">
        <v>16</v>
      </c>
      <c r="F13" s="57"/>
      <c r="G13" s="57"/>
      <c r="H13" s="57"/>
      <c r="I13" s="57"/>
    </row>
    <row r="14" spans="2:9" ht="99.95" customHeight="1" x14ac:dyDescent="0.2">
      <c r="C14" s="45" t="str">
        <f>IFERROR(VLOOKUP(C13,Fechas_importantes,2,FALSE),"")</f>
        <v/>
      </c>
      <c r="D14" s="45" t="str">
        <f>IFERROR(VLOOKUP(D13,Fechas_importantes,2,FALSE),"")</f>
        <v/>
      </c>
      <c r="E14" s="57"/>
      <c r="F14" s="57"/>
      <c r="G14" s="57"/>
      <c r="H14" s="57"/>
      <c r="I14" s="57"/>
    </row>
  </sheetData>
  <mergeCells count="3">
    <mergeCell ref="C1:E1"/>
    <mergeCell ref="E13:I13"/>
    <mergeCell ref="E14:I14"/>
  </mergeCells>
  <conditionalFormatting sqref="C12:I12 C14:D14">
    <cfRule type="expression" dxfId="23" priority="8">
      <formula>AND(DAY(C11)&gt;=1,DAY(C11)&lt;=15)</formula>
    </cfRule>
  </conditionalFormatting>
  <conditionalFormatting sqref="C4:H4">
    <cfRule type="expression" dxfId="22" priority="7">
      <formula>DAY(C3)&gt;8</formula>
    </cfRule>
  </conditionalFormatting>
  <conditionalFormatting sqref="C2:I2">
    <cfRule type="expression" dxfId="21" priority="1">
      <formula>OR(C2="Domingo",C2="Sábado")</formula>
    </cfRule>
  </conditionalFormatting>
  <dataValidations count="3">
    <dataValidation allowBlank="1" showInputMessage="1" prompt="Escriba las notas del mes en esta celda" sqref="E14:I14" xr:uid="{00000000-0002-0000-0A00-000000000000}"/>
    <dataValidation allowBlank="1" showInputMessage="1" prompt="Escriba las notas del mes en la siguiente celda" sqref="E13:I13" xr:uid="{00000000-0002-0000-0A00-000001000000}"/>
    <dataValidation allowBlank="1" showInputMessage="1" showErrorMessage="1" prompt="Los eventos del mes se actualizan automáticamente en esta pestaña. Para agregar o modificar un evento, haga clic en el botón Establecer fechas importantes. Los días del mes anterior y del siguiente aparecen sombreados." sqref="A1" xr:uid="{00000000-0002-0000-0A00-000002000000}"/>
  </dataValidations>
  <printOptions horizontalCentered="1"/>
  <pageMargins left="0.25" right="0.25" top="0.75" bottom="0.75" header="0.3" footer="0.3"/>
  <pageSetup paperSize="9" scale="7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3134271-AFDB-41DD-8798-5EE754262E4B}">
            <xm:f>VLOOKUP(C3,Fechas_importantes,4,FALSE)='Calendario familiar'!$H$16</xm:f>
            <x14:dxf>
              <fill>
                <patternFill>
                  <bgColor theme="5"/>
                </patternFill>
              </fill>
            </x14:dxf>
          </x14:cfRule>
          <x14:cfRule type="expression" priority="3" stopIfTrue="1" id="{1D691FFE-C64C-455F-B1D4-8F552BEC752F}">
            <xm:f>VLOOKUP(C3,Fechas_importantes,4,FALSE)='Calendario familiar'!$H$17</xm:f>
            <x14:dxf>
              <fill>
                <patternFill>
                  <bgColor theme="6"/>
                </patternFill>
              </fill>
            </x14:dxf>
          </x14:cfRule>
          <x14:cfRule type="expression" priority="4" stopIfTrue="1" id="{F83BE808-76A2-4BF0-B0C4-DD04960F9E0A}">
            <xm:f>VLOOKUP(C3,Fechas_importantes,4,FALSE)='Calendario familiar'!$H$18</xm:f>
            <x14:dxf>
              <fill>
                <patternFill>
                  <bgColor theme="7"/>
                </patternFill>
              </fill>
            </x14:dxf>
          </x14:cfRule>
          <x14:cfRule type="expression" priority="5" stopIfTrue="1" id="{B98E1F4A-7E36-41A3-8FBA-C8AB9797FE0D}">
            <xm:f>VLOOKUP(C3,Fechas_importantes,4,FALSE)='Calendario familiar'!$H$19</xm:f>
            <x14:dxf>
              <fill>
                <patternFill>
                  <bgColor theme="4"/>
                </patternFill>
              </fill>
            </x14:dxf>
          </x14:cfRule>
          <x14:cfRule type="expression" priority="6" stopIfTrue="1" id="{39A05777-2F85-4E1D-B009-8A65EB4D8499}">
            <xm:f>VLOOKUP(C3,Fechas_importantes,4,FALSE)='Calendario familiar'!$H$20</xm:f>
            <x14:dxf>
              <fill>
                <patternFill>
                  <bgColor theme="3" tint="0.89996032593768116"/>
                </patternFill>
              </fill>
            </x14:dxf>
          </x14:cfRule>
          <xm:sqref>C3:I3 C5:I5 C7:I7 C9:I9 C11:I11 C13:D13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I14"/>
  <sheetViews>
    <sheetView showGridLines="0" showRowColHeaders="0" zoomScaleNormal="100" workbookViewId="0"/>
  </sheetViews>
  <sheetFormatPr baseColWidth="10" defaultColWidth="9.140625" defaultRowHeight="12.75" x14ac:dyDescent="0.2"/>
  <cols>
    <col min="2" max="2" width="1.5703125" customWidth="1"/>
    <col min="3" max="9" width="20.7109375" customWidth="1"/>
  </cols>
  <sheetData>
    <row r="1" spans="2:9" ht="75.75" customHeight="1" x14ac:dyDescent="0.2">
      <c r="B1" s="9"/>
      <c r="C1" s="56" t="str">
        <f>"Noviembre "&amp;"de "&amp;AñoCalendario</f>
        <v>Noviembre de 2019</v>
      </c>
      <c r="D1" s="56"/>
      <c r="E1" s="56"/>
      <c r="F1" s="3"/>
      <c r="G1" s="3"/>
      <c r="H1" s="3"/>
      <c r="I1" s="3"/>
    </row>
    <row r="2" spans="2:9" ht="22.5" customHeight="1" thickBot="1" x14ac:dyDescent="0.25">
      <c r="C2" s="8" t="str">
        <f t="shared" ref="C2:I2" si="0">TEXT(C3,"dddd")</f>
        <v>domingo</v>
      </c>
      <c r="D2" s="8" t="str">
        <f t="shared" si="0"/>
        <v>lunes</v>
      </c>
      <c r="E2" s="8" t="str">
        <f t="shared" si="0"/>
        <v>martes</v>
      </c>
      <c r="F2" s="8" t="str">
        <f t="shared" si="0"/>
        <v>miércoles</v>
      </c>
      <c r="G2" s="8" t="str">
        <f t="shared" si="0"/>
        <v>jueves</v>
      </c>
      <c r="H2" s="8" t="str">
        <f t="shared" si="0"/>
        <v>viernes</v>
      </c>
      <c r="I2" s="8" t="str">
        <f t="shared" si="0"/>
        <v>sábado</v>
      </c>
    </row>
    <row r="3" spans="2:9" ht="14.25" customHeight="1" thickTop="1" x14ac:dyDescent="0.2">
      <c r="C3" s="47">
        <f t="array" ref="C3:I3">DíasYSemanas+DATE(AñoCalendario,11,1)-WEEKDAY(DATE(AñoCalendario,11,1),(InicioDeSemana="Lunes")+1)+1</f>
        <v>43765</v>
      </c>
      <c r="D3" s="47">
        <v>43766</v>
      </c>
      <c r="E3" s="47">
        <v>43767</v>
      </c>
      <c r="F3" s="47">
        <v>43768</v>
      </c>
      <c r="G3" s="47">
        <v>43769</v>
      </c>
      <c r="H3" s="47">
        <v>43770</v>
      </c>
      <c r="I3" s="47">
        <v>43771</v>
      </c>
    </row>
    <row r="4" spans="2:9" ht="99.95" customHeight="1" x14ac:dyDescent="0.2">
      <c r="C4" s="45" t="str">
        <f t="shared" ref="C4:I4" si="1">IFERROR(VLOOKUP(C3,Fechas_importantes,2,FALSE),"")</f>
        <v/>
      </c>
      <c r="D4" s="45" t="str">
        <f t="shared" si="1"/>
        <v/>
      </c>
      <c r="E4" s="45" t="str">
        <f t="shared" si="1"/>
        <v/>
      </c>
      <c r="F4" s="45" t="str">
        <f t="shared" si="1"/>
        <v/>
      </c>
      <c r="G4" s="45" t="str">
        <f t="shared" si="1"/>
        <v/>
      </c>
      <c r="H4" s="45" t="str">
        <f t="shared" si="1"/>
        <v/>
      </c>
      <c r="I4" s="45" t="str">
        <f t="shared" si="1"/>
        <v/>
      </c>
    </row>
    <row r="5" spans="2:9" ht="15" customHeight="1" x14ac:dyDescent="0.2">
      <c r="C5" s="47">
        <f t="array" ref="C5:I5">DíasYSemanas+DATE(AñoCalendario,11,1)-WEEKDAY(DATE(AñoCalendario,11,1),(InicioDeSemana="Lunes")+1)+8</f>
        <v>43772</v>
      </c>
      <c r="D5" s="47">
        <v>43773</v>
      </c>
      <c r="E5" s="47">
        <v>43774</v>
      </c>
      <c r="F5" s="47">
        <v>43775</v>
      </c>
      <c r="G5" s="47">
        <v>43776</v>
      </c>
      <c r="H5" s="47">
        <v>43777</v>
      </c>
      <c r="I5" s="47">
        <v>43778</v>
      </c>
    </row>
    <row r="6" spans="2:9" ht="99.95" customHeight="1" x14ac:dyDescent="0.2">
      <c r="C6" s="45" t="str">
        <f t="shared" ref="C6:I6" si="2">IFERROR(VLOOKUP(C5,Fechas_importantes,2,FALSE),"")</f>
        <v/>
      </c>
      <c r="D6" s="45" t="str">
        <f t="shared" si="2"/>
        <v/>
      </c>
      <c r="E6" s="45" t="str">
        <f t="shared" si="2"/>
        <v/>
      </c>
      <c r="F6" s="45" t="str">
        <f t="shared" si="2"/>
        <v/>
      </c>
      <c r="G6" s="45" t="str">
        <f t="shared" si="2"/>
        <v/>
      </c>
      <c r="H6" s="45" t="str">
        <f t="shared" si="2"/>
        <v/>
      </c>
      <c r="I6" s="45" t="str">
        <f t="shared" si="2"/>
        <v/>
      </c>
    </row>
    <row r="7" spans="2:9" ht="15" customHeight="1" x14ac:dyDescent="0.2">
      <c r="C7" s="47">
        <f t="array" ref="C7:I7">DíasYSemanas+DATE(AñoCalendario,11,1)-WEEKDAY(DATE(AñoCalendario,11,1),(InicioDeSemana="Lunes")+1)+15</f>
        <v>43779</v>
      </c>
      <c r="D7" s="47">
        <v>43780</v>
      </c>
      <c r="E7" s="47">
        <v>43781</v>
      </c>
      <c r="F7" s="47">
        <v>43782</v>
      </c>
      <c r="G7" s="47">
        <v>43783</v>
      </c>
      <c r="H7" s="47">
        <v>43784</v>
      </c>
      <c r="I7" s="47">
        <v>43785</v>
      </c>
    </row>
    <row r="8" spans="2:9" ht="99.95" customHeight="1" x14ac:dyDescent="0.2">
      <c r="C8" s="45" t="str">
        <f t="shared" ref="C8:I8" si="3">IFERROR(VLOOKUP(C7,Fechas_importantes,2,FALSE),"")</f>
        <v/>
      </c>
      <c r="D8" s="45" t="str">
        <f t="shared" si="3"/>
        <v/>
      </c>
      <c r="E8" s="45" t="str">
        <f t="shared" si="3"/>
        <v/>
      </c>
      <c r="F8" s="45" t="str">
        <f t="shared" si="3"/>
        <v/>
      </c>
      <c r="G8" s="45" t="str">
        <f t="shared" si="3"/>
        <v/>
      </c>
      <c r="H8" s="45" t="str">
        <f t="shared" si="3"/>
        <v/>
      </c>
      <c r="I8" s="45" t="str">
        <f t="shared" si="3"/>
        <v/>
      </c>
    </row>
    <row r="9" spans="2:9" ht="15" customHeight="1" x14ac:dyDescent="0.2">
      <c r="C9" s="47">
        <f t="array" ref="C9:I9">DíasYSemanas+DATE(AñoCalendario,11,1)-WEEKDAY(DATE(AñoCalendario,11,1),(InicioDeSemana="Lunes")+1)+22</f>
        <v>43786</v>
      </c>
      <c r="D9" s="47">
        <v>43787</v>
      </c>
      <c r="E9" s="47">
        <v>43788</v>
      </c>
      <c r="F9" s="47">
        <v>43789</v>
      </c>
      <c r="G9" s="47">
        <v>43790</v>
      </c>
      <c r="H9" s="47">
        <v>43791</v>
      </c>
      <c r="I9" s="47">
        <v>43792</v>
      </c>
    </row>
    <row r="10" spans="2:9" ht="99.95" customHeight="1" x14ac:dyDescent="0.2">
      <c r="C10" s="45" t="str">
        <f t="shared" ref="C10:I10" si="4">IFERROR(VLOOKUP(C9,Fechas_importantes,2,FALSE),"")</f>
        <v/>
      </c>
      <c r="D10" s="45" t="str">
        <f t="shared" si="4"/>
        <v/>
      </c>
      <c r="E10" s="45" t="str">
        <f t="shared" si="4"/>
        <v/>
      </c>
      <c r="F10" s="45" t="str">
        <f t="shared" si="4"/>
        <v/>
      </c>
      <c r="G10" s="45" t="str">
        <f t="shared" si="4"/>
        <v/>
      </c>
      <c r="H10" s="45" t="str">
        <f t="shared" si="4"/>
        <v/>
      </c>
      <c r="I10" s="45" t="str">
        <f t="shared" si="4"/>
        <v/>
      </c>
    </row>
    <row r="11" spans="2:9" ht="15" customHeight="1" x14ac:dyDescent="0.2">
      <c r="C11" s="47">
        <f t="array" ref="C11:I11">DíasYSemanas+DATE(AñoCalendario,11,1)-WEEKDAY(DATE(AñoCalendario,11,1),(InicioDeSemana="Lunes")+1)+29</f>
        <v>43793</v>
      </c>
      <c r="D11" s="47">
        <v>43794</v>
      </c>
      <c r="E11" s="47">
        <v>43795</v>
      </c>
      <c r="F11" s="47">
        <v>43796</v>
      </c>
      <c r="G11" s="47">
        <v>43797</v>
      </c>
      <c r="H11" s="47">
        <v>43798</v>
      </c>
      <c r="I11" s="47">
        <v>43799</v>
      </c>
    </row>
    <row r="12" spans="2:9" ht="99.95" customHeight="1" x14ac:dyDescent="0.2">
      <c r="C12" s="45" t="str">
        <f t="shared" ref="C12:I12" si="5">IFERROR(VLOOKUP(C11,Fechas_importantes,2,FALSE),"")</f>
        <v/>
      </c>
      <c r="D12" s="45" t="str">
        <f t="shared" si="5"/>
        <v/>
      </c>
      <c r="E12" s="45" t="str">
        <f t="shared" si="5"/>
        <v/>
      </c>
      <c r="F12" s="45" t="str">
        <f t="shared" si="5"/>
        <v/>
      </c>
      <c r="G12" s="45" t="str">
        <f t="shared" si="5"/>
        <v/>
      </c>
      <c r="H12" s="45" t="str">
        <f t="shared" si="5"/>
        <v/>
      </c>
      <c r="I12" s="45" t="str">
        <f t="shared" si="5"/>
        <v/>
      </c>
    </row>
    <row r="13" spans="2:9" ht="15" customHeight="1" x14ac:dyDescent="0.2">
      <c r="C13" s="47">
        <f t="array" ref="C13:D13">DíasYSemanas+DATE(AñoCalendario,11,1)-WEEKDAY(DATE(AñoCalendario,11,1),(InicioDeSemana="Lunes")+1)+36</f>
        <v>43800</v>
      </c>
      <c r="D13" s="47">
        <v>43801</v>
      </c>
      <c r="E13" s="57" t="s">
        <v>16</v>
      </c>
      <c r="F13" s="57"/>
      <c r="G13" s="57"/>
      <c r="H13" s="57"/>
      <c r="I13" s="57"/>
    </row>
    <row r="14" spans="2:9" ht="99.95" customHeight="1" x14ac:dyDescent="0.2">
      <c r="C14" s="45" t="str">
        <f>IFERROR(VLOOKUP(C13,Fechas_importantes,2,FALSE),"")</f>
        <v/>
      </c>
      <c r="D14" s="45" t="str">
        <f>IFERROR(VLOOKUP(D13,Fechas_importantes,2,FALSE),"")</f>
        <v/>
      </c>
      <c r="E14" s="57"/>
      <c r="F14" s="57"/>
      <c r="G14" s="57"/>
      <c r="H14" s="57"/>
      <c r="I14" s="57"/>
    </row>
  </sheetData>
  <mergeCells count="3">
    <mergeCell ref="C1:E1"/>
    <mergeCell ref="E13:I13"/>
    <mergeCell ref="E14:I14"/>
  </mergeCells>
  <conditionalFormatting sqref="C12:I12 C14:D14">
    <cfRule type="expression" dxfId="15" priority="8">
      <formula>AND(DAY(C11)&gt;=1,DAY(C11)&lt;=15)</formula>
    </cfRule>
  </conditionalFormatting>
  <conditionalFormatting sqref="C4:H4">
    <cfRule type="expression" dxfId="14" priority="7">
      <formula>DAY(C3)&gt;8</formula>
    </cfRule>
  </conditionalFormatting>
  <conditionalFormatting sqref="C2:I2">
    <cfRule type="expression" dxfId="13" priority="1">
      <formula>OR(C2="Domingo",C2="Sábado")</formula>
    </cfRule>
  </conditionalFormatting>
  <dataValidations count="3">
    <dataValidation allowBlank="1" showInputMessage="1" prompt="Escriba las notas del mes en la siguiente celda" sqref="E13:I13" xr:uid="{00000000-0002-0000-0B00-000000000000}"/>
    <dataValidation allowBlank="1" showInputMessage="1" prompt="Escriba las notas del mes en esta celda" sqref="E14:I14" xr:uid="{00000000-0002-0000-0B00-000001000000}"/>
    <dataValidation allowBlank="1" showInputMessage="1" showErrorMessage="1" prompt="Los eventos del mes se actualizan automáticamente en esta pestaña. Para agregar o modificar un evento, haga clic en el botón Establecer fechas importantes. Los días del mes anterior y del siguiente aparecen sombreados." sqref="A1" xr:uid="{00000000-0002-0000-0B00-000002000000}"/>
  </dataValidations>
  <printOptions horizontalCentered="1"/>
  <pageMargins left="0.25" right="0.25" top="0.75" bottom="0.75" header="0.3" footer="0.3"/>
  <pageSetup paperSize="9" scale="7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46E5396-1599-40CC-9572-90C79EF446AE}">
            <xm:f>VLOOKUP(C3,Fechas_importantes,4,FALSE)='Calendario familiar'!$H$16</xm:f>
            <x14:dxf>
              <fill>
                <patternFill>
                  <bgColor theme="5"/>
                </patternFill>
              </fill>
            </x14:dxf>
          </x14:cfRule>
          <x14:cfRule type="expression" priority="3" stopIfTrue="1" id="{5409FD47-E3EE-4CDC-B563-4A8077B046C4}">
            <xm:f>VLOOKUP(C3,Fechas_importantes,4,FALSE)='Calendario familiar'!$H$17</xm:f>
            <x14:dxf>
              <fill>
                <patternFill>
                  <bgColor theme="6"/>
                </patternFill>
              </fill>
            </x14:dxf>
          </x14:cfRule>
          <x14:cfRule type="expression" priority="4" stopIfTrue="1" id="{98A78EE3-BE97-4DB8-B2A5-59D7ECB9B088}">
            <xm:f>VLOOKUP(C3,Fechas_importantes,4,FALSE)='Calendario familiar'!$H$18</xm:f>
            <x14:dxf>
              <fill>
                <patternFill>
                  <bgColor theme="7"/>
                </patternFill>
              </fill>
            </x14:dxf>
          </x14:cfRule>
          <x14:cfRule type="expression" priority="5" stopIfTrue="1" id="{FF8874DE-5757-4952-97D4-B2D272D53203}">
            <xm:f>VLOOKUP(C3,Fechas_importantes,4,FALSE)='Calendario familiar'!$H$19</xm:f>
            <x14:dxf>
              <fill>
                <patternFill>
                  <bgColor theme="4"/>
                </patternFill>
              </fill>
            </x14:dxf>
          </x14:cfRule>
          <x14:cfRule type="expression" priority="6" stopIfTrue="1" id="{555D5FA4-BB5D-4763-B971-0AE99C881330}">
            <xm:f>VLOOKUP(C3,Fechas_importantes,4,FALSE)='Calendario familiar'!$H$20</xm:f>
            <x14:dxf>
              <fill>
                <patternFill>
                  <bgColor theme="3" tint="0.89996032593768116"/>
                </patternFill>
              </fill>
            </x14:dxf>
          </x14:cfRule>
          <xm:sqref>C3:I3 C5:I5 C7:I7 C9:I9 C11:I11 C13:D13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I14"/>
  <sheetViews>
    <sheetView showGridLines="0" showRowColHeaders="0" zoomScaleNormal="100" workbookViewId="0"/>
  </sheetViews>
  <sheetFormatPr baseColWidth="10" defaultColWidth="9.140625" defaultRowHeight="12.75" x14ac:dyDescent="0.2"/>
  <cols>
    <col min="2" max="2" width="1.5703125" customWidth="1"/>
    <col min="3" max="9" width="20.7109375" customWidth="1"/>
  </cols>
  <sheetData>
    <row r="1" spans="2:9" ht="75.75" customHeight="1" x14ac:dyDescent="0.2">
      <c r="B1" s="4"/>
      <c r="C1" s="56" t="str">
        <f>"Diciembre "&amp;"de "&amp;AñoCalendario</f>
        <v>Diciembre de 2019</v>
      </c>
      <c r="D1" s="56"/>
      <c r="E1" s="56"/>
      <c r="F1" s="3"/>
      <c r="G1" s="3"/>
      <c r="H1" s="3"/>
      <c r="I1" s="3"/>
    </row>
    <row r="2" spans="2:9" ht="22.5" customHeight="1" thickBot="1" x14ac:dyDescent="0.25">
      <c r="C2" s="2" t="str">
        <f t="shared" ref="C2:I2" si="0">TEXT(C3,"dddd")</f>
        <v>domingo</v>
      </c>
      <c r="D2" s="2" t="str">
        <f t="shared" si="0"/>
        <v>lunes</v>
      </c>
      <c r="E2" s="2" t="str">
        <f t="shared" si="0"/>
        <v>martes</v>
      </c>
      <c r="F2" s="2" t="str">
        <f t="shared" si="0"/>
        <v>miércoles</v>
      </c>
      <c r="G2" s="2" t="str">
        <f t="shared" si="0"/>
        <v>jueves</v>
      </c>
      <c r="H2" s="2" t="str">
        <f t="shared" si="0"/>
        <v>viernes</v>
      </c>
      <c r="I2" s="2" t="str">
        <f t="shared" si="0"/>
        <v>sábado</v>
      </c>
    </row>
    <row r="3" spans="2:9" ht="14.25" customHeight="1" thickTop="1" x14ac:dyDescent="0.2">
      <c r="C3" s="47">
        <f t="array" ref="C3:I3">DíasYSemanas+DATE(AñoCalendario,12,1)-WEEKDAY(DATE(AñoCalendario,12,1),(InicioDeSemana="Lunes")+1)+1</f>
        <v>43800</v>
      </c>
      <c r="D3" s="47">
        <v>43801</v>
      </c>
      <c r="E3" s="47">
        <v>43802</v>
      </c>
      <c r="F3" s="47">
        <v>43803</v>
      </c>
      <c r="G3" s="47">
        <v>43804</v>
      </c>
      <c r="H3" s="47">
        <v>43805</v>
      </c>
      <c r="I3" s="47">
        <v>43806</v>
      </c>
    </row>
    <row r="4" spans="2:9" ht="99.95" customHeight="1" x14ac:dyDescent="0.2">
      <c r="C4" s="45" t="str">
        <f t="shared" ref="C4:I4" si="1">IFERROR(VLOOKUP(C3,Fechas_importantes,2,FALSE),"")</f>
        <v/>
      </c>
      <c r="D4" s="45" t="str">
        <f t="shared" si="1"/>
        <v/>
      </c>
      <c r="E4" s="45" t="str">
        <f t="shared" si="1"/>
        <v/>
      </c>
      <c r="F4" s="45" t="str">
        <f t="shared" si="1"/>
        <v/>
      </c>
      <c r="G4" s="45" t="str">
        <f t="shared" si="1"/>
        <v/>
      </c>
      <c r="H4" s="45" t="str">
        <f t="shared" si="1"/>
        <v/>
      </c>
      <c r="I4" s="45" t="str">
        <f t="shared" si="1"/>
        <v/>
      </c>
    </row>
    <row r="5" spans="2:9" ht="15" customHeight="1" x14ac:dyDescent="0.2">
      <c r="C5" s="47">
        <f t="array" ref="C5:I5">DíasYSemanas+DATE(AñoCalendario,12,1)-WEEKDAY(DATE(AñoCalendario,12,1),(InicioDeSemana="Lunes")+1)+8</f>
        <v>43807</v>
      </c>
      <c r="D5" s="47">
        <v>43808</v>
      </c>
      <c r="E5" s="47">
        <v>43809</v>
      </c>
      <c r="F5" s="47">
        <v>43810</v>
      </c>
      <c r="G5" s="47">
        <v>43811</v>
      </c>
      <c r="H5" s="47">
        <v>43812</v>
      </c>
      <c r="I5" s="47">
        <v>43813</v>
      </c>
    </row>
    <row r="6" spans="2:9" ht="99.95" customHeight="1" x14ac:dyDescent="0.2">
      <c r="C6" s="45" t="str">
        <f t="shared" ref="C6:I6" si="2">IFERROR(VLOOKUP(C5,Fechas_importantes,2,FALSE),"")</f>
        <v/>
      </c>
      <c r="D6" s="45" t="str">
        <f t="shared" si="2"/>
        <v/>
      </c>
      <c r="E6" s="45" t="str">
        <f t="shared" si="2"/>
        <v/>
      </c>
      <c r="F6" s="45" t="str">
        <f t="shared" si="2"/>
        <v/>
      </c>
      <c r="G6" s="45" t="str">
        <f t="shared" si="2"/>
        <v/>
      </c>
      <c r="H6" s="45" t="str">
        <f t="shared" si="2"/>
        <v/>
      </c>
      <c r="I6" s="45" t="str">
        <f t="shared" si="2"/>
        <v/>
      </c>
    </row>
    <row r="7" spans="2:9" ht="15" customHeight="1" x14ac:dyDescent="0.2">
      <c r="C7" s="47">
        <f t="array" ref="C7:I7">DíasYSemanas+DATE(AñoCalendario,12,1)-WEEKDAY(DATE(AñoCalendario,12,1),(InicioDeSemana="Lunes")+1)+15</f>
        <v>43814</v>
      </c>
      <c r="D7" s="47">
        <v>43815</v>
      </c>
      <c r="E7" s="47">
        <v>43816</v>
      </c>
      <c r="F7" s="47">
        <v>43817</v>
      </c>
      <c r="G7" s="47">
        <v>43818</v>
      </c>
      <c r="H7" s="47">
        <v>43819</v>
      </c>
      <c r="I7" s="47">
        <v>43820</v>
      </c>
    </row>
    <row r="8" spans="2:9" ht="99.95" customHeight="1" x14ac:dyDescent="0.2">
      <c r="C8" s="45" t="str">
        <f t="shared" ref="C8:I8" si="3">IFERROR(VLOOKUP(C7,Fechas_importantes,2,FALSE),"")</f>
        <v/>
      </c>
      <c r="D8" s="45" t="str">
        <f t="shared" si="3"/>
        <v/>
      </c>
      <c r="E8" s="45" t="str">
        <f t="shared" si="3"/>
        <v/>
      </c>
      <c r="F8" s="45" t="str">
        <f t="shared" si="3"/>
        <v/>
      </c>
      <c r="G8" s="45" t="str">
        <f t="shared" si="3"/>
        <v/>
      </c>
      <c r="H8" s="45" t="str">
        <f t="shared" si="3"/>
        <v/>
      </c>
      <c r="I8" s="45" t="str">
        <f t="shared" si="3"/>
        <v/>
      </c>
    </row>
    <row r="9" spans="2:9" ht="15" customHeight="1" x14ac:dyDescent="0.2">
      <c r="C9" s="47">
        <f t="array" ref="C9:I9">DíasYSemanas+DATE(AñoCalendario,12,1)-WEEKDAY(DATE(AñoCalendario,12,1),(InicioDeSemana="Lunes")+1)+22</f>
        <v>43821</v>
      </c>
      <c r="D9" s="47">
        <v>43822</v>
      </c>
      <c r="E9" s="47">
        <v>43823</v>
      </c>
      <c r="F9" s="47">
        <v>43824</v>
      </c>
      <c r="G9" s="47">
        <v>43825</v>
      </c>
      <c r="H9" s="47">
        <v>43826</v>
      </c>
      <c r="I9" s="47">
        <v>43827</v>
      </c>
    </row>
    <row r="10" spans="2:9" ht="99.95" customHeight="1" x14ac:dyDescent="0.2">
      <c r="C10" s="45" t="str">
        <f t="shared" ref="C10:I10" si="4">IFERROR(VLOOKUP(C9,Fechas_importantes,2,FALSE),"")</f>
        <v/>
      </c>
      <c r="D10" s="45" t="str">
        <f t="shared" si="4"/>
        <v/>
      </c>
      <c r="E10" s="45" t="str">
        <f t="shared" si="4"/>
        <v/>
      </c>
      <c r="F10" s="45" t="str">
        <f t="shared" si="4"/>
        <v>Navidad</v>
      </c>
      <c r="G10" s="45" t="str">
        <f t="shared" si="4"/>
        <v/>
      </c>
      <c r="H10" s="45" t="str">
        <f t="shared" si="4"/>
        <v/>
      </c>
      <c r="I10" s="45" t="str">
        <f t="shared" si="4"/>
        <v/>
      </c>
    </row>
    <row r="11" spans="2:9" ht="15" customHeight="1" x14ac:dyDescent="0.2">
      <c r="C11" s="47">
        <f t="array" ref="C11:I11">DíasYSemanas+DATE(AñoCalendario,12,1)-WEEKDAY(DATE(AñoCalendario,12,1),(InicioDeSemana="Lunes")+1)+29</f>
        <v>43828</v>
      </c>
      <c r="D11" s="47">
        <v>43829</v>
      </c>
      <c r="E11" s="47">
        <v>43830</v>
      </c>
      <c r="F11" s="47">
        <v>43831</v>
      </c>
      <c r="G11" s="47">
        <v>43832</v>
      </c>
      <c r="H11" s="47">
        <v>43833</v>
      </c>
      <c r="I11" s="47">
        <v>43834</v>
      </c>
    </row>
    <row r="12" spans="2:9" ht="99.95" customHeight="1" x14ac:dyDescent="0.2">
      <c r="C12" s="45" t="str">
        <f t="shared" ref="C12:I12" si="5">IFERROR(VLOOKUP(C11,Fechas_importantes,2,FALSE),"")</f>
        <v/>
      </c>
      <c r="D12" s="45" t="str">
        <f t="shared" si="5"/>
        <v/>
      </c>
      <c r="E12" s="45" t="str">
        <f t="shared" si="5"/>
        <v/>
      </c>
      <c r="F12" s="45" t="str">
        <f t="shared" si="5"/>
        <v/>
      </c>
      <c r="G12" s="45" t="str">
        <f t="shared" si="5"/>
        <v/>
      </c>
      <c r="H12" s="45" t="str">
        <f t="shared" si="5"/>
        <v/>
      </c>
      <c r="I12" s="45" t="str">
        <f t="shared" si="5"/>
        <v/>
      </c>
    </row>
    <row r="13" spans="2:9" ht="15" customHeight="1" x14ac:dyDescent="0.2">
      <c r="C13" s="47">
        <f t="array" ref="C13:D13">DíasYSemanas+DATE(AñoCalendario,12,1)-WEEKDAY(DATE(AñoCalendario,12,1),(InicioDeSemana="Lunes")+1)+36</f>
        <v>43835</v>
      </c>
      <c r="D13" s="47">
        <v>43836</v>
      </c>
      <c r="E13" s="57" t="s">
        <v>16</v>
      </c>
      <c r="F13" s="57"/>
      <c r="G13" s="57"/>
      <c r="H13" s="57"/>
      <c r="I13" s="57"/>
    </row>
    <row r="14" spans="2:9" ht="99.95" customHeight="1" x14ac:dyDescent="0.2">
      <c r="C14" s="45" t="str">
        <f>IFERROR(VLOOKUP(C13,Fechas_importantes,2,FALSE),"")</f>
        <v/>
      </c>
      <c r="D14" s="45" t="str">
        <f>IFERROR(VLOOKUP(D13,Fechas_importantes,2,FALSE),"")</f>
        <v/>
      </c>
      <c r="E14" s="57"/>
      <c r="F14" s="57"/>
      <c r="G14" s="57"/>
      <c r="H14" s="57"/>
      <c r="I14" s="57"/>
    </row>
  </sheetData>
  <mergeCells count="3">
    <mergeCell ref="C1:E1"/>
    <mergeCell ref="E13:I13"/>
    <mergeCell ref="E14:I14"/>
  </mergeCells>
  <conditionalFormatting sqref="C12:I12 C14:D14">
    <cfRule type="expression" dxfId="7" priority="9">
      <formula>AND(DAY(C11)&gt;=1,DAY(C11)&lt;=15)</formula>
    </cfRule>
  </conditionalFormatting>
  <conditionalFormatting sqref="C4:H4">
    <cfRule type="expression" dxfId="6" priority="8">
      <formula>DAY(C3)&gt;8</formula>
    </cfRule>
  </conditionalFormatting>
  <conditionalFormatting sqref="C2:I2">
    <cfRule type="expression" dxfId="5" priority="1">
      <formula>OR(C2="Domingo",C2="Sábado")</formula>
    </cfRule>
  </conditionalFormatting>
  <dataValidations xWindow="20" yWindow="434" count="3">
    <dataValidation allowBlank="1" showInputMessage="1" prompt="Escriba las notas del mes en esta celda" sqref="E14:I14" xr:uid="{00000000-0002-0000-0C00-000000000000}"/>
    <dataValidation allowBlank="1" showInputMessage="1" prompt="Escriba las notas del mes en la siguiente celda" sqref="E13:I13" xr:uid="{00000000-0002-0000-0C00-000001000000}"/>
    <dataValidation allowBlank="1" showInputMessage="1" showErrorMessage="1" prompt="Los eventos del mes se actualizan automáticamente en esta pestaña. Para agregar o modificar un evento, haga clic en el botón Establecer fechas importantes. Los días del mes anterior y del siguiente aparecen sombreados." sqref="A1" xr:uid="{00000000-0002-0000-0C00-000002000000}"/>
  </dataValidations>
  <printOptions horizontalCentered="1"/>
  <pageMargins left="0.25" right="0.25" top="0.75" bottom="0.75" header="0.3" footer="0.3"/>
  <pageSetup paperSize="9" scale="7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stopIfTrue="1" id="{BD52B2D0-FA2E-47BB-8136-64E564C3DE31}">
            <xm:f>VLOOKUP(C3,Fechas_importantes,4,FALSE)='Calendario familiar'!$H$16</xm:f>
            <x14:dxf>
              <fill>
                <patternFill>
                  <bgColor theme="5"/>
                </patternFill>
              </fill>
            </x14:dxf>
          </x14:cfRule>
          <x14:cfRule type="expression" priority="4" stopIfTrue="1" id="{B84FBFE2-80EE-41B3-9229-C7270D68E7C8}">
            <xm:f>VLOOKUP(C3,Fechas_importantes,4,FALSE)='Calendario familiar'!$H$17</xm:f>
            <x14:dxf>
              <fill>
                <patternFill>
                  <bgColor theme="6"/>
                </patternFill>
              </fill>
            </x14:dxf>
          </x14:cfRule>
          <x14:cfRule type="expression" priority="5" stopIfTrue="1" id="{D6C10FBE-4950-4BE4-929D-3CB1831B3DF5}">
            <xm:f>VLOOKUP(C3,Fechas_importantes,4,FALSE)='Calendario familiar'!$H$18</xm:f>
            <x14:dxf>
              <fill>
                <patternFill>
                  <bgColor theme="7"/>
                </patternFill>
              </fill>
            </x14:dxf>
          </x14:cfRule>
          <x14:cfRule type="expression" priority="6" stopIfTrue="1" id="{897F4A83-B04D-428F-814F-AB9817677A11}">
            <xm:f>VLOOKUP(C3,Fechas_importantes,4,FALSE)='Calendario familiar'!$H$19</xm:f>
            <x14:dxf>
              <fill>
                <patternFill>
                  <bgColor theme="4"/>
                </patternFill>
              </fill>
            </x14:dxf>
          </x14:cfRule>
          <x14:cfRule type="expression" priority="7" stopIfTrue="1" id="{9C0D49E4-6CB5-49E4-ADD3-E27E6B4C563C}">
            <xm:f>VLOOKUP(C3,Fechas_importantes,4,FALSE)='Calendario familiar'!$H$20</xm:f>
            <x14:dxf>
              <fill>
                <patternFill>
                  <bgColor theme="3" tint="0.89996032593768116"/>
                </patternFill>
              </fill>
            </x14:dxf>
          </x14:cfRule>
          <xm:sqref>C3:I3 C5:I5 C7:I7 C9:I9 C11:I11 C13:D13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1c2eb7a32e66fb6e4260f3771546a5e2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04e1f6479c48b08974ba73b5ca973489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97CDF009-BB58-4143-A649-7108A28E6F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D63907-A002-4280-9B87-713E8F72AE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743D82-113E-464F-8476-B523A99E7F27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4</vt:i4>
      </vt:variant>
    </vt:vector>
  </HeadingPairs>
  <TitlesOfParts>
    <vt:vector size="17" baseType="lpstr">
      <vt:lpstr>Calendario familiar</vt:lpstr>
      <vt:lpstr>Ene</vt:lpstr>
      <vt:lpstr>Feb</vt:lpstr>
      <vt:lpstr>Mar</vt:lpstr>
      <vt:lpstr>Abr</vt:lpstr>
      <vt:lpstr>May</vt:lpstr>
      <vt:lpstr>Jun</vt:lpstr>
      <vt:lpstr>Jul</vt:lpstr>
      <vt:lpstr>Ago</vt:lpstr>
      <vt:lpstr>Sep</vt:lpstr>
      <vt:lpstr>Oct</vt:lpstr>
      <vt:lpstr>Nov</vt:lpstr>
      <vt:lpstr>Dic</vt:lpstr>
      <vt:lpstr>AñoCalendario</vt:lpstr>
      <vt:lpstr>Categorias_de_eventos</vt:lpstr>
      <vt:lpstr>Fechas_importantes</vt:lpstr>
      <vt:lpstr>InicioDeSemana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2019-01-30T05:02:05Z</dcterms:created>
  <dcterms:modified xsi:type="dcterms:W3CDTF">2020-04-23T21:36:07Z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