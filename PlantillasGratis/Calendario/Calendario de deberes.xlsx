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22010378-0B4D-4E04-9F9A-543DA5F75C6E}" xr6:coauthVersionLast="45" xr6:coauthVersionMax="45" xr10:uidLastSave="{00000000-0000-0000-0000-000000000000}"/>
  <bookViews>
    <workbookView xWindow="-120" yWindow="-120" windowWidth="20730" windowHeight="11160" activeTab="1" xr2:uid="{00000000-000D-0000-FFFF-FFFF00000000}"/>
  </bookViews>
  <sheets>
    <sheet name="Lista de deberes" sheetId="33" r:id="rId1"/>
    <sheet name="Calendario de deberes" sheetId="1" r:id="rId2"/>
  </sheets>
  <definedNames>
    <definedName name="_xlnm.Print_Area" localSheetId="1">'Calendario de deberes'!$B$2:$H$36</definedName>
    <definedName name="calendario" localSheetId="1">cuadrículadedías+'Calendario de deberes'!primerafecha-WEEKDAY('Calendario de deberes'!primerafecha)-opción_díadelasemana</definedName>
    <definedName name="ColumnTitle1">Deberes[[#Headers],[Fecha de vencimiento]]</definedName>
    <definedName name="ColumnTitleRegion..H35.2">'Calendario de deberes'!$B$5</definedName>
    <definedName name="cuadrículadedías">días+semanas*7</definedName>
    <definedName name="DailyWork">'Calendario de deberes'!$B$7:$H$10,'Calendario de deberes'!$B$12:$H$15,'Calendario de deberes'!$B$17:$H$20,'Calendario de deberes'!$B$22:$H$25,'Calendario de deberes'!$B$27:$H$30,'Calendario de deberes'!$B$32:$C$35</definedName>
    <definedName name="DayToStart">'Calendario de deberes'!$H$4</definedName>
    <definedName name="días">{0,1,2,3,4,5,6}</definedName>
    <definedName name="días_laborables">{"Lunes","Martes","Miércoles","Jueves","Viernes","Sábado","Domingo"}</definedName>
    <definedName name="Fechas">Deberes[Fecha de vencimiento]</definedName>
    <definedName name="InicioDeFilaDeTabla">ROW(Deberes[[#Headers],[Fecha de vencimiento]])</definedName>
    <definedName name="ListaDeDeberes">Deberes[Tarea]</definedName>
    <definedName name="mes" localSheetId="1">MATCH('Calendario de deberes'!MonthToDisplay,meses,0)</definedName>
    <definedName name="meses">{"Enero","Febrero","Marzo","Abril","Mayo","Junio","Julio","Agosto","Septiembre","Octubre","Noviembre","Diciembre"}</definedName>
    <definedName name="MonthToDisplay" localSheetId="1">'Calendario de deberes'!$H$2</definedName>
    <definedName name="MonthToDisplayNumber" localSheetId="1">MATCH('Calendario de deberes'!MonthToDisplay,meses,0)</definedName>
    <definedName name="ndx" localSheetId="1">ROUNDUP(MATCH(2,1/FREQUENCY(DATE('Calendario de deberes'!YearToDisplay,'Calendario de deberes'!MonthToDisplayNumber,1),'Calendario de deberes'!calendario))/7,0)</definedName>
    <definedName name="opción_díadelasemana">MATCH(DayToStart,weekdays_reversed,0)-2</definedName>
    <definedName name="primerafecha" localSheetId="1">DATE('Calendario de deberes'!YearToDisplay,'Calendario de deberes'!mes,1)</definedName>
    <definedName name="RowTitleRegion..H4.2">'Calendario de deberes'!$G$2</definedName>
    <definedName name="semanas">{0;1;2;3;4;5;6}</definedName>
    <definedName name="startdate" localSheetId="1">DATE('Calendario de deberes'!YearToDisplay,'Calendario de deberes'!mes,1)</definedName>
    <definedName name="_xlnm.Print_Titles" localSheetId="0">'Lista de deberes'!$3:$3</definedName>
    <definedName name="weekdays_reversed">{"Domingo","Sábado","Viernes","Jueves","Miércoles","Martes","Lunes"}</definedName>
    <definedName name="YearToDisplay" localSheetId="1">'Calendario de deberes'!$H$3</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4" i="33" l="1"/>
  <c r="E5" i="33"/>
  <c r="E6" i="33"/>
  <c r="E7" i="33"/>
  <c r="E8" i="33"/>
  <c r="E9" i="33"/>
  <c r="E10" i="33"/>
  <c r="E11" i="33"/>
  <c r="H2" i="1" l="1"/>
  <c r="H3" i="1" l="1"/>
  <c r="B11" i="33"/>
  <c r="B10" i="33"/>
  <c r="B9" i="33"/>
  <c r="B8" i="33"/>
  <c r="B7" i="33"/>
  <c r="B6" i="33"/>
  <c r="B5" i="33"/>
  <c r="B4" i="33"/>
  <c r="H31" i="1" l="1"/>
  <c r="H35" i="1" s="1" a="1"/>
  <c r="H35" i="1" s="1"/>
  <c r="G31" i="1"/>
  <c r="G35" i="1" s="1" a="1"/>
  <c r="G35" i="1" s="1"/>
  <c r="F31" i="1"/>
  <c r="F35" i="1" s="1" a="1"/>
  <c r="F35" i="1" s="1"/>
  <c r="E31" i="1"/>
  <c r="E35" i="1" s="1" a="1"/>
  <c r="E35" i="1" s="1"/>
  <c r="D31" i="1"/>
  <c r="D35" i="1" s="1" a="1"/>
  <c r="D35" i="1" s="1"/>
  <c r="C31" i="1"/>
  <c r="C35" i="1" s="1" a="1"/>
  <c r="C35" i="1" s="1"/>
  <c r="B31" i="1"/>
  <c r="B35" i="1" s="1" a="1"/>
  <c r="B35" i="1" s="1"/>
  <c r="H26" i="1"/>
  <c r="H30" i="1" s="1" a="1"/>
  <c r="H30" i="1" s="1"/>
  <c r="G26" i="1"/>
  <c r="G30" i="1" s="1" a="1"/>
  <c r="G30" i="1" s="1"/>
  <c r="F26" i="1"/>
  <c r="F30" i="1" s="1" a="1"/>
  <c r="F30" i="1" s="1"/>
  <c r="E26" i="1"/>
  <c r="E30" i="1" s="1" a="1"/>
  <c r="E30" i="1" s="1"/>
  <c r="D26" i="1"/>
  <c r="D30" i="1" s="1" a="1"/>
  <c r="D30" i="1" s="1"/>
  <c r="C26" i="1"/>
  <c r="C30" i="1" s="1" a="1"/>
  <c r="C30" i="1" s="1"/>
  <c r="B26" i="1"/>
  <c r="B30" i="1" s="1" a="1"/>
  <c r="B30" i="1" s="1"/>
  <c r="H21" i="1"/>
  <c r="H25" i="1" s="1" a="1"/>
  <c r="H25" i="1" s="1"/>
  <c r="G21" i="1"/>
  <c r="G25" i="1" s="1" a="1"/>
  <c r="G25" i="1" s="1"/>
  <c r="F21" i="1"/>
  <c r="F25" i="1" s="1" a="1"/>
  <c r="F25" i="1" s="1"/>
  <c r="E21" i="1"/>
  <c r="E25" i="1" s="1" a="1"/>
  <c r="E25" i="1" s="1"/>
  <c r="D21" i="1"/>
  <c r="D25" i="1" s="1" a="1"/>
  <c r="D25" i="1" s="1"/>
  <c r="C21" i="1"/>
  <c r="C25" i="1" s="1" a="1"/>
  <c r="C25" i="1" s="1"/>
  <c r="B21" i="1"/>
  <c r="B25" i="1" s="1" a="1"/>
  <c r="B25" i="1" s="1"/>
  <c r="H16" i="1"/>
  <c r="H20" i="1" s="1" a="1"/>
  <c r="H20" i="1" s="1"/>
  <c r="G16" i="1"/>
  <c r="G20" i="1" s="1" a="1"/>
  <c r="G20" i="1" s="1"/>
  <c r="F16" i="1"/>
  <c r="F20" i="1" s="1" a="1"/>
  <c r="F20" i="1" s="1"/>
  <c r="E16" i="1"/>
  <c r="E20" i="1" s="1" a="1"/>
  <c r="E20" i="1" s="1"/>
  <c r="D16" i="1"/>
  <c r="D20" i="1" s="1" a="1"/>
  <c r="D20" i="1" s="1"/>
  <c r="C16" i="1"/>
  <c r="C20" i="1" s="1" a="1"/>
  <c r="C20" i="1" s="1"/>
  <c r="B16" i="1"/>
  <c r="B20" i="1" s="1" a="1"/>
  <c r="B20" i="1" s="1"/>
  <c r="H11" i="1"/>
  <c r="H15" i="1" s="1" a="1"/>
  <c r="H15" i="1" s="1"/>
  <c r="G11" i="1"/>
  <c r="G15" i="1" s="1" a="1"/>
  <c r="G15" i="1" s="1"/>
  <c r="F11" i="1"/>
  <c r="F15" i="1" s="1" a="1"/>
  <c r="F15" i="1" s="1"/>
  <c r="E11" i="1"/>
  <c r="E15" i="1" s="1" a="1"/>
  <c r="E15" i="1" s="1"/>
  <c r="D11" i="1"/>
  <c r="D15" i="1" s="1" a="1"/>
  <c r="D15" i="1" s="1"/>
  <c r="C11" i="1"/>
  <c r="C15" i="1" s="1" a="1"/>
  <c r="C15" i="1" s="1"/>
  <c r="B11" i="1"/>
  <c r="B15" i="1" s="1" a="1"/>
  <c r="B15" i="1" s="1"/>
  <c r="H6" i="1"/>
  <c r="G6" i="1"/>
  <c r="F6" i="1"/>
  <c r="E6" i="1"/>
  <c r="D6" i="1"/>
  <c r="C6" i="1"/>
  <c r="B6" i="1"/>
  <c r="B5" i="1" s="1"/>
  <c r="F5" i="33"/>
  <c r="G5" i="33"/>
  <c r="F6" i="33"/>
  <c r="G6" i="33"/>
  <c r="F7" i="33"/>
  <c r="G7" i="33"/>
  <c r="F8" i="33"/>
  <c r="G8" i="33"/>
  <c r="F9" i="33"/>
  <c r="G9" i="33"/>
  <c r="F10" i="33"/>
  <c r="G10" i="33"/>
  <c r="F11" i="33"/>
  <c r="G11" i="33"/>
  <c r="F4" i="33"/>
  <c r="G4" i="33"/>
  <c r="B3" i="1"/>
  <c r="H10" i="1" l="1" a="1"/>
  <c r="H10" i="1" s="1"/>
  <c r="H5" i="1"/>
  <c r="G10" i="1" a="1"/>
  <c r="G10" i="1" s="1"/>
  <c r="G5" i="1"/>
  <c r="F10" i="1" a="1"/>
  <c r="F10" i="1" s="1"/>
  <c r="F5" i="1"/>
  <c r="E10" i="1" a="1"/>
  <c r="E10" i="1" s="1"/>
  <c r="E5" i="1"/>
  <c r="D10" i="1" a="1"/>
  <c r="D10" i="1" s="1"/>
  <c r="D5" i="1"/>
  <c r="C10" i="1" a="1"/>
  <c r="C10" i="1" s="1"/>
  <c r="C5" i="1"/>
  <c r="B10" i="1" a="1"/>
  <c r="B10" i="1" s="1"/>
  <c r="B7" i="1" a="1"/>
  <c r="B7" i="1" s="1"/>
  <c r="C7" i="1" a="1"/>
  <c r="C7" i="1" s="1"/>
  <c r="D7" i="1" a="1"/>
  <c r="D7" i="1" s="1"/>
  <c r="E7" i="1" a="1"/>
  <c r="E7" i="1" s="1"/>
  <c r="F7" i="1" a="1"/>
  <c r="F7" i="1" s="1"/>
  <c r="G7" i="1" a="1"/>
  <c r="G7" i="1" s="1"/>
  <c r="H7" i="1" a="1"/>
  <c r="H7" i="1" s="1"/>
  <c r="B8" i="1" a="1"/>
  <c r="B8" i="1" s="1"/>
  <c r="C8" i="1" a="1"/>
  <c r="C8" i="1" s="1"/>
  <c r="D8" i="1" a="1"/>
  <c r="D8" i="1" s="1"/>
  <c r="E8" i="1" a="1"/>
  <c r="E8" i="1" s="1"/>
  <c r="F8" i="1" a="1"/>
  <c r="F8" i="1" s="1"/>
  <c r="G8" i="1" a="1"/>
  <c r="G8" i="1" s="1"/>
  <c r="H8" i="1" a="1"/>
  <c r="H8" i="1" s="1"/>
  <c r="B9" i="1" a="1"/>
  <c r="B9" i="1" s="1"/>
  <c r="C9" i="1" a="1"/>
  <c r="C9" i="1" s="1"/>
  <c r="D9" i="1" a="1"/>
  <c r="D9" i="1" s="1"/>
  <c r="E9" i="1" a="1"/>
  <c r="E9" i="1" s="1"/>
  <c r="F9" i="1" a="1"/>
  <c r="F9" i="1" s="1"/>
  <c r="G9" i="1" a="1"/>
  <c r="G9" i="1" s="1"/>
  <c r="H9" i="1" a="1"/>
  <c r="H9" i="1" s="1"/>
  <c r="B12" i="1" a="1"/>
  <c r="B12" i="1" s="1"/>
  <c r="C12" i="1" a="1"/>
  <c r="C12" i="1" s="1"/>
  <c r="D12" i="1" a="1"/>
  <c r="D12" i="1" s="1"/>
  <c r="E12" i="1" a="1"/>
  <c r="E12" i="1" s="1"/>
  <c r="F12" i="1" a="1"/>
  <c r="F12" i="1" s="1"/>
  <c r="G12" i="1" a="1"/>
  <c r="G12" i="1" s="1"/>
  <c r="H12" i="1" a="1"/>
  <c r="H12" i="1" s="1"/>
  <c r="B13" i="1" a="1"/>
  <c r="B13" i="1" s="1"/>
  <c r="C13" i="1" a="1"/>
  <c r="C13" i="1" s="1"/>
  <c r="D13" i="1" a="1"/>
  <c r="D13" i="1" s="1"/>
  <c r="E13" i="1" a="1"/>
  <c r="E13" i="1" s="1"/>
  <c r="F13" i="1" a="1"/>
  <c r="F13" i="1" s="1"/>
  <c r="G13" i="1" a="1"/>
  <c r="G13" i="1" s="1"/>
  <c r="H13" i="1" a="1"/>
  <c r="H13" i="1" s="1"/>
  <c r="B14" i="1" a="1"/>
  <c r="B14" i="1" s="1"/>
  <c r="C14" i="1" a="1"/>
  <c r="C14" i="1" s="1"/>
  <c r="D14" i="1" a="1"/>
  <c r="D14" i="1" s="1"/>
  <c r="E14" i="1" a="1"/>
  <c r="E14" i="1" s="1"/>
  <c r="F14" i="1" a="1"/>
  <c r="F14" i="1" s="1"/>
  <c r="G14" i="1" a="1"/>
  <c r="G14" i="1" s="1"/>
  <c r="H14" i="1" a="1"/>
  <c r="H14" i="1" s="1"/>
  <c r="B17" i="1" a="1"/>
  <c r="B17" i="1" s="1"/>
  <c r="C17" i="1" a="1"/>
  <c r="C17" i="1" s="1"/>
  <c r="D17" i="1" a="1"/>
  <c r="D17" i="1" s="1"/>
  <c r="E17" i="1" a="1"/>
  <c r="E17" i="1" s="1"/>
  <c r="F17" i="1" a="1"/>
  <c r="F17" i="1" s="1"/>
  <c r="G17" i="1" a="1"/>
  <c r="G17" i="1" s="1"/>
  <c r="H17" i="1" a="1"/>
  <c r="H17" i="1" s="1"/>
  <c r="B18" i="1" a="1"/>
  <c r="B18" i="1" s="1"/>
  <c r="C18" i="1" a="1"/>
  <c r="C18" i="1" s="1"/>
  <c r="D18" i="1" a="1"/>
  <c r="D18" i="1" s="1"/>
  <c r="E18" i="1" a="1"/>
  <c r="E18" i="1" s="1"/>
  <c r="F18" i="1" a="1"/>
  <c r="F18" i="1" s="1"/>
  <c r="G18" i="1" a="1"/>
  <c r="G18" i="1" s="1"/>
  <c r="H18" i="1" a="1"/>
  <c r="H18" i="1" s="1"/>
  <c r="B19" i="1" a="1"/>
  <c r="B19" i="1" s="1"/>
  <c r="C19" i="1" a="1"/>
  <c r="C19" i="1" s="1"/>
  <c r="D19" i="1" a="1"/>
  <c r="D19" i="1" s="1"/>
  <c r="E19" i="1" a="1"/>
  <c r="E19" i="1" s="1"/>
  <c r="F19" i="1" a="1"/>
  <c r="F19" i="1" s="1"/>
  <c r="G19" i="1" a="1"/>
  <c r="G19" i="1" s="1"/>
  <c r="H19" i="1" a="1"/>
  <c r="H19" i="1" s="1"/>
  <c r="B22" i="1" a="1"/>
  <c r="B22" i="1" s="1"/>
  <c r="C22" i="1" a="1"/>
  <c r="C22" i="1" s="1"/>
  <c r="D22" i="1" a="1"/>
  <c r="D22" i="1" s="1"/>
  <c r="E22" i="1" a="1"/>
  <c r="E22" i="1" s="1"/>
  <c r="F22" i="1" a="1"/>
  <c r="F22" i="1" s="1"/>
  <c r="G22" i="1" a="1"/>
  <c r="G22" i="1" s="1"/>
  <c r="H22" i="1" a="1"/>
  <c r="H22" i="1" s="1"/>
  <c r="B23" i="1" a="1"/>
  <c r="B23" i="1" s="1"/>
  <c r="C23" i="1" a="1"/>
  <c r="C23" i="1" s="1"/>
  <c r="D23" i="1" a="1"/>
  <c r="D23" i="1" s="1"/>
  <c r="E23" i="1" a="1"/>
  <c r="E23" i="1" s="1"/>
  <c r="F23" i="1" a="1"/>
  <c r="F23" i="1" s="1"/>
  <c r="G23" i="1" a="1"/>
  <c r="G23" i="1" s="1"/>
  <c r="H23" i="1" a="1"/>
  <c r="H23" i="1" s="1"/>
  <c r="B24" i="1" a="1"/>
  <c r="B24" i="1" s="1"/>
  <c r="C24" i="1" a="1"/>
  <c r="C24" i="1" s="1"/>
  <c r="D24" i="1" a="1"/>
  <c r="D24" i="1" s="1"/>
  <c r="E24" i="1" a="1"/>
  <c r="E24" i="1" s="1"/>
  <c r="F24" i="1" a="1"/>
  <c r="F24" i="1" s="1"/>
  <c r="G24" i="1" a="1"/>
  <c r="G24" i="1" s="1"/>
  <c r="H24" i="1" a="1"/>
  <c r="H24" i="1" s="1"/>
  <c r="B27" i="1" a="1"/>
  <c r="B27" i="1" s="1"/>
  <c r="C27" i="1" a="1"/>
  <c r="C27" i="1" s="1"/>
  <c r="D27" i="1" a="1"/>
  <c r="D27" i="1" s="1"/>
  <c r="E27" i="1" a="1"/>
  <c r="E27" i="1" s="1"/>
  <c r="F27" i="1" a="1"/>
  <c r="F27" i="1" s="1"/>
  <c r="G27" i="1" a="1"/>
  <c r="G27" i="1" s="1"/>
  <c r="H27" i="1" a="1"/>
  <c r="H27" i="1" s="1"/>
  <c r="B28" i="1" a="1"/>
  <c r="B28" i="1" s="1"/>
  <c r="C28" i="1" a="1"/>
  <c r="C28" i="1" s="1"/>
  <c r="D28" i="1" a="1"/>
  <c r="D28" i="1" s="1"/>
  <c r="E28" i="1" a="1"/>
  <c r="E28" i="1" s="1"/>
  <c r="F28" i="1" a="1"/>
  <c r="F28" i="1" s="1"/>
  <c r="G28" i="1" a="1"/>
  <c r="G28" i="1" s="1"/>
  <c r="H28" i="1" a="1"/>
  <c r="H28" i="1" s="1"/>
  <c r="B29" i="1" a="1"/>
  <c r="B29" i="1" s="1"/>
  <c r="C29" i="1" a="1"/>
  <c r="C29" i="1" s="1"/>
  <c r="D29" i="1" a="1"/>
  <c r="D29" i="1" s="1"/>
  <c r="E29" i="1" a="1"/>
  <c r="E29" i="1" s="1"/>
  <c r="F29" i="1" a="1"/>
  <c r="F29" i="1" s="1"/>
  <c r="G29" i="1" a="1"/>
  <c r="G29" i="1" s="1"/>
  <c r="H29" i="1" a="1"/>
  <c r="H29" i="1" s="1"/>
  <c r="B32" i="1" a="1"/>
  <c r="B32" i="1" s="1"/>
  <c r="C32" i="1" a="1"/>
  <c r="C32" i="1" s="1"/>
  <c r="D32" i="1" a="1"/>
  <c r="D32" i="1" s="1"/>
  <c r="E32" i="1" a="1"/>
  <c r="E32" i="1" s="1"/>
  <c r="F32" i="1" a="1"/>
  <c r="F32" i="1" s="1"/>
  <c r="G32" i="1" a="1"/>
  <c r="G32" i="1" s="1"/>
  <c r="H32" i="1" a="1"/>
  <c r="H32" i="1" s="1"/>
  <c r="B33" i="1" a="1"/>
  <c r="B33" i="1" s="1"/>
  <c r="C33" i="1" a="1"/>
  <c r="C33" i="1" s="1"/>
  <c r="D33" i="1" a="1"/>
  <c r="D33" i="1" s="1"/>
  <c r="E33" i="1" a="1"/>
  <c r="E33" i="1" s="1"/>
  <c r="F33" i="1" a="1"/>
  <c r="F33" i="1" s="1"/>
  <c r="G33" i="1" a="1"/>
  <c r="G33" i="1" s="1"/>
  <c r="H33" i="1" a="1"/>
  <c r="H33" i="1" s="1"/>
  <c r="B34" i="1" a="1"/>
  <c r="B34" i="1" s="1"/>
  <c r="C34" i="1" a="1"/>
  <c r="C34" i="1" s="1"/>
  <c r="D34" i="1" a="1"/>
  <c r="D34" i="1" s="1"/>
  <c r="E34" i="1" a="1"/>
  <c r="E34" i="1" s="1"/>
  <c r="F34" i="1" a="1"/>
  <c r="F34" i="1" s="1"/>
  <c r="G34" i="1" a="1"/>
  <c r="G34" i="1" s="1"/>
  <c r="H34" i="1" a="1"/>
  <c r="H34" i="1" s="1"/>
  <c r="B2" i="1"/>
</calcChain>
</file>

<file path=xl/sharedStrings.xml><?xml version="1.0" encoding="utf-8"?>
<sst xmlns="http://schemas.openxmlformats.org/spreadsheetml/2006/main" count="31" uniqueCount="28">
  <si>
    <t>AL CALENDARIO DE DEBERES</t>
  </si>
  <si>
    <t>LISTA DE DEBERES</t>
  </si>
  <si>
    <t>Fecha de vencimiento</t>
  </si>
  <si>
    <t>Clase</t>
  </si>
  <si>
    <t>MAT1</t>
  </si>
  <si>
    <t>HIST2</t>
  </si>
  <si>
    <t>QUÍM</t>
  </si>
  <si>
    <t>PSI2</t>
  </si>
  <si>
    <t>LIT2</t>
  </si>
  <si>
    <t>Tarea</t>
  </si>
  <si>
    <t>Páginas 34-67</t>
  </si>
  <si>
    <t>Hoja de cálculo 43</t>
  </si>
  <si>
    <t>Resultados de la práctica de laboratorio</t>
  </si>
  <si>
    <t>Estudio de prueba</t>
  </si>
  <si>
    <t>Hoja de cálculo 17</t>
  </si>
  <si>
    <t>Páginas 80-120</t>
  </si>
  <si>
    <t>Hoja de cálculo 3</t>
  </si>
  <si>
    <t>Entrada de calendario</t>
  </si>
  <si>
    <t>Día</t>
  </si>
  <si>
    <t>Mes</t>
  </si>
  <si>
    <t>A LA LISTA DE DEBERES</t>
  </si>
  <si>
    <t>NOTAS DEL MES:</t>
  </si>
  <si>
    <t>MES:</t>
  </si>
  <si>
    <t>AÑO:</t>
  </si>
  <si>
    <t>DÍA DE INICIO:</t>
  </si>
  <si>
    <t>Domingo</t>
  </si>
  <si>
    <t>SUGERENCIA: En el calendarioio se muestra un máximo de cuatro tareas por día.</t>
  </si>
  <si>
    <t>Esquema de la redacción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</si>
</sst>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aaaa"/>
    <numFmt numFmtId="165" formatCode="dd"/>
  </numFmts>
  <fonts count="11" x14ac:knownFonts="1">
    <font>
      <sz val="11"/>
      <color theme="3"/>
      <name val="Calibri"/>
      <family val="1"/>
      <scheme val="minor"/>
    </font>
    <font>
      <b/>
      <sz val="36"/>
      <color theme="3"/>
      <name val="Calibri"/>
      <family val="2"/>
      <scheme val="major"/>
    </font>
    <font>
      <b/>
      <sz val="38"/>
      <color theme="3"/>
      <name val="Calibri"/>
      <family val="2"/>
      <scheme val="major"/>
    </font>
    <font>
      <sz val="11"/>
      <color rgb="FF3F3F76"/>
      <name val="Calibri"/>
      <family val="2"/>
      <scheme val="minor"/>
    </font>
    <font>
      <b/>
      <sz val="12"/>
      <color theme="3"/>
      <name val="Calibri"/>
      <family val="1"/>
      <scheme val="major"/>
    </font>
    <font>
      <sz val="36"/>
      <color theme="3"/>
      <name val="Calibri"/>
      <family val="1"/>
      <scheme val="major"/>
    </font>
    <font>
      <sz val="11"/>
      <color theme="3"/>
      <name val="Calibri"/>
      <family val="1"/>
      <scheme val="minor"/>
    </font>
    <font>
      <b/>
      <sz val="12"/>
      <color theme="3"/>
      <name val="Calibri"/>
      <family val="2"/>
      <scheme val="major"/>
    </font>
    <font>
      <b/>
      <sz val="12"/>
      <color theme="0"/>
      <name val="Calibri"/>
      <family val="1"/>
      <scheme val="major"/>
    </font>
    <font>
      <sz val="14"/>
      <color theme="3"/>
      <name val="Calibri"/>
      <family val="2"/>
      <scheme val="major"/>
    </font>
    <font>
      <i/>
      <sz val="11"/>
      <color theme="3"/>
      <name val="Calibri"/>
      <family val="2"/>
      <scheme val="minor"/>
    </font>
  </fonts>
  <fills count="7">
    <fill>
      <patternFill patternType="none"/>
    </fill>
    <fill>
      <patternFill patternType="gray125"/>
    </fill>
    <fill>
      <patternFill patternType="solid">
        <fgColor rgb="FFFFCC99"/>
      </patternFill>
    </fill>
    <fill>
      <patternFill patternType="solid">
        <fgColor theme="2"/>
        <bgColor indexed="64"/>
      </patternFill>
    </fill>
    <fill>
      <patternFill patternType="solid">
        <fgColor theme="0"/>
        <bgColor indexed="64"/>
      </patternFill>
    </fill>
    <fill>
      <patternFill patternType="solid">
        <fgColor theme="3"/>
        <bgColor indexed="64"/>
      </patternFill>
    </fill>
    <fill>
      <patternFill patternType="solid">
        <fgColor theme="3" tint="0.79998168889431442"/>
        <bgColor indexed="64"/>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medium">
        <color theme="0"/>
      </left>
      <right style="medium">
        <color theme="0"/>
      </right>
      <top/>
      <bottom style="thin">
        <color theme="0" tint="-0.24994659260841701"/>
      </bottom>
      <diagonal/>
    </border>
    <border>
      <left style="thin">
        <color theme="0" tint="-0.24994659260841701"/>
      </left>
      <right style="medium">
        <color theme="0"/>
      </right>
      <top/>
      <bottom style="thin">
        <color theme="0" tint="-0.24994659260841701"/>
      </bottom>
      <diagonal/>
    </border>
    <border>
      <left style="medium">
        <color theme="0"/>
      </left>
      <right style="thin">
        <color theme="0" tint="-0.24994659260841701"/>
      </right>
      <top/>
      <bottom style="thin">
        <color theme="0" tint="-0.24994659260841701"/>
      </bottom>
      <diagonal/>
    </border>
    <border>
      <left style="thin">
        <color theme="0" tint="-0.34998626667073579"/>
      </left>
      <right style="thin">
        <color theme="0" tint="-0.34998626667073579"/>
      </right>
      <top/>
      <bottom/>
      <diagonal/>
    </border>
    <border>
      <left/>
      <right/>
      <top style="medium">
        <color theme="0" tint="-0.14996795556505021"/>
      </top>
      <bottom/>
      <diagonal/>
    </border>
    <border>
      <left style="medium">
        <color theme="3" tint="0.79998168889431442"/>
      </left>
      <right/>
      <top style="medium">
        <color theme="3" tint="0.79998168889431442"/>
      </top>
      <bottom/>
      <diagonal/>
    </border>
    <border>
      <left style="medium">
        <color theme="3" tint="0.79998168889431442"/>
      </left>
      <right style="medium">
        <color theme="3" tint="0.79998168889431442"/>
      </right>
      <top style="medium">
        <color theme="3" tint="0.79998168889431442"/>
      </top>
      <bottom style="medium">
        <color theme="3" tint="0.79998168889431442"/>
      </bottom>
      <diagonal/>
    </border>
    <border>
      <left style="thick">
        <color theme="0"/>
      </left>
      <right/>
      <top style="medium">
        <color theme="3" tint="0.79998168889431442"/>
      </top>
      <bottom/>
      <diagonal/>
    </border>
    <border>
      <left/>
      <right/>
      <top style="medium">
        <color theme="3" tint="0.79998168889431442"/>
      </top>
      <bottom/>
      <diagonal/>
    </border>
    <border>
      <left style="thick">
        <color theme="3" tint="0.79998168889431442"/>
      </left>
      <right/>
      <top style="medium">
        <color theme="3" tint="0.79995117038483843"/>
      </top>
      <bottom/>
      <diagonal/>
    </border>
    <border>
      <left/>
      <right style="thick">
        <color theme="0"/>
      </right>
      <top style="medium">
        <color theme="3" tint="0.79998168889431442"/>
      </top>
      <bottom/>
      <diagonal/>
    </border>
    <border>
      <left/>
      <right style="thick">
        <color theme="0"/>
      </right>
      <top/>
      <bottom/>
      <diagonal/>
    </border>
  </borders>
  <cellStyleXfs count="19">
    <xf numFmtId="0" fontId="0" fillId="0" borderId="0" applyFill="0" applyBorder="0">
      <alignment horizontal="left" vertical="center" wrapText="1" indent="1"/>
    </xf>
    <xf numFmtId="0" fontId="3" fillId="2" borderId="1" applyNumberFormat="0" applyAlignment="0" applyProtection="0"/>
    <xf numFmtId="0" fontId="1" fillId="0" borderId="0" applyNumberFormat="0" applyBorder="0" applyAlignment="0" applyProtection="0"/>
    <xf numFmtId="0" fontId="5" fillId="0" borderId="0" applyNumberFormat="0" applyProtection="0">
      <alignment horizontal="left" vertical="center"/>
    </xf>
    <xf numFmtId="0" fontId="4" fillId="0" borderId="6" applyNumberFormat="0" applyFill="0" applyProtection="0">
      <alignment horizontal="left" vertical="center"/>
    </xf>
    <xf numFmtId="0" fontId="8" fillId="5" borderId="0" applyNumberFormat="0" applyProtection="0">
      <alignment horizontal="left" vertical="center" indent="1"/>
    </xf>
    <xf numFmtId="0" fontId="7" fillId="6" borderId="9" applyNumberFormat="0" applyProtection="0">
      <alignment horizontal="right" vertical="center" indent="3"/>
    </xf>
    <xf numFmtId="0" fontId="6" fillId="0" borderId="0" applyNumberFormat="0" applyAlignment="0" applyProtection="0">
      <alignment vertical="center"/>
    </xf>
    <xf numFmtId="0" fontId="6" fillId="0" borderId="0" applyNumberFormat="0" applyFill="0" applyBorder="0" applyAlignment="0" applyProtection="0">
      <alignment vertical="center"/>
    </xf>
    <xf numFmtId="14" fontId="6" fillId="0" borderId="0" applyFont="0" applyFill="0" applyBorder="0" applyAlignment="0" applyProtection="0">
      <alignment horizontal="left" vertical="center" indent="1"/>
    </xf>
    <xf numFmtId="165" fontId="7" fillId="0" borderId="5" applyFill="0">
      <alignment horizontal="left" vertical="center" indent="1"/>
    </xf>
    <xf numFmtId="0" fontId="9" fillId="4" borderId="8">
      <alignment horizontal="left" vertical="center" indent="1"/>
    </xf>
    <xf numFmtId="0" fontId="7" fillId="6" borderId="7" applyNumberFormat="0" applyFont="0" applyAlignment="0">
      <alignment horizontal="left" vertical="center" indent="1"/>
    </xf>
    <xf numFmtId="0" fontId="2" fillId="6" borderId="11">
      <alignment horizontal="left" vertical="top" indent="1"/>
    </xf>
    <xf numFmtId="164" fontId="4" fillId="3" borderId="3">
      <alignment horizontal="left" vertical="center" indent="1"/>
    </xf>
    <xf numFmtId="164" fontId="4" fillId="3" borderId="2">
      <alignment horizontal="left" vertical="center" indent="1"/>
    </xf>
    <xf numFmtId="164" fontId="4" fillId="3" borderId="4">
      <alignment horizontal="left" vertical="center" indent="1"/>
    </xf>
    <xf numFmtId="0" fontId="10" fillId="0" borderId="0" applyNumberFormat="0" applyFill="0" applyBorder="0" applyProtection="0">
      <alignment horizontal="left" vertical="center" indent="1"/>
    </xf>
    <xf numFmtId="0" fontId="6" fillId="6" borderId="10" applyProtection="0">
      <alignment horizontal="left" vertical="top" wrapText="1"/>
    </xf>
  </cellStyleXfs>
  <cellXfs count="35">
    <xf numFmtId="0" fontId="0" fillId="0" borderId="0" xfId="0">
      <alignment horizontal="left" vertical="center" wrapText="1" indent="1"/>
    </xf>
    <xf numFmtId="0" fontId="0" fillId="0" borderId="0" xfId="0" applyFill="1" applyAlignment="1">
      <alignment vertical="center"/>
    </xf>
    <xf numFmtId="0" fontId="0" fillId="0" borderId="0" xfId="0" applyFont="1" applyFill="1" applyBorder="1" applyAlignment="1">
      <alignment vertical="center"/>
    </xf>
    <xf numFmtId="0" fontId="0" fillId="0" borderId="0" xfId="0" applyFill="1" applyBorder="1" applyAlignment="1">
      <alignment vertical="center"/>
    </xf>
    <xf numFmtId="14" fontId="0" fillId="0" borderId="0" xfId="0" applyNumberFormat="1" applyFont="1" applyFill="1" applyBorder="1" applyAlignment="1">
      <alignment vertical="center"/>
    </xf>
    <xf numFmtId="164" fontId="4" fillId="3" borderId="2" xfId="4" applyNumberFormat="1" applyFill="1" applyBorder="1" applyAlignment="1">
      <alignment horizontal="left" vertical="center" indent="1"/>
    </xf>
    <xf numFmtId="0" fontId="0" fillId="0" borderId="0" xfId="0" applyFill="1" applyAlignment="1">
      <alignment horizontal="left" vertical="center" indent="1"/>
    </xf>
    <xf numFmtId="0" fontId="4" fillId="0" borderId="0" xfId="4" applyFill="1" applyBorder="1">
      <alignment horizontal="left" vertical="center"/>
    </xf>
    <xf numFmtId="164" fontId="4" fillId="3" borderId="3" xfId="4" applyNumberFormat="1" applyFill="1" applyBorder="1" applyAlignment="1">
      <alignment horizontal="left" vertical="center" indent="1"/>
    </xf>
    <xf numFmtId="14" fontId="0" fillId="0" borderId="0" xfId="0" applyNumberFormat="1" applyFill="1" applyAlignment="1">
      <alignment horizontal="left" vertical="center" indent="1"/>
    </xf>
    <xf numFmtId="0" fontId="1" fillId="0" borderId="0" xfId="2" applyNumberFormat="1" applyFill="1" applyAlignment="1">
      <alignment horizontal="left" vertical="center"/>
    </xf>
    <xf numFmtId="0" fontId="0" fillId="0" borderId="0" xfId="0" applyFont="1">
      <alignment horizontal="left" vertical="center" wrapText="1" indent="1"/>
    </xf>
    <xf numFmtId="0" fontId="4" fillId="0" borderId="0" xfId="4" applyNumberFormat="1" applyFill="1" applyBorder="1">
      <alignment horizontal="left" vertical="center"/>
    </xf>
    <xf numFmtId="165" fontId="7" fillId="0" borderId="5" xfId="10">
      <alignment horizontal="left" vertical="center" indent="1"/>
    </xf>
    <xf numFmtId="0" fontId="7" fillId="6" borderId="9" xfId="6">
      <alignment horizontal="right" vertical="center" indent="3"/>
    </xf>
    <xf numFmtId="0" fontId="9" fillId="4" borderId="8" xfId="11">
      <alignment horizontal="left" vertical="center" indent="1"/>
    </xf>
    <xf numFmtId="0" fontId="0" fillId="6" borderId="7" xfId="12" applyFont="1" applyAlignment="1">
      <alignment vertical="center"/>
    </xf>
    <xf numFmtId="164" fontId="4" fillId="3" borderId="2" xfId="15">
      <alignment horizontal="left" vertical="center" indent="1"/>
    </xf>
    <xf numFmtId="164" fontId="4" fillId="3" borderId="4" xfId="16">
      <alignment horizontal="left" vertical="center" indent="1"/>
    </xf>
    <xf numFmtId="0" fontId="10" fillId="0" borderId="0" xfId="17">
      <alignment horizontal="left" vertical="center" indent="1"/>
    </xf>
    <xf numFmtId="0" fontId="0" fillId="6" borderId="10" xfId="18" applyFont="1" applyAlignment="1">
      <alignment horizontal="right" vertical="top" indent="1"/>
    </xf>
    <xf numFmtId="0" fontId="2" fillId="6" borderId="7" xfId="12" applyFont="1" applyAlignment="1">
      <alignment horizontal="left" vertical="top" indent="1"/>
    </xf>
    <xf numFmtId="0" fontId="2" fillId="6" borderId="11" xfId="13">
      <alignment horizontal="left" vertical="top" indent="1"/>
    </xf>
    <xf numFmtId="0" fontId="10" fillId="6" borderId="7" xfId="17" applyFill="1" applyBorder="1">
      <alignment horizontal="left" vertical="center" indent="1"/>
    </xf>
    <xf numFmtId="0" fontId="0" fillId="0" borderId="5" xfId="0" applyFill="1" applyBorder="1">
      <alignment horizontal="left" vertical="center" wrapText="1" indent="1"/>
    </xf>
    <xf numFmtId="0" fontId="6" fillId="0" borderId="0" xfId="7" applyNumberFormat="1" applyAlignment="1">
      <alignment horizontal="left" vertical="center"/>
    </xf>
    <xf numFmtId="0" fontId="0" fillId="0" borderId="0" xfId="0" applyFill="1" applyBorder="1">
      <alignment horizontal="left" vertical="center" wrapText="1" indent="1"/>
    </xf>
    <xf numFmtId="14" fontId="0" fillId="0" borderId="0" xfId="9" applyNumberFormat="1" applyFont="1" applyFill="1" applyBorder="1" applyAlignment="1">
      <alignment horizontal="left" vertical="center" indent="1"/>
    </xf>
    <xf numFmtId="0" fontId="0" fillId="0" borderId="0" xfId="0" applyFill="1" applyBorder="1" applyAlignment="1">
      <alignment horizontal="left" vertical="center" indent="1"/>
    </xf>
    <xf numFmtId="0" fontId="6" fillId="0" borderId="0" xfId="7" applyAlignment="1">
      <alignment horizontal="left" vertical="center" wrapText="1" indent="1"/>
    </xf>
    <xf numFmtId="0" fontId="0" fillId="0" borderId="0" xfId="0" applyFont="1" applyFill="1" applyAlignment="1">
      <alignment vertical="center"/>
    </xf>
    <xf numFmtId="0" fontId="6" fillId="6" borderId="10" xfId="18">
      <alignment horizontal="left" vertical="top" wrapText="1"/>
    </xf>
    <xf numFmtId="0" fontId="6" fillId="6" borderId="12" xfId="18" applyBorder="1">
      <alignment horizontal="left" vertical="top" wrapText="1"/>
    </xf>
    <xf numFmtId="0" fontId="6" fillId="6" borderId="0" xfId="18" applyBorder="1">
      <alignment horizontal="left" vertical="top" wrapText="1"/>
    </xf>
    <xf numFmtId="0" fontId="6" fillId="6" borderId="13" xfId="18" applyBorder="1">
      <alignment horizontal="left" vertical="top" wrapText="1"/>
    </xf>
  </cellXfs>
  <cellStyles count="19">
    <cellStyle name="Encabezado 1" xfId="3" builtinId="16" customBuiltin="1"/>
    <cellStyle name="Encabezado 4" xfId="6" builtinId="19" customBuiltin="1"/>
    <cellStyle name="End_Day" xfId="16" xr:uid="{00000000-0005-0000-0000-000002000000}"/>
    <cellStyle name="Entrada" xfId="1" builtinId="20" customBuiltin="1"/>
    <cellStyle name="Entradas" xfId="11" xr:uid="{00000000-0005-0000-0000-000004000000}"/>
    <cellStyle name="Fecha" xfId="10" xr:uid="{00000000-0005-0000-0000-000005000000}"/>
    <cellStyle name="Hipervínculo" xfId="7" builtinId="8" customBuiltin="1"/>
    <cellStyle name="Hipervínculo visitado" xfId="8" builtinId="9" customBuiltin="1"/>
    <cellStyle name="Mid_Days" xfId="15" xr:uid="{00000000-0005-0000-0000-000008000000}"/>
    <cellStyle name="Month_&amp;_Year" xfId="13" xr:uid="{00000000-0005-0000-0000-000009000000}"/>
    <cellStyle name="Normal" xfId="0" builtinId="0" customBuiltin="1"/>
    <cellStyle name="Notas" xfId="18" builtinId="10" customBuiltin="1"/>
    <cellStyle name="Relleno" xfId="12" xr:uid="{00000000-0005-0000-0000-00000C000000}"/>
    <cellStyle name="Start_Day" xfId="14" xr:uid="{00000000-0005-0000-0000-00000D000000}"/>
    <cellStyle name="Table_Date" xfId="9" xr:uid="{00000000-0005-0000-0000-00000E000000}"/>
    <cellStyle name="Texto explicativo" xfId="17" builtinId="53" customBuiltin="1"/>
    <cellStyle name="Título" xfId="2" builtinId="15" customBuiltin="1"/>
    <cellStyle name="Título 2" xfId="4" builtinId="17" customBuiltin="1"/>
    <cellStyle name="Título 3" xfId="5" builtinId="18" customBuiltin="1"/>
  </cellStyles>
  <dxfs count="15">
    <dxf>
      <font>
        <b/>
        <i val="0"/>
        <color theme="0"/>
      </font>
      <fill>
        <patternFill>
          <bgColor theme="9"/>
        </patternFill>
      </fill>
      <border>
        <left style="thin">
          <color theme="0" tint="-0.34998626667073579"/>
        </left>
        <right style="thin">
          <color theme="0" tint="-0.34998626667073579"/>
        </right>
      </border>
    </dxf>
    <dxf>
      <font>
        <b/>
        <i val="0"/>
        <color theme="0"/>
      </font>
      <fill>
        <patternFill>
          <bgColor theme="3"/>
        </patternFill>
      </fill>
      <border>
        <left style="thin">
          <color theme="0" tint="-0.34998626667073579"/>
        </left>
        <right style="thin">
          <color theme="0" tint="-0.34998626667073579"/>
        </right>
      </border>
    </dxf>
    <dxf>
      <font>
        <b/>
        <i val="0"/>
        <color theme="0"/>
      </font>
      <fill>
        <patternFill>
          <bgColor theme="8" tint="-0.24994659260841701"/>
        </patternFill>
      </fill>
      <border>
        <left style="thin">
          <color theme="0" tint="-0.34998626667073579"/>
        </left>
        <right style="thin">
          <color theme="0" tint="-0.34998626667073579"/>
        </right>
      </border>
    </dxf>
    <dxf>
      <font>
        <b/>
        <i val="0"/>
        <color theme="0"/>
      </font>
      <fill>
        <patternFill>
          <bgColor theme="7" tint="-0.24994659260841701"/>
        </patternFill>
      </fill>
      <border>
        <left style="thin">
          <color theme="0" tint="-0.34998626667073579"/>
        </left>
        <right style="thin">
          <color theme="0" tint="-0.34998626667073579"/>
        </right>
      </border>
    </dxf>
    <dxf>
      <font>
        <b/>
        <i val="0"/>
        <color theme="0"/>
      </font>
      <fill>
        <patternFill>
          <bgColor theme="6" tint="-0.24994659260841701"/>
        </patternFill>
      </fill>
      <border>
        <left style="thin">
          <color theme="0" tint="-0.34998626667073579"/>
        </left>
        <right style="thin">
          <color theme="0" tint="-0.34998626667073579"/>
        </right>
      </border>
    </dxf>
    <dxf>
      <font>
        <b/>
        <i val="0"/>
        <color theme="0"/>
      </font>
      <fill>
        <patternFill>
          <bgColor theme="5" tint="-0.499984740745262"/>
        </patternFill>
      </fill>
      <border>
        <left style="thin">
          <color theme="0" tint="-0.34998626667073579"/>
        </left>
        <right style="thin">
          <color theme="0" tint="-0.34998626667073579"/>
        </right>
      </border>
    </dxf>
    <dxf>
      <font>
        <b/>
        <i val="0"/>
        <color theme="0"/>
      </font>
      <fill>
        <patternFill>
          <bgColor theme="4" tint="-0.499984740745262"/>
        </patternFill>
      </fill>
      <border>
        <left style="thin">
          <color theme="0" tint="-0.34998626667073579"/>
        </left>
        <right style="thin">
          <color theme="0" tint="-0.34998626667073579"/>
        </right>
      </border>
    </dxf>
    <dxf>
      <font>
        <color theme="2"/>
      </font>
      <fill>
        <patternFill>
          <bgColor theme="2"/>
        </patternFill>
      </fill>
    </dxf>
    <dxf>
      <font>
        <color theme="2"/>
      </font>
      <fill>
        <patternFill>
          <bgColor theme="2"/>
        </patternFill>
      </fill>
    </dxf>
    <dxf>
      <font>
        <color theme="2"/>
      </font>
      <fill>
        <patternFill>
          <bgColor theme="2"/>
        </patternFill>
      </fill>
    </dxf>
    <dxf>
      <numFmt numFmtId="0" formatCode="General"/>
    </dxf>
    <dxf>
      <alignment horizontal="left" vertical="center" textRotation="0" wrapText="0" indent="1" justifyLastLine="0" shrinkToFit="0" readingOrder="0"/>
    </dxf>
    <dxf>
      <numFmt numFmtId="19" formatCode="dd/mm/yyyy"/>
      <alignment horizontal="left" vertical="center" textRotation="0" wrapText="0" indent="1" justifyLastLine="0" shrinkToFit="0" readingOrder="0"/>
    </dxf>
    <dxf>
      <font>
        <b/>
        <i val="0"/>
        <color theme="0"/>
      </font>
      <fill>
        <patternFill>
          <bgColor theme="3"/>
        </patternFill>
      </fill>
    </dxf>
    <dxf>
      <border>
        <bottom style="thin">
          <color theme="1" tint="0.34998626667073579"/>
        </bottom>
        <horizontal style="thin">
          <color theme="1" tint="0.34998626667073579"/>
        </horizontal>
      </border>
    </dxf>
  </dxfs>
  <tableStyles count="1" defaultTableStyle="Lista de deberes" defaultPivotStyle="PivotStyleLight16">
    <tableStyle name="Lista de deberes" pivot="0" count="2" xr9:uid="{00000000-0011-0000-FFFF-FFFF00000000}">
      <tableStyleElement type="wholeTable" dxfId="14"/>
      <tableStyleElement type="headerRow"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beres" displayName="Deberes" ref="B3:G11" totalsRowShown="0">
  <autoFilter ref="B3:G11" xr:uid="{00000000-0009-0000-0100-000001000000}"/>
  <sortState ref="B4:E22">
    <sortCondition ref="B6:B25"/>
  </sortState>
  <tableColumns count="6">
    <tableColumn id="1" xr3:uid="{00000000-0010-0000-0000-000001000000}" name="Fecha de vencimiento" dataDxfId="12" dataCellStyle="Table_Date"/>
    <tableColumn id="5" xr3:uid="{00000000-0010-0000-0000-000005000000}" name="Clase" dataDxfId="11" dataCellStyle="Normal"/>
    <tableColumn id="3" xr3:uid="{00000000-0010-0000-0000-000003000000}" name="Tarea" dataCellStyle="Normal"/>
    <tableColumn id="6" xr3:uid="{00000000-0010-0000-0000-000006000000}" name="Entrada de calendario" dataDxfId="10">
      <calculatedColumnFormula>CONCATENATE(Deberes[[#This Row],[Clase]],": ",Deberes[[#This Row],[Tarea]])</calculatedColumnFormula>
    </tableColumn>
    <tableColumn id="2" xr3:uid="{00000000-0010-0000-0000-000002000000}" name="Día">
      <calculatedColumnFormula>IF(ISBLANK(Deberes[[#This Row],[Fecha de vencimiento]]),"",UPPER(TEXT(Deberes[[#This Row],[Fecha de vencimiento]],"ddd")))</calculatedColumnFormula>
    </tableColumn>
    <tableColumn id="4" xr3:uid="{00000000-0010-0000-0000-000004000000}" name="Mes">
      <calculatedColumnFormula>IF(ISBLANK(Deberes[[#This Row],[Fecha de vencimiento]]),"",UPPER(TEXT(Deberes[[#This Row],[Fecha de vencimiento]],"mmm")))</calculatedColumnFormula>
    </tableColumn>
  </tableColumns>
  <tableStyleInfo name="Lista de deberes" showFirstColumn="0" showLastColumn="0" showRowStripes="1" showColumnStripes="0"/>
  <extLst>
    <ext xmlns:x14="http://schemas.microsoft.com/office/spreadsheetml/2009/9/main" uri="{504A1905-F514-4f6f-8877-14C23A59335A}">
      <x14:table altTextSummary="Una lista de deberes con fecha de vencimiento, clase y asignación"/>
    </ext>
  </extLst>
</table>
</file>

<file path=xl/theme/theme1.xml><?xml version="1.0" encoding="utf-8"?>
<a:theme xmlns:a="http://schemas.openxmlformats.org/drawingml/2006/main" name="Office Theme">
  <a:themeElements>
    <a:clrScheme name="Homework Schedule 2">
      <a:dk1>
        <a:sysClr val="windowText" lastClr="000000"/>
      </a:dk1>
      <a:lt1>
        <a:sysClr val="window" lastClr="FFFFFF"/>
      </a:lt1>
      <a:dk2>
        <a:srgbClr val="505050"/>
      </a:dk2>
      <a:lt2>
        <a:srgbClr val="F0F0F0"/>
      </a:lt2>
      <a:accent1>
        <a:srgbClr val="28C7FF"/>
      </a:accent1>
      <a:accent2>
        <a:srgbClr val="7FAC39"/>
      </a:accent2>
      <a:accent3>
        <a:srgbClr val="F37231"/>
      </a:accent3>
      <a:accent4>
        <a:srgbClr val="1EA997"/>
      </a:accent4>
      <a:accent5>
        <a:srgbClr val="968AFF"/>
      </a:accent5>
      <a:accent6>
        <a:srgbClr val="BF1A8D"/>
      </a:accent6>
      <a:hlink>
        <a:srgbClr val="1EA997"/>
      </a:hlink>
      <a:folHlink>
        <a:srgbClr val="28C7FF"/>
      </a:folHlink>
    </a:clrScheme>
    <a:fontScheme name="Monthly Calendar">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fitToPage="1"/>
  </sheetPr>
  <dimension ref="A1:G11"/>
  <sheetViews>
    <sheetView showGridLines="0" workbookViewId="0"/>
  </sheetViews>
  <sheetFormatPr baseColWidth="10" defaultColWidth="9.140625" defaultRowHeight="27" customHeight="1" x14ac:dyDescent="0.25"/>
  <cols>
    <col min="1" max="1" width="2.7109375" style="1" customWidth="1"/>
    <col min="2" max="2" width="26.85546875" style="9" customWidth="1"/>
    <col min="3" max="3" width="17" style="6" customWidth="1"/>
    <col min="4" max="4" width="50.7109375" style="6" customWidth="1"/>
    <col min="5" max="5" width="17.5703125" style="1" hidden="1" customWidth="1"/>
    <col min="6" max="6" width="14" style="1" hidden="1" customWidth="1"/>
    <col min="7" max="7" width="15.42578125" style="1" hidden="1" customWidth="1"/>
    <col min="8" max="8" width="2.7109375" customWidth="1"/>
  </cols>
  <sheetData>
    <row r="1" spans="1:7" s="1" customFormat="1" ht="27" customHeight="1" x14ac:dyDescent="0.25">
      <c r="A1" s="30"/>
      <c r="B1" s="25" t="s">
        <v>0</v>
      </c>
      <c r="C1" s="6"/>
      <c r="D1" s="6"/>
    </row>
    <row r="2" spans="1:7" s="1" customFormat="1" ht="50.1" customHeight="1" x14ac:dyDescent="0.25">
      <c r="B2" s="10" t="s">
        <v>1</v>
      </c>
      <c r="C2" s="6"/>
      <c r="D2" s="6"/>
    </row>
    <row r="3" spans="1:7" s="3" customFormat="1" ht="27" customHeight="1" x14ac:dyDescent="0.25">
      <c r="B3" s="12" t="s">
        <v>2</v>
      </c>
      <c r="C3" s="7" t="s">
        <v>3</v>
      </c>
      <c r="D3" s="7" t="s">
        <v>9</v>
      </c>
      <c r="E3" s="7" t="s">
        <v>17</v>
      </c>
      <c r="F3" s="7" t="s">
        <v>18</v>
      </c>
      <c r="G3" s="7" t="s">
        <v>19</v>
      </c>
    </row>
    <row r="4" spans="1:7" s="1" customFormat="1" ht="27" customHeight="1" x14ac:dyDescent="0.25">
      <c r="B4" s="27">
        <f ca="1">TODAY()+5</f>
        <v>43948</v>
      </c>
      <c r="C4" s="28" t="s">
        <v>4</v>
      </c>
      <c r="D4" s="26" t="s">
        <v>10</v>
      </c>
      <c r="E4" s="2" t="str">
        <f>CONCATENATE(Deberes[[#This Row],[Clase]],": ",Deberes[[#This Row],[Tarea]])</f>
        <v>MAT1: Páginas 34-67</v>
      </c>
      <c r="F4" s="4" t="str">
        <f ca="1">IF(ISBLANK(Deberes[[#This Row],[Fecha de vencimiento]]),"",UPPER(TEXT(Deberes[[#This Row],[Fecha de vencimiento]],"ddd")))</f>
        <v>LUN</v>
      </c>
      <c r="G4" s="4" t="str">
        <f ca="1">IF(ISBLANK(Deberes[[#This Row],[Fecha de vencimiento]]),"",UPPER(TEXT(Deberes[[#This Row],[Fecha de vencimiento]],"mmm")))</f>
        <v>ABR</v>
      </c>
    </row>
    <row r="5" spans="1:7" s="1" customFormat="1" ht="27" customHeight="1" x14ac:dyDescent="0.25">
      <c r="B5" s="27">
        <f ca="1">TODAY()+9</f>
        <v>43952</v>
      </c>
      <c r="C5" s="28" t="s">
        <v>5</v>
      </c>
      <c r="D5" s="26" t="s">
        <v>11</v>
      </c>
      <c r="E5" s="2" t="str">
        <f>CONCATENATE(Deberes[[#This Row],[Clase]],": ",Deberes[[#This Row],[Tarea]])</f>
        <v>HIST2: Hoja de cálculo 43</v>
      </c>
      <c r="F5" s="4" t="str">
        <f ca="1">IF(ISBLANK(Deberes[[#This Row],[Fecha de vencimiento]]),"",UPPER(TEXT(Deberes[[#This Row],[Fecha de vencimiento]],"ddd")))</f>
        <v>VIE</v>
      </c>
      <c r="G5" s="4" t="str">
        <f ca="1">IF(ISBLANK(Deberes[[#This Row],[Fecha de vencimiento]]),"",UPPER(TEXT(Deberes[[#This Row],[Fecha de vencimiento]],"mmm")))</f>
        <v>MAY</v>
      </c>
    </row>
    <row r="6" spans="1:7" s="1" customFormat="1" ht="27" customHeight="1" x14ac:dyDescent="0.25">
      <c r="B6" s="27">
        <f ca="1">TODAY()+11</f>
        <v>43954</v>
      </c>
      <c r="C6" s="28" t="s">
        <v>6</v>
      </c>
      <c r="D6" s="26" t="s">
        <v>12</v>
      </c>
      <c r="E6" s="2" t="str">
        <f>CONCATENATE(Deberes[[#This Row],[Clase]],": ",Deberes[[#This Row],[Tarea]])</f>
        <v>QUÍM: Resultados de la práctica de laboratorio</v>
      </c>
      <c r="F6" s="4" t="str">
        <f ca="1">IF(ISBLANK(Deberes[[#This Row],[Fecha de vencimiento]]),"",UPPER(TEXT(Deberes[[#This Row],[Fecha de vencimiento]],"ddd")))</f>
        <v>DOM</v>
      </c>
      <c r="G6" s="4" t="str">
        <f ca="1">IF(ISBLANK(Deberes[[#This Row],[Fecha de vencimiento]]),"",UPPER(TEXT(Deberes[[#This Row],[Fecha de vencimiento]],"mmm")))</f>
        <v>MAY</v>
      </c>
    </row>
    <row r="7" spans="1:7" s="1" customFormat="1" ht="27" customHeight="1" x14ac:dyDescent="0.25">
      <c r="B7" s="27">
        <f ca="1">TODAY()+15</f>
        <v>43958</v>
      </c>
      <c r="C7" s="28" t="s">
        <v>7</v>
      </c>
      <c r="D7" s="26" t="s">
        <v>13</v>
      </c>
      <c r="E7" s="2" t="str">
        <f>CONCATENATE(Deberes[[#This Row],[Clase]],": ",Deberes[[#This Row],[Tarea]])</f>
        <v>PSI2: Estudio de prueba</v>
      </c>
      <c r="F7" s="4" t="str">
        <f ca="1">IF(ISBLANK(Deberes[[#This Row],[Fecha de vencimiento]]),"",UPPER(TEXT(Deberes[[#This Row],[Fecha de vencimiento]],"ddd")))</f>
        <v>JUE</v>
      </c>
      <c r="G7" s="4" t="str">
        <f ca="1">IF(ISBLANK(Deberes[[#This Row],[Fecha de vencimiento]]),"",UPPER(TEXT(Deberes[[#This Row],[Fecha de vencimiento]],"mmm")))</f>
        <v>MAY</v>
      </c>
    </row>
    <row r="8" spans="1:7" s="1" customFormat="1" ht="27" customHeight="1" x14ac:dyDescent="0.25">
      <c r="B8" s="27">
        <f ca="1">TODAY()+15</f>
        <v>43958</v>
      </c>
      <c r="C8" s="28" t="s">
        <v>8</v>
      </c>
      <c r="D8" s="26" t="s">
        <v>27</v>
      </c>
      <c r="E8" s="2" t="str">
        <f>CONCATENATE(Deberes[[#This Row],[Clase]],": ",Deberes[[#This Row],[Tarea]])</f>
        <v>LIT2: Esquema de la redacción</v>
      </c>
      <c r="F8" s="4" t="str">
        <f ca="1">IF(ISBLANK(Deberes[[#This Row],[Fecha de vencimiento]]),"",UPPER(TEXT(Deberes[[#This Row],[Fecha de vencimiento]],"ddd")))</f>
        <v>JUE</v>
      </c>
      <c r="G8" s="4" t="str">
        <f ca="1">IF(ISBLANK(Deberes[[#This Row],[Fecha de vencimiento]]),"",UPPER(TEXT(Deberes[[#This Row],[Fecha de vencimiento]],"mmm")))</f>
        <v>MAY</v>
      </c>
    </row>
    <row r="9" spans="1:7" s="1" customFormat="1" ht="27" customHeight="1" x14ac:dyDescent="0.25">
      <c r="B9" s="27">
        <f ca="1">TODAY()+17</f>
        <v>43960</v>
      </c>
      <c r="C9" s="28" t="s">
        <v>4</v>
      </c>
      <c r="D9" s="26" t="s">
        <v>14</v>
      </c>
      <c r="E9" s="2" t="str">
        <f>CONCATENATE(Deberes[[#This Row],[Clase]],": ",Deberes[[#This Row],[Tarea]])</f>
        <v>MAT1: Hoja de cálculo 17</v>
      </c>
      <c r="F9" s="4" t="str">
        <f ca="1">IF(ISBLANK(Deberes[[#This Row],[Fecha de vencimiento]]),"",UPPER(TEXT(Deberes[[#This Row],[Fecha de vencimiento]],"ddd")))</f>
        <v>SÁB</v>
      </c>
      <c r="G9" s="4" t="str">
        <f ca="1">IF(ISBLANK(Deberes[[#This Row],[Fecha de vencimiento]]),"",UPPER(TEXT(Deberes[[#This Row],[Fecha de vencimiento]],"mmm")))</f>
        <v>MAY</v>
      </c>
    </row>
    <row r="10" spans="1:7" s="1" customFormat="1" ht="27" customHeight="1" x14ac:dyDescent="0.25">
      <c r="B10" s="27">
        <f ca="1">TODAY()+20</f>
        <v>43963</v>
      </c>
      <c r="C10" s="28" t="s">
        <v>5</v>
      </c>
      <c r="D10" s="26" t="s">
        <v>15</v>
      </c>
      <c r="E10" s="2" t="str">
        <f>CONCATENATE(Deberes[[#This Row],[Clase]],": ",Deberes[[#This Row],[Tarea]])</f>
        <v>HIST2: Páginas 80-120</v>
      </c>
      <c r="F10" s="4" t="str">
        <f ca="1">IF(ISBLANK(Deberes[[#This Row],[Fecha de vencimiento]]),"",UPPER(TEXT(Deberes[[#This Row],[Fecha de vencimiento]],"ddd")))</f>
        <v>MAR</v>
      </c>
      <c r="G10" s="4" t="str">
        <f ca="1">IF(ISBLANK(Deberes[[#This Row],[Fecha de vencimiento]]),"",UPPER(TEXT(Deberes[[#This Row],[Fecha de vencimiento]],"mmm")))</f>
        <v>MAY</v>
      </c>
    </row>
    <row r="11" spans="1:7" ht="27" customHeight="1" x14ac:dyDescent="0.25">
      <c r="B11" s="27">
        <f ca="1">TODAY()+25</f>
        <v>43968</v>
      </c>
      <c r="C11" s="28" t="s">
        <v>6</v>
      </c>
      <c r="D11" s="26" t="s">
        <v>16</v>
      </c>
      <c r="E11" s="2" t="str">
        <f>CONCATENATE(Deberes[[#This Row],[Clase]],": ",Deberes[[#This Row],[Tarea]])</f>
        <v>QUÍM: Hoja de cálculo 3</v>
      </c>
      <c r="F11" s="4" t="str">
        <f ca="1">IF(ISBLANK(Deberes[[#This Row],[Fecha de vencimiento]]),"",UPPER(TEXT(Deberes[[#This Row],[Fecha de vencimiento]],"ddd")))</f>
        <v>DOM</v>
      </c>
      <c r="G11" s="4" t="str">
        <f ca="1">IF(ISBLANK(Deberes[[#This Row],[Fecha de vencimiento]]),"",UPPER(TEXT(Deberes[[#This Row],[Fecha de vencimiento]],"mmm")))</f>
        <v>MAY</v>
      </c>
    </row>
  </sheetData>
  <dataValidations count="9">
    <dataValidation allowBlank="1" showInputMessage="1" showErrorMessage="1" prompt="Escriba la fecha de vencimiento, la clase y la tarea en la tabla Deberes para crear una lista de deberes. Estas entradas generan automáticamente el calendario Deberes. Seleccione la celda B3 para empezar." sqref="A1" xr:uid="{00000000-0002-0000-0000-000000000000}"/>
    <dataValidation allowBlank="1" showInputMessage="1" showErrorMessage="1" prompt="Vínculo de navegación al calendario Deberes" sqref="B1" xr:uid="{00000000-0002-0000-0000-000001000000}"/>
    <dataValidation allowBlank="1" showInputMessage="1" showErrorMessage="1" prompt="Escriba la fecha de vencimiento en la columna con este encabezado" sqref="B3" xr:uid="{00000000-0002-0000-0000-000002000000}"/>
    <dataValidation allowBlank="1" showInputMessage="1" showErrorMessage="1" prompt="Escriba la clase en la columna con este encabezado" sqref="C3" xr:uid="{00000000-0002-0000-0000-000003000000}"/>
    <dataValidation allowBlank="1" showInputMessage="1" showErrorMessage="1" prompt="Escriba la asignación en la columna con este encabezado" sqref="D3" xr:uid="{00000000-0002-0000-0000-000004000000}"/>
    <dataValidation allowBlank="1" showInputMessage="1" showErrorMessage="1" prompt="El movimiento de calendario se actualiza automáticamente en esta columna" sqref="E3" xr:uid="{00000000-0002-0000-0000-000005000000}"/>
    <dataValidation allowBlank="1" showInputMessage="1" showErrorMessage="1" prompt="El mes se actualiza automáticamente en esta columna" sqref="G3" xr:uid="{00000000-0002-0000-0000-000006000000}"/>
    <dataValidation allowBlank="1" showInputMessage="1" showErrorMessage="1" prompt="El día se actualiza automáticamente en esta columna" sqref="F3" xr:uid="{00000000-0002-0000-0000-000007000000}"/>
    <dataValidation allowBlank="1" showInputMessage="1" showErrorMessage="1" prompt="Las asignaciones especificadas en esta hoja se agregarán automáticamente al calendario Deberes. Use los filtros de tabla para mostrar una lista de deberes para una clase o fecha de vencimiento determinadas, o para ambas" sqref="B2" xr:uid="{00000000-0002-0000-0000-000008000000}"/>
  </dataValidations>
  <hyperlinks>
    <hyperlink ref="B1" location="'Calendario de deberes'!A1" tooltip="Haga clic para ver el calendario de deberes" display="AL CALENDARIO DE DEBERES" xr:uid="{00000000-0004-0000-0000-000000000000}"/>
  </hyperlinks>
  <printOptions horizontalCentered="1"/>
  <pageMargins left="0.4" right="0.4" top="0.4" bottom="0.6" header="0.3" footer="0.3"/>
  <pageSetup paperSize="9"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A1:H35"/>
  <sheetViews>
    <sheetView showGridLines="0" tabSelected="1" zoomScaleNormal="100" workbookViewId="0"/>
  </sheetViews>
  <sheetFormatPr baseColWidth="10" defaultColWidth="9.140625" defaultRowHeight="30" customHeight="1" x14ac:dyDescent="0.25"/>
  <cols>
    <col min="1" max="1" width="2.7109375" customWidth="1"/>
    <col min="2" max="8" width="30.7109375" customWidth="1"/>
    <col min="9" max="9" width="2.7109375" customWidth="1"/>
    <col min="11" max="35" width="11.42578125"/>
  </cols>
  <sheetData>
    <row r="1" spans="2:8" ht="27" customHeight="1" thickBot="1" x14ac:dyDescent="0.3">
      <c r="B1" s="29" t="s">
        <v>20</v>
      </c>
      <c r="C1" s="19"/>
    </row>
    <row r="2" spans="2:8" ht="50.1" customHeight="1" thickBot="1" x14ac:dyDescent="0.3">
      <c r="B2" s="22" t="str">
        <f ca="1">UPPER(MonthToDisplay)</f>
        <v>ABRIL</v>
      </c>
      <c r="C2" s="21"/>
      <c r="D2" s="20" t="s">
        <v>21</v>
      </c>
      <c r="E2" s="31"/>
      <c r="F2" s="32"/>
      <c r="G2" s="14" t="s">
        <v>22</v>
      </c>
      <c r="H2" s="15" t="str">
        <f ca="1">TEXT(DATE(2000,MONTH(TODAY()),1),"mmmm")</f>
        <v>abril</v>
      </c>
    </row>
    <row r="3" spans="2:8" ht="50.1" customHeight="1" thickBot="1" x14ac:dyDescent="0.3">
      <c r="B3" s="22">
        <f ca="1">YearToDisplay</f>
        <v>2020</v>
      </c>
      <c r="C3" s="21"/>
      <c r="D3" s="20"/>
      <c r="E3" s="33"/>
      <c r="F3" s="34"/>
      <c r="G3" s="14" t="s">
        <v>23</v>
      </c>
      <c r="H3" s="15">
        <f ca="1">YEAR(TODAY())</f>
        <v>2020</v>
      </c>
    </row>
    <row r="4" spans="2:8" ht="50.1" customHeight="1" thickBot="1" x14ac:dyDescent="0.3">
      <c r="B4" s="23" t="s">
        <v>26</v>
      </c>
      <c r="C4" s="16"/>
      <c r="D4" s="20"/>
      <c r="E4" s="33"/>
      <c r="F4" s="34"/>
      <c r="G4" s="14" t="s">
        <v>24</v>
      </c>
      <c r="H4" s="15" t="s">
        <v>25</v>
      </c>
    </row>
    <row r="5" spans="2:8" ht="30" customHeight="1" x14ac:dyDescent="0.25">
      <c r="B5" s="8" t="str">
        <f ca="1">TEXT(B6,"oooo")</f>
        <v>oooo</v>
      </c>
      <c r="C5" s="5" t="str">
        <f t="shared" ref="C5:H5" ca="1" si="0">TEXT(C6,"oooo")</f>
        <v>oooo</v>
      </c>
      <c r="D5" s="17" t="str">
        <f t="shared" ca="1" si="0"/>
        <v>oooo</v>
      </c>
      <c r="E5" s="17" t="str">
        <f t="shared" ca="1" si="0"/>
        <v>oooo</v>
      </c>
      <c r="F5" s="17" t="str">
        <f t="shared" ca="1" si="0"/>
        <v>oooo</v>
      </c>
      <c r="G5" s="17" t="str">
        <f t="shared" ca="1" si="0"/>
        <v>oooo</v>
      </c>
      <c r="H5" s="18" t="str">
        <f t="shared" ca="1" si="0"/>
        <v>oooo</v>
      </c>
    </row>
    <row r="6" spans="2:8" ht="30" customHeight="1" x14ac:dyDescent="0.25">
      <c r="B6" s="13">
        <f ca="1">IFERROR(INDEX(calendario,ndx+0,1),"")</f>
        <v>43919</v>
      </c>
      <c r="C6" s="13">
        <f ca="1">IFERROR(INDEX(calendario,ndx+0,2),"")</f>
        <v>43920</v>
      </c>
      <c r="D6" s="13">
        <f ca="1">IFERROR(INDEX(calendario,ndx+0,3),"")</f>
        <v>43921</v>
      </c>
      <c r="E6" s="13">
        <f ca="1">IFERROR(INDEX(calendario,ndx+0,4),"")</f>
        <v>43922</v>
      </c>
      <c r="F6" s="13">
        <f ca="1">IFERROR(INDEX(calendario,ndx+0,5),"")</f>
        <v>43923</v>
      </c>
      <c r="G6" s="13">
        <f ca="1">IFERROR(INDEX(calendario,ndx+0,6),"")</f>
        <v>43924</v>
      </c>
      <c r="H6" s="13">
        <f ca="1">IFERROR(INDEX(calendario,ndx+0,7),"")</f>
        <v>43925</v>
      </c>
    </row>
    <row r="7" spans="2:8" ht="30" customHeight="1" x14ac:dyDescent="0.25">
      <c r="B7" s="24" t="str">
        <f t="array" aca="1" ref="B7" ca="1">IFERROR(INDEX(Deberes[],SMALL(IF(Fechas=B$6,ROW(Fechas)),ROW(1:1))-InicioDeFilaDeTabla,4),"")</f>
        <v/>
      </c>
      <c r="C7" s="24" t="str">
        <f t="array" aca="1" ref="C7" ca="1">IFERROR(INDEX(Deberes[],SMALL(IF(Fechas=C$6,ROW(Fechas)),ROW(1:1))-InicioDeFilaDeTabla,4),"")</f>
        <v/>
      </c>
      <c r="D7" s="24" t="str">
        <f t="array" aca="1" ref="D7" ca="1">IFERROR(INDEX(Deberes[],SMALL(IF(Fechas=D$6,ROW(Fechas)),ROW(1:1))-InicioDeFilaDeTabla,4),"")</f>
        <v/>
      </c>
      <c r="E7" s="24" t="str">
        <f t="array" aca="1" ref="E7" ca="1">IFERROR(INDEX(Deberes[],SMALL(IF(Fechas=E$6,ROW(Fechas)),ROW(1:1))-InicioDeFilaDeTabla,4),"")</f>
        <v/>
      </c>
      <c r="F7" s="24" t="str">
        <f t="array" aca="1" ref="F7" ca="1">IFERROR(INDEX(Deberes[],SMALL(IF(Fechas=F$6,ROW(Fechas)),ROW(1:1))-InicioDeFilaDeTabla,4),"")</f>
        <v/>
      </c>
      <c r="G7" s="24" t="str">
        <f t="array" aca="1" ref="G7" ca="1">IFERROR(INDEX(Deberes[],SMALL(IF(Fechas=G$6,ROW(Fechas)),ROW(1:1))-InicioDeFilaDeTabla,4),"")</f>
        <v/>
      </c>
      <c r="H7" s="24" t="str">
        <f t="array" aca="1" ref="H7" ca="1">IFERROR(INDEX(Deberes[],SMALL(IF(Fechas=H$6,ROW(Fechas)),ROW(1:1))-InicioDeFilaDeTabla,4),"")</f>
        <v/>
      </c>
    </row>
    <row r="8" spans="2:8" s="11" customFormat="1" ht="30" customHeight="1" x14ac:dyDescent="0.25">
      <c r="B8" s="24" t="str">
        <f t="array" aca="1" ref="B8" ca="1">IFERROR(INDEX(Deberes[],SMALL(IF(Fechas=B$6,ROW(Fechas)),ROW(2:2))-InicioDeFilaDeTabla,4),"")</f>
        <v/>
      </c>
      <c r="C8" s="24" t="str">
        <f t="array" aca="1" ref="C8" ca="1">IFERROR(INDEX(Deberes[],SMALL(IF(Fechas=C$6,ROW(Fechas)),ROW(2:2))-InicioDeFilaDeTabla,4),"")</f>
        <v/>
      </c>
      <c r="D8" s="24" t="str">
        <f t="array" aca="1" ref="D8" ca="1">IFERROR(INDEX(Deberes[],SMALL(IF(Fechas=D$6,ROW(Fechas)),ROW(2:2))-InicioDeFilaDeTabla,4),"")</f>
        <v/>
      </c>
      <c r="E8" s="24" t="str">
        <f t="array" aca="1" ref="E8" ca="1">IFERROR(INDEX(Deberes[],SMALL(IF(Fechas=E$6,ROW(Fechas)),ROW(2:2))-InicioDeFilaDeTabla,4),"")</f>
        <v/>
      </c>
      <c r="F8" s="24" t="str">
        <f t="array" aca="1" ref="F8" ca="1">IFERROR(INDEX(Deberes[],SMALL(IF(Fechas=F$6,ROW(Fechas)),ROW(2:2))-InicioDeFilaDeTabla,4),"")</f>
        <v/>
      </c>
      <c r="G8" s="24" t="str">
        <f t="array" aca="1" ref="G8" ca="1">IFERROR(INDEX(Deberes[],SMALL(IF(Fechas=G$6,ROW(Fechas)),ROW(2:2))-InicioDeFilaDeTabla,4),"")</f>
        <v/>
      </c>
      <c r="H8" s="24" t="str">
        <f t="array" aca="1" ref="H8" ca="1">IFERROR(INDEX(Deberes[],SMALL(IF(Fechas=H$6,ROW(Fechas)),ROW(2:2))-InicioDeFilaDeTabla,4),"")</f>
        <v/>
      </c>
    </row>
    <row r="9" spans="2:8" s="11" customFormat="1" ht="30" customHeight="1" x14ac:dyDescent="0.25">
      <c r="B9" s="24" t="str">
        <f t="array" aca="1" ref="B9" ca="1">IFERROR(INDEX(Deberes[],SMALL(IF(Fechas=B$6,ROW(Fechas)),ROW(3:3))-InicioDeFilaDeTabla,4),"")</f>
        <v/>
      </c>
      <c r="C9" s="24" t="str">
        <f t="array" aca="1" ref="C9" ca="1">IFERROR(INDEX(Deberes[],SMALL(IF(Fechas=C$6,ROW(Fechas)),ROW(3:3))-InicioDeFilaDeTabla,4),"")</f>
        <v/>
      </c>
      <c r="D9" s="24" t="str">
        <f t="array" aca="1" ref="D9" ca="1">IFERROR(INDEX(Deberes[],SMALL(IF(Fechas=D$6,ROW(Fechas)),ROW(3:3))-InicioDeFilaDeTabla,4),"")</f>
        <v/>
      </c>
      <c r="E9" s="24" t="str">
        <f t="array" aca="1" ref="E9" ca="1">IFERROR(INDEX(Deberes[],SMALL(IF(Fechas=E$6,ROW(Fechas)),ROW(3:3))-InicioDeFilaDeTabla,4),"")</f>
        <v/>
      </c>
      <c r="F9" s="24" t="str">
        <f t="array" aca="1" ref="F9" ca="1">IFERROR(INDEX(Deberes[],SMALL(IF(Fechas=F$6,ROW(Fechas)),ROW(3:3))-InicioDeFilaDeTabla,4),"")</f>
        <v/>
      </c>
      <c r="G9" s="24" t="str">
        <f t="array" aca="1" ref="G9" ca="1">IFERROR(INDEX(Deberes[],SMALL(IF(Fechas=G$6,ROW(Fechas)),ROW(3:3))-InicioDeFilaDeTabla,4),"")</f>
        <v/>
      </c>
      <c r="H9" s="24" t="str">
        <f t="array" aca="1" ref="H9" ca="1">IFERROR(INDEX(Deberes[],SMALL(IF(Fechas=H$6,ROW(Fechas)),ROW(3:3))-InicioDeFilaDeTabla,4),"")</f>
        <v/>
      </c>
    </row>
    <row r="10" spans="2:8" s="11" customFormat="1" ht="30" customHeight="1" x14ac:dyDescent="0.25">
      <c r="B10" s="24" t="str">
        <f t="array" aca="1" ref="B10" ca="1">IFERROR(INDEX(Deberes[],SMALL(IF(Fechas=B$6,ROW(Fechas)),ROW(4:4))-InicioDeFilaDeTabla,4),"")</f>
        <v/>
      </c>
      <c r="C10" s="24" t="str">
        <f t="array" aca="1" ref="C10" ca="1">IFERROR(INDEX(Deberes[],SMALL(IF(Fechas=C$6,ROW(Fechas)),ROW(4:4))-InicioDeFilaDeTabla,4),"")</f>
        <v/>
      </c>
      <c r="D10" s="24" t="str">
        <f t="array" aca="1" ref="D10" ca="1">IFERROR(INDEX(Deberes[],SMALL(IF(Fechas=D$6,ROW(Fechas)),ROW(4:4))-InicioDeFilaDeTabla,4),"")</f>
        <v/>
      </c>
      <c r="E10" s="24" t="str">
        <f t="array" aca="1" ref="E10" ca="1">IFERROR(INDEX(Deberes[],SMALL(IF(Fechas=E$6,ROW(Fechas)),ROW(4:4))-InicioDeFilaDeTabla,4),"")</f>
        <v/>
      </c>
      <c r="F10" s="24" t="str">
        <f t="array" aca="1" ref="F10" ca="1">IFERROR(INDEX(Deberes[],SMALL(IF(Fechas=F$6,ROW(Fechas)),ROW(4:4))-InicioDeFilaDeTabla,4),"")</f>
        <v/>
      </c>
      <c r="G10" s="24" t="str">
        <f t="array" aca="1" ref="G10" ca="1">IFERROR(INDEX(Deberes[],SMALL(IF(Fechas=G$6,ROW(Fechas)),ROW(4:4))-InicioDeFilaDeTabla,4),"")</f>
        <v/>
      </c>
      <c r="H10" s="24" t="str">
        <f t="array" aca="1" ref="H10" ca="1">IFERROR(INDEX(Deberes[],SMALL(IF(Fechas=H$6,ROW(Fechas)),ROW(4:4))-InicioDeFilaDeTabla,4),"")</f>
        <v/>
      </c>
    </row>
    <row r="11" spans="2:8" ht="30" customHeight="1" x14ac:dyDescent="0.25">
      <c r="B11" s="13">
        <f ca="1">IFERROR(INDEX(calendario,ndx+1,1),"")</f>
        <v>43926</v>
      </c>
      <c r="C11" s="13">
        <f ca="1">IFERROR(INDEX(calendario,ndx+1,2),"")</f>
        <v>43927</v>
      </c>
      <c r="D11" s="13">
        <f ca="1">IFERROR(INDEX(calendario,ndx+1,3),"")</f>
        <v>43928</v>
      </c>
      <c r="E11" s="13">
        <f ca="1">IFERROR(INDEX(calendario,ndx+1,4),"")</f>
        <v>43929</v>
      </c>
      <c r="F11" s="13">
        <f ca="1">IFERROR(INDEX(calendario,ndx+1,5),"")</f>
        <v>43930</v>
      </c>
      <c r="G11" s="13">
        <f ca="1">IFERROR(INDEX(calendario,ndx+1,6),"")</f>
        <v>43931</v>
      </c>
      <c r="H11" s="13">
        <f ca="1">IFERROR(INDEX(calendario,ndx+1,7),"")</f>
        <v>43932</v>
      </c>
    </row>
    <row r="12" spans="2:8" s="11" customFormat="1" ht="30" customHeight="1" x14ac:dyDescent="0.25">
      <c r="B12" s="24" t="str">
        <f t="array" aca="1" ref="B12" ca="1">IFERROR(INDEX(Deberes[],SMALL(IF(Fechas=B$11,ROW(Fechas)),ROW(1:1))-InicioDeFilaDeTabla,4),"")</f>
        <v/>
      </c>
      <c r="C12" s="24" t="str">
        <f t="array" aca="1" ref="C12" ca="1">IFERROR(INDEX(Deberes[],SMALL(IF(Fechas=C$11,ROW(Fechas)),ROW(1:1))-InicioDeFilaDeTabla,4),"")</f>
        <v/>
      </c>
      <c r="D12" s="24" t="str">
        <f t="array" aca="1" ref="D12" ca="1">IFERROR(INDEX(Deberes[],SMALL(IF(Fechas=D$11,ROW(Fechas)),ROW(1:1))-InicioDeFilaDeTabla,4),"")</f>
        <v/>
      </c>
      <c r="E12" s="24" t="str">
        <f t="array" aca="1" ref="E12" ca="1">IFERROR(INDEX(Deberes[],SMALL(IF(Fechas=E$11,ROW(Fechas)),ROW(1:1))-InicioDeFilaDeTabla,4),"")</f>
        <v/>
      </c>
      <c r="F12" s="24" t="str">
        <f t="array" aca="1" ref="F12" ca="1">IFERROR(INDEX(Deberes[],SMALL(IF(Fechas=F$11,ROW(Fechas)),ROW(1:1))-InicioDeFilaDeTabla,4),"")</f>
        <v/>
      </c>
      <c r="G12" s="24" t="str">
        <f t="array" aca="1" ref="G12" ca="1">IFERROR(INDEX(Deberes[],SMALL(IF(Fechas=G$11,ROW(Fechas)),ROW(1:1))-InicioDeFilaDeTabla,4),"")</f>
        <v/>
      </c>
      <c r="H12" s="24" t="str">
        <f t="array" aca="1" ref="H12" ca="1">IFERROR(INDEX(Deberes[],SMALL(IF(Fechas=H$11,ROW(Fechas)),ROW(1:1))-InicioDeFilaDeTabla,4),"")</f>
        <v/>
      </c>
    </row>
    <row r="13" spans="2:8" s="11" customFormat="1" ht="30" customHeight="1" x14ac:dyDescent="0.25">
      <c r="B13" s="24" t="str">
        <f t="array" aca="1" ref="B13" ca="1">IFERROR(INDEX(Deberes[],SMALL(IF(Fechas=B$11,ROW(Fechas)),ROW(2:2))-InicioDeFilaDeTabla,4),"")</f>
        <v/>
      </c>
      <c r="C13" s="24" t="str">
        <f t="array" aca="1" ref="C13" ca="1">IFERROR(INDEX(Deberes[],SMALL(IF(Fechas=C$11,ROW(Fechas)),ROW(2:2))-InicioDeFilaDeTabla,4),"")</f>
        <v/>
      </c>
      <c r="D13" s="24" t="str">
        <f t="array" aca="1" ref="D13" ca="1">IFERROR(INDEX(Deberes[],SMALL(IF(Fechas=D$11,ROW(Fechas)),ROW(2:2))-InicioDeFilaDeTabla,4),"")</f>
        <v/>
      </c>
      <c r="E13" s="24" t="str">
        <f t="array" aca="1" ref="E13" ca="1">IFERROR(INDEX(Deberes[],SMALL(IF(Fechas=E$11,ROW(Fechas)),ROW(2:2))-InicioDeFilaDeTabla,4),"")</f>
        <v/>
      </c>
      <c r="F13" s="24" t="str">
        <f t="array" aca="1" ref="F13" ca="1">IFERROR(INDEX(Deberes[],SMALL(IF(Fechas=F$11,ROW(Fechas)),ROW(2:2))-InicioDeFilaDeTabla,4),"")</f>
        <v/>
      </c>
      <c r="G13" s="24" t="str">
        <f t="array" aca="1" ref="G13" ca="1">IFERROR(INDEX(Deberes[],SMALL(IF(Fechas=G$11,ROW(Fechas)),ROW(2:2))-InicioDeFilaDeTabla,4),"")</f>
        <v/>
      </c>
      <c r="H13" s="24" t="str">
        <f t="array" aca="1" ref="H13" ca="1">IFERROR(INDEX(Deberes[],SMALL(IF(Fechas=H$11,ROW(Fechas)),ROW(2:2))-InicioDeFilaDeTabla,4),"")</f>
        <v/>
      </c>
    </row>
    <row r="14" spans="2:8" s="11" customFormat="1" ht="30" customHeight="1" x14ac:dyDescent="0.25">
      <c r="B14" s="24" t="str">
        <f t="array" aca="1" ref="B14" ca="1">IFERROR(INDEX(Deberes[],SMALL(IF(Fechas=B$11,ROW(Fechas)),ROW(3:3))-InicioDeFilaDeTabla,4),"")</f>
        <v/>
      </c>
      <c r="C14" s="24" t="str">
        <f t="array" aca="1" ref="C14" ca="1">IFERROR(INDEX(Deberes[],SMALL(IF(Fechas=C$11,ROW(Fechas)),ROW(3:3))-InicioDeFilaDeTabla,4),"")</f>
        <v/>
      </c>
      <c r="D14" s="24" t="str">
        <f t="array" aca="1" ref="D14" ca="1">IFERROR(INDEX(Deberes[],SMALL(IF(Fechas=D$11,ROW(Fechas)),ROW(3:3))-InicioDeFilaDeTabla,4),"")</f>
        <v/>
      </c>
      <c r="E14" s="24" t="str">
        <f t="array" aca="1" ref="E14" ca="1">IFERROR(INDEX(Deberes[],SMALL(IF(Fechas=E$11,ROW(Fechas)),ROW(3:3))-InicioDeFilaDeTabla,4),"")</f>
        <v/>
      </c>
      <c r="F14" s="24" t="str">
        <f t="array" aca="1" ref="F14" ca="1">IFERROR(INDEX(Deberes[],SMALL(IF(Fechas=F$11,ROW(Fechas)),ROW(3:3))-InicioDeFilaDeTabla,4),"")</f>
        <v/>
      </c>
      <c r="G14" s="24" t="str">
        <f t="array" aca="1" ref="G14" ca="1">IFERROR(INDEX(Deberes[],SMALL(IF(Fechas=G$11,ROW(Fechas)),ROW(3:3))-InicioDeFilaDeTabla,4),"")</f>
        <v/>
      </c>
      <c r="H14" s="24" t="str">
        <f t="array" aca="1" ref="H14" ca="1">IFERROR(INDEX(Deberes[],SMALL(IF(Fechas=H$11,ROW(Fechas)),ROW(3:3))-InicioDeFilaDeTabla,4),"")</f>
        <v/>
      </c>
    </row>
    <row r="15" spans="2:8" s="11" customFormat="1" ht="30" customHeight="1" x14ac:dyDescent="0.25">
      <c r="B15" s="24" t="str">
        <f t="array" aca="1" ref="B15" ca="1">IFERROR(INDEX(Deberes[],SMALL(IF(Fechas=B$11,ROW(Fechas)),ROW(4:4))-InicioDeFilaDeTabla,4),"")</f>
        <v/>
      </c>
      <c r="C15" s="24" t="str">
        <f t="array" aca="1" ref="C15" ca="1">IFERROR(INDEX(Deberes[],SMALL(IF(Fechas=C$11,ROW(Fechas)),ROW(4:4))-InicioDeFilaDeTabla,4),"")</f>
        <v/>
      </c>
      <c r="D15" s="24" t="str">
        <f t="array" aca="1" ref="D15" ca="1">IFERROR(INDEX(Deberes[],SMALL(IF(Fechas=D$11,ROW(Fechas)),ROW(4:4))-InicioDeFilaDeTabla,4),"")</f>
        <v/>
      </c>
      <c r="E15" s="24" t="str">
        <f t="array" aca="1" ref="E15" ca="1">IFERROR(INDEX(Deberes[],SMALL(IF(Fechas=E$11,ROW(Fechas)),ROW(4:4))-InicioDeFilaDeTabla,4),"")</f>
        <v/>
      </c>
      <c r="F15" s="24" t="str">
        <f t="array" aca="1" ref="F15" ca="1">IFERROR(INDEX(Deberes[],SMALL(IF(Fechas=F$11,ROW(Fechas)),ROW(4:4))-InicioDeFilaDeTabla,4),"")</f>
        <v/>
      </c>
      <c r="G15" s="24" t="str">
        <f t="array" aca="1" ref="G15" ca="1">IFERROR(INDEX(Deberes[],SMALL(IF(Fechas=G$11,ROW(Fechas)),ROW(4:4))-InicioDeFilaDeTabla,4),"")</f>
        <v/>
      </c>
      <c r="H15" s="24" t="str">
        <f t="array" aca="1" ref="H15" ca="1">IFERROR(INDEX(Deberes[],SMALL(IF(Fechas=H$11,ROW(Fechas)),ROW(4:4))-InicioDeFilaDeTabla,4),"")</f>
        <v/>
      </c>
    </row>
    <row r="16" spans="2:8" ht="30" customHeight="1" x14ac:dyDescent="0.25">
      <c r="B16" s="13">
        <f ca="1">IFERROR(INDEX(calendario,ndx+2,1),"")</f>
        <v>43933</v>
      </c>
      <c r="C16" s="13">
        <f ca="1">IFERROR(INDEX(calendario,ndx+2,2),"")</f>
        <v>43934</v>
      </c>
      <c r="D16" s="13">
        <f ca="1">IFERROR(INDEX(calendario,ndx+2,3),"")</f>
        <v>43935</v>
      </c>
      <c r="E16" s="13">
        <f ca="1">IFERROR(INDEX(calendario,ndx+2,4),"")</f>
        <v>43936</v>
      </c>
      <c r="F16" s="13">
        <f ca="1">IFERROR(INDEX(calendario,ndx+2,5),"")</f>
        <v>43937</v>
      </c>
      <c r="G16" s="13">
        <f ca="1">IFERROR(INDEX(calendario,ndx+2,6),"")</f>
        <v>43938</v>
      </c>
      <c r="H16" s="13">
        <f ca="1">IFERROR(INDEX(calendario,ndx+2,7),"")</f>
        <v>43939</v>
      </c>
    </row>
    <row r="17" spans="2:8" s="11" customFormat="1" ht="30" customHeight="1" x14ac:dyDescent="0.25">
      <c r="B17" s="24" t="str">
        <f t="array" aca="1" ref="B17" ca="1">IFERROR(INDEX(Deberes[],SMALL(IF(Fechas=B$16,ROW(Fechas)),ROW(1:1))-InicioDeFilaDeTabla,4),"")</f>
        <v/>
      </c>
      <c r="C17" s="24" t="str">
        <f t="array" aca="1" ref="C17" ca="1">IFERROR(INDEX(Deberes[],SMALL(IF(Fechas=C$16,ROW(Fechas)),ROW(1:1))-InicioDeFilaDeTabla,4),"")</f>
        <v/>
      </c>
      <c r="D17" s="24" t="str">
        <f t="array" aca="1" ref="D17" ca="1">IFERROR(INDEX(Deberes[],SMALL(IF(Fechas=D$16,ROW(Fechas)),ROW(1:1))-InicioDeFilaDeTabla,4),"")</f>
        <v/>
      </c>
      <c r="E17" s="24" t="str">
        <f t="array" aca="1" ref="E17" ca="1">IFERROR(INDEX(Deberes[],SMALL(IF(Fechas=E$16,ROW(Fechas)),ROW(1:1))-InicioDeFilaDeTabla,4),"")</f>
        <v/>
      </c>
      <c r="F17" s="24" t="str">
        <f t="array" aca="1" ref="F17" ca="1">IFERROR(INDEX(Deberes[],SMALL(IF(Fechas=F$16,ROW(Fechas)),ROW(1:1))-InicioDeFilaDeTabla,4),"")</f>
        <v/>
      </c>
      <c r="G17" s="24" t="str">
        <f t="array" aca="1" ref="G17" ca="1">IFERROR(INDEX(Deberes[],SMALL(IF(Fechas=G$16,ROW(Fechas)),ROW(1:1))-InicioDeFilaDeTabla,4),"")</f>
        <v/>
      </c>
      <c r="H17" s="24" t="str">
        <f t="array" aca="1" ref="H17" ca="1">IFERROR(INDEX(Deberes[],SMALL(IF(Fechas=H$16,ROW(Fechas)),ROW(1:1))-InicioDeFilaDeTabla,4),"")</f>
        <v/>
      </c>
    </row>
    <row r="18" spans="2:8" s="11" customFormat="1" ht="30" customHeight="1" x14ac:dyDescent="0.25">
      <c r="B18" s="24" t="str">
        <f t="array" aca="1" ref="B18" ca="1">IFERROR(INDEX(Deberes[],SMALL(IF(Fechas=B$16,ROW(Fechas)),ROW(2:2))-InicioDeFilaDeTabla,4),"")</f>
        <v/>
      </c>
      <c r="C18" s="24" t="str">
        <f t="array" aca="1" ref="C18" ca="1">IFERROR(INDEX(Deberes[],SMALL(IF(Fechas=C$16,ROW(Fechas)),ROW(2:2))-InicioDeFilaDeTabla,4),"")</f>
        <v/>
      </c>
      <c r="D18" s="24" t="str">
        <f t="array" aca="1" ref="D18" ca="1">IFERROR(INDEX(Deberes[],SMALL(IF(Fechas=D$16,ROW(Fechas)),ROW(2:2))-InicioDeFilaDeTabla,4),"")</f>
        <v/>
      </c>
      <c r="E18" s="24" t="str">
        <f t="array" aca="1" ref="E18" ca="1">IFERROR(INDEX(Deberes[],SMALL(IF(Fechas=E$16,ROW(Fechas)),ROW(2:2))-InicioDeFilaDeTabla,4),"")</f>
        <v/>
      </c>
      <c r="F18" s="24" t="str">
        <f t="array" aca="1" ref="F18" ca="1">IFERROR(INDEX(Deberes[],SMALL(IF(Fechas=F$16,ROW(Fechas)),ROW(2:2))-InicioDeFilaDeTabla,4),"")</f>
        <v/>
      </c>
      <c r="G18" s="24" t="str">
        <f t="array" aca="1" ref="G18" ca="1">IFERROR(INDEX(Deberes[],SMALL(IF(Fechas=G$16,ROW(Fechas)),ROW(2:2))-InicioDeFilaDeTabla,4),"")</f>
        <v/>
      </c>
      <c r="H18" s="24" t="str">
        <f t="array" aca="1" ref="H18" ca="1">IFERROR(INDEX(Deberes[],SMALL(IF(Fechas=H$16,ROW(Fechas)),ROW(2:2))-InicioDeFilaDeTabla,4),"")</f>
        <v/>
      </c>
    </row>
    <row r="19" spans="2:8" s="11" customFormat="1" ht="30" customHeight="1" x14ac:dyDescent="0.25">
      <c r="B19" s="24" t="str">
        <f t="array" aca="1" ref="B19" ca="1">IFERROR(INDEX(Deberes[],SMALL(IF(Fechas=B$16,ROW(Fechas)),ROW(3:3))-InicioDeFilaDeTabla,4),"")</f>
        <v/>
      </c>
      <c r="C19" s="24" t="str">
        <f t="array" aca="1" ref="C19" ca="1">IFERROR(INDEX(Deberes[],SMALL(IF(Fechas=C$16,ROW(Fechas)),ROW(3:3))-InicioDeFilaDeTabla,4),"")</f>
        <v/>
      </c>
      <c r="D19" s="24" t="str">
        <f t="array" aca="1" ref="D19" ca="1">IFERROR(INDEX(Deberes[],SMALL(IF(Fechas=D$16,ROW(Fechas)),ROW(3:3))-InicioDeFilaDeTabla,4),"")</f>
        <v/>
      </c>
      <c r="E19" s="24" t="str">
        <f t="array" aca="1" ref="E19" ca="1">IFERROR(INDEX(Deberes[],SMALL(IF(Fechas=E$16,ROW(Fechas)),ROW(3:3))-InicioDeFilaDeTabla,4),"")</f>
        <v/>
      </c>
      <c r="F19" s="24" t="str">
        <f t="array" aca="1" ref="F19" ca="1">IFERROR(INDEX(Deberes[],SMALL(IF(Fechas=F$16,ROW(Fechas)),ROW(3:3))-InicioDeFilaDeTabla,4),"")</f>
        <v/>
      </c>
      <c r="G19" s="24" t="str">
        <f t="array" aca="1" ref="G19" ca="1">IFERROR(INDEX(Deberes[],SMALL(IF(Fechas=G$16,ROW(Fechas)),ROW(3:3))-InicioDeFilaDeTabla,4),"")</f>
        <v/>
      </c>
      <c r="H19" s="24" t="str">
        <f t="array" aca="1" ref="H19" ca="1">IFERROR(INDEX(Deberes[],SMALL(IF(Fechas=H$16,ROW(Fechas)),ROW(3:3))-InicioDeFilaDeTabla,4),"")</f>
        <v/>
      </c>
    </row>
    <row r="20" spans="2:8" s="11" customFormat="1" ht="30" customHeight="1" x14ac:dyDescent="0.25">
      <c r="B20" s="24" t="str">
        <f t="array" aca="1" ref="B20" ca="1">IFERROR(INDEX(Deberes[],SMALL(IF(Fechas=B$16,ROW(Fechas)),ROW(4:4))-InicioDeFilaDeTabla,4),"")</f>
        <v/>
      </c>
      <c r="C20" s="24" t="str">
        <f t="array" aca="1" ref="C20" ca="1">IFERROR(INDEX(Deberes[],SMALL(IF(Fechas=C$16,ROW(Fechas)),ROW(4:4))-InicioDeFilaDeTabla,4),"")</f>
        <v/>
      </c>
      <c r="D20" s="24" t="str">
        <f t="array" aca="1" ref="D20" ca="1">IFERROR(INDEX(Deberes[],SMALL(IF(Fechas=D$16,ROW(Fechas)),ROW(4:4))-InicioDeFilaDeTabla,4),"")</f>
        <v/>
      </c>
      <c r="E20" s="24" t="str">
        <f t="array" aca="1" ref="E20" ca="1">IFERROR(INDEX(Deberes[],SMALL(IF(Fechas=E$16,ROW(Fechas)),ROW(4:4))-InicioDeFilaDeTabla,4),"")</f>
        <v/>
      </c>
      <c r="F20" s="24" t="str">
        <f t="array" aca="1" ref="F20" ca="1">IFERROR(INDEX(Deberes[],SMALL(IF(Fechas=F$16,ROW(Fechas)),ROW(4:4))-InicioDeFilaDeTabla,4),"")</f>
        <v/>
      </c>
      <c r="G20" s="24" t="str">
        <f t="array" aca="1" ref="G20" ca="1">IFERROR(INDEX(Deberes[],SMALL(IF(Fechas=G$16,ROW(Fechas)),ROW(4:4))-InicioDeFilaDeTabla,4),"")</f>
        <v/>
      </c>
      <c r="H20" s="24" t="str">
        <f t="array" aca="1" ref="H20" ca="1">IFERROR(INDEX(Deberes[],SMALL(IF(Fechas=H$16,ROW(Fechas)),ROW(4:4))-InicioDeFilaDeTabla,4),"")</f>
        <v/>
      </c>
    </row>
    <row r="21" spans="2:8" ht="30" customHeight="1" x14ac:dyDescent="0.25">
      <c r="B21" s="13">
        <f ca="1">IFERROR(INDEX(calendario,ndx+3,1),"")</f>
        <v>43940</v>
      </c>
      <c r="C21" s="13">
        <f ca="1">IFERROR(INDEX(calendario,ndx+3,2),"")</f>
        <v>43941</v>
      </c>
      <c r="D21" s="13">
        <f ca="1">IFERROR(INDEX(calendario,ndx+3,3),"")</f>
        <v>43942</v>
      </c>
      <c r="E21" s="13">
        <f ca="1">IFERROR(INDEX(calendario,ndx+3,4),"")</f>
        <v>43943</v>
      </c>
      <c r="F21" s="13">
        <f ca="1">IFERROR(INDEX(calendario,ndx+3,5),"")</f>
        <v>43944</v>
      </c>
      <c r="G21" s="13">
        <f ca="1">IFERROR(INDEX(calendario,ndx+3,6),"")</f>
        <v>43945</v>
      </c>
      <c r="H21" s="13">
        <f ca="1">IFERROR(INDEX(calendario,ndx+3,7),"")</f>
        <v>43946</v>
      </c>
    </row>
    <row r="22" spans="2:8" s="11" customFormat="1" ht="30" customHeight="1" x14ac:dyDescent="0.25">
      <c r="B22" s="24" t="str">
        <f t="array" aca="1" ref="B22" ca="1">IFERROR(INDEX(Deberes[],SMALL(IF(Fechas=B$21,ROW(Fechas)),ROW(1:1))-InicioDeFilaDeTabla,4),"")</f>
        <v/>
      </c>
      <c r="C22" s="24" t="str">
        <f t="array" aca="1" ref="C22" ca="1">IFERROR(INDEX(Deberes[],SMALL(IF(Fechas=C$21,ROW(Fechas)),ROW(1:1))-InicioDeFilaDeTabla,4),"")</f>
        <v/>
      </c>
      <c r="D22" s="24" t="str">
        <f t="array" aca="1" ref="D22" ca="1">IFERROR(INDEX(Deberes[],SMALL(IF(Fechas=D$21,ROW(Fechas)),ROW(1:1))-InicioDeFilaDeTabla,4),"")</f>
        <v/>
      </c>
      <c r="E22" s="24" t="str">
        <f t="array" aca="1" ref="E22" ca="1">IFERROR(INDEX(Deberes[],SMALL(IF(Fechas=E$21,ROW(Fechas)),ROW(1:1))-InicioDeFilaDeTabla,4),"")</f>
        <v/>
      </c>
      <c r="F22" s="24" t="str">
        <f t="array" aca="1" ref="F22" ca="1">IFERROR(INDEX(Deberes[],SMALL(IF(Fechas=F$21,ROW(Fechas)),ROW(1:1))-InicioDeFilaDeTabla,4),"")</f>
        <v/>
      </c>
      <c r="G22" s="24" t="str">
        <f t="array" aca="1" ref="G22" ca="1">IFERROR(INDEX(Deberes[],SMALL(IF(Fechas=G$21,ROW(Fechas)),ROW(1:1))-InicioDeFilaDeTabla,4),"")</f>
        <v/>
      </c>
      <c r="H22" s="24" t="str">
        <f t="array" aca="1" ref="H22" ca="1">IFERROR(INDEX(Deberes[],SMALL(IF(Fechas=H$21,ROW(Fechas)),ROW(1:1))-InicioDeFilaDeTabla,4),"")</f>
        <v/>
      </c>
    </row>
    <row r="23" spans="2:8" s="11" customFormat="1" ht="30" customHeight="1" x14ac:dyDescent="0.25">
      <c r="B23" s="24" t="str">
        <f t="array" aca="1" ref="B23" ca="1">IFERROR(INDEX(Deberes[],SMALL(IF(Fechas=B$21,ROW(Fechas)),ROW(2:2))-InicioDeFilaDeTabla,4),"")</f>
        <v/>
      </c>
      <c r="C23" s="24" t="str">
        <f t="array" aca="1" ref="C23" ca="1">IFERROR(INDEX(Deberes[],SMALL(IF(Fechas=C$21,ROW(Fechas)),ROW(2:2))-InicioDeFilaDeTabla,4),"")</f>
        <v/>
      </c>
      <c r="D23" s="24" t="str">
        <f t="array" aca="1" ref="D23" ca="1">IFERROR(INDEX(Deberes[],SMALL(IF(Fechas=D$21,ROW(Fechas)),ROW(2:2))-InicioDeFilaDeTabla,4),"")</f>
        <v/>
      </c>
      <c r="E23" s="24" t="str">
        <f t="array" aca="1" ref="E23" ca="1">IFERROR(INDEX(Deberes[],SMALL(IF(Fechas=E$21,ROW(Fechas)),ROW(2:2))-InicioDeFilaDeTabla,4),"")</f>
        <v/>
      </c>
      <c r="F23" s="24" t="str">
        <f t="array" aca="1" ref="F23" ca="1">IFERROR(INDEX(Deberes[],SMALL(IF(Fechas=F$21,ROW(Fechas)),ROW(2:2))-InicioDeFilaDeTabla,4),"")</f>
        <v/>
      </c>
      <c r="G23" s="24" t="str">
        <f t="array" aca="1" ref="G23" ca="1">IFERROR(INDEX(Deberes[],SMALL(IF(Fechas=G$21,ROW(Fechas)),ROW(2:2))-InicioDeFilaDeTabla,4),"")</f>
        <v/>
      </c>
      <c r="H23" s="24" t="str">
        <f t="array" aca="1" ref="H23" ca="1">IFERROR(INDEX(Deberes[],SMALL(IF(Fechas=H$21,ROW(Fechas)),ROW(2:2))-InicioDeFilaDeTabla,4),"")</f>
        <v/>
      </c>
    </row>
    <row r="24" spans="2:8" s="11" customFormat="1" ht="30" customHeight="1" x14ac:dyDescent="0.25">
      <c r="B24" s="24" t="str">
        <f t="array" aca="1" ref="B24" ca="1">IFERROR(INDEX(Deberes[],SMALL(IF(Fechas=B$21,ROW(Fechas)),ROW(3:3))-InicioDeFilaDeTabla,4),"")</f>
        <v/>
      </c>
      <c r="C24" s="24" t="str">
        <f t="array" aca="1" ref="C24" ca="1">IFERROR(INDEX(Deberes[],SMALL(IF(Fechas=C$21,ROW(Fechas)),ROW(3:3))-InicioDeFilaDeTabla,4),"")</f>
        <v/>
      </c>
      <c r="D24" s="24" t="str">
        <f t="array" aca="1" ref="D24" ca="1">IFERROR(INDEX(Deberes[],SMALL(IF(Fechas=D$21,ROW(Fechas)),ROW(3:3))-InicioDeFilaDeTabla,4),"")</f>
        <v/>
      </c>
      <c r="E24" s="24" t="str">
        <f t="array" aca="1" ref="E24" ca="1">IFERROR(INDEX(Deberes[],SMALL(IF(Fechas=E$21,ROW(Fechas)),ROW(3:3))-InicioDeFilaDeTabla,4),"")</f>
        <v/>
      </c>
      <c r="F24" s="24" t="str">
        <f t="array" aca="1" ref="F24" ca="1">IFERROR(INDEX(Deberes[],SMALL(IF(Fechas=F$21,ROW(Fechas)),ROW(3:3))-InicioDeFilaDeTabla,4),"")</f>
        <v/>
      </c>
      <c r="G24" s="24" t="str">
        <f t="array" aca="1" ref="G24" ca="1">IFERROR(INDEX(Deberes[],SMALL(IF(Fechas=G$21,ROW(Fechas)),ROW(3:3))-InicioDeFilaDeTabla,4),"")</f>
        <v/>
      </c>
      <c r="H24" s="24" t="str">
        <f t="array" aca="1" ref="H24" ca="1">IFERROR(INDEX(Deberes[],SMALL(IF(Fechas=H$21,ROW(Fechas)),ROW(3:3))-InicioDeFilaDeTabla,4),"")</f>
        <v/>
      </c>
    </row>
    <row r="25" spans="2:8" s="11" customFormat="1" ht="30" customHeight="1" x14ac:dyDescent="0.25">
      <c r="B25" s="24" t="str">
        <f t="array" aca="1" ref="B25" ca="1">IFERROR(INDEX(Deberes[],SMALL(IF(Fechas=B$21,ROW(Fechas)),ROW(4:4))-InicioDeFilaDeTabla,4),"")</f>
        <v/>
      </c>
      <c r="C25" s="24" t="str">
        <f t="array" aca="1" ref="C25" ca="1">IFERROR(INDEX(Deberes[],SMALL(IF(Fechas=C$21,ROW(Fechas)),ROW(4:4))-InicioDeFilaDeTabla,4),"")</f>
        <v/>
      </c>
      <c r="D25" s="24" t="str">
        <f t="array" aca="1" ref="D25" ca="1">IFERROR(INDEX(Deberes[],SMALL(IF(Fechas=D$21,ROW(Fechas)),ROW(4:4))-InicioDeFilaDeTabla,4),"")</f>
        <v/>
      </c>
      <c r="E25" s="24" t="str">
        <f t="array" aca="1" ref="E25" ca="1">IFERROR(INDEX(Deberes[],SMALL(IF(Fechas=E$21,ROW(Fechas)),ROW(4:4))-InicioDeFilaDeTabla,4),"")</f>
        <v/>
      </c>
      <c r="F25" s="24" t="str">
        <f t="array" aca="1" ref="F25" ca="1">IFERROR(INDEX(Deberes[],SMALL(IF(Fechas=F$21,ROW(Fechas)),ROW(4:4))-InicioDeFilaDeTabla,4),"")</f>
        <v/>
      </c>
      <c r="G25" s="24" t="str">
        <f t="array" aca="1" ref="G25" ca="1">IFERROR(INDEX(Deberes[],SMALL(IF(Fechas=G$21,ROW(Fechas)),ROW(4:4))-InicioDeFilaDeTabla,4),"")</f>
        <v/>
      </c>
      <c r="H25" s="24" t="str">
        <f t="array" aca="1" ref="H25" ca="1">IFERROR(INDEX(Deberes[],SMALL(IF(Fechas=H$21,ROW(Fechas)),ROW(4:4))-InicioDeFilaDeTabla,4),"")</f>
        <v/>
      </c>
    </row>
    <row r="26" spans="2:8" ht="30" customHeight="1" x14ac:dyDescent="0.25">
      <c r="B26" s="13">
        <f ca="1">IFERROR(INDEX(calendario,ndx+4,1),"")</f>
        <v>43947</v>
      </c>
      <c r="C26" s="13">
        <f ca="1">IFERROR(INDEX(calendario,ndx+4,2),"")</f>
        <v>43948</v>
      </c>
      <c r="D26" s="13">
        <f ca="1">IFERROR(INDEX(calendario,ndx+4,3),"")</f>
        <v>43949</v>
      </c>
      <c r="E26" s="13">
        <f ca="1">IFERROR(INDEX(calendario,ndx+4,4),"")</f>
        <v>43950</v>
      </c>
      <c r="F26" s="13">
        <f ca="1">IFERROR(INDEX(calendario,ndx+4,5),"")</f>
        <v>43951</v>
      </c>
      <c r="G26" s="13">
        <f ca="1">IFERROR(INDEX(calendario,ndx+4,6),"")</f>
        <v>43952</v>
      </c>
      <c r="H26" s="13">
        <f ca="1">IFERROR(INDEX(calendario,ndx+4,7),"")</f>
        <v>43953</v>
      </c>
    </row>
    <row r="27" spans="2:8" s="11" customFormat="1" ht="30" customHeight="1" x14ac:dyDescent="0.25">
      <c r="B27" s="24" t="str">
        <f t="array" aca="1" ref="B27" ca="1">IFERROR(INDEX(Deberes[],SMALL(IF(Fechas=B$26,ROW(Fechas)),ROW(1:1))-InicioDeFilaDeTabla,4),"")</f>
        <v/>
      </c>
      <c r="C27" s="24" t="str">
        <f t="array" aca="1" ref="C27" ca="1">IFERROR(INDEX(Deberes[],SMALL(IF(Fechas=C$26,ROW(Fechas)),ROW(1:1))-InicioDeFilaDeTabla,4),"")</f>
        <v>MAT1: Páginas 34-67</v>
      </c>
      <c r="D27" s="24" t="str">
        <f t="array" aca="1" ref="D27" ca="1">IFERROR(INDEX(Deberes[],SMALL(IF(Fechas=D$26,ROW(Fechas)),ROW(1:1))-InicioDeFilaDeTabla,4),"")</f>
        <v/>
      </c>
      <c r="E27" s="24" t="str">
        <f t="array" aca="1" ref="E27" ca="1">IFERROR(INDEX(Deberes[],SMALL(IF(Fechas=E$26,ROW(Fechas)),ROW(1:1))-InicioDeFilaDeTabla,4),"")</f>
        <v/>
      </c>
      <c r="F27" s="24" t="str">
        <f t="array" aca="1" ref="F27" ca="1">IFERROR(INDEX(Deberes[],SMALL(IF(Fechas=F$26,ROW(Fechas)),ROW(1:1))-InicioDeFilaDeTabla,4),"")</f>
        <v/>
      </c>
      <c r="G27" s="24" t="str">
        <f t="array" aca="1" ref="G27" ca="1">IFERROR(INDEX(Deberes[],SMALL(IF(Fechas=G$26,ROW(Fechas)),ROW(1:1))-InicioDeFilaDeTabla,4),"")</f>
        <v>HIST2: Hoja de cálculo 43</v>
      </c>
      <c r="H27" s="24" t="str">
        <f t="array" aca="1" ref="H27" ca="1">IFERROR(INDEX(Deberes[],SMALL(IF(Fechas=H$26,ROW(Fechas)),ROW(1:1))-InicioDeFilaDeTabla,4),"")</f>
        <v/>
      </c>
    </row>
    <row r="28" spans="2:8" s="11" customFormat="1" ht="30" customHeight="1" x14ac:dyDescent="0.25">
      <c r="B28" s="24" t="str">
        <f t="array" aca="1" ref="B28" ca="1">IFERROR(INDEX(Deberes[],SMALL(IF(Fechas=B$26,ROW(Fechas)),ROW(2:2))-InicioDeFilaDeTabla,4),"")</f>
        <v/>
      </c>
      <c r="C28" s="24" t="str">
        <f t="array" aca="1" ref="C28" ca="1">IFERROR(INDEX(Deberes[],SMALL(IF(Fechas=C$26,ROW(Fechas)),ROW(2:2))-InicioDeFilaDeTabla,4),"")</f>
        <v/>
      </c>
      <c r="D28" s="24" t="str">
        <f t="array" aca="1" ref="D28" ca="1">IFERROR(INDEX(Deberes[],SMALL(IF(Fechas=D$26,ROW(Fechas)),ROW(2:2))-InicioDeFilaDeTabla,4),"")</f>
        <v/>
      </c>
      <c r="E28" s="24" t="str">
        <f t="array" aca="1" ref="E28" ca="1">IFERROR(INDEX(Deberes[],SMALL(IF(Fechas=E$26,ROW(Fechas)),ROW(2:2))-InicioDeFilaDeTabla,4),"")</f>
        <v/>
      </c>
      <c r="F28" s="24" t="str">
        <f t="array" aca="1" ref="F28" ca="1">IFERROR(INDEX(Deberes[],SMALL(IF(Fechas=F$26,ROW(Fechas)),ROW(2:2))-InicioDeFilaDeTabla,4),"")</f>
        <v/>
      </c>
      <c r="G28" s="24" t="str">
        <f t="array" aca="1" ref="G28" ca="1">IFERROR(INDEX(Deberes[],SMALL(IF(Fechas=G$26,ROW(Fechas)),ROW(2:2))-InicioDeFilaDeTabla,4),"")</f>
        <v/>
      </c>
      <c r="H28" s="24" t="str">
        <f t="array" aca="1" ref="H28" ca="1">IFERROR(INDEX(Deberes[],SMALL(IF(Fechas=H$26,ROW(Fechas)),ROW(2:2))-InicioDeFilaDeTabla,4),"")</f>
        <v/>
      </c>
    </row>
    <row r="29" spans="2:8" s="11" customFormat="1" ht="30" customHeight="1" x14ac:dyDescent="0.25">
      <c r="B29" s="24" t="str">
        <f t="array" aca="1" ref="B29" ca="1">IFERROR(INDEX(Deberes[],SMALL(IF(Fechas=B$26,ROW(Fechas)),ROW(3:3))-InicioDeFilaDeTabla,4),"")</f>
        <v/>
      </c>
      <c r="C29" s="24" t="str">
        <f t="array" aca="1" ref="C29" ca="1">IFERROR(INDEX(Deberes[],SMALL(IF(Fechas=C$26,ROW(Fechas)),ROW(3:3))-InicioDeFilaDeTabla,4),"")</f>
        <v/>
      </c>
      <c r="D29" s="24" t="str">
        <f t="array" aca="1" ref="D29" ca="1">IFERROR(INDEX(Deberes[],SMALL(IF(Fechas=D$26,ROW(Fechas)),ROW(3:3))-InicioDeFilaDeTabla,4),"")</f>
        <v/>
      </c>
      <c r="E29" s="24" t="str">
        <f t="array" aca="1" ref="E29" ca="1">IFERROR(INDEX(Deberes[],SMALL(IF(Fechas=E$26,ROW(Fechas)),ROW(3:3))-InicioDeFilaDeTabla,4),"")</f>
        <v/>
      </c>
      <c r="F29" s="24" t="str">
        <f t="array" aca="1" ref="F29" ca="1">IFERROR(INDEX(Deberes[],SMALL(IF(Fechas=F$26,ROW(Fechas)),ROW(3:3))-InicioDeFilaDeTabla,4),"")</f>
        <v/>
      </c>
      <c r="G29" s="24" t="str">
        <f t="array" aca="1" ref="G29" ca="1">IFERROR(INDEX(Deberes[],SMALL(IF(Fechas=G$26,ROW(Fechas)),ROW(3:3))-InicioDeFilaDeTabla,4),"")</f>
        <v/>
      </c>
      <c r="H29" s="24" t="str">
        <f t="array" aca="1" ref="H29" ca="1">IFERROR(INDEX(Deberes[],SMALL(IF(Fechas=H$26,ROW(Fechas)),ROW(3:3))-InicioDeFilaDeTabla,4),"")</f>
        <v/>
      </c>
    </row>
    <row r="30" spans="2:8" s="11" customFormat="1" ht="30" customHeight="1" x14ac:dyDescent="0.25">
      <c r="B30" s="24" t="str">
        <f t="array" aca="1" ref="B30" ca="1">IFERROR(INDEX(Deberes[],SMALL(IF(Fechas=B$26,ROW(Fechas)),ROW(4:4))-InicioDeFilaDeTabla,4),"")</f>
        <v/>
      </c>
      <c r="C30" s="24" t="str">
        <f t="array" aca="1" ref="C30" ca="1">IFERROR(INDEX(Deberes[],SMALL(IF(Fechas=C$26,ROW(Fechas)),ROW(4:4))-InicioDeFilaDeTabla,4),"")</f>
        <v/>
      </c>
      <c r="D30" s="24" t="str">
        <f t="array" aca="1" ref="D30" ca="1">IFERROR(INDEX(Deberes[],SMALL(IF(Fechas=D$26,ROW(Fechas)),ROW(4:4))-InicioDeFilaDeTabla,4),"")</f>
        <v/>
      </c>
      <c r="E30" s="24" t="str">
        <f t="array" aca="1" ref="E30" ca="1">IFERROR(INDEX(Deberes[],SMALL(IF(Fechas=E$26,ROW(Fechas)),ROW(4:4))-InicioDeFilaDeTabla,4),"")</f>
        <v/>
      </c>
      <c r="F30" s="24" t="str">
        <f t="array" aca="1" ref="F30" ca="1">IFERROR(INDEX(Deberes[],SMALL(IF(Fechas=F$26,ROW(Fechas)),ROW(4:4))-InicioDeFilaDeTabla,4),"")</f>
        <v/>
      </c>
      <c r="G30" s="24" t="str">
        <f t="array" aca="1" ref="G30" ca="1">IFERROR(INDEX(Deberes[],SMALL(IF(Fechas=G$26,ROW(Fechas)),ROW(4:4))-InicioDeFilaDeTabla,4),"")</f>
        <v/>
      </c>
      <c r="H30" s="24" t="str">
        <f t="array" aca="1" ref="H30" ca="1">IFERROR(INDEX(Deberes[],SMALL(IF(Fechas=H$26,ROW(Fechas)),ROW(4:4))-InicioDeFilaDeTabla,4),"")</f>
        <v/>
      </c>
    </row>
    <row r="31" spans="2:8" ht="30" customHeight="1" x14ac:dyDescent="0.25">
      <c r="B31" s="13">
        <f ca="1">IFERROR(INDEX(calendario,ndx+5,1),"")</f>
        <v>43954</v>
      </c>
      <c r="C31" s="13">
        <f ca="1">IFERROR(INDEX(calendario,ndx+5,2),"")</f>
        <v>43955</v>
      </c>
      <c r="D31" s="13">
        <f ca="1">IFERROR(INDEX(calendario,ndx+5,3),"")</f>
        <v>43956</v>
      </c>
      <c r="E31" s="13">
        <f ca="1">IFERROR(INDEX(calendario,ndx+5,4),"")</f>
        <v>43957</v>
      </c>
      <c r="F31" s="13">
        <f ca="1">IFERROR(INDEX(calendario,ndx+5,5),"")</f>
        <v>43958</v>
      </c>
      <c r="G31" s="13">
        <f ca="1">IFERROR(INDEX(calendario,ndx+5,6),"")</f>
        <v>43959</v>
      </c>
      <c r="H31" s="13">
        <f ca="1">IFERROR(INDEX(calendario,ndx+5,7),"")</f>
        <v>43960</v>
      </c>
    </row>
    <row r="32" spans="2:8" s="11" customFormat="1" ht="30" customHeight="1" x14ac:dyDescent="0.25">
      <c r="B32" s="24" t="str">
        <f t="array" aca="1" ref="B32" ca="1">IFERROR(INDEX(Deberes[],SMALL(IF(Fechas=B$31,ROW(Fechas)),ROW(1:1))-InicioDeFilaDeTabla,4),"")</f>
        <v>QUÍM: Resultados de la práctica de laboratorio</v>
      </c>
      <c r="C32" s="24" t="str">
        <f t="array" aca="1" ref="C32" ca="1">IFERROR(INDEX(Deberes[],SMALL(IF(Fechas=C$31,ROW(Fechas)),ROW(1:1))-InicioDeFilaDeTabla,4),"")</f>
        <v/>
      </c>
      <c r="D32" s="24" t="str">
        <f t="array" aca="1" ref="D32" ca="1">IFERROR(INDEX(Deberes[],SMALL(IF(Fechas=D$31,ROW(Fechas)),ROW(1:1))-InicioDeFilaDeTabla,4),"")</f>
        <v/>
      </c>
      <c r="E32" s="24" t="str">
        <f t="array" aca="1" ref="E32" ca="1">IFERROR(INDEX(Deberes[],SMALL(IF(Fechas=E$31,ROW(Fechas)),ROW(1:1))-InicioDeFilaDeTabla,4),"")</f>
        <v/>
      </c>
      <c r="F32" s="24" t="str">
        <f t="array" aca="1" ref="F32" ca="1">IFERROR(INDEX(Deberes[],SMALL(IF(Fechas=F$31,ROW(Fechas)),ROW(1:1))-InicioDeFilaDeTabla,4),"")</f>
        <v>PSI2: Estudio de prueba</v>
      </c>
      <c r="G32" s="24" t="str">
        <f t="array" aca="1" ref="G32" ca="1">IFERROR(INDEX(Deberes[],SMALL(IF(Fechas=G$31,ROW(Fechas)),ROW(1:1))-InicioDeFilaDeTabla,4),"")</f>
        <v/>
      </c>
      <c r="H32" s="24" t="str">
        <f t="array" aca="1" ref="H32" ca="1">IFERROR(INDEX(Deberes[],SMALL(IF(Fechas=H$31,ROW(Fechas)),ROW(1:1))-InicioDeFilaDeTabla,4),"")</f>
        <v>MAT1: Hoja de cálculo 17</v>
      </c>
    </row>
    <row r="33" spans="1:8" s="11" customFormat="1" ht="30" customHeight="1" x14ac:dyDescent="0.25">
      <c r="B33" s="24" t="str">
        <f t="array" aca="1" ref="B33" ca="1">IFERROR(INDEX(Deberes[],SMALL(IF(Fechas=B$31,ROW(Fechas)),ROW(2:2))-InicioDeFilaDeTabla,4),"")</f>
        <v/>
      </c>
      <c r="C33" s="24" t="str">
        <f t="array" aca="1" ref="C33" ca="1">IFERROR(INDEX(Deberes[],SMALL(IF(Fechas=C$31,ROW(Fechas)),ROW(2:2))-InicioDeFilaDeTabla,4),"")</f>
        <v/>
      </c>
      <c r="D33" s="24" t="str">
        <f t="array" aca="1" ref="D33" ca="1">IFERROR(INDEX(Deberes[],SMALL(IF(Fechas=D$31,ROW(Fechas)),ROW(2:2))-InicioDeFilaDeTabla,4),"")</f>
        <v/>
      </c>
      <c r="E33" s="24" t="str">
        <f t="array" aca="1" ref="E33" ca="1">IFERROR(INDEX(Deberes[],SMALL(IF(Fechas=E$31,ROW(Fechas)),ROW(2:2))-InicioDeFilaDeTabla,4),"")</f>
        <v/>
      </c>
      <c r="F33" s="24" t="str">
        <f t="array" aca="1" ref="F33" ca="1">IFERROR(INDEX(Deberes[],SMALL(IF(Fechas=F$31,ROW(Fechas)),ROW(2:2))-InicioDeFilaDeTabla,4),"")</f>
        <v>LIT2: Esquema de la redacción</v>
      </c>
      <c r="G33" s="24" t="str">
        <f t="array" aca="1" ref="G33" ca="1">IFERROR(INDEX(Deberes[],SMALL(IF(Fechas=G$31,ROW(Fechas)),ROW(2:2))-InicioDeFilaDeTabla,4),"")</f>
        <v/>
      </c>
      <c r="H33" s="24" t="str">
        <f t="array" aca="1" ref="H33" ca="1">IFERROR(INDEX(Deberes[],SMALL(IF(Fechas=H$31,ROW(Fechas)),ROW(2:2))-InicioDeFilaDeTabla,4),"")</f>
        <v/>
      </c>
    </row>
    <row r="34" spans="1:8" s="11" customFormat="1" ht="30" customHeight="1" x14ac:dyDescent="0.25">
      <c r="B34" s="24" t="str">
        <f t="array" aca="1" ref="B34" ca="1">IFERROR(INDEX(Deberes[],SMALL(IF(Fechas=B$31,ROW(Fechas)),ROW(3:3))-InicioDeFilaDeTabla,4),"")</f>
        <v/>
      </c>
      <c r="C34" s="24" t="str">
        <f t="array" aca="1" ref="C34" ca="1">IFERROR(INDEX(Deberes[],SMALL(IF(Fechas=C$31,ROW(Fechas)),ROW(3:3))-InicioDeFilaDeTabla,4),"")</f>
        <v/>
      </c>
      <c r="D34" s="24" t="str">
        <f t="array" aca="1" ref="D34" ca="1">IFERROR(INDEX(Deberes[],SMALL(IF(Fechas=D$31,ROW(Fechas)),ROW(3:3))-InicioDeFilaDeTabla,4),"")</f>
        <v/>
      </c>
      <c r="E34" s="24" t="str">
        <f t="array" aca="1" ref="E34" ca="1">IFERROR(INDEX(Deberes[],SMALL(IF(Fechas=E$31,ROW(Fechas)),ROW(3:3))-InicioDeFilaDeTabla,4),"")</f>
        <v/>
      </c>
      <c r="F34" s="24" t="str">
        <f t="array" aca="1" ref="F34" ca="1">IFERROR(INDEX(Deberes[],SMALL(IF(Fechas=F$31,ROW(Fechas)),ROW(3:3))-InicioDeFilaDeTabla,4),"")</f>
        <v/>
      </c>
      <c r="G34" s="24" t="str">
        <f t="array" aca="1" ref="G34" ca="1">IFERROR(INDEX(Deberes[],SMALL(IF(Fechas=G$31,ROW(Fechas)),ROW(3:3))-InicioDeFilaDeTabla,4),"")</f>
        <v/>
      </c>
      <c r="H34" s="24" t="str">
        <f t="array" aca="1" ref="H34" ca="1">IFERROR(INDEX(Deberes[],SMALL(IF(Fechas=H$31,ROW(Fechas)),ROW(3:3))-InicioDeFilaDeTabla,4),"")</f>
        <v/>
      </c>
    </row>
    <row r="35" spans="1:8" ht="30" customHeight="1" x14ac:dyDescent="0.25">
      <c r="A35" s="11"/>
      <c r="B35" s="24" t="str">
        <f t="array" aca="1" ref="B35" ca="1">IFERROR(INDEX(Deberes[],SMALL(IF(Fechas=B$31,ROW(Fechas)),ROW(4:4))-InicioDeFilaDeTabla,4),"")</f>
        <v/>
      </c>
      <c r="C35" s="24" t="str">
        <f t="array" aca="1" ref="C35" ca="1">IFERROR(INDEX(Deberes[],SMALL(IF(Fechas=C$31,ROW(Fechas)),ROW(4:4))-InicioDeFilaDeTabla,4),"")</f>
        <v/>
      </c>
      <c r="D35" s="24" t="str">
        <f t="array" aca="1" ref="D35" ca="1">IFERROR(INDEX(Deberes[],SMALL(IF(Fechas=D$31,ROW(Fechas)),ROW(4:4))-InicioDeFilaDeTabla,4),"")</f>
        <v/>
      </c>
      <c r="E35" s="24" t="str">
        <f t="array" aca="1" ref="E35" ca="1">IFERROR(INDEX(Deberes[],SMALL(IF(Fechas=E$31,ROW(Fechas)),ROW(4:4))-InicioDeFilaDeTabla,4),"")</f>
        <v/>
      </c>
      <c r="F35" s="24" t="str">
        <f t="array" aca="1" ref="F35" ca="1">IFERROR(INDEX(Deberes[],SMALL(IF(Fechas=F$31,ROW(Fechas)),ROW(4:4))-InicioDeFilaDeTabla,4),"")</f>
        <v/>
      </c>
      <c r="G35" s="24" t="str">
        <f t="array" aca="1" ref="G35" ca="1">IFERROR(INDEX(Deberes[],SMALL(IF(Fechas=G$31,ROW(Fechas)),ROW(4:4))-InicioDeFilaDeTabla,4),"")</f>
        <v/>
      </c>
      <c r="H35" s="24" t="str">
        <f t="array" aca="1" ref="H35" ca="1">IFERROR(INDEX(Deberes[],SMALL(IF(Fechas=H$31,ROW(Fechas)),ROW(4:4))-InicioDeFilaDeTabla,4),"")</f>
        <v/>
      </c>
    </row>
  </sheetData>
  <mergeCells count="1">
    <mergeCell ref="E2:F4"/>
  </mergeCells>
  <conditionalFormatting sqref="B31:H35">
    <cfRule type="expression" dxfId="9" priority="1" stopIfTrue="1">
      <formula>MonthToDisplayNumber&lt;&gt;MONTH(B$31)</formula>
    </cfRule>
  </conditionalFormatting>
  <conditionalFormatting sqref="B6:H10">
    <cfRule type="expression" dxfId="8" priority="2" stopIfTrue="1">
      <formula>MonthToDisplayNumber&lt;&gt;MONTH(B$6)</formula>
    </cfRule>
  </conditionalFormatting>
  <conditionalFormatting sqref="B26:H30">
    <cfRule type="expression" dxfId="7" priority="3" stopIfTrue="1">
      <formula>MonthToDisplayNumber&lt;&gt;MONTH(B$26)</formula>
    </cfRule>
  </conditionalFormatting>
  <conditionalFormatting sqref="B7:B10 B12:B15 B17:B20 B22:B25 B27:B30 B32:B35">
    <cfRule type="expression" dxfId="6" priority="19">
      <formula>$B7&lt;&gt;""</formula>
    </cfRule>
  </conditionalFormatting>
  <conditionalFormatting sqref="C7:C10 C12:C15 C17:C20 C22:C25 C27:C30 C32:C35">
    <cfRule type="expression" dxfId="5" priority="15">
      <formula>$C7&lt;&gt;""</formula>
    </cfRule>
  </conditionalFormatting>
  <conditionalFormatting sqref="D7:D10 D12:D15 D17:D20 D22:D25 D27:D30 D32:D35">
    <cfRule type="expression" dxfId="4" priority="8">
      <formula>$D7&lt;&gt;""</formula>
    </cfRule>
  </conditionalFormatting>
  <conditionalFormatting sqref="E7:E10 E12:E15 E17:E20 E22:E25 E27:E30 E32:E35">
    <cfRule type="expression" dxfId="3" priority="4">
      <formula>$E7&lt;&gt;""</formula>
    </cfRule>
  </conditionalFormatting>
  <conditionalFormatting sqref="F7:F10 F12:F15 F17:F20 F22:F25 F27:F30 F32:F35">
    <cfRule type="expression" dxfId="2" priority="5">
      <formula>$F7&lt;&gt;""</formula>
    </cfRule>
  </conditionalFormatting>
  <conditionalFormatting sqref="G7:G10 G12:G15 G17:G20 G22:G25 G27:G30 G32:G35">
    <cfRule type="expression" dxfId="1" priority="7">
      <formula>$G7&lt;&gt;""</formula>
    </cfRule>
  </conditionalFormatting>
  <conditionalFormatting sqref="H7:H10 H12:H15 H17:H20 H22:H25 H27:H30 H32:H35">
    <cfRule type="expression" dxfId="0" priority="6">
      <formula>$H7&lt;&gt;""</formula>
    </cfRule>
  </conditionalFormatting>
  <dataValidations xWindow="323" yWindow="365" count="13">
    <dataValidation allowBlank="1" showInputMessage="1" showErrorMessage="1" prompt="Mes actualizado automáticamente" sqref="B2:C2" xr:uid="{00000000-0002-0000-0100-000000000000}"/>
    <dataValidation allowBlank="1" showInputMessage="1" showErrorMessage="1" prompt="Escriba notas en esta celda" sqref="E2 D3:D4" xr:uid="{00000000-0002-0000-0100-000001000000}"/>
    <dataValidation allowBlank="1" showInputMessage="1" showErrorMessage="1" prompt="Vínculo de navegación a la lista de deberes" sqref="B1" xr:uid="{00000000-0002-0000-0100-000002000000}"/>
    <dataValidation allowBlank="1" showInputMessage="1" showErrorMessage="1" prompt="Escriba el mes en esta celda" sqref="H2" xr:uid="{00000000-0002-0000-0100-000003000000}"/>
    <dataValidation allowBlank="1" showInputMessage="1" showErrorMessage="1" prompt="Escriba el año en esta celda" sqref="H3" xr:uid="{00000000-0002-0000-0100-000004000000}"/>
    <dataValidation allowBlank="1" showInputMessage="1" showErrorMessage="1" prompt="Escriba el día de inicio en esta celda" sqref="H4" xr:uid="{00000000-0002-0000-0100-000005000000}"/>
    <dataValidation allowBlank="1" showInputMessage="1" showErrorMessage="1" prompt="Año actualizado automáticamente" sqref="B3:C3" xr:uid="{00000000-0002-0000-0100-000006000000}"/>
    <dataValidation allowBlank="1" showInputMessage="1" showErrorMessage="1" prompt="Día de la semana determinado automáticamente basándose en el día de inicio en H4" sqref="C5:H5" xr:uid="{00000000-0002-0000-0100-000007000000}"/>
    <dataValidation allowBlank="1" showInputMessage="1" showErrorMessage="1" prompt="Esta celda y filas 6, 11, 16, 21, 26 y 31 contienen la fecha de calendario para el día de la semana" sqref="B6" xr:uid="{00000000-0002-0000-0100-000008000000}"/>
    <dataValidation allowBlank="1" showInputMessage="1" showErrorMessage="1" prompt="La clase y la asignación se muestran en esta fila y en filas 8:10, 12:15, 17:20, 22:25, 27:30 y 32:35" sqref="B7" xr:uid="{00000000-0002-0000-0100-000009000000}"/>
    <dataValidation allowBlank="1" showInputMessage="1" showErrorMessage="1" prompt="Cree un calendario de deberes escribiendo el mes, año y día inicial en las celdas H2:H4. Escriba las notas del mes en la celda E2. La celda B1 vuelve a la hoja de cálculo de lista de deberes" sqref="A1" xr:uid="{00000000-0002-0000-0100-00000A000000}"/>
    <dataValidation allowBlank="1" showInputMessage="1" showErrorMessage="1" prompt="Esta fila contiene los nombres de los días laborables de este calendario. Esta celda contiene el día de inicio de la semana. Para cambiar el día de inicio, escriba un nuevo día laborable en la celda H4" sqref="B5" xr:uid="{00000000-0002-0000-0100-00000B000000}"/>
    <dataValidation allowBlank="1" showInputMessage="1" showErrorMessage="1" prompt="Escriba notas en la celda a la derecha" sqref="D2" xr:uid="{00000000-0002-0000-0100-00000D000000}"/>
  </dataValidations>
  <hyperlinks>
    <hyperlink ref="B1" location="'Lista de deberes'!A1" tooltip="Haga clic para ver la lista de deberes" display="A LA LISTA DE DEBERES" xr:uid="{00000000-0004-0000-0100-000000000000}"/>
  </hyperlinks>
  <printOptions horizontalCentered="1" verticalCentered="1"/>
  <pageMargins left="0.45" right="0.45" top="0.5" bottom="0.5" header="0.3" footer="0.3"/>
  <pageSetup paperSize="9" scale="48" orientation="landscape" r:id="rId1"/>
  <headerFooter differentFirst="1">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11</vt:i4>
      </vt:variant>
    </vt:vector>
  </HeadingPairs>
  <TitlesOfParts>
    <vt:vector size="13" baseType="lpstr">
      <vt:lpstr>Lista de deberes</vt:lpstr>
      <vt:lpstr>Calendario de deberes</vt:lpstr>
      <vt:lpstr>'Calendario de deberes'!Área_de_impresión</vt:lpstr>
      <vt:lpstr>ColumnTitle1</vt:lpstr>
      <vt:lpstr>ColumnTitleRegion..H35.2</vt:lpstr>
      <vt:lpstr>DailyWork</vt:lpstr>
      <vt:lpstr>DayToStart</vt:lpstr>
      <vt:lpstr>Fechas</vt:lpstr>
      <vt:lpstr>ListaDeDeberes</vt:lpstr>
      <vt:lpstr>'Calendario de deberes'!MonthToDisplay</vt:lpstr>
      <vt:lpstr>RowTitleRegion..H4.2</vt:lpstr>
      <vt:lpstr>'Lista de deberes'!Títulos_a_imprimir</vt:lpstr>
      <vt:lpstr>'Calendario de deberes'!YearToDisplay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01</dc:creator>
  <cp:lastModifiedBy>01</cp:lastModifiedBy>
  <dcterms:created xsi:type="dcterms:W3CDTF">2016-12-05T09:52:20Z</dcterms:created>
  <dcterms:modified xsi:type="dcterms:W3CDTF">2020-04-23T02:29:53Z</dcterms:modified>
</cp:coreProperties>
</file>