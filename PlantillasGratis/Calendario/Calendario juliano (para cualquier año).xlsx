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codeName="ThisWorkbook" autoCompressPictures="0"/>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65B3D8C2-96A5-40B6-9D1F-3FEE541EC08D}" xr6:coauthVersionLast="45" xr6:coauthVersionMax="45" xr10:uidLastSave="{00000000-0000-0000-0000-000000000000}"/>
  <bookViews>
    <workbookView xWindow="-120" yWindow="-120" windowWidth="20730" windowHeight="11160" tabRatio="788" xr2:uid="{00000000-000D-0000-FFFF-FFFF00000000}"/>
  </bookViews>
  <sheets>
    <sheet name="ENE" sheetId="14" r:id="rId1"/>
    <sheet name="FEB" sheetId="21" r:id="rId2"/>
    <sheet name="MAR" sheetId="22" r:id="rId3"/>
    <sheet name="ABR" sheetId="23" r:id="rId4"/>
    <sheet name="MAY" sheetId="24" r:id="rId5"/>
    <sheet name="JUN" sheetId="25" r:id="rId6"/>
    <sheet name="JUL" sheetId="26" r:id="rId7"/>
    <sheet name="AGO" sheetId="27" r:id="rId8"/>
    <sheet name="SEP" sheetId="28" r:id="rId9"/>
    <sheet name="OCT" sheetId="29" r:id="rId10"/>
    <sheet name="NOV" sheetId="30" r:id="rId11"/>
    <sheet name="DIC" sheetId="31" r:id="rId12"/>
  </sheets>
  <definedNames>
    <definedName name="AñoNatural">ENE!$B$2</definedName>
    <definedName name="CalendarDay" localSheetId="3">ABR!A1048576</definedName>
    <definedName name="CalendarDay" localSheetId="7">AGO!A1048576</definedName>
    <definedName name="CalendarDay" localSheetId="11">DIC!A1048576</definedName>
    <definedName name="CalendarDay" localSheetId="0">ENE!A1048576</definedName>
    <definedName name="CalendarDay" localSheetId="1">FEB!A1048576</definedName>
    <definedName name="CalendarDay" localSheetId="6">JUL!A1048576</definedName>
    <definedName name="CalendarDay" localSheetId="5">JUN!A1048576</definedName>
    <definedName name="CalendarDay" localSheetId="2">MAR!A1048576</definedName>
    <definedName name="CalendarDay" localSheetId="4">MAY!A1048576</definedName>
    <definedName name="CalendarDay" localSheetId="10">NOV!A1048576</definedName>
    <definedName name="CalendarDay" localSheetId="9">OCT!A1048576</definedName>
    <definedName name="CalendarDay" localSheetId="8">SEP!A1048576</definedName>
    <definedName name="ColumnTitleRegion1..J16.1">ENE!$C$1</definedName>
    <definedName name="ColumnTitleRegion1..J16.10">OCT!$C$1</definedName>
    <definedName name="ColumnTitleRegion1..J16.11">NOV!$C$1</definedName>
    <definedName name="ColumnTitleRegion1..J16.12">DIC!$C$1</definedName>
    <definedName name="ColumnTitleRegion1..J16.2">FEB!$C$1</definedName>
    <definedName name="ColumnTitleRegion1..J16.3">MAR!$C$1</definedName>
    <definedName name="ColumnTitleRegion1..J16.4">ABR!$C$1</definedName>
    <definedName name="ColumnTitleRegion1..J16.5">MAY!$C$1</definedName>
    <definedName name="ColumnTitleRegion1..J16.6">JUN!$C$1</definedName>
    <definedName name="ColumnTitleRegion1..J16.7">JUL!$C$1</definedName>
    <definedName name="ColumnTitleRegion1..J16.8">AGO!$C$1</definedName>
    <definedName name="ColumnTitleRegion1..J16.9">SEP!$C$1</definedName>
    <definedName name="ColumnTitleRegion2..E20.1">ENE!$C$1</definedName>
    <definedName name="ColumnTitleRegion2..E20.10">OCT!$C$1</definedName>
    <definedName name="ColumnTitleRegion2..E20.11">NOV!$C$1</definedName>
    <definedName name="ColumnTitleRegion2..E20.12">DIC!$C$1</definedName>
    <definedName name="ColumnTitleRegion2..E20.2">FEB!$C$1</definedName>
    <definedName name="ColumnTitleRegion2..E20.3">MAR!$C$1</definedName>
    <definedName name="ColumnTitleRegion2..E20.4">ABR!$C$1</definedName>
    <definedName name="ColumnTitleRegion2..E20.5">MAY!$C$1</definedName>
    <definedName name="ColumnTitleRegion2..E20.6">JUN!$C$1</definedName>
    <definedName name="ColumnTitleRegion2..E20.7">JUL!$C$1</definedName>
    <definedName name="ColumnTitleRegion2..E20.8">AGO!$C$1</definedName>
    <definedName name="ColumnTitleRegion2..E20.9">SEP!$C$1</definedName>
    <definedName name="DíasYSemanas">{0,1,2,3,4,5,6} + {0;1;2;3;4;5}*7</definedName>
    <definedName name="InicioDeSemana">ENE!$C$1</definedName>
    <definedName name="ValorDeInicioDeSemana">IF(InicioDeSemana="Lunes",2,1)</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C1" i="21" l="1"/>
  <c r="C1" i="22"/>
  <c r="C1" i="23"/>
  <c r="C1" i="24"/>
  <c r="C1" i="25"/>
  <c r="C1" i="26"/>
  <c r="C1" i="27"/>
  <c r="C1" i="28"/>
  <c r="C1" i="29"/>
  <c r="C1" i="30"/>
  <c r="C1" i="31"/>
  <c r="B2" i="14" l="1"/>
  <c r="C19" i="22" l="1" a="1"/>
  <c r="C15" i="22" a="1"/>
  <c r="C12" i="22" a="1"/>
  <c r="C9" i="22" a="1"/>
  <c r="C6" i="22" a="1"/>
  <c r="C3" i="22" a="1"/>
  <c r="C19" i="24" a="1"/>
  <c r="C15" i="24" a="1"/>
  <c r="C12" i="24" a="1"/>
  <c r="C9" i="24" a="1"/>
  <c r="C6" i="24" a="1"/>
  <c r="C3" i="24" a="1"/>
  <c r="C19" i="23" a="1"/>
  <c r="C15" i="23" a="1"/>
  <c r="C12" i="23" a="1"/>
  <c r="C9" i="23" a="1"/>
  <c r="C6" i="23" a="1"/>
  <c r="C3" i="23" a="1"/>
  <c r="C3" i="25" a="1"/>
  <c r="C19" i="27" a="1"/>
  <c r="C15" i="27" a="1"/>
  <c r="C12" i="27" a="1"/>
  <c r="C9" i="27" a="1"/>
  <c r="C6" i="27" a="1"/>
  <c r="C3" i="27" a="1"/>
  <c r="C19" i="29" a="1"/>
  <c r="C15" i="29" a="1"/>
  <c r="C12" i="29" a="1"/>
  <c r="C9" i="29" a="1"/>
  <c r="C6" i="29" a="1"/>
  <c r="C3" i="29" a="1"/>
  <c r="C19" i="31" a="1"/>
  <c r="C15" i="31" a="1"/>
  <c r="C12" i="31" a="1"/>
  <c r="C9" i="31" a="1"/>
  <c r="C6" i="31" a="1"/>
  <c r="C19" i="25" a="1"/>
  <c r="C15" i="25" a="1"/>
  <c r="C12" i="25" a="1"/>
  <c r="C9" i="25" a="1"/>
  <c r="C6" i="25" a="1"/>
  <c r="C19" i="26" a="1"/>
  <c r="C15" i="26" a="1"/>
  <c r="C12" i="26" a="1"/>
  <c r="C9" i="26" a="1"/>
  <c r="C6" i="26" a="1"/>
  <c r="C3" i="26" a="1"/>
  <c r="C19" i="30" a="1"/>
  <c r="C15" i="30" a="1"/>
  <c r="C12" i="30" a="1"/>
  <c r="C9" i="30" a="1"/>
  <c r="C6" i="30" a="1"/>
  <c r="C3" i="30" a="1"/>
  <c r="C3" i="31" a="1"/>
  <c r="C19" i="21" a="1"/>
  <c r="C15" i="21" a="1"/>
  <c r="C12" i="21" a="1"/>
  <c r="C9" i="21" a="1"/>
  <c r="C6" i="21" a="1"/>
  <c r="C3" i="21" a="1"/>
  <c r="C19" i="28" a="1"/>
  <c r="C15" i="28" a="1"/>
  <c r="C12" i="28" a="1"/>
  <c r="C9" i="28" a="1"/>
  <c r="C6" i="28" a="1"/>
  <c r="C3" i="28" a="1"/>
  <c r="C19" i="14" a="1"/>
  <c r="C15" i="14" a="1"/>
  <c r="C12" i="14" a="1"/>
  <c r="C9" i="14" a="1"/>
  <c r="C6" i="14" a="1"/>
  <c r="C3" i="14" a="1"/>
  <c r="B2" i="25"/>
  <c r="B2" i="26"/>
  <c r="B2" i="27"/>
  <c r="B2" i="28"/>
  <c r="B2" i="29"/>
  <c r="B2" i="30"/>
  <c r="B2" i="22"/>
  <c r="B2" i="24"/>
  <c r="B2" i="31"/>
  <c r="B2" i="23"/>
  <c r="B2" i="21"/>
  <c r="I9" i="14" l="1"/>
  <c r="I10" i="14" s="1"/>
  <c r="G9" i="14"/>
  <c r="G10" i="14" s="1"/>
  <c r="E9" i="14"/>
  <c r="E10" i="14" s="1"/>
  <c r="C9" i="14"/>
  <c r="C10" i="14" s="1"/>
  <c r="H9" i="14"/>
  <c r="H10" i="14" s="1"/>
  <c r="F9" i="14"/>
  <c r="F10" i="14" s="1"/>
  <c r="D9" i="14"/>
  <c r="D10" i="14" s="1"/>
  <c r="I3" i="28"/>
  <c r="I4" i="28" s="1"/>
  <c r="G3" i="28"/>
  <c r="G4" i="28" s="1"/>
  <c r="E3" i="28"/>
  <c r="E4" i="28" s="1"/>
  <c r="C3" i="28"/>
  <c r="C4" i="28" s="1"/>
  <c r="H3" i="28"/>
  <c r="H4" i="28" s="1"/>
  <c r="D3" i="28"/>
  <c r="D4" i="28" s="1"/>
  <c r="F3" i="28"/>
  <c r="F4" i="28" s="1"/>
  <c r="I15" i="28"/>
  <c r="I16" i="28" s="1"/>
  <c r="G15" i="28"/>
  <c r="G16" i="28" s="1"/>
  <c r="E15" i="28"/>
  <c r="E16" i="28" s="1"/>
  <c r="C15" i="28"/>
  <c r="C16" i="28" s="1"/>
  <c r="H15" i="28"/>
  <c r="H16" i="28" s="1"/>
  <c r="D15" i="28"/>
  <c r="D16" i="28" s="1"/>
  <c r="F15" i="28"/>
  <c r="F16" i="28" s="1"/>
  <c r="H9" i="21"/>
  <c r="H10" i="21" s="1"/>
  <c r="F9" i="21"/>
  <c r="F10" i="21" s="1"/>
  <c r="D9" i="21"/>
  <c r="D10" i="21" s="1"/>
  <c r="I9" i="21"/>
  <c r="I10" i="21" s="1"/>
  <c r="G9" i="21"/>
  <c r="G10" i="21" s="1"/>
  <c r="E9" i="21"/>
  <c r="E10" i="21" s="1"/>
  <c r="C9" i="21"/>
  <c r="C10" i="21" s="1"/>
  <c r="H3" i="31"/>
  <c r="H4" i="31" s="1"/>
  <c r="I3" i="31"/>
  <c r="I4" i="31" s="1"/>
  <c r="F3" i="31"/>
  <c r="F4" i="31" s="1"/>
  <c r="D3" i="31"/>
  <c r="D4" i="31" s="1"/>
  <c r="G3" i="31"/>
  <c r="G4" i="31" s="1"/>
  <c r="E3" i="31"/>
  <c r="E4" i="31" s="1"/>
  <c r="C3" i="31"/>
  <c r="C4" i="31" s="1"/>
  <c r="C19" i="30"/>
  <c r="C20" i="30" s="1"/>
  <c r="D19" i="30"/>
  <c r="D20" i="30" s="1"/>
  <c r="I12" i="26"/>
  <c r="I13" i="26" s="1"/>
  <c r="G12" i="26"/>
  <c r="G13" i="26" s="1"/>
  <c r="E12" i="26"/>
  <c r="E13" i="26" s="1"/>
  <c r="C12" i="26"/>
  <c r="C13" i="26" s="1"/>
  <c r="F12" i="26"/>
  <c r="F13" i="26" s="1"/>
  <c r="H12" i="26"/>
  <c r="H13" i="26" s="1"/>
  <c r="D12" i="26"/>
  <c r="D13" i="26" s="1"/>
  <c r="I9" i="25"/>
  <c r="I10" i="25" s="1"/>
  <c r="G9" i="25"/>
  <c r="G10" i="25" s="1"/>
  <c r="E9" i="25"/>
  <c r="E10" i="25" s="1"/>
  <c r="C9" i="25"/>
  <c r="C10" i="25" s="1"/>
  <c r="H9" i="25"/>
  <c r="H10" i="25" s="1"/>
  <c r="D9" i="25"/>
  <c r="D10" i="25" s="1"/>
  <c r="F9" i="25"/>
  <c r="F10" i="25" s="1"/>
  <c r="H6" i="31"/>
  <c r="H7" i="31" s="1"/>
  <c r="F6" i="31"/>
  <c r="F7" i="31" s="1"/>
  <c r="D6" i="31"/>
  <c r="D7" i="31" s="1"/>
  <c r="I6" i="31"/>
  <c r="I7" i="31" s="1"/>
  <c r="E6" i="31"/>
  <c r="E7" i="31" s="1"/>
  <c r="G6" i="31"/>
  <c r="G7" i="31" s="1"/>
  <c r="C6" i="31"/>
  <c r="C7" i="31" s="1"/>
  <c r="H12" i="31"/>
  <c r="H13" i="31" s="1"/>
  <c r="F12" i="31"/>
  <c r="F13" i="31" s="1"/>
  <c r="D12" i="31"/>
  <c r="D13" i="31" s="1"/>
  <c r="I12" i="31"/>
  <c r="I13" i="31" s="1"/>
  <c r="E12" i="31"/>
  <c r="E13" i="31" s="1"/>
  <c r="G12" i="31"/>
  <c r="G13" i="31" s="1"/>
  <c r="C12" i="31"/>
  <c r="C13" i="31" s="1"/>
  <c r="D19" i="31"/>
  <c r="D20" i="31" s="1"/>
  <c r="C19" i="31"/>
  <c r="C20" i="31" s="1"/>
  <c r="H6" i="29"/>
  <c r="H7" i="29" s="1"/>
  <c r="F6" i="29"/>
  <c r="F7" i="29" s="1"/>
  <c r="D6" i="29"/>
  <c r="D7" i="29" s="1"/>
  <c r="G6" i="29"/>
  <c r="G7" i="29" s="1"/>
  <c r="C6" i="29"/>
  <c r="C7" i="29" s="1"/>
  <c r="I6" i="29"/>
  <c r="I7" i="29" s="1"/>
  <c r="E6" i="29"/>
  <c r="E7" i="29" s="1"/>
  <c r="H12" i="29"/>
  <c r="H13" i="29" s="1"/>
  <c r="F12" i="29"/>
  <c r="F13" i="29" s="1"/>
  <c r="D12" i="29"/>
  <c r="D13" i="29" s="1"/>
  <c r="G12" i="29"/>
  <c r="G13" i="29" s="1"/>
  <c r="C12" i="29"/>
  <c r="C13" i="29" s="1"/>
  <c r="I12" i="29"/>
  <c r="I13" i="29" s="1"/>
  <c r="E12" i="29"/>
  <c r="E13" i="29" s="1"/>
  <c r="D19" i="29"/>
  <c r="D20" i="29" s="1"/>
  <c r="C19" i="29"/>
  <c r="C20" i="29" s="1"/>
  <c r="H6" i="27"/>
  <c r="H7" i="27" s="1"/>
  <c r="F6" i="27"/>
  <c r="F7" i="27" s="1"/>
  <c r="D6" i="27"/>
  <c r="D7" i="27" s="1"/>
  <c r="I6" i="27"/>
  <c r="I7" i="27" s="1"/>
  <c r="E6" i="27"/>
  <c r="E7" i="27" s="1"/>
  <c r="G6" i="27"/>
  <c r="G7" i="27" s="1"/>
  <c r="C6" i="27"/>
  <c r="C7" i="27" s="1"/>
  <c r="H12" i="27"/>
  <c r="H13" i="27" s="1"/>
  <c r="F12" i="27"/>
  <c r="F13" i="27" s="1"/>
  <c r="D12" i="27"/>
  <c r="D13" i="27" s="1"/>
  <c r="I12" i="27"/>
  <c r="I13" i="27" s="1"/>
  <c r="E12" i="27"/>
  <c r="E13" i="27" s="1"/>
  <c r="G12" i="27"/>
  <c r="G13" i="27" s="1"/>
  <c r="C12" i="27"/>
  <c r="C13" i="27" s="1"/>
  <c r="D19" i="27"/>
  <c r="D20" i="27" s="1"/>
  <c r="C19" i="27"/>
  <c r="C20" i="27" s="1"/>
  <c r="I3" i="23"/>
  <c r="I4" i="23" s="1"/>
  <c r="G3" i="23"/>
  <c r="G4" i="23" s="1"/>
  <c r="E3" i="23"/>
  <c r="E4" i="23" s="1"/>
  <c r="C3" i="23"/>
  <c r="C4" i="23" s="1"/>
  <c r="F3" i="23"/>
  <c r="F4" i="23" s="1"/>
  <c r="D3" i="23"/>
  <c r="D4" i="23" s="1"/>
  <c r="H3" i="23"/>
  <c r="H4" i="23" s="1"/>
  <c r="I9" i="23"/>
  <c r="I10" i="23" s="1"/>
  <c r="G9" i="23"/>
  <c r="G10" i="23" s="1"/>
  <c r="E9" i="23"/>
  <c r="E10" i="23" s="1"/>
  <c r="C9" i="23"/>
  <c r="C10" i="23" s="1"/>
  <c r="F9" i="23"/>
  <c r="F10" i="23" s="1"/>
  <c r="D9" i="23"/>
  <c r="D10" i="23" s="1"/>
  <c r="H9" i="23"/>
  <c r="H10" i="23" s="1"/>
  <c r="I15" i="23"/>
  <c r="I16" i="23" s="1"/>
  <c r="G15" i="23"/>
  <c r="G16" i="23" s="1"/>
  <c r="E15" i="23"/>
  <c r="E16" i="23" s="1"/>
  <c r="C15" i="23"/>
  <c r="C16" i="23" s="1"/>
  <c r="F15" i="23"/>
  <c r="F16" i="23" s="1"/>
  <c r="D15" i="23"/>
  <c r="D16" i="23" s="1"/>
  <c r="H15" i="23"/>
  <c r="H16" i="23" s="1"/>
  <c r="H3" i="24"/>
  <c r="H4" i="24" s="1"/>
  <c r="F3" i="24"/>
  <c r="F4" i="24" s="1"/>
  <c r="D3" i="24"/>
  <c r="D4" i="24" s="1"/>
  <c r="I3" i="24"/>
  <c r="I4" i="24" s="1"/>
  <c r="E3" i="24"/>
  <c r="E4" i="24" s="1"/>
  <c r="G3" i="24"/>
  <c r="G4" i="24" s="1"/>
  <c r="C3" i="24"/>
  <c r="C4" i="24" s="1"/>
  <c r="H9" i="24"/>
  <c r="H10" i="24" s="1"/>
  <c r="F9" i="24"/>
  <c r="F10" i="24" s="1"/>
  <c r="D9" i="24"/>
  <c r="D10" i="24" s="1"/>
  <c r="I9" i="24"/>
  <c r="I10" i="24" s="1"/>
  <c r="E9" i="24"/>
  <c r="E10" i="24" s="1"/>
  <c r="G9" i="24"/>
  <c r="G10" i="24" s="1"/>
  <c r="C9" i="24"/>
  <c r="C10" i="24" s="1"/>
  <c r="H15" i="24"/>
  <c r="H16" i="24" s="1"/>
  <c r="F15" i="24"/>
  <c r="F16" i="24" s="1"/>
  <c r="D15" i="24"/>
  <c r="D16" i="24" s="1"/>
  <c r="I15" i="24"/>
  <c r="I16" i="24" s="1"/>
  <c r="E15" i="24"/>
  <c r="E16" i="24" s="1"/>
  <c r="G15" i="24"/>
  <c r="G16" i="24" s="1"/>
  <c r="C15" i="24"/>
  <c r="C16" i="24" s="1"/>
  <c r="H3" i="22"/>
  <c r="H4" i="22" s="1"/>
  <c r="F3" i="22"/>
  <c r="F4" i="22" s="1"/>
  <c r="D3" i="22"/>
  <c r="D4" i="22" s="1"/>
  <c r="G3" i="22"/>
  <c r="G4" i="22" s="1"/>
  <c r="C3" i="22"/>
  <c r="C4" i="22" s="1"/>
  <c r="I3" i="22"/>
  <c r="I4" i="22" s="1"/>
  <c r="E3" i="22"/>
  <c r="E4" i="22" s="1"/>
  <c r="H9" i="22"/>
  <c r="H10" i="22" s="1"/>
  <c r="F9" i="22"/>
  <c r="F10" i="22" s="1"/>
  <c r="D9" i="22"/>
  <c r="D10" i="22" s="1"/>
  <c r="G9" i="22"/>
  <c r="G10" i="22" s="1"/>
  <c r="C9" i="22"/>
  <c r="C10" i="22" s="1"/>
  <c r="I9" i="22"/>
  <c r="I10" i="22" s="1"/>
  <c r="E9" i="22"/>
  <c r="E10" i="22" s="1"/>
  <c r="H15" i="22"/>
  <c r="H16" i="22" s="1"/>
  <c r="F15" i="22"/>
  <c r="F16" i="22" s="1"/>
  <c r="D15" i="22"/>
  <c r="D16" i="22" s="1"/>
  <c r="G15" i="22"/>
  <c r="G16" i="22" s="1"/>
  <c r="C15" i="22"/>
  <c r="C16" i="22" s="1"/>
  <c r="I15" i="22"/>
  <c r="I16" i="22" s="1"/>
  <c r="E15" i="22"/>
  <c r="E16" i="22" s="1"/>
  <c r="I3" i="14"/>
  <c r="I4" i="14" s="1"/>
  <c r="G3" i="14"/>
  <c r="G4" i="14" s="1"/>
  <c r="E3" i="14"/>
  <c r="E4" i="14" s="1"/>
  <c r="C3" i="14"/>
  <c r="C4" i="14" s="1"/>
  <c r="H3" i="14"/>
  <c r="H4" i="14" s="1"/>
  <c r="F3" i="14"/>
  <c r="F4" i="14" s="1"/>
  <c r="D3" i="14"/>
  <c r="D4" i="14" s="1"/>
  <c r="I15" i="14"/>
  <c r="I16" i="14" s="1"/>
  <c r="G15" i="14"/>
  <c r="G16" i="14" s="1"/>
  <c r="E15" i="14"/>
  <c r="E16" i="14" s="1"/>
  <c r="C15" i="14"/>
  <c r="C16" i="14" s="1"/>
  <c r="H15" i="14"/>
  <c r="H16" i="14" s="1"/>
  <c r="F15" i="14"/>
  <c r="F16" i="14" s="1"/>
  <c r="D15" i="14"/>
  <c r="D16" i="14" s="1"/>
  <c r="I9" i="28"/>
  <c r="I10" i="28" s="1"/>
  <c r="G9" i="28"/>
  <c r="G10" i="28" s="1"/>
  <c r="E9" i="28"/>
  <c r="E10" i="28" s="1"/>
  <c r="C9" i="28"/>
  <c r="C10" i="28" s="1"/>
  <c r="H9" i="28"/>
  <c r="H10" i="28" s="1"/>
  <c r="D9" i="28"/>
  <c r="D10" i="28" s="1"/>
  <c r="F9" i="28"/>
  <c r="F10" i="28" s="1"/>
  <c r="H3" i="21"/>
  <c r="H4" i="21" s="1"/>
  <c r="F3" i="21"/>
  <c r="F4" i="21" s="1"/>
  <c r="D3" i="21"/>
  <c r="D4" i="21" s="1"/>
  <c r="I3" i="21"/>
  <c r="I4" i="21" s="1"/>
  <c r="G3" i="21"/>
  <c r="G4" i="21" s="1"/>
  <c r="E3" i="21"/>
  <c r="E4" i="21" s="1"/>
  <c r="C3" i="21"/>
  <c r="C4" i="21" s="1"/>
  <c r="H15" i="21"/>
  <c r="H16" i="21" s="1"/>
  <c r="F15" i="21"/>
  <c r="F16" i="21" s="1"/>
  <c r="D15" i="21"/>
  <c r="D16" i="21" s="1"/>
  <c r="I15" i="21"/>
  <c r="I16" i="21" s="1"/>
  <c r="G15" i="21"/>
  <c r="G16" i="21" s="1"/>
  <c r="E15" i="21"/>
  <c r="E16" i="21" s="1"/>
  <c r="C15" i="21"/>
  <c r="C16" i="21" s="1"/>
  <c r="I6" i="30"/>
  <c r="I7" i="30" s="1"/>
  <c r="G6" i="30"/>
  <c r="G7" i="30" s="1"/>
  <c r="E6" i="30"/>
  <c r="E7" i="30" s="1"/>
  <c r="C6" i="30"/>
  <c r="C7" i="30" s="1"/>
  <c r="F6" i="30"/>
  <c r="F7" i="30" s="1"/>
  <c r="H6" i="30"/>
  <c r="H7" i="30" s="1"/>
  <c r="D6" i="30"/>
  <c r="D7" i="30" s="1"/>
  <c r="I12" i="30"/>
  <c r="I13" i="30" s="1"/>
  <c r="G12" i="30"/>
  <c r="G13" i="30" s="1"/>
  <c r="E12" i="30"/>
  <c r="E13" i="30" s="1"/>
  <c r="C12" i="30"/>
  <c r="C13" i="30" s="1"/>
  <c r="F12" i="30"/>
  <c r="F13" i="30" s="1"/>
  <c r="H12" i="30"/>
  <c r="H13" i="30" s="1"/>
  <c r="D12" i="30"/>
  <c r="D13" i="30" s="1"/>
  <c r="I6" i="26"/>
  <c r="I7" i="26" s="1"/>
  <c r="G6" i="26"/>
  <c r="G7" i="26" s="1"/>
  <c r="E6" i="26"/>
  <c r="E7" i="26" s="1"/>
  <c r="C6" i="26"/>
  <c r="C7" i="26" s="1"/>
  <c r="F6" i="26"/>
  <c r="F7" i="26" s="1"/>
  <c r="H6" i="26"/>
  <c r="H7" i="26" s="1"/>
  <c r="D6" i="26"/>
  <c r="D7" i="26" s="1"/>
  <c r="C19" i="26"/>
  <c r="C20" i="26" s="1"/>
  <c r="D19" i="26"/>
  <c r="D20" i="26" s="1"/>
  <c r="I15" i="25"/>
  <c r="I16" i="25" s="1"/>
  <c r="G15" i="25"/>
  <c r="G16" i="25" s="1"/>
  <c r="E15" i="25"/>
  <c r="E16" i="25" s="1"/>
  <c r="C15" i="25"/>
  <c r="C16" i="25" s="1"/>
  <c r="H15" i="25"/>
  <c r="H16" i="25" s="1"/>
  <c r="D15" i="25"/>
  <c r="D16" i="25" s="1"/>
  <c r="F15" i="25"/>
  <c r="F16" i="25" s="1"/>
  <c r="I6" i="14"/>
  <c r="I7" i="14" s="1"/>
  <c r="G6" i="14"/>
  <c r="G7" i="14" s="1"/>
  <c r="E6" i="14"/>
  <c r="E7" i="14" s="1"/>
  <c r="C6" i="14"/>
  <c r="C7" i="14" s="1"/>
  <c r="H6" i="14"/>
  <c r="H7" i="14" s="1"/>
  <c r="F6" i="14"/>
  <c r="F7" i="14" s="1"/>
  <c r="D6" i="14"/>
  <c r="D7" i="14" s="1"/>
  <c r="I12" i="14"/>
  <c r="I13" i="14" s="1"/>
  <c r="G12" i="14"/>
  <c r="G13" i="14" s="1"/>
  <c r="E12" i="14"/>
  <c r="E13" i="14" s="1"/>
  <c r="C12" i="14"/>
  <c r="C13" i="14" s="1"/>
  <c r="H12" i="14"/>
  <c r="H13" i="14" s="1"/>
  <c r="F12" i="14"/>
  <c r="F13" i="14" s="1"/>
  <c r="D12" i="14"/>
  <c r="D13" i="14" s="1"/>
  <c r="C19" i="14"/>
  <c r="C20" i="14" s="1"/>
  <c r="D19" i="14"/>
  <c r="D20" i="14" s="1"/>
  <c r="I6" i="28"/>
  <c r="I7" i="28" s="1"/>
  <c r="G6" i="28"/>
  <c r="G7" i="28" s="1"/>
  <c r="E6" i="28"/>
  <c r="E7" i="28" s="1"/>
  <c r="C6" i="28"/>
  <c r="C7" i="28" s="1"/>
  <c r="H6" i="28"/>
  <c r="H7" i="28" s="1"/>
  <c r="D6" i="28"/>
  <c r="D7" i="28" s="1"/>
  <c r="F6" i="28"/>
  <c r="F7" i="28" s="1"/>
  <c r="I12" i="28"/>
  <c r="I13" i="28" s="1"/>
  <c r="G12" i="28"/>
  <c r="G13" i="28" s="1"/>
  <c r="E12" i="28"/>
  <c r="E13" i="28" s="1"/>
  <c r="C12" i="28"/>
  <c r="C13" i="28" s="1"/>
  <c r="H12" i="28"/>
  <c r="H13" i="28" s="1"/>
  <c r="D12" i="28"/>
  <c r="D13" i="28" s="1"/>
  <c r="F12" i="28"/>
  <c r="F13" i="28" s="1"/>
  <c r="C19" i="28"/>
  <c r="C20" i="28" s="1"/>
  <c r="D19" i="28"/>
  <c r="D20" i="28" s="1"/>
  <c r="H6" i="21"/>
  <c r="H7" i="21" s="1"/>
  <c r="F6" i="21"/>
  <c r="F7" i="21" s="1"/>
  <c r="D6" i="21"/>
  <c r="D7" i="21" s="1"/>
  <c r="I6" i="21"/>
  <c r="I7" i="21" s="1"/>
  <c r="G6" i="21"/>
  <c r="G7" i="21" s="1"/>
  <c r="E6" i="21"/>
  <c r="E7" i="21" s="1"/>
  <c r="C6" i="21"/>
  <c r="C7" i="21" s="1"/>
  <c r="H12" i="21"/>
  <c r="H13" i="21" s="1"/>
  <c r="F12" i="21"/>
  <c r="F13" i="21" s="1"/>
  <c r="D12" i="21"/>
  <c r="D13" i="21" s="1"/>
  <c r="I12" i="21"/>
  <c r="I13" i="21" s="1"/>
  <c r="G12" i="21"/>
  <c r="G13" i="21" s="1"/>
  <c r="E12" i="21"/>
  <c r="E13" i="21" s="1"/>
  <c r="C12" i="21"/>
  <c r="C13" i="21" s="1"/>
  <c r="D19" i="21"/>
  <c r="D20" i="21" s="1"/>
  <c r="C19" i="21"/>
  <c r="C20" i="21" s="1"/>
  <c r="I3" i="30"/>
  <c r="I4" i="30" s="1"/>
  <c r="G3" i="30"/>
  <c r="G4" i="30" s="1"/>
  <c r="E3" i="30"/>
  <c r="E4" i="30" s="1"/>
  <c r="C3" i="30"/>
  <c r="C4" i="30" s="1"/>
  <c r="F3" i="30"/>
  <c r="F4" i="30" s="1"/>
  <c r="H3" i="30"/>
  <c r="H4" i="30" s="1"/>
  <c r="D3" i="30"/>
  <c r="D4" i="30" s="1"/>
  <c r="I9" i="30"/>
  <c r="I10" i="30" s="1"/>
  <c r="G9" i="30"/>
  <c r="G10" i="30" s="1"/>
  <c r="E9" i="30"/>
  <c r="E10" i="30" s="1"/>
  <c r="C9" i="30"/>
  <c r="C10" i="30" s="1"/>
  <c r="F9" i="30"/>
  <c r="F10" i="30" s="1"/>
  <c r="H9" i="30"/>
  <c r="H10" i="30" s="1"/>
  <c r="D9" i="30"/>
  <c r="D10" i="30" s="1"/>
  <c r="I15" i="30"/>
  <c r="I16" i="30" s="1"/>
  <c r="G15" i="30"/>
  <c r="G16" i="30" s="1"/>
  <c r="E15" i="30"/>
  <c r="E16" i="30" s="1"/>
  <c r="C15" i="30"/>
  <c r="C16" i="30" s="1"/>
  <c r="F15" i="30"/>
  <c r="F16" i="30" s="1"/>
  <c r="H15" i="30"/>
  <c r="H16" i="30" s="1"/>
  <c r="D15" i="30"/>
  <c r="D16" i="30" s="1"/>
  <c r="I3" i="26"/>
  <c r="I4" i="26" s="1"/>
  <c r="G3" i="26"/>
  <c r="G4" i="26" s="1"/>
  <c r="E3" i="26"/>
  <c r="E4" i="26" s="1"/>
  <c r="C3" i="26"/>
  <c r="C4" i="26" s="1"/>
  <c r="F3" i="26"/>
  <c r="F4" i="26" s="1"/>
  <c r="H3" i="26"/>
  <c r="H4" i="26" s="1"/>
  <c r="D3" i="26"/>
  <c r="D4" i="26" s="1"/>
  <c r="I9" i="26"/>
  <c r="I10" i="26" s="1"/>
  <c r="G9" i="26"/>
  <c r="G10" i="26" s="1"/>
  <c r="E9" i="26"/>
  <c r="E10" i="26" s="1"/>
  <c r="C9" i="26"/>
  <c r="C10" i="26" s="1"/>
  <c r="F9" i="26"/>
  <c r="F10" i="26" s="1"/>
  <c r="H9" i="26"/>
  <c r="H10" i="26" s="1"/>
  <c r="D9" i="26"/>
  <c r="D10" i="26" s="1"/>
  <c r="I15" i="26"/>
  <c r="I16" i="26" s="1"/>
  <c r="G15" i="26"/>
  <c r="G16" i="26" s="1"/>
  <c r="E15" i="26"/>
  <c r="E16" i="26" s="1"/>
  <c r="C15" i="26"/>
  <c r="C16" i="26" s="1"/>
  <c r="F15" i="26"/>
  <c r="F16" i="26" s="1"/>
  <c r="H15" i="26"/>
  <c r="H16" i="26" s="1"/>
  <c r="D15" i="26"/>
  <c r="D16" i="26" s="1"/>
  <c r="I6" i="25"/>
  <c r="I7" i="25" s="1"/>
  <c r="G6" i="25"/>
  <c r="G7" i="25" s="1"/>
  <c r="E6" i="25"/>
  <c r="E7" i="25" s="1"/>
  <c r="C6" i="25"/>
  <c r="C7" i="25" s="1"/>
  <c r="H6" i="25"/>
  <c r="H7" i="25" s="1"/>
  <c r="D6" i="25"/>
  <c r="D7" i="25" s="1"/>
  <c r="F6" i="25"/>
  <c r="F7" i="25" s="1"/>
  <c r="I12" i="25"/>
  <c r="I13" i="25" s="1"/>
  <c r="G12" i="25"/>
  <c r="G13" i="25" s="1"/>
  <c r="E12" i="25"/>
  <c r="E13" i="25" s="1"/>
  <c r="C12" i="25"/>
  <c r="C13" i="25" s="1"/>
  <c r="H12" i="25"/>
  <c r="H13" i="25" s="1"/>
  <c r="D12" i="25"/>
  <c r="D13" i="25" s="1"/>
  <c r="F12" i="25"/>
  <c r="F13" i="25" s="1"/>
  <c r="C19" i="25"/>
  <c r="C20" i="25" s="1"/>
  <c r="D19" i="25"/>
  <c r="D20" i="25" s="1"/>
  <c r="H9" i="31"/>
  <c r="H10" i="31" s="1"/>
  <c r="F9" i="31"/>
  <c r="F10" i="31" s="1"/>
  <c r="D9" i="31"/>
  <c r="D10" i="31" s="1"/>
  <c r="I9" i="31"/>
  <c r="I10" i="31" s="1"/>
  <c r="E9" i="31"/>
  <c r="E10" i="31" s="1"/>
  <c r="G9" i="31"/>
  <c r="G10" i="31" s="1"/>
  <c r="C9" i="31"/>
  <c r="C10" i="31" s="1"/>
  <c r="H15" i="31"/>
  <c r="H16" i="31" s="1"/>
  <c r="F15" i="31"/>
  <c r="F16" i="31" s="1"/>
  <c r="D15" i="31"/>
  <c r="D16" i="31" s="1"/>
  <c r="I15" i="31"/>
  <c r="I16" i="31" s="1"/>
  <c r="E15" i="31"/>
  <c r="E16" i="31" s="1"/>
  <c r="G15" i="31"/>
  <c r="G16" i="31" s="1"/>
  <c r="C15" i="31"/>
  <c r="C16" i="31" s="1"/>
  <c r="H3" i="29"/>
  <c r="H4" i="29" s="1"/>
  <c r="F3" i="29"/>
  <c r="F4" i="29" s="1"/>
  <c r="D3" i="29"/>
  <c r="D4" i="29" s="1"/>
  <c r="G3" i="29"/>
  <c r="G4" i="29" s="1"/>
  <c r="C3" i="29"/>
  <c r="C4" i="29" s="1"/>
  <c r="I3" i="29"/>
  <c r="I4" i="29" s="1"/>
  <c r="E3" i="29"/>
  <c r="E4" i="29" s="1"/>
  <c r="H9" i="29"/>
  <c r="H10" i="29" s="1"/>
  <c r="F9" i="29"/>
  <c r="F10" i="29" s="1"/>
  <c r="D9" i="29"/>
  <c r="D10" i="29" s="1"/>
  <c r="G9" i="29"/>
  <c r="G10" i="29" s="1"/>
  <c r="C9" i="29"/>
  <c r="C10" i="29" s="1"/>
  <c r="I9" i="29"/>
  <c r="I10" i="29" s="1"/>
  <c r="E9" i="29"/>
  <c r="E10" i="29" s="1"/>
  <c r="H15" i="29"/>
  <c r="H16" i="29" s="1"/>
  <c r="F15" i="29"/>
  <c r="F16" i="29" s="1"/>
  <c r="D15" i="29"/>
  <c r="D16" i="29" s="1"/>
  <c r="G15" i="29"/>
  <c r="G16" i="29" s="1"/>
  <c r="C15" i="29"/>
  <c r="C16" i="29" s="1"/>
  <c r="I15" i="29"/>
  <c r="I16" i="29" s="1"/>
  <c r="E15" i="29"/>
  <c r="E16" i="29" s="1"/>
  <c r="H3" i="27"/>
  <c r="H4" i="27" s="1"/>
  <c r="F3" i="27"/>
  <c r="F4" i="27" s="1"/>
  <c r="D3" i="27"/>
  <c r="D4" i="27" s="1"/>
  <c r="I3" i="27"/>
  <c r="I4" i="27" s="1"/>
  <c r="E3" i="27"/>
  <c r="E4" i="27" s="1"/>
  <c r="G3" i="27"/>
  <c r="G4" i="27" s="1"/>
  <c r="C3" i="27"/>
  <c r="C4" i="27" s="1"/>
  <c r="H9" i="27"/>
  <c r="H10" i="27" s="1"/>
  <c r="F9" i="27"/>
  <c r="F10" i="27" s="1"/>
  <c r="D9" i="27"/>
  <c r="D10" i="27" s="1"/>
  <c r="I9" i="27"/>
  <c r="I10" i="27" s="1"/>
  <c r="E9" i="27"/>
  <c r="E10" i="27" s="1"/>
  <c r="G9" i="27"/>
  <c r="G10" i="27" s="1"/>
  <c r="C9" i="27"/>
  <c r="C10" i="27" s="1"/>
  <c r="H15" i="27"/>
  <c r="H16" i="27" s="1"/>
  <c r="F15" i="27"/>
  <c r="F16" i="27" s="1"/>
  <c r="D15" i="27"/>
  <c r="D16" i="27" s="1"/>
  <c r="I15" i="27"/>
  <c r="I16" i="27" s="1"/>
  <c r="E15" i="27"/>
  <c r="E16" i="27" s="1"/>
  <c r="G15" i="27"/>
  <c r="G16" i="27" s="1"/>
  <c r="C15" i="27"/>
  <c r="C16" i="27" s="1"/>
  <c r="I3" i="25"/>
  <c r="I4" i="25" s="1"/>
  <c r="G3" i="25"/>
  <c r="G4" i="25" s="1"/>
  <c r="E3" i="25"/>
  <c r="E4" i="25" s="1"/>
  <c r="H3" i="25"/>
  <c r="H4" i="25" s="1"/>
  <c r="D3" i="25"/>
  <c r="D4" i="25" s="1"/>
  <c r="C3" i="25"/>
  <c r="C4" i="25" s="1"/>
  <c r="F3" i="25"/>
  <c r="F4" i="25" s="1"/>
  <c r="I6" i="23"/>
  <c r="I7" i="23" s="1"/>
  <c r="G6" i="23"/>
  <c r="G7" i="23" s="1"/>
  <c r="E6" i="23"/>
  <c r="E7" i="23" s="1"/>
  <c r="C6" i="23"/>
  <c r="C7" i="23" s="1"/>
  <c r="F6" i="23"/>
  <c r="F7" i="23" s="1"/>
  <c r="D6" i="23"/>
  <c r="D7" i="23" s="1"/>
  <c r="H6" i="23"/>
  <c r="H7" i="23" s="1"/>
  <c r="I12" i="23"/>
  <c r="I13" i="23" s="1"/>
  <c r="G12" i="23"/>
  <c r="G13" i="23" s="1"/>
  <c r="E12" i="23"/>
  <c r="E13" i="23" s="1"/>
  <c r="C12" i="23"/>
  <c r="C13" i="23" s="1"/>
  <c r="F12" i="23"/>
  <c r="F13" i="23" s="1"/>
  <c r="D12" i="23"/>
  <c r="D13" i="23" s="1"/>
  <c r="H12" i="23"/>
  <c r="H13" i="23" s="1"/>
  <c r="C19" i="23"/>
  <c r="C20" i="23" s="1"/>
  <c r="D19" i="23"/>
  <c r="D20" i="23" s="1"/>
  <c r="H6" i="24"/>
  <c r="H7" i="24" s="1"/>
  <c r="F6" i="24"/>
  <c r="F7" i="24" s="1"/>
  <c r="D6" i="24"/>
  <c r="D7" i="24" s="1"/>
  <c r="I6" i="24"/>
  <c r="I7" i="24" s="1"/>
  <c r="E6" i="24"/>
  <c r="E7" i="24" s="1"/>
  <c r="G6" i="24"/>
  <c r="G7" i="24" s="1"/>
  <c r="C6" i="24"/>
  <c r="C7" i="24" s="1"/>
  <c r="H12" i="24"/>
  <c r="H13" i="24" s="1"/>
  <c r="F12" i="24"/>
  <c r="F13" i="24" s="1"/>
  <c r="D12" i="24"/>
  <c r="D13" i="24" s="1"/>
  <c r="I12" i="24"/>
  <c r="I13" i="24" s="1"/>
  <c r="E12" i="24"/>
  <c r="E13" i="24" s="1"/>
  <c r="G12" i="24"/>
  <c r="G13" i="24" s="1"/>
  <c r="C12" i="24"/>
  <c r="C13" i="24" s="1"/>
  <c r="D19" i="24"/>
  <c r="D20" i="24" s="1"/>
  <c r="C19" i="24"/>
  <c r="C20" i="24" s="1"/>
  <c r="H6" i="22"/>
  <c r="H7" i="22" s="1"/>
  <c r="F6" i="22"/>
  <c r="F7" i="22" s="1"/>
  <c r="D6" i="22"/>
  <c r="D7" i="22" s="1"/>
  <c r="G6" i="22"/>
  <c r="G7" i="22" s="1"/>
  <c r="C6" i="22"/>
  <c r="C7" i="22" s="1"/>
  <c r="I6" i="22"/>
  <c r="I7" i="22" s="1"/>
  <c r="E6" i="22"/>
  <c r="E7" i="22" s="1"/>
  <c r="H12" i="22"/>
  <c r="H13" i="22" s="1"/>
  <c r="F12" i="22"/>
  <c r="F13" i="22" s="1"/>
  <c r="D12" i="22"/>
  <c r="D13" i="22" s="1"/>
  <c r="G12" i="22"/>
  <c r="G13" i="22" s="1"/>
  <c r="C12" i="22"/>
  <c r="C13" i="22" s="1"/>
  <c r="I12" i="22"/>
  <c r="I13" i="22" s="1"/>
  <c r="E12" i="22"/>
  <c r="E13" i="22" s="1"/>
  <c r="D19" i="22"/>
  <c r="D20" i="22" s="1"/>
  <c r="C19" i="22"/>
  <c r="C20" i="22" s="1"/>
  <c r="E1" i="27" l="1"/>
  <c r="D1" i="27"/>
  <c r="H1" i="27"/>
  <c r="F1" i="25"/>
  <c r="D1" i="25"/>
  <c r="E1" i="25"/>
  <c r="G1" i="27"/>
  <c r="F1" i="27"/>
  <c r="E1" i="29"/>
  <c r="D1" i="29"/>
  <c r="H1" i="29"/>
  <c r="G1" i="26"/>
  <c r="D1" i="30"/>
  <c r="F1" i="30"/>
  <c r="E1" i="30"/>
  <c r="G1" i="21"/>
  <c r="D1" i="21"/>
  <c r="H1" i="21"/>
  <c r="F1" i="14"/>
  <c r="G1" i="14"/>
  <c r="E1" i="22"/>
  <c r="D1" i="22"/>
  <c r="G1" i="24"/>
  <c r="I1" i="24"/>
  <c r="F1" i="24"/>
  <c r="H1" i="23"/>
  <c r="F1" i="23"/>
  <c r="E1" i="23"/>
  <c r="I1" i="23"/>
  <c r="E1" i="31"/>
  <c r="D1" i="31"/>
  <c r="F1" i="28"/>
  <c r="E1" i="28"/>
  <c r="I1" i="28"/>
  <c r="H1" i="25"/>
  <c r="G1" i="25"/>
  <c r="I1" i="29"/>
  <c r="G1" i="29"/>
  <c r="F1" i="29"/>
  <c r="D1" i="26"/>
  <c r="F1" i="26"/>
  <c r="E1" i="26"/>
  <c r="I1" i="26"/>
  <c r="H1" i="30"/>
  <c r="G1" i="30"/>
  <c r="E1" i="21"/>
  <c r="I1" i="21"/>
  <c r="F1" i="21"/>
  <c r="D1" i="14"/>
  <c r="H1" i="14"/>
  <c r="E1" i="14"/>
  <c r="I1" i="14"/>
  <c r="I1" i="22"/>
  <c r="G1" i="22"/>
  <c r="F1" i="22"/>
  <c r="E1" i="24"/>
  <c r="D1" i="24"/>
  <c r="H1" i="24"/>
  <c r="D1" i="23"/>
  <c r="G1" i="23"/>
  <c r="G1" i="31"/>
  <c r="F1" i="31"/>
  <c r="H1" i="31"/>
  <c r="D1" i="28"/>
  <c r="G1" i="28"/>
  <c r="I1" i="25"/>
  <c r="I1" i="27"/>
  <c r="H1" i="26"/>
  <c r="I1" i="30"/>
  <c r="H1" i="22"/>
  <c r="I1" i="31"/>
  <c r="H1" i="28"/>
</calcChain>
</file>

<file path=xl/sharedStrings.xml><?xml version="1.0" encoding="utf-8"?>
<sst xmlns="http://schemas.openxmlformats.org/spreadsheetml/2006/main" count="25" uniqueCount="14">
  <si>
    <t>ENE</t>
  </si>
  <si>
    <t>NOTAS</t>
  </si>
  <si>
    <t>FEB</t>
  </si>
  <si>
    <t>MAR</t>
  </si>
  <si>
    <t>ABR</t>
  </si>
  <si>
    <t>MAY</t>
  </si>
  <si>
    <t>JUN</t>
  </si>
  <si>
    <t>JUL</t>
  </si>
  <si>
    <t>AGO</t>
  </si>
  <si>
    <t>SEP</t>
  </si>
  <si>
    <t>OCT</t>
  </si>
  <si>
    <t>NOV</t>
  </si>
  <si>
    <t>DIC</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</si>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</sst>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13" x14ac:knownFonts="1">
    <font>
      <sz val="11"/>
      <color theme="4" tint="-0.499984740745262"/>
      <name val="Arial"/>
      <family val="2"/>
      <scheme val="minor"/>
    </font>
    <font>
      <sz val="8"/>
      <name val="Arial"/>
      <family val="2"/>
    </font>
    <font>
      <b/>
      <sz val="11"/>
      <color theme="0"/>
      <name val="Arial"/>
      <family val="2"/>
      <scheme val="minor"/>
    </font>
    <font>
      <b/>
      <sz val="14"/>
      <color theme="0"/>
      <name val="Arial"/>
      <family val="2"/>
      <scheme val="minor"/>
    </font>
    <font>
      <sz val="10"/>
      <color indexed="63"/>
      <name val="Arial"/>
      <family val="2"/>
      <scheme val="minor"/>
    </font>
    <font>
      <sz val="11"/>
      <color theme="4" tint="-0.24994659260841701"/>
      <name val="Arial"/>
      <family val="2"/>
      <scheme val="minor"/>
    </font>
    <font>
      <b/>
      <sz val="11"/>
      <color theme="0" tint="-0.34998626667073579"/>
      <name val="Arial"/>
      <family val="2"/>
      <scheme val="minor"/>
    </font>
    <font>
      <b/>
      <sz val="36"/>
      <color theme="4" tint="-0.24994659260841701"/>
      <name val="Arial"/>
      <family val="2"/>
      <scheme val="major"/>
    </font>
    <font>
      <b/>
      <sz val="25"/>
      <color theme="0" tint="-0.499984740745262"/>
      <name val="Arial"/>
      <family val="2"/>
      <scheme val="minor"/>
    </font>
    <font>
      <b/>
      <sz val="12"/>
      <color theme="4" tint="-0.499984740745262"/>
      <name val="Arial"/>
      <family val="2"/>
      <scheme val="minor"/>
    </font>
    <font>
      <b/>
      <sz val="13"/>
      <color theme="4" tint="-0.499984740745262"/>
      <name val="Arial"/>
      <family val="2"/>
      <scheme val="minor"/>
    </font>
    <font>
      <sz val="11"/>
      <color theme="4" tint="-0.499984740745262"/>
      <name val="Arial"/>
      <family val="2"/>
      <scheme val="minor"/>
    </font>
    <font>
      <b/>
      <sz val="11"/>
      <color theme="1" tint="0.34998626667073579"/>
      <name val="Arial"/>
      <family val="2"/>
      <scheme val="minor"/>
    </font>
  </fonts>
  <fills count="6">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0" tint="-4.9989318521683403E-2"/>
        <bgColor indexed="64"/>
      </patternFill>
    </fill>
  </fills>
  <borders count="6">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style="thin">
        <color theme="0" tint="-0.14996795556505021"/>
      </left>
      <right/>
      <top/>
      <bottom/>
      <diagonal/>
    </border>
    <border>
      <left style="thin">
        <color theme="0" tint="-0.14996795556505021"/>
      </left>
      <right/>
      <top style="thin">
        <color theme="0" tint="-0.14996795556505021"/>
      </top>
      <bottom/>
      <diagonal/>
    </border>
    <border>
      <left/>
      <right/>
      <top/>
      <bottom style="thin">
        <color theme="0" tint="-0.14993743705557422"/>
      </bottom>
      <diagonal/>
    </border>
  </borders>
  <cellStyleXfs count="14">
    <xf numFmtId="0" fontId="0" fillId="0" borderId="0">
      <alignment horizontal="left" vertical="center" wrapText="1" indent="1"/>
    </xf>
    <xf numFmtId="0" fontId="4" fillId="2" borderId="0" applyNumberFormat="0" applyBorder="0" applyAlignment="0" applyProtection="0"/>
    <xf numFmtId="0" fontId="8" fillId="0" borderId="0">
      <alignment horizontal="left" vertical="top" indent="1"/>
    </xf>
    <xf numFmtId="0" fontId="2" fillId="3" borderId="1" applyNumberFormat="0" applyAlignment="0" applyProtection="0"/>
    <xf numFmtId="0" fontId="3" fillId="4" borderId="2" applyNumberFormat="0" applyProtection="0">
      <alignment vertical="center"/>
    </xf>
    <xf numFmtId="0" fontId="7" fillId="0" borderId="0">
      <alignment horizontal="left"/>
    </xf>
    <xf numFmtId="0" fontId="9" fillId="0" borderId="0">
      <alignment horizontal="right"/>
    </xf>
    <xf numFmtId="0" fontId="10" fillId="0" borderId="0" applyNumberFormat="0" applyFill="0" applyBorder="0" applyProtection="0">
      <alignment horizontal="right"/>
    </xf>
    <xf numFmtId="0" fontId="11" fillId="0" borderId="0" applyFill="0" applyBorder="0">
      <alignment horizontal="right"/>
    </xf>
    <xf numFmtId="0" fontId="11" fillId="0" borderId="3">
      <alignment horizontal="left" vertical="center" wrapText="1"/>
    </xf>
    <xf numFmtId="0" fontId="5" fillId="5" borderId="0" applyNumberFormat="0" applyFont="0" applyBorder="0" applyAlignment="0">
      <alignment horizontal="left" vertical="center" indent="1"/>
    </xf>
    <xf numFmtId="164" fontId="5" fillId="0" borderId="0" applyFont="0" applyFill="0" applyBorder="0">
      <alignment horizontal="right"/>
    </xf>
    <xf numFmtId="0" fontId="12" fillId="0" borderId="4">
      <alignment horizontal="left" indent="1"/>
    </xf>
    <xf numFmtId="0" fontId="6" fillId="0" borderId="5" applyNumberFormat="0" applyFont="0" applyFill="0" applyAlignment="0">
      <alignment horizontal="left" indent="1"/>
    </xf>
  </cellStyleXfs>
  <cellXfs count="16">
    <xf numFmtId="0" fontId="0" fillId="0" borderId="0" xfId="0">
      <alignment horizontal="left" vertical="center" wrapText="1" indent="1"/>
    </xf>
    <xf numFmtId="0" fontId="9" fillId="0" borderId="0" xfId="6">
      <alignment horizontal="right"/>
    </xf>
    <xf numFmtId="0" fontId="11" fillId="0" borderId="0" xfId="8">
      <alignment horizontal="right"/>
    </xf>
    <xf numFmtId="0" fontId="7" fillId="0" borderId="0" xfId="5">
      <alignment horizontal="left"/>
    </xf>
    <xf numFmtId="0" fontId="12" fillId="0" borderId="4" xfId="12">
      <alignment horizontal="left" indent="1"/>
    </xf>
    <xf numFmtId="0" fontId="8" fillId="0" borderId="0" xfId="2">
      <alignment horizontal="left" vertical="top" indent="1"/>
    </xf>
    <xf numFmtId="0" fontId="11" fillId="5" borderId="0" xfId="8" applyFill="1">
      <alignment horizontal="right"/>
    </xf>
    <xf numFmtId="0" fontId="0" fillId="5" borderId="0" xfId="10" applyFont="1" applyAlignment="1">
      <alignment horizontal="left" vertical="center" wrapText="1" indent="1"/>
    </xf>
    <xf numFmtId="164" fontId="10" fillId="5" borderId="0" xfId="11" applyFont="1" applyFill="1">
      <alignment horizontal="right"/>
    </xf>
    <xf numFmtId="164" fontId="10" fillId="0" borderId="0" xfId="11" applyFont="1">
      <alignment horizontal="right"/>
    </xf>
    <xf numFmtId="0" fontId="0" fillId="0" borderId="0" xfId="0">
      <alignment horizontal="left" vertical="center" wrapText="1" indent="1"/>
    </xf>
    <xf numFmtId="0" fontId="11" fillId="5" borderId="5" xfId="8" applyFill="1" applyBorder="1">
      <alignment horizontal="right"/>
    </xf>
    <xf numFmtId="0" fontId="11" fillId="0" borderId="5" xfId="8" applyBorder="1">
      <alignment horizontal="right"/>
    </xf>
    <xf numFmtId="0" fontId="11" fillId="0" borderId="3" xfId="9" applyNumberFormat="1">
      <alignment horizontal="left" vertical="center" wrapText="1"/>
    </xf>
    <xf numFmtId="0" fontId="0" fillId="5" borderId="0" xfId="10" applyFont="1" applyAlignment="1">
      <alignment horizontal="left" vertical="center" wrapText="1" indent="1"/>
    </xf>
    <xf numFmtId="0" fontId="0" fillId="0" borderId="0" xfId="0">
      <alignment horizontal="left" vertical="center" wrapText="1" indent="1"/>
    </xf>
  </cellXfs>
  <cellStyles count="14">
    <cellStyle name="40% - Énfasis1" xfId="1" builtinId="31" customBuiltin="1"/>
    <cellStyle name="Borde inferior" xfId="13" xr:uid="{00000000-0005-0000-0000-000001000000}"/>
    <cellStyle name="Día" xfId="11" xr:uid="{00000000-0005-0000-0000-000002000000}"/>
    <cellStyle name="Encabezado 1" xfId="2" builtinId="16" customBuiltin="1"/>
    <cellStyle name="Encabezado 4" xfId="8" builtinId="19" customBuiltin="1"/>
    <cellStyle name="Énfasis1" xfId="3" builtinId="29" customBuiltin="1"/>
    <cellStyle name="Énfasis5" xfId="4" builtinId="45" customBuiltin="1"/>
    <cellStyle name="Normal" xfId="0" builtinId="0" customBuiltin="1"/>
    <cellStyle name="Notas" xfId="12" xr:uid="{00000000-0005-0000-0000-000008000000}"/>
    <cellStyle name="Relleno" xfId="10" xr:uid="{00000000-0005-0000-0000-000009000000}"/>
    <cellStyle name="Texto explicativo" xfId="9" builtinId="53" customBuiltin="1"/>
    <cellStyle name="Título" xfId="5" builtinId="15" customBuiltin="1"/>
    <cellStyle name="Título 2" xfId="6" builtinId="17" customBuiltin="1"/>
    <cellStyle name="Título 3" xfId="7" builtinId="18" customBuiltin="1"/>
  </cellStyles>
  <dxfs count="48">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Julian Calendar">
      <a:dk1>
        <a:sysClr val="windowText" lastClr="000000"/>
      </a:dk1>
      <a:lt1>
        <a:sysClr val="window" lastClr="FFFFFF"/>
      </a:lt1>
      <a:dk2>
        <a:srgbClr val="404040"/>
      </a:dk2>
      <a:lt2>
        <a:srgbClr val="F2F2F2"/>
      </a:lt2>
      <a:accent1>
        <a:srgbClr val="47BABA"/>
      </a:accent1>
      <a:accent2>
        <a:srgbClr val="E88D26"/>
      </a:accent2>
      <a:accent3>
        <a:srgbClr val="41B362"/>
      </a:accent3>
      <a:accent4>
        <a:srgbClr val="E65B61"/>
      </a:accent4>
      <a:accent5>
        <a:srgbClr val="7B7AB4"/>
      </a:accent5>
      <a:accent6>
        <a:srgbClr val="F0B11E"/>
      </a:accent6>
      <a:hlink>
        <a:srgbClr val="47BABA"/>
      </a:hlink>
      <a:folHlink>
        <a:srgbClr val="7B7AB4"/>
      </a:folHlink>
    </a:clrScheme>
    <a:fontScheme name="Julian Calendar">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pageSetUpPr fitToPage="1"/>
  </sheetPr>
  <dimension ref="A1:I20"/>
  <sheetViews>
    <sheetView showGridLines="0" tabSelected="1"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s>
  <sheetData>
    <row r="1" spans="2:9" ht="41.1" customHeight="1" x14ac:dyDescent="0.6">
      <c r="B1" s="3" t="s">
        <v>0</v>
      </c>
      <c r="C1" s="1" t="s">
        <v>13</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YEAR(TODAY())</f>
        <v>2020</v>
      </c>
      <c r="C2" s="7"/>
      <c r="D2"/>
      <c r="E2" s="7"/>
      <c r="F2"/>
      <c r="G2" s="7"/>
      <c r="H2"/>
      <c r="I2" s="7"/>
    </row>
    <row r="3" spans="2:9" ht="16.5" customHeight="1" x14ac:dyDescent="0.25">
      <c r="C3" s="8">
        <f t="array" aca="1" ref="C3:I3" ca="1">DíasYSemanas+DATE(AñoNatural,1,1)-WEEKDAY(DATE(AñoNatural,1,1),(InicioDeSemana="LU")+1)+1</f>
        <v>43828</v>
      </c>
      <c r="D3" s="9">
        <f ca="1"/>
        <v>43829</v>
      </c>
      <c r="E3" s="8">
        <f ca="1"/>
        <v>43830</v>
      </c>
      <c r="F3" s="9">
        <f ca="1"/>
        <v>43831</v>
      </c>
      <c r="G3" s="8">
        <f ca="1"/>
        <v>43832</v>
      </c>
      <c r="H3" s="9">
        <f ca="1"/>
        <v>43833</v>
      </c>
      <c r="I3" s="8">
        <f ca="1"/>
        <v>43834</v>
      </c>
    </row>
    <row r="4" spans="2:9" ht="15" customHeight="1" x14ac:dyDescent="0.2">
      <c r="C4" s="11" t="str">
        <f t="shared" ref="C4:I4" ca="1" si="1">IF(DAY(CalendarDay)=1,CONCATENATE("Semana ",WEEKNUM(CalendarDay),"/Día ",CalendarDay-DATE(YEAR(CalendarDay),1,0)),CONCATENATE("Día ",CalendarDay-DATE(YEAR(CalendarDay),1,0)))</f>
        <v>Día 363</v>
      </c>
      <c r="D4" s="12" t="str">
        <f t="shared" ca="1" si="1"/>
        <v>Día 364</v>
      </c>
      <c r="E4" s="11" t="str">
        <f t="shared" ca="1" si="1"/>
        <v>Día 365</v>
      </c>
      <c r="F4" s="12" t="str">
        <f t="shared" ca="1" si="1"/>
        <v>Semana 1/Día 1</v>
      </c>
      <c r="G4" s="11" t="str">
        <f t="shared" ca="1" si="1"/>
        <v>Día 2</v>
      </c>
      <c r="H4" s="12" t="str">
        <f t="shared" ca="1" si="1"/>
        <v>Día 3</v>
      </c>
      <c r="I4" s="11" t="str">
        <f t="shared" ca="1" si="1"/>
        <v>Día 4</v>
      </c>
    </row>
    <row r="5" spans="2:9" ht="56.25" customHeight="1" x14ac:dyDescent="0.2">
      <c r="C5" s="7"/>
      <c r="D5"/>
      <c r="E5" s="7"/>
      <c r="F5"/>
      <c r="G5" s="7"/>
      <c r="H5"/>
      <c r="I5" s="7"/>
    </row>
    <row r="6" spans="2:9" ht="16.5" customHeight="1" x14ac:dyDescent="0.25">
      <c r="C6" s="8">
        <f t="array" aca="1" ref="C6:I6" ca="1">DíasYSemanas+DATE(AñoNatural,1,1)-WEEKDAY(DATE(AñoNatural,1,1),(InicioDeSemana="LU")+1)+8</f>
        <v>43835</v>
      </c>
      <c r="D6" s="9">
        <f ca="1"/>
        <v>43836</v>
      </c>
      <c r="E6" s="8">
        <f ca="1"/>
        <v>43837</v>
      </c>
      <c r="F6" s="9">
        <f ca="1"/>
        <v>43838</v>
      </c>
      <c r="G6" s="8">
        <f ca="1"/>
        <v>43839</v>
      </c>
      <c r="H6" s="9">
        <f ca="1"/>
        <v>43840</v>
      </c>
      <c r="I6" s="8">
        <f ca="1"/>
        <v>43841</v>
      </c>
    </row>
    <row r="7" spans="2:9" ht="15" customHeight="1" x14ac:dyDescent="0.2">
      <c r="C7" s="11" t="str">
        <f ca="1">IF(WEEKDAY(CalendarDay)=ValorDeInicioDeSemana,CONCATENATE("Semana ",WEEKNUM(CalendarDay),"/Día ",CalendarDay-DATE(YEAR(CalendarDay),1,0)),CONCATENATE("Día ",CalendarDay-DATE(YEAR(CalendarDay),1,0)))</f>
        <v>Semana 2/Día 5</v>
      </c>
      <c r="D7" s="12" t="str">
        <f ca="1">IF(WEEKDAY(CalendarDay)=ValorDeInicioDeSemana,CONCATENATE("Semana ",WEEKNUM(CalendarDay),"/Día ",CalendarDay-DATE(YEAR(CalendarDay),1,0)),CONCATENATE("Día ",CalendarDay-DATE(YEAR(CalendarDay),1,0)))</f>
        <v>Día 6</v>
      </c>
      <c r="E7" s="11" t="str">
        <f ca="1">IF(WEEKDAY(CalendarDay)=ValorDeInicioDeSemana,CONCATENATE("Semana ",WEEKNUM(CalendarDay),"/Día ",CalendarDay-DATE(YEAR(CalendarDay),1,0)),CONCATENATE("Día ",CalendarDay-DATE(YEAR(CalendarDay),1,0)))</f>
        <v>Día 7</v>
      </c>
      <c r="F7" s="12" t="str">
        <f ca="1">IF(WEEKDAY(CalendarDay)=ValorDeInicioDeSemana,CONCATENATE("Semana ",WEEKNUM(CalendarDay),"/Día ",CalendarDay-DATE(YEAR(CalendarDay),1,0)),CONCATENATE("Día ",CalendarDay-DATE(YEAR(CalendarDay),1,0)))</f>
        <v>Día 8</v>
      </c>
      <c r="G7" s="11" t="str">
        <f ca="1">IF(WEEKDAY(CalendarDay)=ValorDeInicioDeSemana,CONCATENATE("Semana ",WEEKNUM(CalendarDay),"/Día ",CalendarDay-DATE(YEAR(CalendarDay),1,0)),CONCATENATE("Día ",CalendarDay-DATE(YEAR(CalendarDay),1,0)))</f>
        <v>Día 9</v>
      </c>
      <c r="H7" s="12" t="str">
        <f ca="1">IF(WEEKDAY(CalendarDay)=ValorDeInicioDeSemana,CONCATENATE("Semana ",WEEKNUM(CalendarDay),"/Día ",CalendarDay-DATE(YEAR(CalendarDay),1,0)),CONCATENATE("Día ",CalendarDay-DATE(YEAR(CalendarDay),1,0)))</f>
        <v>Día 10</v>
      </c>
      <c r="I7" s="11" t="str">
        <f ca="1">IF(WEEKDAY(CalendarDay)=ValorDeInicioDeSemana,CONCATENATE("Semana ",WEEKNUM(CalendarDay),"/Día ",CalendarDay-DATE(YEAR(CalendarDay),1,0)),CONCATENATE("Día ",CalendarDay-DATE(YEAR(CalendarDay),1,0)))</f>
        <v>Día 11</v>
      </c>
    </row>
    <row r="8" spans="2:9" ht="56.25" customHeight="1" x14ac:dyDescent="0.2">
      <c r="C8" s="7"/>
      <c r="D8"/>
      <c r="E8" s="7"/>
      <c r="F8"/>
      <c r="G8" s="7"/>
      <c r="H8"/>
      <c r="I8" s="7"/>
    </row>
    <row r="9" spans="2:9" ht="16.5" customHeight="1" x14ac:dyDescent="0.25">
      <c r="C9" s="8">
        <f t="array" aca="1" ref="C9:I9" ca="1">DíasYSemanas+DATE(AñoNatural,1,1)-WEEKDAY(DATE(AñoNatural,1,1),(InicioDeSemana="LU")+1)+15</f>
        <v>43842</v>
      </c>
      <c r="D9" s="9">
        <f ca="1"/>
        <v>43843</v>
      </c>
      <c r="E9" s="8">
        <f ca="1"/>
        <v>43844</v>
      </c>
      <c r="F9" s="9">
        <f ca="1"/>
        <v>43845</v>
      </c>
      <c r="G9" s="8">
        <f ca="1"/>
        <v>43846</v>
      </c>
      <c r="H9" s="9">
        <f ca="1"/>
        <v>43847</v>
      </c>
      <c r="I9" s="8">
        <f ca="1"/>
        <v>43848</v>
      </c>
    </row>
    <row r="10" spans="2:9" ht="15" customHeight="1" x14ac:dyDescent="0.2">
      <c r="C10" s="11" t="str">
        <f ca="1">IF(WEEKDAY(CalendarDay)=ValorDeInicioDeSemana,CONCATENATE("Semana ",WEEKNUM(CalendarDay),"/Día ",CalendarDay-DATE(YEAR(CalendarDay),1,0)),CONCATENATE("Día ",CalendarDay-DATE(YEAR(CalendarDay),1,0)))</f>
        <v>Semana 3/Día 12</v>
      </c>
      <c r="D10" s="12" t="str">
        <f ca="1">IF(WEEKDAY(CalendarDay)=ValorDeInicioDeSemana,CONCATENATE("Semana ",WEEKNUM(CalendarDay),"/Día ",CalendarDay-DATE(YEAR(CalendarDay),1,0)),CONCATENATE("Día ",CalendarDay-DATE(YEAR(CalendarDay),1,0)))</f>
        <v>Día 13</v>
      </c>
      <c r="E10" s="11" t="str">
        <f ca="1">IF(WEEKDAY(CalendarDay)=ValorDeInicioDeSemana,CONCATENATE("Semana ",WEEKNUM(CalendarDay),"/Día ",CalendarDay-DATE(YEAR(CalendarDay),1,0)),CONCATENATE("Día ",CalendarDay-DATE(YEAR(CalendarDay),1,0)))</f>
        <v>Día 14</v>
      </c>
      <c r="F10" s="12" t="str">
        <f ca="1">IF(WEEKDAY(CalendarDay)=ValorDeInicioDeSemana,CONCATENATE("Semana ",WEEKNUM(CalendarDay),"/Día ",CalendarDay-DATE(YEAR(CalendarDay),1,0)),CONCATENATE("Día ",CalendarDay-DATE(YEAR(CalendarDay),1,0)))</f>
        <v>Día 15</v>
      </c>
      <c r="G10" s="11" t="str">
        <f ca="1">IF(WEEKDAY(CalendarDay)=ValorDeInicioDeSemana,CONCATENATE("Semana ",WEEKNUM(CalendarDay),"/Día ",CalendarDay-DATE(YEAR(CalendarDay),1,0)),CONCATENATE("Día ",CalendarDay-DATE(YEAR(CalendarDay),1,0)))</f>
        <v>Día 16</v>
      </c>
      <c r="H10" s="12" t="str">
        <f ca="1">IF(WEEKDAY(CalendarDay)=ValorDeInicioDeSemana,CONCATENATE("Semana ",WEEKNUM(CalendarDay),"/Día ",CalendarDay-DATE(YEAR(CalendarDay),1,0)),CONCATENATE("Día ",CalendarDay-DATE(YEAR(CalendarDay),1,0)))</f>
        <v>Día 17</v>
      </c>
      <c r="I10" s="11" t="str">
        <f ca="1">IF(WEEKDAY(CalendarDay)=ValorDeInicioDeSemana,CONCATENATE("Semana ",WEEKNUM(CalendarDay),"/Día ",CalendarDay-DATE(YEAR(CalendarDay),1,0)),CONCATENATE("Día ",CalendarDay-DATE(YEAR(CalendarDay),1,0)))</f>
        <v>Día 18</v>
      </c>
    </row>
    <row r="11" spans="2:9" ht="56.25" customHeight="1" x14ac:dyDescent="0.2">
      <c r="C11" s="7"/>
      <c r="D11"/>
      <c r="E11" s="7"/>
      <c r="F11"/>
      <c r="G11" s="7"/>
      <c r="H11"/>
      <c r="I11" s="7"/>
    </row>
    <row r="12" spans="2:9" ht="16.5" customHeight="1" x14ac:dyDescent="0.25">
      <c r="C12" s="8">
        <f t="array" aca="1" ref="C12:I12" ca="1">DíasYSemanas+DATE(AñoNatural,1,1)-WEEKDAY(DATE(AñoNatural,1,1),(InicioDeSemana="LU")+1)+22</f>
        <v>43849</v>
      </c>
      <c r="D12" s="9">
        <f ca="1"/>
        <v>43850</v>
      </c>
      <c r="E12" s="8">
        <f ca="1"/>
        <v>43851</v>
      </c>
      <c r="F12" s="9">
        <f ca="1"/>
        <v>43852</v>
      </c>
      <c r="G12" s="8">
        <f ca="1"/>
        <v>43853</v>
      </c>
      <c r="H12" s="9">
        <f ca="1"/>
        <v>43854</v>
      </c>
      <c r="I12" s="8">
        <f ca="1"/>
        <v>43855</v>
      </c>
    </row>
    <row r="13" spans="2:9" ht="15" customHeight="1" x14ac:dyDescent="0.2">
      <c r="C13" s="11" t="str">
        <f ca="1">IF(WEEKDAY(CalendarDay)=ValorDeInicioDeSemana,CONCATENATE("Semana ",WEEKNUM(CalendarDay),"/Día ",CalendarDay-DATE(YEAR(CalendarDay),1,0)),CONCATENATE("Día ",CalendarDay-DATE(YEAR(CalendarDay),1,0)))</f>
        <v>Semana 4/Día 19</v>
      </c>
      <c r="D13" s="12" t="str">
        <f ca="1">IF(WEEKDAY(CalendarDay)=ValorDeInicioDeSemana,CONCATENATE("Semana ",WEEKNUM(CalendarDay),"/Día ",CalendarDay-DATE(YEAR(CalendarDay),1,0)),CONCATENATE("Día ",CalendarDay-DATE(YEAR(CalendarDay),1,0)))</f>
        <v>Día 20</v>
      </c>
      <c r="E13" s="11" t="str">
        <f ca="1">IF(WEEKDAY(CalendarDay)=ValorDeInicioDeSemana,CONCATENATE("Semana ",WEEKNUM(CalendarDay),"/Día ",CalendarDay-DATE(YEAR(CalendarDay),1,0)),CONCATENATE("Día ",CalendarDay-DATE(YEAR(CalendarDay),1,0)))</f>
        <v>Día 21</v>
      </c>
      <c r="F13" s="12" t="str">
        <f ca="1">IF(WEEKDAY(CalendarDay)=ValorDeInicioDeSemana,CONCATENATE("Semana ",WEEKNUM(CalendarDay),"/Día ",CalendarDay-DATE(YEAR(CalendarDay),1,0)),CONCATENATE("Día ",CalendarDay-DATE(YEAR(CalendarDay),1,0)))</f>
        <v>Día 22</v>
      </c>
      <c r="G13" s="11" t="str">
        <f ca="1">IF(WEEKDAY(CalendarDay)=ValorDeInicioDeSemana,CONCATENATE("Semana ",WEEKNUM(CalendarDay),"/Día ",CalendarDay-DATE(YEAR(CalendarDay),1,0)),CONCATENATE("Día ",CalendarDay-DATE(YEAR(CalendarDay),1,0)))</f>
        <v>Día 23</v>
      </c>
      <c r="H13" s="12" t="str">
        <f ca="1">IF(WEEKDAY(CalendarDay)=ValorDeInicioDeSemana,CONCATENATE("Semana ",WEEKNUM(CalendarDay),"/Día ",CalendarDay-DATE(YEAR(CalendarDay),1,0)),CONCATENATE("Día ",CalendarDay-DATE(YEAR(CalendarDay),1,0)))</f>
        <v>Día 24</v>
      </c>
      <c r="I13" s="11" t="str">
        <f ca="1">IF(WEEKDAY(CalendarDay)=ValorDeInicioDeSemana,CONCATENATE("Semana ",WEEKNUM(CalendarDay),"/Día ",CalendarDay-DATE(YEAR(CalendarDay),1,0)),CONCATENATE("Día ",CalendarDay-DATE(YEAR(CalendarDay),1,0)))</f>
        <v>Día 25</v>
      </c>
    </row>
    <row r="14" spans="2:9" ht="56.25" customHeight="1" x14ac:dyDescent="0.2">
      <c r="C14" s="7"/>
      <c r="D14"/>
      <c r="E14" s="7"/>
      <c r="F14"/>
      <c r="G14" s="7"/>
      <c r="H14"/>
      <c r="I14" s="7"/>
    </row>
    <row r="15" spans="2:9" ht="16.5" customHeight="1" x14ac:dyDescent="0.25">
      <c r="C15" s="8">
        <f t="array" aca="1" ref="C15:I15" ca="1">DíasYSemanas+DATE(AñoNatural,1,1)-WEEKDAY(DATE(AñoNatural,1,1),(InicioDeSemana="LU")+1)+29</f>
        <v>43856</v>
      </c>
      <c r="D15" s="9">
        <f ca="1"/>
        <v>43857</v>
      </c>
      <c r="E15" s="8">
        <f ca="1"/>
        <v>43858</v>
      </c>
      <c r="F15" s="9">
        <f ca="1"/>
        <v>43859</v>
      </c>
      <c r="G15" s="8">
        <f ca="1"/>
        <v>43860</v>
      </c>
      <c r="H15" s="9">
        <f ca="1"/>
        <v>43861</v>
      </c>
      <c r="I15" s="8">
        <f ca="1"/>
        <v>43862</v>
      </c>
    </row>
    <row r="16" spans="2:9" ht="15" customHeight="1" x14ac:dyDescent="0.2">
      <c r="C16" s="11" t="str">
        <f ca="1">IF(WEEKDAY(CalendarDay)=ValorDeInicioDeSemana,CONCATENATE("Semana ",WEEKNUM(CalendarDay),"/Día ",CalendarDay-DATE(YEAR(CalendarDay),1,0)),CONCATENATE("Día ",CalendarDay-DATE(YEAR(CalendarDay),1,0)))</f>
        <v>Semana 5/Día 26</v>
      </c>
      <c r="D16" s="12" t="str">
        <f ca="1">IF(WEEKDAY(CalendarDay)=ValorDeInicioDeSemana,CONCATENATE("Semana ",WEEKNUM(CalendarDay),"/Día ",CalendarDay-DATE(YEAR(CalendarDay),1,0)),CONCATENATE("Día ",CalendarDay-DATE(YEAR(CalendarDay),1,0)))</f>
        <v>Día 27</v>
      </c>
      <c r="E16" s="11" t="str">
        <f ca="1">IF(WEEKDAY(CalendarDay)=ValorDeInicioDeSemana,CONCATENATE("Semana ",WEEKNUM(CalendarDay),"/Día ",CalendarDay-DATE(YEAR(CalendarDay),1,0)),CONCATENATE("Día ",CalendarDay-DATE(YEAR(CalendarDay),1,0)))</f>
        <v>Día 28</v>
      </c>
      <c r="F16" s="12" t="str">
        <f ca="1">IF(WEEKDAY(CalendarDay)=ValorDeInicioDeSemana,CONCATENATE("Semana ",WEEKNUM(CalendarDay),"/Día ",CalendarDay-DATE(YEAR(CalendarDay),1,0)),CONCATENATE("Día ",CalendarDay-DATE(YEAR(CalendarDay),1,0)))</f>
        <v>Día 29</v>
      </c>
      <c r="G16" s="11" t="str">
        <f ca="1">IF(WEEKDAY(CalendarDay)=ValorDeInicioDeSemana,CONCATENATE("Semana ",WEEKNUM(CalendarDay),"/Día ",CalendarDay-DATE(YEAR(CalendarDay),1,0)),CONCATENATE("Día ",CalendarDay-DATE(YEAR(CalendarDay),1,0)))</f>
        <v>Día 30</v>
      </c>
      <c r="H16" s="12" t="str">
        <f ca="1">IF(WEEKDAY(CalendarDay)=ValorDeInicioDeSemana,CONCATENATE("Semana ",WEEKNUM(CalendarDay),"/Día ",CalendarDay-DATE(YEAR(CalendarDay),1,0)),CONCATENATE("Día ",CalendarDay-DATE(YEAR(CalendarDay),1,0)))</f>
        <v>Día 31</v>
      </c>
      <c r="I16" s="11" t="str">
        <f ca="1">IF(WEEKDAY(CalendarDay)=ValorDeInicioDeSemana,CONCATENATE("Semana ",WEEKNUM(CalendarDay),"/Día ",CalendarDay-DATE(YEAR(CalendarDay),1,0)),CONCATENATE("Día ",CalendarDay-DATE(YEAR(CalendarDay),1,0)))</f>
        <v>Día 32</v>
      </c>
    </row>
    <row r="17" spans="3:9" ht="15" customHeight="1" x14ac:dyDescent="0.25">
      <c r="C17" s="14"/>
      <c r="D17" s="15"/>
      <c r="E17" s="4" t="s">
        <v>1</v>
      </c>
      <c r="F17"/>
      <c r="G17"/>
      <c r="H17"/>
      <c r="I17"/>
    </row>
    <row r="18" spans="3:9" ht="41.25" customHeight="1" x14ac:dyDescent="0.2">
      <c r="C18" s="14"/>
      <c r="D18" s="15"/>
      <c r="E18" s="13"/>
      <c r="F18" s="13"/>
      <c r="G18" s="13"/>
      <c r="H18" s="13"/>
      <c r="I18" s="13"/>
    </row>
    <row r="19" spans="3:9" ht="16.5" customHeight="1" x14ac:dyDescent="0.25">
      <c r="C19" s="8">
        <f t="array" aca="1" ref="C19:D19" ca="1">DíasYSemanas+DATE(AñoNatural,1,1)-WEEKDAY(DATE(AñoNatural,1,1),(InicioDeSemana="LU")+1)+36</f>
        <v>43863</v>
      </c>
      <c r="D19" s="9">
        <f ca="1"/>
        <v>43864</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6/Día 33</v>
      </c>
      <c r="D20" s="2" t="str">
        <f ca="1">IF(WEEKDAY(CalendarDay)=ValorDeInicioDeSemana,CONCATENATE("Semana ",WEEKNUM(CalendarDay),"/Día ",CalendarDay-DATE(YEAR(CalendarDay),1,0)),CONCATENATE("Día ",CalendarDay-DATE(YEAR(CalendarDay),1,0)))</f>
        <v>Día 34</v>
      </c>
      <c r="E20" s="13"/>
      <c r="F20" s="13"/>
      <c r="G20" s="13"/>
      <c r="H20" s="13"/>
      <c r="I20" s="13"/>
    </row>
  </sheetData>
  <mergeCells count="3">
    <mergeCell ref="E18:I20"/>
    <mergeCell ref="C17:C18"/>
    <mergeCell ref="D17:D18"/>
  </mergeCells>
  <phoneticPr fontId="1" type="noConversion"/>
  <conditionalFormatting sqref="C15:I15 C19:D19">
    <cfRule type="expression" dxfId="47" priority="5">
      <formula>AND(DAY(C15)&gt;=1,DAY(C15)&lt;=15)</formula>
    </cfRule>
  </conditionalFormatting>
  <conditionalFormatting sqref="C3:H3">
    <cfRule type="expression" dxfId="46" priority="4">
      <formula>DAY(C3)&gt;8</formula>
    </cfRule>
  </conditionalFormatting>
  <conditionalFormatting sqref="C16:I16 C20:D20 C17:D17 F17:I17">
    <cfRule type="expression" dxfId="45" priority="7">
      <formula>AND(DAY(C15)&gt;=1,DAY(C15)&lt;=15)</formula>
    </cfRule>
  </conditionalFormatting>
  <conditionalFormatting sqref="C4:I4">
    <cfRule type="expression" dxfId="44" priority="1">
      <formula>DAY(C3)&gt;8</formula>
    </cfRule>
  </conditionalFormatting>
  <dataValidations xWindow="241" yWindow="393" count="10">
    <dataValidation type="list" errorStyle="warning" allowBlank="1" showInputMessage="1" showErrorMessage="1" error="Seleccione el primer día de la semana en la lista. Seleccione CANCELAR. A continuación, presione ALT+FLECHA ABAJO para mostrar las opciones y, después, FLECHA ABAJO y ENTRAR para realizar la selección." prompt="Seleccione el día de inicio de la semana en esta celda. Presione ALT+FLECHA ABAJO para mostrar las opciones y, después, FLECHA ABAJO y ENTRAR para realizar la selección." sqref="C1" xr:uid="{00000000-0002-0000-0000-000000000000}">
      <formula1>"DO,LU"</formula1>
    </dataValidation>
    <dataValidation allowBlank="1" showInputMessage="1" showErrorMessage="1" prompt="Cree un calendario juliano para cualquier año en este libro. Personalice el año y el primer día de la semana en las celdas B2 y C1, respectivamente. Los meses están en hojas de cálculo independientes." sqref="A1" xr:uid="{00000000-0002-0000-0000-000001000000}"/>
    <dataValidation allowBlank="1" showInputMessage="1" showErrorMessage="1" prompt="Escriba el año en esta celda." sqref="B2" xr:uid="{00000000-0002-0000-0000-000002000000}"/>
    <dataValidation allowBlank="1" showInputMessage="1" showErrorMessage="1" prompt="Esta celda contiene el mes de la hoja de cálculo. El calendario empieza en la celda de la derecha y contiene las fechas del mes anterior, del actual y del siguiente. Escriba el año en la celda inferior y las notas mensuales en la celda E18." sqref="B1" xr:uid="{00000000-0002-0000-0000-000003000000}"/>
    <dataValidation allowBlank="1" showInputMessage="1" showErrorMessage="1" prompt="Los días de la semana en esta celda y en las de la derecha se determinan automáticamente en función del primer día de la semana especificado en la celda C1." sqref="D1" xr:uid="{00000000-0002-0000-0000-000004000000}"/>
    <dataValidation allowBlank="1" showInputMessage="1" showErrorMessage="1" prompt="El día del calendario de esta fila y de las filas 6, 9, 12, 15 y 19 se actualizan automáticamente. Si esta celda no contiene el número 01, ese día pertenece a un día del mes anterior." sqref="C3" xr:uid="{00000000-0002-0000-0000-000005000000}"/>
    <dataValidation allowBlank="1" showInputMessage="1" showErrorMessage="1" prompt="Escriba las notas diarias basadas en el día del calendario que se encuentra en las celdas bajo esta fila y las filas 5, 8, 11, 14 y 17, de las columnas C a I." sqref="C2" xr:uid="{00000000-0002-0000-0000-000006000000}"/>
    <dataValidation allowBlank="1" showInputMessage="1" showErrorMessage="1" prompt="El número de días y semanas de esta fila y de las filas 7, 10, 13, 16 y 20 se actualizan automáticamente." sqref="C4" xr:uid="{00000000-0002-0000-0000-000007000000}"/>
    <dataValidation allowBlank="1" showInputMessage="1" showErrorMessage="1" prompt="Escriba las notas en la celda inferior." sqref="E17" xr:uid="{00000000-0002-0000-0000-000008000000}"/>
    <dataValidation allowBlank="1" showInputMessage="1" showErrorMessage="1" prompt="Escriba notas en esta celda." sqref="E18:I20" xr:uid="{00000000-0002-0000-0000-000009000000}"/>
  </dataValidations>
  <printOptions horizontalCentered="1" verticalCentered="1"/>
  <pageMargins left="0.25" right="0.25" top="0.75" bottom="0.75" header="0.3" footer="0.3"/>
  <pageSetup paperSize="9" scale="89" orientation="landscape" r:id="rId1"/>
  <headerFooter differentFirst="1">
    <oddFooter>Page &amp;P of &amp;N</oddFooter>
  </headerFooter>
  <customProperties>
    <customPr name="SheetChanged" r:id="rId2"/>
  </customPropertie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249977111117893"/>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s>
  <sheetData>
    <row r="1" spans="2:9" ht="41.1" customHeight="1" x14ac:dyDescent="0.6">
      <c r="B1" s="3" t="s">
        <v>2</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DíasYSemanas+DATE(AñoNatural,2,1)-WEEKDAY(DATE(AñoNatural,2,1),(InicioDeSemana="LU")+1)+1</f>
        <v>43856</v>
      </c>
      <c r="D3" s="9">
        <f ca="1"/>
        <v>43857</v>
      </c>
      <c r="E3" s="8">
        <f ca="1"/>
        <v>43858</v>
      </c>
      <c r="F3" s="9">
        <f ca="1"/>
        <v>43859</v>
      </c>
      <c r="G3" s="8">
        <f ca="1"/>
        <v>43860</v>
      </c>
      <c r="H3" s="9">
        <f ca="1"/>
        <v>43861</v>
      </c>
      <c r="I3" s="8">
        <f ca="1"/>
        <v>43862</v>
      </c>
    </row>
    <row r="4" spans="2:9" ht="15" customHeight="1" x14ac:dyDescent="0.2">
      <c r="C4" s="11" t="str">
        <f t="shared" ref="C4:I4" ca="1" si="1">IF(DAY(CalendarDay)=1,CONCATENATE("Semana ",WEEKNUM(CalendarDay),"/Día ",CalendarDay-DATE(YEAR(CalendarDay),1,0)),CONCATENATE("Día ",CalendarDay-DATE(YEAR(CalendarDay),1,0)))</f>
        <v>Día 26</v>
      </c>
      <c r="D4" s="12" t="str">
        <f t="shared" ca="1" si="1"/>
        <v>Día 27</v>
      </c>
      <c r="E4" s="11" t="str">
        <f t="shared" ca="1" si="1"/>
        <v>Día 28</v>
      </c>
      <c r="F4" s="12" t="str">
        <f t="shared" ca="1" si="1"/>
        <v>Día 29</v>
      </c>
      <c r="G4" s="11" t="str">
        <f t="shared" ca="1" si="1"/>
        <v>Día 30</v>
      </c>
      <c r="H4" s="12" t="str">
        <f t="shared" ca="1" si="1"/>
        <v>Día 31</v>
      </c>
      <c r="I4" s="11" t="str">
        <f t="shared" ca="1" si="1"/>
        <v>Semana 5/Día 32</v>
      </c>
    </row>
    <row r="5" spans="2:9" ht="56.25" customHeight="1" x14ac:dyDescent="0.2">
      <c r="C5" s="7"/>
      <c r="D5"/>
      <c r="E5" s="7"/>
      <c r="F5"/>
      <c r="G5" s="7"/>
      <c r="H5"/>
      <c r="I5" s="7"/>
    </row>
    <row r="6" spans="2:9" ht="16.5" customHeight="1" x14ac:dyDescent="0.25">
      <c r="C6" s="8">
        <f t="array" aca="1" ref="C6:I6" ca="1">DíasYSemanas+DATE(AñoNatural,2,1)-WEEKDAY(DATE(AñoNatural,2,1),(InicioDeSemana="LU")+1)+8</f>
        <v>43863</v>
      </c>
      <c r="D6" s="9">
        <f ca="1"/>
        <v>43864</v>
      </c>
      <c r="E6" s="8">
        <f ca="1"/>
        <v>43865</v>
      </c>
      <c r="F6" s="9">
        <f ca="1"/>
        <v>43866</v>
      </c>
      <c r="G6" s="8">
        <f ca="1"/>
        <v>43867</v>
      </c>
      <c r="H6" s="9">
        <f ca="1"/>
        <v>43868</v>
      </c>
      <c r="I6" s="8">
        <f ca="1"/>
        <v>43869</v>
      </c>
    </row>
    <row r="7" spans="2:9" ht="15" customHeight="1" x14ac:dyDescent="0.2">
      <c r="C7" s="11" t="str">
        <f ca="1">IF(WEEKDAY(CalendarDay)=ValorDeInicioDeSemana,CONCATENATE("Semana ",WEEKNUM(CalendarDay),"/Día ",CalendarDay-DATE(YEAR(CalendarDay),1,0)),CONCATENATE("Día ",CalendarDay-DATE(YEAR(CalendarDay),1,0)))</f>
        <v>Semana 6/Día 33</v>
      </c>
      <c r="D7" s="12" t="str">
        <f ca="1">IF(WEEKDAY(CalendarDay)=ValorDeInicioDeSemana,CONCATENATE("Semana ",WEEKNUM(CalendarDay),"/Día ",CalendarDay-DATE(YEAR(CalendarDay),1,0)),CONCATENATE("Día ",CalendarDay-DATE(YEAR(CalendarDay),1,0)))</f>
        <v>Día 34</v>
      </c>
      <c r="E7" s="11" t="str">
        <f ca="1">IF(WEEKDAY(CalendarDay)=ValorDeInicioDeSemana,CONCATENATE("Semana ",WEEKNUM(CalendarDay),"/Día ",CalendarDay-DATE(YEAR(CalendarDay),1,0)),CONCATENATE("Día ",CalendarDay-DATE(YEAR(CalendarDay),1,0)))</f>
        <v>Día 35</v>
      </c>
      <c r="F7" s="12" t="str">
        <f ca="1">IF(WEEKDAY(CalendarDay)=ValorDeInicioDeSemana,CONCATENATE("Semana ",WEEKNUM(CalendarDay),"/Día ",CalendarDay-DATE(YEAR(CalendarDay),1,0)),CONCATENATE("Día ",CalendarDay-DATE(YEAR(CalendarDay),1,0)))</f>
        <v>Día 36</v>
      </c>
      <c r="G7" s="11" t="str">
        <f ca="1">IF(WEEKDAY(CalendarDay)=ValorDeInicioDeSemana,CONCATENATE("Semana ",WEEKNUM(CalendarDay),"/Día ",CalendarDay-DATE(YEAR(CalendarDay),1,0)),CONCATENATE("Día ",CalendarDay-DATE(YEAR(CalendarDay),1,0)))</f>
        <v>Día 37</v>
      </c>
      <c r="H7" s="12" t="str">
        <f ca="1">IF(WEEKDAY(CalendarDay)=ValorDeInicioDeSemana,CONCATENATE("Semana ",WEEKNUM(CalendarDay),"/Día ",CalendarDay-DATE(YEAR(CalendarDay),1,0)),CONCATENATE("Día ",CalendarDay-DATE(YEAR(CalendarDay),1,0)))</f>
        <v>Día 38</v>
      </c>
      <c r="I7" s="11" t="str">
        <f ca="1">IF(WEEKDAY(CalendarDay)=ValorDeInicioDeSemana,CONCATENATE("Semana ",WEEKNUM(CalendarDay),"/Día ",CalendarDay-DATE(YEAR(CalendarDay),1,0)),CONCATENATE("Día ",CalendarDay-DATE(YEAR(CalendarDay),1,0)))</f>
        <v>Día 39</v>
      </c>
    </row>
    <row r="8" spans="2:9" ht="56.25" customHeight="1" x14ac:dyDescent="0.2">
      <c r="C8" s="7"/>
      <c r="D8"/>
      <c r="E8" s="7"/>
      <c r="F8"/>
      <c r="G8" s="7"/>
      <c r="H8"/>
      <c r="I8" s="7"/>
    </row>
    <row r="9" spans="2:9" ht="16.5" customHeight="1" x14ac:dyDescent="0.25">
      <c r="C9" s="8">
        <f t="array" aca="1" ref="C9:I9" ca="1">DíasYSemanas+DATE(AñoNatural,2,1)-WEEKDAY(DATE(AñoNatural,2,1),(InicioDeSemana="LU")+1)+15</f>
        <v>43870</v>
      </c>
      <c r="D9" s="9">
        <f ca="1"/>
        <v>43871</v>
      </c>
      <c r="E9" s="8">
        <f ca="1"/>
        <v>43872</v>
      </c>
      <c r="F9" s="9">
        <f ca="1"/>
        <v>43873</v>
      </c>
      <c r="G9" s="8">
        <f ca="1"/>
        <v>43874</v>
      </c>
      <c r="H9" s="9">
        <f ca="1"/>
        <v>43875</v>
      </c>
      <c r="I9" s="8">
        <f ca="1"/>
        <v>43876</v>
      </c>
    </row>
    <row r="10" spans="2:9" ht="15" customHeight="1" x14ac:dyDescent="0.2">
      <c r="C10" s="11" t="str">
        <f ca="1">IF(WEEKDAY(CalendarDay)=ValorDeInicioDeSemana,CONCATENATE("Semana ",WEEKNUM(CalendarDay),"/Día ",CalendarDay-DATE(YEAR(CalendarDay),1,0)),CONCATENATE("Día ",CalendarDay-DATE(YEAR(CalendarDay),1,0)))</f>
        <v>Semana 7/Día 40</v>
      </c>
      <c r="D10" s="12" t="str">
        <f ca="1">IF(WEEKDAY(CalendarDay)=ValorDeInicioDeSemana,CONCATENATE("Semana ",WEEKNUM(CalendarDay),"/Día ",CalendarDay-DATE(YEAR(CalendarDay),1,0)),CONCATENATE("Día ",CalendarDay-DATE(YEAR(CalendarDay),1,0)))</f>
        <v>Día 41</v>
      </c>
      <c r="E10" s="11" t="str">
        <f ca="1">IF(WEEKDAY(CalendarDay)=ValorDeInicioDeSemana,CONCATENATE("Semana ",WEEKNUM(CalendarDay),"/Día ",CalendarDay-DATE(YEAR(CalendarDay),1,0)),CONCATENATE("Día ",CalendarDay-DATE(YEAR(CalendarDay),1,0)))</f>
        <v>Día 42</v>
      </c>
      <c r="F10" s="12" t="str">
        <f ca="1">IF(WEEKDAY(CalendarDay)=ValorDeInicioDeSemana,CONCATENATE("Semana ",WEEKNUM(CalendarDay),"/Día ",CalendarDay-DATE(YEAR(CalendarDay),1,0)),CONCATENATE("Día ",CalendarDay-DATE(YEAR(CalendarDay),1,0)))</f>
        <v>Día 43</v>
      </c>
      <c r="G10" s="11" t="str">
        <f ca="1">IF(WEEKDAY(CalendarDay)=ValorDeInicioDeSemana,CONCATENATE("Semana ",WEEKNUM(CalendarDay),"/Día ",CalendarDay-DATE(YEAR(CalendarDay),1,0)),CONCATENATE("Día ",CalendarDay-DATE(YEAR(CalendarDay),1,0)))</f>
        <v>Día 44</v>
      </c>
      <c r="H10" s="12" t="str">
        <f ca="1">IF(WEEKDAY(CalendarDay)=ValorDeInicioDeSemana,CONCATENATE("Semana ",WEEKNUM(CalendarDay),"/Día ",CalendarDay-DATE(YEAR(CalendarDay),1,0)),CONCATENATE("Día ",CalendarDay-DATE(YEAR(CalendarDay),1,0)))</f>
        <v>Día 45</v>
      </c>
      <c r="I10" s="11" t="str">
        <f ca="1">IF(WEEKDAY(CalendarDay)=ValorDeInicioDeSemana,CONCATENATE("Semana ",WEEKNUM(CalendarDay),"/Día ",CalendarDay-DATE(YEAR(CalendarDay),1,0)),CONCATENATE("Día ",CalendarDay-DATE(YEAR(CalendarDay),1,0)))</f>
        <v>Día 46</v>
      </c>
    </row>
    <row r="11" spans="2:9" ht="56.25" customHeight="1" x14ac:dyDescent="0.2">
      <c r="C11" s="7"/>
      <c r="D11"/>
      <c r="E11" s="7"/>
      <c r="F11"/>
      <c r="G11" s="7"/>
      <c r="H11"/>
      <c r="I11" s="7"/>
    </row>
    <row r="12" spans="2:9" ht="16.5" customHeight="1" x14ac:dyDescent="0.25">
      <c r="C12" s="8">
        <f t="array" aca="1" ref="C12:I12" ca="1">DíasYSemanas+DATE(AñoNatural,2,1)-WEEKDAY(DATE(AñoNatural,2,1),(InicioDeSemana="LU")+1)+22</f>
        <v>43877</v>
      </c>
      <c r="D12" s="9">
        <f ca="1"/>
        <v>43878</v>
      </c>
      <c r="E12" s="8">
        <f ca="1"/>
        <v>43879</v>
      </c>
      <c r="F12" s="9">
        <f ca="1"/>
        <v>43880</v>
      </c>
      <c r="G12" s="8">
        <f ca="1"/>
        <v>43881</v>
      </c>
      <c r="H12" s="9">
        <f ca="1"/>
        <v>43882</v>
      </c>
      <c r="I12" s="8">
        <f ca="1"/>
        <v>43883</v>
      </c>
    </row>
    <row r="13" spans="2:9" ht="15" customHeight="1" x14ac:dyDescent="0.2">
      <c r="C13" s="11" t="str">
        <f ca="1">IF(WEEKDAY(CalendarDay)=ValorDeInicioDeSemana,CONCATENATE("Semana ",WEEKNUM(CalendarDay),"/Día ",CalendarDay-DATE(YEAR(CalendarDay),1,0)),CONCATENATE("Día ",CalendarDay-DATE(YEAR(CalendarDay),1,0)))</f>
        <v>Semana 8/Día 47</v>
      </c>
      <c r="D13" s="12" t="str">
        <f ca="1">IF(WEEKDAY(CalendarDay)=ValorDeInicioDeSemana,CONCATENATE("Semana ",WEEKNUM(CalendarDay),"/Día ",CalendarDay-DATE(YEAR(CalendarDay),1,0)),CONCATENATE("Día ",CalendarDay-DATE(YEAR(CalendarDay),1,0)))</f>
        <v>Día 48</v>
      </c>
      <c r="E13" s="11" t="str">
        <f ca="1">IF(WEEKDAY(CalendarDay)=ValorDeInicioDeSemana,CONCATENATE("Semana ",WEEKNUM(CalendarDay),"/Día ",CalendarDay-DATE(YEAR(CalendarDay),1,0)),CONCATENATE("Día ",CalendarDay-DATE(YEAR(CalendarDay),1,0)))</f>
        <v>Día 49</v>
      </c>
      <c r="F13" s="12" t="str">
        <f ca="1">IF(WEEKDAY(CalendarDay)=ValorDeInicioDeSemana,CONCATENATE("Semana ",WEEKNUM(CalendarDay),"/Día ",CalendarDay-DATE(YEAR(CalendarDay),1,0)),CONCATENATE("Día ",CalendarDay-DATE(YEAR(CalendarDay),1,0)))</f>
        <v>Día 50</v>
      </c>
      <c r="G13" s="11" t="str">
        <f ca="1">IF(WEEKDAY(CalendarDay)=ValorDeInicioDeSemana,CONCATENATE("Semana ",WEEKNUM(CalendarDay),"/Día ",CalendarDay-DATE(YEAR(CalendarDay),1,0)),CONCATENATE("Día ",CalendarDay-DATE(YEAR(CalendarDay),1,0)))</f>
        <v>Día 51</v>
      </c>
      <c r="H13" s="12" t="str">
        <f ca="1">IF(WEEKDAY(CalendarDay)=ValorDeInicioDeSemana,CONCATENATE("Semana ",WEEKNUM(CalendarDay),"/Día ",CalendarDay-DATE(YEAR(CalendarDay),1,0)),CONCATENATE("Día ",CalendarDay-DATE(YEAR(CalendarDay),1,0)))</f>
        <v>Día 52</v>
      </c>
      <c r="I13" s="11" t="str">
        <f ca="1">IF(WEEKDAY(CalendarDay)=ValorDeInicioDeSemana,CONCATENATE("Semana ",WEEKNUM(CalendarDay),"/Día ",CalendarDay-DATE(YEAR(CalendarDay),1,0)),CONCATENATE("Día ",CalendarDay-DATE(YEAR(CalendarDay),1,0)))</f>
        <v>Día 53</v>
      </c>
    </row>
    <row r="14" spans="2:9" ht="56.25" customHeight="1" x14ac:dyDescent="0.2">
      <c r="C14" s="7"/>
      <c r="D14"/>
      <c r="E14" s="7"/>
      <c r="F14"/>
      <c r="G14" s="7"/>
      <c r="H14"/>
      <c r="I14" s="7"/>
    </row>
    <row r="15" spans="2:9" ht="16.5" customHeight="1" x14ac:dyDescent="0.25">
      <c r="C15" s="8">
        <f t="array" aca="1" ref="C15:I15" ca="1">DíasYSemanas+DATE(AñoNatural,2,1)-WEEKDAY(DATE(AñoNatural,2,1),(InicioDeSemana="LU")+1)+29</f>
        <v>43884</v>
      </c>
      <c r="D15" s="9">
        <f ca="1"/>
        <v>43885</v>
      </c>
      <c r="E15" s="8">
        <f ca="1"/>
        <v>43886</v>
      </c>
      <c r="F15" s="9">
        <f ca="1"/>
        <v>43887</v>
      </c>
      <c r="G15" s="8">
        <f ca="1"/>
        <v>43888</v>
      </c>
      <c r="H15" s="9">
        <f ca="1"/>
        <v>43889</v>
      </c>
      <c r="I15" s="8">
        <f ca="1"/>
        <v>43890</v>
      </c>
    </row>
    <row r="16" spans="2:9" ht="15" customHeight="1" x14ac:dyDescent="0.2">
      <c r="C16" s="11" t="str">
        <f ca="1">IF(WEEKDAY(CalendarDay)=ValorDeInicioDeSemana,CONCATENATE("Semana ",WEEKNUM(CalendarDay),"/Día ",CalendarDay-DATE(YEAR(CalendarDay),1,0)),CONCATENATE("Día ",CalendarDay-DATE(YEAR(CalendarDay),1,0)))</f>
        <v>Semana 9/Día 54</v>
      </c>
      <c r="D16" s="12" t="str">
        <f ca="1">IF(WEEKDAY(CalendarDay)=ValorDeInicioDeSemana,CONCATENATE("Semana ",WEEKNUM(CalendarDay),"/Día ",CalendarDay-DATE(YEAR(CalendarDay),1,0)),CONCATENATE("Día ",CalendarDay-DATE(YEAR(CalendarDay),1,0)))</f>
        <v>Día 55</v>
      </c>
      <c r="E16" s="11" t="str">
        <f ca="1">IF(WEEKDAY(CalendarDay)=ValorDeInicioDeSemana,CONCATENATE("Semana ",WEEKNUM(CalendarDay),"/Día ",CalendarDay-DATE(YEAR(CalendarDay),1,0)),CONCATENATE("Día ",CalendarDay-DATE(YEAR(CalendarDay),1,0)))</f>
        <v>Día 56</v>
      </c>
      <c r="F16" s="12" t="str">
        <f ca="1">IF(WEEKDAY(CalendarDay)=ValorDeInicioDeSemana,CONCATENATE("Semana ",WEEKNUM(CalendarDay),"/Día ",CalendarDay-DATE(YEAR(CalendarDay),1,0)),CONCATENATE("Día ",CalendarDay-DATE(YEAR(CalendarDay),1,0)))</f>
        <v>Día 57</v>
      </c>
      <c r="G16" s="11" t="str">
        <f ca="1">IF(WEEKDAY(CalendarDay)=ValorDeInicioDeSemana,CONCATENATE("Semana ",WEEKNUM(CalendarDay),"/Día ",CalendarDay-DATE(YEAR(CalendarDay),1,0)),CONCATENATE("Día ",CalendarDay-DATE(YEAR(CalendarDay),1,0)))</f>
        <v>Día 58</v>
      </c>
      <c r="H16" s="12" t="str">
        <f ca="1">IF(WEEKDAY(CalendarDay)=ValorDeInicioDeSemana,CONCATENATE("Semana ",WEEKNUM(CalendarDay),"/Día ",CalendarDay-DATE(YEAR(CalendarDay),1,0)),CONCATENATE("Día ",CalendarDay-DATE(YEAR(CalendarDay),1,0)))</f>
        <v>Día 59</v>
      </c>
      <c r="I16" s="11" t="str">
        <f ca="1">IF(WEEKDAY(CalendarDay)=ValorDeInicioDeSemana,CONCATENATE("Semana ",WEEKNUM(CalendarDay),"/Día ",CalendarDay-DATE(YEAR(CalendarDay),1,0)),CONCATENATE("Día ",CalendarDay-DATE(YEAR(CalendarDay),1,0)))</f>
        <v>Día 60</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DíasYSemanas+DATE(AñoNatural,2,1)-WEEKDAY(DATE(AñoNatural,2,1),(InicioDeSemana="LU")+1)+36</f>
        <v>43891</v>
      </c>
      <c r="D19" s="9">
        <f ca="1"/>
        <v>43892</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10/Día 61</v>
      </c>
      <c r="D20" s="2" t="str">
        <f ca="1">IF(WEEKDAY(CalendarDay)=ValorDeInicioDeSemana,CONCATENATE("Semana ",WEEKNUM(CalendarDay),"/Día ",CalendarDay-DATE(YEAR(CalendarDay),1,0)),CONCATENATE("Día ",CalendarDay-DATE(YEAR(CalendarDay),1,0)))</f>
        <v>Día 62</v>
      </c>
      <c r="E20" s="13"/>
      <c r="F20" s="13"/>
      <c r="G20" s="13"/>
      <c r="H20" s="13"/>
      <c r="I20" s="13"/>
    </row>
  </sheetData>
  <mergeCells count="2">
    <mergeCell ref="E18:I20"/>
    <mergeCell ref="C17:C18"/>
  </mergeCells>
  <conditionalFormatting sqref="C15:I15 C19:D19">
    <cfRule type="expression" dxfId="43" priority="2">
      <formula>AND(DAY(C15)&gt;=1,DAY(C15)&lt;=15)</formula>
    </cfRule>
  </conditionalFormatting>
  <conditionalFormatting sqref="C3:H3">
    <cfRule type="expression" dxfId="42" priority="1">
      <formula>DAY(C3)&gt;8</formula>
    </cfRule>
  </conditionalFormatting>
  <conditionalFormatting sqref="C4:I4">
    <cfRule type="expression" dxfId="41" priority="3">
      <formula>DAY(C3)&gt;8</formula>
    </cfRule>
  </conditionalFormatting>
  <conditionalFormatting sqref="C16:I16 C20:D20 C17:D17 F17:I17">
    <cfRule type="expression" dxfId="40" priority="4">
      <formula>AND(DAY(C15)&gt;=1,DAY(C15)&lt;=15)</formula>
    </cfRule>
  </conditionalFormatting>
  <dataValidations count="9">
    <dataValidation allowBlank="1" showInputMessage="1" showErrorMessage="1" prompt="Calendario del mes de febrero" sqref="A1" xr:uid="{00000000-0002-0000-0100-000000000000}"/>
    <dataValidation allowBlank="1" showInputMessage="1" showErrorMessage="1" prompt="El año de esta celda se actualiza automáticamente según el año especificado en la hoja de cálculo Enero." sqref="B2" xr:uid="{00000000-0002-0000-0100-000001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100-000002000000}"/>
    <dataValidation allowBlank="1" showInputMessage="1" showErrorMessage="1" prompt="Escriba las notas diarias basadas en el día del calendario que se encuentra en las celdas bajo esta fila y las filas 5, 8, 11, 14 y 17, de las columnas C a I." sqref="C2" xr:uid="{00000000-0002-0000-0100-000003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100-000004000000}"/>
    <dataValidation allowBlank="1" showInputMessage="1" showErrorMessage="1" prompt="El número de días y semanas de esta fila y de las filas 7, 10, 13, 16 y 20 se actualizan automáticamente." sqref="C4" xr:uid="{00000000-0002-0000-0100-000005000000}"/>
    <dataValidation allowBlank="1" showInputMessage="1" showErrorMessage="1" prompt="Escriba las notas en la celda inferior." sqref="E17" xr:uid="{00000000-0002-0000-0100-000006000000}"/>
    <dataValidation allowBlank="1" showInputMessage="1" showErrorMessage="1" prompt="Escriba notas en esta celda." sqref="E18:I20" xr:uid="{00000000-0002-0000-0100-000007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1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3</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DíasYSemanas+DATE(AñoNatural,3,1)-WEEKDAY(DATE(AñoNatural,3,1),(InicioDeSemana="LU")+1)+1</f>
        <v>43891</v>
      </c>
      <c r="D3" s="9">
        <f ca="1"/>
        <v>43892</v>
      </c>
      <c r="E3" s="8">
        <f ca="1"/>
        <v>43893</v>
      </c>
      <c r="F3" s="9">
        <f ca="1"/>
        <v>43894</v>
      </c>
      <c r="G3" s="8">
        <f ca="1"/>
        <v>43895</v>
      </c>
      <c r="H3" s="9">
        <f ca="1"/>
        <v>43896</v>
      </c>
      <c r="I3" s="8">
        <f ca="1"/>
        <v>43897</v>
      </c>
    </row>
    <row r="4" spans="2:9" ht="15" customHeight="1" x14ac:dyDescent="0.2">
      <c r="C4" s="11" t="str">
        <f t="shared" ref="C4:I4" ca="1" si="1">IF(DAY(CalendarDay)=1,CONCATENATE("Semana ",WEEKNUM(CalendarDay),"/Día ",CalendarDay-DATE(YEAR(CalendarDay),1,0)),CONCATENATE("Día ",CalendarDay-DATE(YEAR(CalendarDay),1,0)))</f>
        <v>Semana 10/Día 61</v>
      </c>
      <c r="D4" s="12" t="str">
        <f t="shared" ca="1" si="1"/>
        <v>Día 62</v>
      </c>
      <c r="E4" s="11" t="str">
        <f t="shared" ca="1" si="1"/>
        <v>Día 63</v>
      </c>
      <c r="F4" s="12" t="str">
        <f t="shared" ca="1" si="1"/>
        <v>Día 64</v>
      </c>
      <c r="G4" s="11" t="str">
        <f t="shared" ca="1" si="1"/>
        <v>Día 65</v>
      </c>
      <c r="H4" s="12" t="str">
        <f t="shared" ca="1" si="1"/>
        <v>Día 66</v>
      </c>
      <c r="I4" s="11" t="str">
        <f t="shared" ca="1" si="1"/>
        <v>Día 67</v>
      </c>
    </row>
    <row r="5" spans="2:9" ht="56.25" customHeight="1" x14ac:dyDescent="0.2">
      <c r="C5" s="7"/>
      <c r="D5"/>
      <c r="E5" s="7"/>
      <c r="F5"/>
      <c r="G5" s="7"/>
      <c r="H5"/>
      <c r="I5" s="7"/>
    </row>
    <row r="6" spans="2:9" ht="16.5" customHeight="1" x14ac:dyDescent="0.25">
      <c r="C6" s="8">
        <f t="array" aca="1" ref="C6:I6" ca="1">DíasYSemanas+DATE(AñoNatural,3,1)-WEEKDAY(DATE(AñoNatural,3,1),(InicioDeSemana="LU")+1)+8</f>
        <v>43898</v>
      </c>
      <c r="D6" s="9">
        <f ca="1"/>
        <v>43899</v>
      </c>
      <c r="E6" s="8">
        <f ca="1"/>
        <v>43900</v>
      </c>
      <c r="F6" s="9">
        <f ca="1"/>
        <v>43901</v>
      </c>
      <c r="G6" s="8">
        <f ca="1"/>
        <v>43902</v>
      </c>
      <c r="H6" s="9">
        <f ca="1"/>
        <v>43903</v>
      </c>
      <c r="I6" s="8">
        <f ca="1"/>
        <v>43904</v>
      </c>
    </row>
    <row r="7" spans="2:9" ht="15" customHeight="1" x14ac:dyDescent="0.2">
      <c r="C7" s="11" t="str">
        <f ca="1">IF(WEEKDAY(CalendarDay)=ValorDeInicioDeSemana,CONCATENATE("Semana ",WEEKNUM(CalendarDay),"/Día ",CalendarDay-DATE(YEAR(CalendarDay),1,0)),CONCATENATE("Día ",CalendarDay-DATE(YEAR(CalendarDay),1,0)))</f>
        <v>Semana 11/Día 68</v>
      </c>
      <c r="D7" s="12" t="str">
        <f ca="1">IF(WEEKDAY(CalendarDay)=ValorDeInicioDeSemana,CONCATENATE("Semana ",WEEKNUM(CalendarDay),"/Día ",CalendarDay-DATE(YEAR(CalendarDay),1,0)),CONCATENATE("Día ",CalendarDay-DATE(YEAR(CalendarDay),1,0)))</f>
        <v>Día 69</v>
      </c>
      <c r="E7" s="11" t="str">
        <f ca="1">IF(WEEKDAY(CalendarDay)=ValorDeInicioDeSemana,CONCATENATE("Semana ",WEEKNUM(CalendarDay),"/Día ",CalendarDay-DATE(YEAR(CalendarDay),1,0)),CONCATENATE("Día ",CalendarDay-DATE(YEAR(CalendarDay),1,0)))</f>
        <v>Día 70</v>
      </c>
      <c r="F7" s="12" t="str">
        <f ca="1">IF(WEEKDAY(CalendarDay)=ValorDeInicioDeSemana,CONCATENATE("Semana ",WEEKNUM(CalendarDay),"/Día ",CalendarDay-DATE(YEAR(CalendarDay),1,0)),CONCATENATE("Día ",CalendarDay-DATE(YEAR(CalendarDay),1,0)))</f>
        <v>Día 71</v>
      </c>
      <c r="G7" s="11" t="str">
        <f ca="1">IF(WEEKDAY(CalendarDay)=ValorDeInicioDeSemana,CONCATENATE("Semana ",WEEKNUM(CalendarDay),"/Día ",CalendarDay-DATE(YEAR(CalendarDay),1,0)),CONCATENATE("Día ",CalendarDay-DATE(YEAR(CalendarDay),1,0)))</f>
        <v>Día 72</v>
      </c>
      <c r="H7" s="12" t="str">
        <f ca="1">IF(WEEKDAY(CalendarDay)=ValorDeInicioDeSemana,CONCATENATE("Semana ",WEEKNUM(CalendarDay),"/Día ",CalendarDay-DATE(YEAR(CalendarDay),1,0)),CONCATENATE("Día ",CalendarDay-DATE(YEAR(CalendarDay),1,0)))</f>
        <v>Día 73</v>
      </c>
      <c r="I7" s="11" t="str">
        <f ca="1">IF(WEEKDAY(CalendarDay)=ValorDeInicioDeSemana,CONCATENATE("Semana ",WEEKNUM(CalendarDay),"/Día ",CalendarDay-DATE(YEAR(CalendarDay),1,0)),CONCATENATE("Día ",CalendarDay-DATE(YEAR(CalendarDay),1,0)))</f>
        <v>Día 74</v>
      </c>
    </row>
    <row r="8" spans="2:9" ht="56.25" customHeight="1" x14ac:dyDescent="0.2">
      <c r="C8" s="7"/>
      <c r="D8"/>
      <c r="E8" s="7"/>
      <c r="F8"/>
      <c r="G8" s="7"/>
      <c r="H8"/>
      <c r="I8" s="7"/>
    </row>
    <row r="9" spans="2:9" ht="16.5" customHeight="1" x14ac:dyDescent="0.25">
      <c r="C9" s="8">
        <f t="array" aca="1" ref="C9:I9" ca="1">DíasYSemanas+DATE(AñoNatural,3,1)-WEEKDAY(DATE(AñoNatural,3,1),(InicioDeSemana="LU")+1)+15</f>
        <v>43905</v>
      </c>
      <c r="D9" s="9">
        <f ca="1"/>
        <v>43906</v>
      </c>
      <c r="E9" s="8">
        <f ca="1"/>
        <v>43907</v>
      </c>
      <c r="F9" s="9">
        <f ca="1"/>
        <v>43908</v>
      </c>
      <c r="G9" s="8">
        <f ca="1"/>
        <v>43909</v>
      </c>
      <c r="H9" s="9">
        <f ca="1"/>
        <v>43910</v>
      </c>
      <c r="I9" s="8">
        <f ca="1"/>
        <v>43911</v>
      </c>
    </row>
    <row r="10" spans="2:9" ht="15" customHeight="1" x14ac:dyDescent="0.2">
      <c r="C10" s="11" t="str">
        <f ca="1">IF(WEEKDAY(CalendarDay)=ValorDeInicioDeSemana,CONCATENATE("Semana ",WEEKNUM(CalendarDay),"/Día ",CalendarDay-DATE(YEAR(CalendarDay),1,0)),CONCATENATE("Día ",CalendarDay-DATE(YEAR(CalendarDay),1,0)))</f>
        <v>Semana 12/Día 75</v>
      </c>
      <c r="D10" s="12" t="str">
        <f ca="1">IF(WEEKDAY(CalendarDay)=ValorDeInicioDeSemana,CONCATENATE("Semana ",WEEKNUM(CalendarDay),"/Día ",CalendarDay-DATE(YEAR(CalendarDay),1,0)),CONCATENATE("Día ",CalendarDay-DATE(YEAR(CalendarDay),1,0)))</f>
        <v>Día 76</v>
      </c>
      <c r="E10" s="11" t="str">
        <f ca="1">IF(WEEKDAY(CalendarDay)=ValorDeInicioDeSemana,CONCATENATE("Semana ",WEEKNUM(CalendarDay),"/Día ",CalendarDay-DATE(YEAR(CalendarDay),1,0)),CONCATENATE("Día ",CalendarDay-DATE(YEAR(CalendarDay),1,0)))</f>
        <v>Día 77</v>
      </c>
      <c r="F10" s="12" t="str">
        <f ca="1">IF(WEEKDAY(CalendarDay)=ValorDeInicioDeSemana,CONCATENATE("Semana ",WEEKNUM(CalendarDay),"/Día ",CalendarDay-DATE(YEAR(CalendarDay),1,0)),CONCATENATE("Día ",CalendarDay-DATE(YEAR(CalendarDay),1,0)))</f>
        <v>Día 78</v>
      </c>
      <c r="G10" s="11" t="str">
        <f ca="1">IF(WEEKDAY(CalendarDay)=ValorDeInicioDeSemana,CONCATENATE("Semana ",WEEKNUM(CalendarDay),"/Día ",CalendarDay-DATE(YEAR(CalendarDay),1,0)),CONCATENATE("Día ",CalendarDay-DATE(YEAR(CalendarDay),1,0)))</f>
        <v>Día 79</v>
      </c>
      <c r="H10" s="12" t="str">
        <f ca="1">IF(WEEKDAY(CalendarDay)=ValorDeInicioDeSemana,CONCATENATE("Semana ",WEEKNUM(CalendarDay),"/Día ",CalendarDay-DATE(YEAR(CalendarDay),1,0)),CONCATENATE("Día ",CalendarDay-DATE(YEAR(CalendarDay),1,0)))</f>
        <v>Día 80</v>
      </c>
      <c r="I10" s="11" t="str">
        <f ca="1">IF(WEEKDAY(CalendarDay)=ValorDeInicioDeSemana,CONCATENATE("Semana ",WEEKNUM(CalendarDay),"/Día ",CalendarDay-DATE(YEAR(CalendarDay),1,0)),CONCATENATE("Día ",CalendarDay-DATE(YEAR(CalendarDay),1,0)))</f>
        <v>Día 81</v>
      </c>
    </row>
    <row r="11" spans="2:9" ht="56.25" customHeight="1" x14ac:dyDescent="0.2">
      <c r="C11" s="7"/>
      <c r="D11"/>
      <c r="E11" s="7"/>
      <c r="F11"/>
      <c r="G11" s="7"/>
      <c r="H11"/>
      <c r="I11" s="7"/>
    </row>
    <row r="12" spans="2:9" ht="16.5" customHeight="1" x14ac:dyDescent="0.25">
      <c r="C12" s="8">
        <f t="array" aca="1" ref="C12:I12" ca="1">DíasYSemanas+DATE(AñoNatural,3,1)-WEEKDAY(DATE(AñoNatural,3,1),(InicioDeSemana="LU")+1)+22</f>
        <v>43912</v>
      </c>
      <c r="D12" s="9">
        <f ca="1"/>
        <v>43913</v>
      </c>
      <c r="E12" s="8">
        <f ca="1"/>
        <v>43914</v>
      </c>
      <c r="F12" s="9">
        <f ca="1"/>
        <v>43915</v>
      </c>
      <c r="G12" s="8">
        <f ca="1"/>
        <v>43916</v>
      </c>
      <c r="H12" s="9">
        <f ca="1"/>
        <v>43917</v>
      </c>
      <c r="I12" s="8">
        <f ca="1"/>
        <v>43918</v>
      </c>
    </row>
    <row r="13" spans="2:9" ht="15" customHeight="1" x14ac:dyDescent="0.2">
      <c r="C13" s="11" t="str">
        <f ca="1">IF(WEEKDAY(CalendarDay)=ValorDeInicioDeSemana,CONCATENATE("Semana ",WEEKNUM(CalendarDay),"/Día ",CalendarDay-DATE(YEAR(CalendarDay),1,0)),CONCATENATE("Día ",CalendarDay-DATE(YEAR(CalendarDay),1,0)))</f>
        <v>Semana 13/Día 82</v>
      </c>
      <c r="D13" s="12" t="str">
        <f ca="1">IF(WEEKDAY(CalendarDay)=ValorDeInicioDeSemana,CONCATENATE("Semana ",WEEKNUM(CalendarDay),"/Día ",CalendarDay-DATE(YEAR(CalendarDay),1,0)),CONCATENATE("Día ",CalendarDay-DATE(YEAR(CalendarDay),1,0)))</f>
        <v>Día 83</v>
      </c>
      <c r="E13" s="11" t="str">
        <f ca="1">IF(WEEKDAY(CalendarDay)=ValorDeInicioDeSemana,CONCATENATE("Semana ",WEEKNUM(CalendarDay),"/Día ",CalendarDay-DATE(YEAR(CalendarDay),1,0)),CONCATENATE("Día ",CalendarDay-DATE(YEAR(CalendarDay),1,0)))</f>
        <v>Día 84</v>
      </c>
      <c r="F13" s="12" t="str">
        <f ca="1">IF(WEEKDAY(CalendarDay)=ValorDeInicioDeSemana,CONCATENATE("Semana ",WEEKNUM(CalendarDay),"/Día ",CalendarDay-DATE(YEAR(CalendarDay),1,0)),CONCATENATE("Día ",CalendarDay-DATE(YEAR(CalendarDay),1,0)))</f>
        <v>Día 85</v>
      </c>
      <c r="G13" s="11" t="str">
        <f ca="1">IF(WEEKDAY(CalendarDay)=ValorDeInicioDeSemana,CONCATENATE("Semana ",WEEKNUM(CalendarDay),"/Día ",CalendarDay-DATE(YEAR(CalendarDay),1,0)),CONCATENATE("Día ",CalendarDay-DATE(YEAR(CalendarDay),1,0)))</f>
        <v>Día 86</v>
      </c>
      <c r="H13" s="12" t="str">
        <f ca="1">IF(WEEKDAY(CalendarDay)=ValorDeInicioDeSemana,CONCATENATE("Semana ",WEEKNUM(CalendarDay),"/Día ",CalendarDay-DATE(YEAR(CalendarDay),1,0)),CONCATENATE("Día ",CalendarDay-DATE(YEAR(CalendarDay),1,0)))</f>
        <v>Día 87</v>
      </c>
      <c r="I13" s="11" t="str">
        <f ca="1">IF(WEEKDAY(CalendarDay)=ValorDeInicioDeSemana,CONCATENATE("Semana ",WEEKNUM(CalendarDay),"/Día ",CalendarDay-DATE(YEAR(CalendarDay),1,0)),CONCATENATE("Día ",CalendarDay-DATE(YEAR(CalendarDay),1,0)))</f>
        <v>Día 88</v>
      </c>
    </row>
    <row r="14" spans="2:9" ht="56.25" customHeight="1" x14ac:dyDescent="0.2">
      <c r="C14" s="7"/>
      <c r="D14"/>
      <c r="E14" s="7"/>
      <c r="F14"/>
      <c r="G14" s="7"/>
      <c r="H14"/>
      <c r="I14" s="7"/>
    </row>
    <row r="15" spans="2:9" ht="16.5" customHeight="1" x14ac:dyDescent="0.25">
      <c r="C15" s="8">
        <f t="array" aca="1" ref="C15:I15" ca="1">DíasYSemanas+DATE(AñoNatural,3,1)-WEEKDAY(DATE(AñoNatural,3,1),(InicioDeSemana="LU")+1)+29</f>
        <v>43919</v>
      </c>
      <c r="D15" s="9">
        <f ca="1"/>
        <v>43920</v>
      </c>
      <c r="E15" s="8">
        <f ca="1"/>
        <v>43921</v>
      </c>
      <c r="F15" s="9">
        <f ca="1"/>
        <v>43922</v>
      </c>
      <c r="G15" s="8">
        <f ca="1"/>
        <v>43923</v>
      </c>
      <c r="H15" s="9">
        <f ca="1"/>
        <v>43924</v>
      </c>
      <c r="I15" s="8">
        <f ca="1"/>
        <v>43925</v>
      </c>
    </row>
    <row r="16" spans="2:9" ht="15" customHeight="1" x14ac:dyDescent="0.2">
      <c r="C16" s="11" t="str">
        <f ca="1">IF(WEEKDAY(CalendarDay)=ValorDeInicioDeSemana,CONCATENATE("Semana ",WEEKNUM(CalendarDay),"/Día ",CalendarDay-DATE(YEAR(CalendarDay),1,0)),CONCATENATE("Día ",CalendarDay-DATE(YEAR(CalendarDay),1,0)))</f>
        <v>Semana 14/Día 89</v>
      </c>
      <c r="D16" s="12" t="str">
        <f ca="1">IF(WEEKDAY(CalendarDay)=ValorDeInicioDeSemana,CONCATENATE("Semana ",WEEKNUM(CalendarDay),"/Día ",CalendarDay-DATE(YEAR(CalendarDay),1,0)),CONCATENATE("Día ",CalendarDay-DATE(YEAR(CalendarDay),1,0)))</f>
        <v>Día 90</v>
      </c>
      <c r="E16" s="11" t="str">
        <f ca="1">IF(WEEKDAY(CalendarDay)=ValorDeInicioDeSemana,CONCATENATE("Semana ",WEEKNUM(CalendarDay),"/Día ",CalendarDay-DATE(YEAR(CalendarDay),1,0)),CONCATENATE("Día ",CalendarDay-DATE(YEAR(CalendarDay),1,0)))</f>
        <v>Día 91</v>
      </c>
      <c r="F16" s="12" t="str">
        <f ca="1">IF(WEEKDAY(CalendarDay)=ValorDeInicioDeSemana,CONCATENATE("Semana ",WEEKNUM(CalendarDay),"/Día ",CalendarDay-DATE(YEAR(CalendarDay),1,0)),CONCATENATE("Día ",CalendarDay-DATE(YEAR(CalendarDay),1,0)))</f>
        <v>Día 92</v>
      </c>
      <c r="G16" s="11" t="str">
        <f ca="1">IF(WEEKDAY(CalendarDay)=ValorDeInicioDeSemana,CONCATENATE("Semana ",WEEKNUM(CalendarDay),"/Día ",CalendarDay-DATE(YEAR(CalendarDay),1,0)),CONCATENATE("Día ",CalendarDay-DATE(YEAR(CalendarDay),1,0)))</f>
        <v>Día 93</v>
      </c>
      <c r="H16" s="12" t="str">
        <f ca="1">IF(WEEKDAY(CalendarDay)=ValorDeInicioDeSemana,CONCATENATE("Semana ",WEEKNUM(CalendarDay),"/Día ",CalendarDay-DATE(YEAR(CalendarDay),1,0)),CONCATENATE("Día ",CalendarDay-DATE(YEAR(CalendarDay),1,0)))</f>
        <v>Día 94</v>
      </c>
      <c r="I16" s="11" t="str">
        <f ca="1">IF(WEEKDAY(CalendarDay)=ValorDeInicioDeSemana,CONCATENATE("Semana ",WEEKNUM(CalendarDay),"/Día ",CalendarDay-DATE(YEAR(CalendarDay),1,0)),CONCATENATE("Día ",CalendarDay-DATE(YEAR(CalendarDay),1,0)))</f>
        <v>Día 95</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DíasYSemanas+DATE(AñoNatural,3,1)-WEEKDAY(DATE(AñoNatural,3,1),(InicioDeSemana="LU")+1)+36</f>
        <v>43926</v>
      </c>
      <c r="D19" s="9">
        <f ca="1"/>
        <v>43927</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15/Día 96</v>
      </c>
      <c r="D20" s="2" t="str">
        <f ca="1">IF(WEEKDAY(CalendarDay)=ValorDeInicioDeSemana,CONCATENATE("Semana ",WEEKNUM(CalendarDay),"/Día ",CalendarDay-DATE(YEAR(CalendarDay),1,0)),CONCATENATE("Día ",CalendarDay-DATE(YEAR(CalendarDay),1,0)))</f>
        <v>Día 97</v>
      </c>
      <c r="E20" s="13"/>
      <c r="F20" s="13"/>
      <c r="G20" s="13"/>
      <c r="H20" s="13"/>
      <c r="I20" s="13"/>
    </row>
  </sheetData>
  <mergeCells count="2">
    <mergeCell ref="E18:I20"/>
    <mergeCell ref="C17:C18"/>
  </mergeCells>
  <conditionalFormatting sqref="C15:I15 C19:D19">
    <cfRule type="expression" dxfId="39" priority="2">
      <formula>AND(DAY(C15)&gt;=1,DAY(C15)&lt;=15)</formula>
    </cfRule>
  </conditionalFormatting>
  <conditionalFormatting sqref="C3:H3">
    <cfRule type="expression" dxfId="38" priority="1">
      <formula>DAY(C3)&gt;8</formula>
    </cfRule>
  </conditionalFormatting>
  <conditionalFormatting sqref="C4:I4">
    <cfRule type="expression" dxfId="37" priority="3">
      <formula>DAY(C3)&gt;8</formula>
    </cfRule>
  </conditionalFormatting>
  <conditionalFormatting sqref="C16:I16 C20:D20 C17:D17 F17:I17">
    <cfRule type="expression" dxfId="36" priority="4">
      <formula>AND(DAY(C15)&gt;=1,DAY(C15)&lt;=15)</formula>
    </cfRule>
  </conditionalFormatting>
  <dataValidations count="9">
    <dataValidation allowBlank="1" showInputMessage="1" showErrorMessage="1" prompt="Calendario del mes de marzo" sqref="A1" xr:uid="{00000000-0002-0000-02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200-000001000000}"/>
    <dataValidation allowBlank="1" showInputMessage="1" showErrorMessage="1" prompt="El año de esta celda se actualiza automáticamente según el año especificado en la hoja de cálculo Enero." sqref="B2" xr:uid="{00000000-0002-0000-02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200-000003000000}"/>
    <dataValidation allowBlank="1" showInputMessage="1" showErrorMessage="1" prompt="Escriba las notas diarias basadas en el día del calendario que se encuentra en las celdas bajo esta fila y las filas 5, 8, 11, 14 y 17, de las columnas C a I." sqref="C2" xr:uid="{00000000-0002-0000-02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200-000005000000}"/>
    <dataValidation allowBlank="1" showInputMessage="1" showErrorMessage="1" prompt="El número de días y semanas de esta fila y de las filas 7, 10, 13, 16 y 20 se actualizan automáticamente." sqref="C4" xr:uid="{00000000-0002-0000-0200-000006000000}"/>
    <dataValidation allowBlank="1" showInputMessage="1" showErrorMessage="1" prompt="Escriba las notas en la celda inferior." sqref="E17" xr:uid="{00000000-0002-0000-0200-000007000000}"/>
    <dataValidation allowBlank="1" showInputMessage="1" showErrorMessage="1" prompt="Escriba notas en esta celda." sqref="E18:I20" xr:uid="{00000000-0002-0000-02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39997558519241921"/>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4</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DíasYSemanas+DATE(AñoNatural,4,1)-WEEKDAY(DATE(AñoNatural,4,1),(InicioDeSemana="LU")+1)+1</f>
        <v>43919</v>
      </c>
      <c r="D3" s="9">
        <f ca="1"/>
        <v>43920</v>
      </c>
      <c r="E3" s="8">
        <f ca="1"/>
        <v>43921</v>
      </c>
      <c r="F3" s="9">
        <f ca="1"/>
        <v>43922</v>
      </c>
      <c r="G3" s="8">
        <f ca="1"/>
        <v>43923</v>
      </c>
      <c r="H3" s="9">
        <f ca="1"/>
        <v>43924</v>
      </c>
      <c r="I3" s="8">
        <f ca="1"/>
        <v>43925</v>
      </c>
    </row>
    <row r="4" spans="2:9" ht="15" customHeight="1" x14ac:dyDescent="0.2">
      <c r="C4" s="11" t="str">
        <f t="shared" ref="C4:I4" ca="1" si="1">IF(DAY(CalendarDay)=1,CONCATENATE("Semana ",WEEKNUM(CalendarDay),"/Día ",CalendarDay-DATE(YEAR(CalendarDay),1,0)),CONCATENATE("Día ",CalendarDay-DATE(YEAR(CalendarDay),1,0)))</f>
        <v>Día 89</v>
      </c>
      <c r="D4" s="12" t="str">
        <f t="shared" ca="1" si="1"/>
        <v>Día 90</v>
      </c>
      <c r="E4" s="11" t="str">
        <f t="shared" ca="1" si="1"/>
        <v>Día 91</v>
      </c>
      <c r="F4" s="12" t="str">
        <f t="shared" ca="1" si="1"/>
        <v>Semana 14/Día 92</v>
      </c>
      <c r="G4" s="11" t="str">
        <f t="shared" ca="1" si="1"/>
        <v>Día 93</v>
      </c>
      <c r="H4" s="12" t="str">
        <f t="shared" ca="1" si="1"/>
        <v>Día 94</v>
      </c>
      <c r="I4" s="11" t="str">
        <f t="shared" ca="1" si="1"/>
        <v>Día 95</v>
      </c>
    </row>
    <row r="5" spans="2:9" ht="56.25" customHeight="1" x14ac:dyDescent="0.2">
      <c r="C5" s="7"/>
      <c r="D5"/>
      <c r="E5" s="7"/>
      <c r="F5"/>
      <c r="G5" s="7"/>
      <c r="H5"/>
      <c r="I5" s="7"/>
    </row>
    <row r="6" spans="2:9" ht="16.5" customHeight="1" x14ac:dyDescent="0.25">
      <c r="C6" s="8">
        <f t="array" aca="1" ref="C6:I6" ca="1">DíasYSemanas+DATE(AñoNatural,4,1)-WEEKDAY(DATE(AñoNatural,4,1),(InicioDeSemana="LU")+1)+8</f>
        <v>43926</v>
      </c>
      <c r="D6" s="9">
        <f ca="1"/>
        <v>43927</v>
      </c>
      <c r="E6" s="8">
        <f ca="1"/>
        <v>43928</v>
      </c>
      <c r="F6" s="9">
        <f ca="1"/>
        <v>43929</v>
      </c>
      <c r="G6" s="8">
        <f ca="1"/>
        <v>43930</v>
      </c>
      <c r="H6" s="9">
        <f ca="1"/>
        <v>43931</v>
      </c>
      <c r="I6" s="8">
        <f ca="1"/>
        <v>43932</v>
      </c>
    </row>
    <row r="7" spans="2:9" ht="15" customHeight="1" x14ac:dyDescent="0.2">
      <c r="C7" s="11" t="str">
        <f ca="1">IF(WEEKDAY(CalendarDay)=ValorDeInicioDeSemana,CONCATENATE("Semana ",WEEKNUM(CalendarDay),"/Día ",CalendarDay-DATE(YEAR(CalendarDay),1,0)),CONCATENATE("Día ",CalendarDay-DATE(YEAR(CalendarDay),1,0)))</f>
        <v>Semana 15/Día 96</v>
      </c>
      <c r="D7" s="12" t="str">
        <f ca="1">IF(WEEKDAY(CalendarDay)=ValorDeInicioDeSemana,CONCATENATE("Semana ",WEEKNUM(CalendarDay),"/Día ",CalendarDay-DATE(YEAR(CalendarDay),1,0)),CONCATENATE("Día ",CalendarDay-DATE(YEAR(CalendarDay),1,0)))</f>
        <v>Día 97</v>
      </c>
      <c r="E7" s="11" t="str">
        <f ca="1">IF(WEEKDAY(CalendarDay)=ValorDeInicioDeSemana,CONCATENATE("Semana ",WEEKNUM(CalendarDay),"/Día ",CalendarDay-DATE(YEAR(CalendarDay),1,0)),CONCATENATE("Día ",CalendarDay-DATE(YEAR(CalendarDay),1,0)))</f>
        <v>Día 98</v>
      </c>
      <c r="F7" s="12" t="str">
        <f ca="1">IF(WEEKDAY(CalendarDay)=ValorDeInicioDeSemana,CONCATENATE("Semana ",WEEKNUM(CalendarDay),"/Día ",CalendarDay-DATE(YEAR(CalendarDay),1,0)),CONCATENATE("Día ",CalendarDay-DATE(YEAR(CalendarDay),1,0)))</f>
        <v>Día 99</v>
      </c>
      <c r="G7" s="11" t="str">
        <f ca="1">IF(WEEKDAY(CalendarDay)=ValorDeInicioDeSemana,CONCATENATE("Semana ",WEEKNUM(CalendarDay),"/Día ",CalendarDay-DATE(YEAR(CalendarDay),1,0)),CONCATENATE("Día ",CalendarDay-DATE(YEAR(CalendarDay),1,0)))</f>
        <v>Día 100</v>
      </c>
      <c r="H7" s="12" t="str">
        <f ca="1">IF(WEEKDAY(CalendarDay)=ValorDeInicioDeSemana,CONCATENATE("Semana ",WEEKNUM(CalendarDay),"/Día ",CalendarDay-DATE(YEAR(CalendarDay),1,0)),CONCATENATE("Día ",CalendarDay-DATE(YEAR(CalendarDay),1,0)))</f>
        <v>Día 101</v>
      </c>
      <c r="I7" s="11" t="str">
        <f ca="1">IF(WEEKDAY(CalendarDay)=ValorDeInicioDeSemana,CONCATENATE("Semana ",WEEKNUM(CalendarDay),"/Día ",CalendarDay-DATE(YEAR(CalendarDay),1,0)),CONCATENATE("Día ",CalendarDay-DATE(YEAR(CalendarDay),1,0)))</f>
        <v>Día 102</v>
      </c>
    </row>
    <row r="8" spans="2:9" ht="56.25" customHeight="1" x14ac:dyDescent="0.2">
      <c r="C8" s="7"/>
      <c r="D8"/>
      <c r="E8" s="7"/>
      <c r="F8"/>
      <c r="G8" s="7"/>
      <c r="H8"/>
      <c r="I8" s="7"/>
    </row>
    <row r="9" spans="2:9" ht="16.5" customHeight="1" x14ac:dyDescent="0.25">
      <c r="C9" s="8">
        <f t="array" aca="1" ref="C9:I9" ca="1">DíasYSemanas+DATE(AñoNatural,4,1)-WEEKDAY(DATE(AñoNatural,4,1),(InicioDeSemana="LU")+1)+15</f>
        <v>43933</v>
      </c>
      <c r="D9" s="9">
        <f ca="1"/>
        <v>43934</v>
      </c>
      <c r="E9" s="8">
        <f ca="1"/>
        <v>43935</v>
      </c>
      <c r="F9" s="9">
        <f ca="1"/>
        <v>43936</v>
      </c>
      <c r="G9" s="8">
        <f ca="1"/>
        <v>43937</v>
      </c>
      <c r="H9" s="9">
        <f ca="1"/>
        <v>43938</v>
      </c>
      <c r="I9" s="8">
        <f ca="1"/>
        <v>43939</v>
      </c>
    </row>
    <row r="10" spans="2:9" ht="15" customHeight="1" x14ac:dyDescent="0.2">
      <c r="C10" s="11" t="str">
        <f ca="1">IF(WEEKDAY(CalendarDay)=ValorDeInicioDeSemana,CONCATENATE("Semana ",WEEKNUM(CalendarDay),"/Día ",CalendarDay-DATE(YEAR(CalendarDay),1,0)),CONCATENATE("Día ",CalendarDay-DATE(YEAR(CalendarDay),1,0)))</f>
        <v>Semana 16/Día 103</v>
      </c>
      <c r="D10" s="12" t="str">
        <f ca="1">IF(WEEKDAY(CalendarDay)=ValorDeInicioDeSemana,CONCATENATE("Semana ",WEEKNUM(CalendarDay),"/Día ",CalendarDay-DATE(YEAR(CalendarDay),1,0)),CONCATENATE("Día ",CalendarDay-DATE(YEAR(CalendarDay),1,0)))</f>
        <v>Día 104</v>
      </c>
      <c r="E10" s="11" t="str">
        <f ca="1">IF(WEEKDAY(CalendarDay)=ValorDeInicioDeSemana,CONCATENATE("Semana ",WEEKNUM(CalendarDay),"/Día ",CalendarDay-DATE(YEAR(CalendarDay),1,0)),CONCATENATE("Día ",CalendarDay-DATE(YEAR(CalendarDay),1,0)))</f>
        <v>Día 105</v>
      </c>
      <c r="F10" s="12" t="str">
        <f ca="1">IF(WEEKDAY(CalendarDay)=ValorDeInicioDeSemana,CONCATENATE("Semana ",WEEKNUM(CalendarDay),"/Día ",CalendarDay-DATE(YEAR(CalendarDay),1,0)),CONCATENATE("Día ",CalendarDay-DATE(YEAR(CalendarDay),1,0)))</f>
        <v>Día 106</v>
      </c>
      <c r="G10" s="11" t="str">
        <f ca="1">IF(WEEKDAY(CalendarDay)=ValorDeInicioDeSemana,CONCATENATE("Semana ",WEEKNUM(CalendarDay),"/Día ",CalendarDay-DATE(YEAR(CalendarDay),1,0)),CONCATENATE("Día ",CalendarDay-DATE(YEAR(CalendarDay),1,0)))</f>
        <v>Día 107</v>
      </c>
      <c r="H10" s="12" t="str">
        <f ca="1">IF(WEEKDAY(CalendarDay)=ValorDeInicioDeSemana,CONCATENATE("Semana ",WEEKNUM(CalendarDay),"/Día ",CalendarDay-DATE(YEAR(CalendarDay),1,0)),CONCATENATE("Día ",CalendarDay-DATE(YEAR(CalendarDay),1,0)))</f>
        <v>Día 108</v>
      </c>
      <c r="I10" s="11" t="str">
        <f ca="1">IF(WEEKDAY(CalendarDay)=ValorDeInicioDeSemana,CONCATENATE("Semana ",WEEKNUM(CalendarDay),"/Día ",CalendarDay-DATE(YEAR(CalendarDay),1,0)),CONCATENATE("Día ",CalendarDay-DATE(YEAR(CalendarDay),1,0)))</f>
        <v>Día 109</v>
      </c>
    </row>
    <row r="11" spans="2:9" ht="56.25" customHeight="1" x14ac:dyDescent="0.2">
      <c r="C11" s="7"/>
      <c r="D11"/>
      <c r="E11" s="7"/>
      <c r="F11"/>
      <c r="G11" s="7"/>
      <c r="H11"/>
      <c r="I11" s="7"/>
    </row>
    <row r="12" spans="2:9" ht="16.5" customHeight="1" x14ac:dyDescent="0.25">
      <c r="C12" s="8">
        <f t="array" aca="1" ref="C12:I12" ca="1">DíasYSemanas+DATE(AñoNatural,4,1)-WEEKDAY(DATE(AñoNatural,4,1),(InicioDeSemana="LU")+1)+22</f>
        <v>43940</v>
      </c>
      <c r="D12" s="9">
        <f ca="1"/>
        <v>43941</v>
      </c>
      <c r="E12" s="8">
        <f ca="1"/>
        <v>43942</v>
      </c>
      <c r="F12" s="9">
        <f ca="1"/>
        <v>43943</v>
      </c>
      <c r="G12" s="8">
        <f ca="1"/>
        <v>43944</v>
      </c>
      <c r="H12" s="9">
        <f ca="1"/>
        <v>43945</v>
      </c>
      <c r="I12" s="8">
        <f ca="1"/>
        <v>43946</v>
      </c>
    </row>
    <row r="13" spans="2:9" ht="15" customHeight="1" x14ac:dyDescent="0.2">
      <c r="C13" s="11" t="str">
        <f ca="1">IF(WEEKDAY(CalendarDay)=ValorDeInicioDeSemana,CONCATENATE("Semana ",WEEKNUM(CalendarDay),"/Día ",CalendarDay-DATE(YEAR(CalendarDay),1,0)),CONCATENATE("Día ",CalendarDay-DATE(YEAR(CalendarDay),1,0)))</f>
        <v>Semana 17/Día 110</v>
      </c>
      <c r="D13" s="12" t="str">
        <f ca="1">IF(WEEKDAY(CalendarDay)=ValorDeInicioDeSemana,CONCATENATE("Semana ",WEEKNUM(CalendarDay),"/Día ",CalendarDay-DATE(YEAR(CalendarDay),1,0)),CONCATENATE("Día ",CalendarDay-DATE(YEAR(CalendarDay),1,0)))</f>
        <v>Día 111</v>
      </c>
      <c r="E13" s="11" t="str">
        <f ca="1">IF(WEEKDAY(CalendarDay)=ValorDeInicioDeSemana,CONCATENATE("Semana ",WEEKNUM(CalendarDay),"/Día ",CalendarDay-DATE(YEAR(CalendarDay),1,0)),CONCATENATE("Día ",CalendarDay-DATE(YEAR(CalendarDay),1,0)))</f>
        <v>Día 112</v>
      </c>
      <c r="F13" s="12" t="str">
        <f ca="1">IF(WEEKDAY(CalendarDay)=ValorDeInicioDeSemana,CONCATENATE("Semana ",WEEKNUM(CalendarDay),"/Día ",CalendarDay-DATE(YEAR(CalendarDay),1,0)),CONCATENATE("Día ",CalendarDay-DATE(YEAR(CalendarDay),1,0)))</f>
        <v>Día 113</v>
      </c>
      <c r="G13" s="11" t="str">
        <f ca="1">IF(WEEKDAY(CalendarDay)=ValorDeInicioDeSemana,CONCATENATE("Semana ",WEEKNUM(CalendarDay),"/Día ",CalendarDay-DATE(YEAR(CalendarDay),1,0)),CONCATENATE("Día ",CalendarDay-DATE(YEAR(CalendarDay),1,0)))</f>
        <v>Día 114</v>
      </c>
      <c r="H13" s="12" t="str">
        <f ca="1">IF(WEEKDAY(CalendarDay)=ValorDeInicioDeSemana,CONCATENATE("Semana ",WEEKNUM(CalendarDay),"/Día ",CalendarDay-DATE(YEAR(CalendarDay),1,0)),CONCATENATE("Día ",CalendarDay-DATE(YEAR(CalendarDay),1,0)))</f>
        <v>Día 115</v>
      </c>
      <c r="I13" s="11" t="str">
        <f ca="1">IF(WEEKDAY(CalendarDay)=ValorDeInicioDeSemana,CONCATENATE("Semana ",WEEKNUM(CalendarDay),"/Día ",CalendarDay-DATE(YEAR(CalendarDay),1,0)),CONCATENATE("Día ",CalendarDay-DATE(YEAR(CalendarDay),1,0)))</f>
        <v>Día 116</v>
      </c>
    </row>
    <row r="14" spans="2:9" ht="56.25" customHeight="1" x14ac:dyDescent="0.2">
      <c r="C14" s="7"/>
      <c r="D14"/>
      <c r="E14" s="7"/>
      <c r="F14"/>
      <c r="G14" s="7"/>
      <c r="H14"/>
      <c r="I14" s="7"/>
    </row>
    <row r="15" spans="2:9" ht="16.5" customHeight="1" x14ac:dyDescent="0.25">
      <c r="C15" s="8">
        <f t="array" aca="1" ref="C15:I15" ca="1">DíasYSemanas+DATE(AñoNatural,4,1)-WEEKDAY(DATE(AñoNatural,4,1),(InicioDeSemana="LU")+1)+29</f>
        <v>43947</v>
      </c>
      <c r="D15" s="9">
        <f ca="1"/>
        <v>43948</v>
      </c>
      <c r="E15" s="8">
        <f ca="1"/>
        <v>43949</v>
      </c>
      <c r="F15" s="9">
        <f ca="1"/>
        <v>43950</v>
      </c>
      <c r="G15" s="8">
        <f ca="1"/>
        <v>43951</v>
      </c>
      <c r="H15" s="9">
        <f ca="1"/>
        <v>43952</v>
      </c>
      <c r="I15" s="8">
        <f ca="1"/>
        <v>43953</v>
      </c>
    </row>
    <row r="16" spans="2:9" ht="15" customHeight="1" x14ac:dyDescent="0.2">
      <c r="C16" s="11" t="str">
        <f ca="1">IF(WEEKDAY(CalendarDay)=ValorDeInicioDeSemana,CONCATENATE("Semana ",WEEKNUM(CalendarDay),"/Día ",CalendarDay-DATE(YEAR(CalendarDay),1,0)),CONCATENATE("Día ",CalendarDay-DATE(YEAR(CalendarDay),1,0)))</f>
        <v>Semana 18/Día 117</v>
      </c>
      <c r="D16" s="12" t="str">
        <f ca="1">IF(WEEKDAY(CalendarDay)=ValorDeInicioDeSemana,CONCATENATE("Semana ",WEEKNUM(CalendarDay),"/Día ",CalendarDay-DATE(YEAR(CalendarDay),1,0)),CONCATENATE("Día ",CalendarDay-DATE(YEAR(CalendarDay),1,0)))</f>
        <v>Día 118</v>
      </c>
      <c r="E16" s="11" t="str">
        <f ca="1">IF(WEEKDAY(CalendarDay)=ValorDeInicioDeSemana,CONCATENATE("Semana ",WEEKNUM(CalendarDay),"/Día ",CalendarDay-DATE(YEAR(CalendarDay),1,0)),CONCATENATE("Día ",CalendarDay-DATE(YEAR(CalendarDay),1,0)))</f>
        <v>Día 119</v>
      </c>
      <c r="F16" s="12" t="str">
        <f ca="1">IF(WEEKDAY(CalendarDay)=ValorDeInicioDeSemana,CONCATENATE("Semana ",WEEKNUM(CalendarDay),"/Día ",CalendarDay-DATE(YEAR(CalendarDay),1,0)),CONCATENATE("Día ",CalendarDay-DATE(YEAR(CalendarDay),1,0)))</f>
        <v>Día 120</v>
      </c>
      <c r="G16" s="11" t="str">
        <f ca="1">IF(WEEKDAY(CalendarDay)=ValorDeInicioDeSemana,CONCATENATE("Semana ",WEEKNUM(CalendarDay),"/Día ",CalendarDay-DATE(YEAR(CalendarDay),1,0)),CONCATENATE("Día ",CalendarDay-DATE(YEAR(CalendarDay),1,0)))</f>
        <v>Día 121</v>
      </c>
      <c r="H16" s="12" t="str">
        <f ca="1">IF(WEEKDAY(CalendarDay)=ValorDeInicioDeSemana,CONCATENATE("Semana ",WEEKNUM(CalendarDay),"/Día ",CalendarDay-DATE(YEAR(CalendarDay),1,0)),CONCATENATE("Día ",CalendarDay-DATE(YEAR(CalendarDay),1,0)))</f>
        <v>Día 122</v>
      </c>
      <c r="I16" s="11" t="str">
        <f ca="1">IF(WEEKDAY(CalendarDay)=ValorDeInicioDeSemana,CONCATENATE("Semana ",WEEKNUM(CalendarDay),"/Día ",CalendarDay-DATE(YEAR(CalendarDay),1,0)),CONCATENATE("Día ",CalendarDay-DATE(YEAR(CalendarDay),1,0)))</f>
        <v>Día 123</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DíasYSemanas+DATE(AñoNatural,4,1)-WEEKDAY(DATE(AñoNatural,4,1),(InicioDeSemana="LU")+1)+36</f>
        <v>43954</v>
      </c>
      <c r="D19" s="9">
        <f ca="1"/>
        <v>43955</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19/Día 124</v>
      </c>
      <c r="D20" s="2" t="str">
        <f ca="1">IF(WEEKDAY(CalendarDay)=ValorDeInicioDeSemana,CONCATENATE("Semana ",WEEKNUM(CalendarDay),"/Día ",CalendarDay-DATE(YEAR(CalendarDay),1,0)),CONCATENATE("Día ",CalendarDay-DATE(YEAR(CalendarDay),1,0)))</f>
        <v>Día 125</v>
      </c>
      <c r="E20" s="13"/>
      <c r="F20" s="13"/>
      <c r="G20" s="13"/>
      <c r="H20" s="13"/>
      <c r="I20" s="13"/>
    </row>
  </sheetData>
  <mergeCells count="2">
    <mergeCell ref="E18:I20"/>
    <mergeCell ref="C17:C18"/>
  </mergeCells>
  <conditionalFormatting sqref="C15:I15 C19:D19">
    <cfRule type="expression" dxfId="35" priority="2">
      <formula>AND(DAY(C15)&gt;=1,DAY(C15)&lt;=15)</formula>
    </cfRule>
  </conditionalFormatting>
  <conditionalFormatting sqref="C3:H3">
    <cfRule type="expression" dxfId="34" priority="1">
      <formula>DAY(C3)&gt;8</formula>
    </cfRule>
  </conditionalFormatting>
  <conditionalFormatting sqref="C4:I4">
    <cfRule type="expression" dxfId="33" priority="3">
      <formula>DAY(C3)&gt;8</formula>
    </cfRule>
  </conditionalFormatting>
  <conditionalFormatting sqref="C16:I16 C20:D20 C17:D17 F17:I17">
    <cfRule type="expression" dxfId="32" priority="4">
      <formula>AND(DAY(C15)&gt;=1,DAY(C15)&lt;=15)</formula>
    </cfRule>
  </conditionalFormatting>
  <dataValidations count="9">
    <dataValidation allowBlank="1" showInputMessage="1" showErrorMessage="1" prompt="Calendario del mes de abril" sqref="A1" xr:uid="{00000000-0002-0000-03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300-000001000000}"/>
    <dataValidation allowBlank="1" showInputMessage="1" showErrorMessage="1" prompt="El año de esta celda se actualiza automáticamente según el año especificado en la hoja de cálculo Enero." sqref="B2" xr:uid="{00000000-0002-0000-03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300-000003000000}"/>
    <dataValidation allowBlank="1" showInputMessage="1" showErrorMessage="1" prompt="Escriba las notas diarias basadas en el día del calendario que se encuentra en las celdas bajo esta fila y las filas 5, 8, 11, 14 y 17, de las columnas C a I." sqref="C2" xr:uid="{00000000-0002-0000-03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300-000005000000}"/>
    <dataValidation allowBlank="1" showInputMessage="1" showErrorMessage="1" prompt="El número de días y semanas de esta fila y de las filas 7, 10, 13, 16 y 20 se actualizan automáticamente." sqref="C4" xr:uid="{00000000-0002-0000-0300-000006000000}"/>
    <dataValidation allowBlank="1" showInputMessage="1" showErrorMessage="1" prompt="Escriba las notas en la celda inferior." sqref="E17" xr:uid="{00000000-0002-0000-0300-000007000000}"/>
    <dataValidation allowBlank="1" showInputMessage="1" showErrorMessage="1" prompt="Escriba notas en esta celda." sqref="E18:I20" xr:uid="{00000000-0002-0000-03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59999389629810485"/>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5</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DíasYSemanas+DATE(AñoNatural,5,1)-WEEKDAY(DATE(AñoNatural,5,1),(InicioDeSemana="LU")+1)+1</f>
        <v>43947</v>
      </c>
      <c r="D3" s="9">
        <f ca="1"/>
        <v>43948</v>
      </c>
      <c r="E3" s="8">
        <f ca="1"/>
        <v>43949</v>
      </c>
      <c r="F3" s="9">
        <f ca="1"/>
        <v>43950</v>
      </c>
      <c r="G3" s="8">
        <f ca="1"/>
        <v>43951</v>
      </c>
      <c r="H3" s="9">
        <f ca="1"/>
        <v>43952</v>
      </c>
      <c r="I3" s="8">
        <f ca="1"/>
        <v>43953</v>
      </c>
    </row>
    <row r="4" spans="2:9" ht="15" customHeight="1" x14ac:dyDescent="0.2">
      <c r="C4" s="11" t="str">
        <f t="shared" ref="C4:I4" ca="1" si="1">IF(DAY(CalendarDay)=1,CONCATENATE("Semana ",WEEKNUM(CalendarDay),"/Día ",CalendarDay-DATE(YEAR(CalendarDay),1,0)),CONCATENATE("Día ",CalendarDay-DATE(YEAR(CalendarDay),1,0)))</f>
        <v>Día 117</v>
      </c>
      <c r="D4" s="12" t="str">
        <f t="shared" ca="1" si="1"/>
        <v>Día 118</v>
      </c>
      <c r="E4" s="11" t="str">
        <f t="shared" ca="1" si="1"/>
        <v>Día 119</v>
      </c>
      <c r="F4" s="12" t="str">
        <f t="shared" ca="1" si="1"/>
        <v>Día 120</v>
      </c>
      <c r="G4" s="11" t="str">
        <f t="shared" ca="1" si="1"/>
        <v>Día 121</v>
      </c>
      <c r="H4" s="12" t="str">
        <f t="shared" ca="1" si="1"/>
        <v>Semana 18/Día 122</v>
      </c>
      <c r="I4" s="11" t="str">
        <f t="shared" ca="1" si="1"/>
        <v>Día 123</v>
      </c>
    </row>
    <row r="5" spans="2:9" ht="56.25" customHeight="1" x14ac:dyDescent="0.2">
      <c r="C5" s="7"/>
      <c r="D5"/>
      <c r="E5" s="7"/>
      <c r="F5"/>
      <c r="G5" s="7"/>
      <c r="H5"/>
      <c r="I5" s="7"/>
    </row>
    <row r="6" spans="2:9" ht="16.5" customHeight="1" x14ac:dyDescent="0.25">
      <c r="C6" s="8">
        <f t="array" aca="1" ref="C6:I6" ca="1">DíasYSemanas+DATE(AñoNatural,5,1)-WEEKDAY(DATE(AñoNatural,5,1),(InicioDeSemana="LU")+1)+8</f>
        <v>43954</v>
      </c>
      <c r="D6" s="9">
        <f ca="1"/>
        <v>43955</v>
      </c>
      <c r="E6" s="8">
        <f ca="1"/>
        <v>43956</v>
      </c>
      <c r="F6" s="9">
        <f ca="1"/>
        <v>43957</v>
      </c>
      <c r="G6" s="8">
        <f ca="1"/>
        <v>43958</v>
      </c>
      <c r="H6" s="9">
        <f ca="1"/>
        <v>43959</v>
      </c>
      <c r="I6" s="8">
        <f ca="1"/>
        <v>43960</v>
      </c>
    </row>
    <row r="7" spans="2:9" ht="15" customHeight="1" x14ac:dyDescent="0.2">
      <c r="C7" s="11" t="str">
        <f ca="1">IF(WEEKDAY(CalendarDay)=ValorDeInicioDeSemana,CONCATENATE("Semana ",WEEKNUM(CalendarDay),"/Día ",CalendarDay-DATE(YEAR(CalendarDay),1,0)),CONCATENATE("Día ",CalendarDay-DATE(YEAR(CalendarDay),1,0)))</f>
        <v>Semana 19/Día 124</v>
      </c>
      <c r="D7" s="12" t="str">
        <f ca="1">IF(WEEKDAY(CalendarDay)=ValorDeInicioDeSemana,CONCATENATE("Semana ",WEEKNUM(CalendarDay),"/Día ",CalendarDay-DATE(YEAR(CalendarDay),1,0)),CONCATENATE("Día ",CalendarDay-DATE(YEAR(CalendarDay),1,0)))</f>
        <v>Día 125</v>
      </c>
      <c r="E7" s="11" t="str">
        <f ca="1">IF(WEEKDAY(CalendarDay)=ValorDeInicioDeSemana,CONCATENATE("Semana ",WEEKNUM(CalendarDay),"/Día ",CalendarDay-DATE(YEAR(CalendarDay),1,0)),CONCATENATE("Día ",CalendarDay-DATE(YEAR(CalendarDay),1,0)))</f>
        <v>Día 126</v>
      </c>
      <c r="F7" s="12" t="str">
        <f ca="1">IF(WEEKDAY(CalendarDay)=ValorDeInicioDeSemana,CONCATENATE("Semana ",WEEKNUM(CalendarDay),"/Día ",CalendarDay-DATE(YEAR(CalendarDay),1,0)),CONCATENATE("Día ",CalendarDay-DATE(YEAR(CalendarDay),1,0)))</f>
        <v>Día 127</v>
      </c>
      <c r="G7" s="11" t="str">
        <f ca="1">IF(WEEKDAY(CalendarDay)=ValorDeInicioDeSemana,CONCATENATE("Semana ",WEEKNUM(CalendarDay),"/Día ",CalendarDay-DATE(YEAR(CalendarDay),1,0)),CONCATENATE("Día ",CalendarDay-DATE(YEAR(CalendarDay),1,0)))</f>
        <v>Día 128</v>
      </c>
      <c r="H7" s="12" t="str">
        <f ca="1">IF(WEEKDAY(CalendarDay)=ValorDeInicioDeSemana,CONCATENATE("Semana ",WEEKNUM(CalendarDay),"/Día ",CalendarDay-DATE(YEAR(CalendarDay),1,0)),CONCATENATE("Día ",CalendarDay-DATE(YEAR(CalendarDay),1,0)))</f>
        <v>Día 129</v>
      </c>
      <c r="I7" s="11" t="str">
        <f ca="1">IF(WEEKDAY(CalendarDay)=ValorDeInicioDeSemana,CONCATENATE("Semana ",WEEKNUM(CalendarDay),"/Día ",CalendarDay-DATE(YEAR(CalendarDay),1,0)),CONCATENATE("Día ",CalendarDay-DATE(YEAR(CalendarDay),1,0)))</f>
        <v>Día 130</v>
      </c>
    </row>
    <row r="8" spans="2:9" ht="56.25" customHeight="1" x14ac:dyDescent="0.2">
      <c r="C8" s="7"/>
      <c r="D8"/>
      <c r="E8" s="7"/>
      <c r="F8"/>
      <c r="G8" s="7"/>
      <c r="H8"/>
      <c r="I8" s="7"/>
    </row>
    <row r="9" spans="2:9" ht="16.5" customHeight="1" x14ac:dyDescent="0.25">
      <c r="C9" s="8">
        <f t="array" aca="1" ref="C9:I9" ca="1">DíasYSemanas+DATE(AñoNatural,5,1)-WEEKDAY(DATE(AñoNatural,5,1),(InicioDeSemana="LU")+1)+15</f>
        <v>43961</v>
      </c>
      <c r="D9" s="9">
        <f ca="1"/>
        <v>43962</v>
      </c>
      <c r="E9" s="8">
        <f ca="1"/>
        <v>43963</v>
      </c>
      <c r="F9" s="9">
        <f ca="1"/>
        <v>43964</v>
      </c>
      <c r="G9" s="8">
        <f ca="1"/>
        <v>43965</v>
      </c>
      <c r="H9" s="9">
        <f ca="1"/>
        <v>43966</v>
      </c>
      <c r="I9" s="8">
        <f ca="1"/>
        <v>43967</v>
      </c>
    </row>
    <row r="10" spans="2:9" ht="15" customHeight="1" x14ac:dyDescent="0.2">
      <c r="C10" s="11" t="str">
        <f ca="1">IF(WEEKDAY(CalendarDay)=ValorDeInicioDeSemana,CONCATENATE("Semana ",WEEKNUM(CalendarDay),"/Día ",CalendarDay-DATE(YEAR(CalendarDay),1,0)),CONCATENATE("Día ",CalendarDay-DATE(YEAR(CalendarDay),1,0)))</f>
        <v>Semana 20/Día 131</v>
      </c>
      <c r="D10" s="12" t="str">
        <f ca="1">IF(WEEKDAY(CalendarDay)=ValorDeInicioDeSemana,CONCATENATE("Semana ",WEEKNUM(CalendarDay),"/Día ",CalendarDay-DATE(YEAR(CalendarDay),1,0)),CONCATENATE("Día ",CalendarDay-DATE(YEAR(CalendarDay),1,0)))</f>
        <v>Día 132</v>
      </c>
      <c r="E10" s="11" t="str">
        <f ca="1">IF(WEEKDAY(CalendarDay)=ValorDeInicioDeSemana,CONCATENATE("Semana ",WEEKNUM(CalendarDay),"/Día ",CalendarDay-DATE(YEAR(CalendarDay),1,0)),CONCATENATE("Día ",CalendarDay-DATE(YEAR(CalendarDay),1,0)))</f>
        <v>Día 133</v>
      </c>
      <c r="F10" s="12" t="str">
        <f ca="1">IF(WEEKDAY(CalendarDay)=ValorDeInicioDeSemana,CONCATENATE("Semana ",WEEKNUM(CalendarDay),"/Día ",CalendarDay-DATE(YEAR(CalendarDay),1,0)),CONCATENATE("Día ",CalendarDay-DATE(YEAR(CalendarDay),1,0)))</f>
        <v>Día 134</v>
      </c>
      <c r="G10" s="11" t="str">
        <f ca="1">IF(WEEKDAY(CalendarDay)=ValorDeInicioDeSemana,CONCATENATE("Semana ",WEEKNUM(CalendarDay),"/Día ",CalendarDay-DATE(YEAR(CalendarDay),1,0)),CONCATENATE("Día ",CalendarDay-DATE(YEAR(CalendarDay),1,0)))</f>
        <v>Día 135</v>
      </c>
      <c r="H10" s="12" t="str">
        <f ca="1">IF(WEEKDAY(CalendarDay)=ValorDeInicioDeSemana,CONCATENATE("Semana ",WEEKNUM(CalendarDay),"/Día ",CalendarDay-DATE(YEAR(CalendarDay),1,0)),CONCATENATE("Día ",CalendarDay-DATE(YEAR(CalendarDay),1,0)))</f>
        <v>Día 136</v>
      </c>
      <c r="I10" s="11" t="str">
        <f ca="1">IF(WEEKDAY(CalendarDay)=ValorDeInicioDeSemana,CONCATENATE("Semana ",WEEKNUM(CalendarDay),"/Día ",CalendarDay-DATE(YEAR(CalendarDay),1,0)),CONCATENATE("Día ",CalendarDay-DATE(YEAR(CalendarDay),1,0)))</f>
        <v>Día 137</v>
      </c>
    </row>
    <row r="11" spans="2:9" ht="56.25" customHeight="1" x14ac:dyDescent="0.2">
      <c r="C11" s="7"/>
      <c r="D11"/>
      <c r="E11" s="7"/>
      <c r="F11"/>
      <c r="G11" s="7"/>
      <c r="H11"/>
      <c r="I11" s="7"/>
    </row>
    <row r="12" spans="2:9" ht="16.5" customHeight="1" x14ac:dyDescent="0.25">
      <c r="C12" s="8">
        <f t="array" aca="1" ref="C12:I12" ca="1">DíasYSemanas+DATE(AñoNatural,5,1)-WEEKDAY(DATE(AñoNatural,5,1),(InicioDeSemana="LU")+1)+22</f>
        <v>43968</v>
      </c>
      <c r="D12" s="9">
        <f ca="1"/>
        <v>43969</v>
      </c>
      <c r="E12" s="8">
        <f ca="1"/>
        <v>43970</v>
      </c>
      <c r="F12" s="9">
        <f ca="1"/>
        <v>43971</v>
      </c>
      <c r="G12" s="8">
        <f ca="1"/>
        <v>43972</v>
      </c>
      <c r="H12" s="9">
        <f ca="1"/>
        <v>43973</v>
      </c>
      <c r="I12" s="8">
        <f ca="1"/>
        <v>43974</v>
      </c>
    </row>
    <row r="13" spans="2:9" ht="15" customHeight="1" x14ac:dyDescent="0.2">
      <c r="C13" s="11" t="str">
        <f ca="1">IF(WEEKDAY(CalendarDay)=ValorDeInicioDeSemana,CONCATENATE("Semana ",WEEKNUM(CalendarDay),"/Día ",CalendarDay-DATE(YEAR(CalendarDay),1,0)),CONCATENATE("Día ",CalendarDay-DATE(YEAR(CalendarDay),1,0)))</f>
        <v>Semana 21/Día 138</v>
      </c>
      <c r="D13" s="12" t="str">
        <f ca="1">IF(WEEKDAY(CalendarDay)=ValorDeInicioDeSemana,CONCATENATE("Semana ",WEEKNUM(CalendarDay),"/Día ",CalendarDay-DATE(YEAR(CalendarDay),1,0)),CONCATENATE("Día ",CalendarDay-DATE(YEAR(CalendarDay),1,0)))</f>
        <v>Día 139</v>
      </c>
      <c r="E13" s="11" t="str">
        <f ca="1">IF(WEEKDAY(CalendarDay)=ValorDeInicioDeSemana,CONCATENATE("Semana ",WEEKNUM(CalendarDay),"/Día ",CalendarDay-DATE(YEAR(CalendarDay),1,0)),CONCATENATE("Día ",CalendarDay-DATE(YEAR(CalendarDay),1,0)))</f>
        <v>Día 140</v>
      </c>
      <c r="F13" s="12" t="str">
        <f ca="1">IF(WEEKDAY(CalendarDay)=ValorDeInicioDeSemana,CONCATENATE("Semana ",WEEKNUM(CalendarDay),"/Día ",CalendarDay-DATE(YEAR(CalendarDay),1,0)),CONCATENATE("Día ",CalendarDay-DATE(YEAR(CalendarDay),1,0)))</f>
        <v>Día 141</v>
      </c>
      <c r="G13" s="11" t="str">
        <f ca="1">IF(WEEKDAY(CalendarDay)=ValorDeInicioDeSemana,CONCATENATE("Semana ",WEEKNUM(CalendarDay),"/Día ",CalendarDay-DATE(YEAR(CalendarDay),1,0)),CONCATENATE("Día ",CalendarDay-DATE(YEAR(CalendarDay),1,0)))</f>
        <v>Día 142</v>
      </c>
      <c r="H13" s="12" t="str">
        <f ca="1">IF(WEEKDAY(CalendarDay)=ValorDeInicioDeSemana,CONCATENATE("Semana ",WEEKNUM(CalendarDay),"/Día ",CalendarDay-DATE(YEAR(CalendarDay),1,0)),CONCATENATE("Día ",CalendarDay-DATE(YEAR(CalendarDay),1,0)))</f>
        <v>Día 143</v>
      </c>
      <c r="I13" s="11" t="str">
        <f ca="1">IF(WEEKDAY(CalendarDay)=ValorDeInicioDeSemana,CONCATENATE("Semana ",WEEKNUM(CalendarDay),"/Día ",CalendarDay-DATE(YEAR(CalendarDay),1,0)),CONCATENATE("Día ",CalendarDay-DATE(YEAR(CalendarDay),1,0)))</f>
        <v>Día 144</v>
      </c>
    </row>
    <row r="14" spans="2:9" ht="56.25" customHeight="1" x14ac:dyDescent="0.2">
      <c r="C14" s="7"/>
      <c r="D14"/>
      <c r="E14" s="7"/>
      <c r="F14"/>
      <c r="G14" s="7"/>
      <c r="H14"/>
      <c r="I14" s="7"/>
    </row>
    <row r="15" spans="2:9" ht="16.5" customHeight="1" x14ac:dyDescent="0.25">
      <c r="C15" s="8">
        <f t="array" aca="1" ref="C15:I15" ca="1">DíasYSemanas+DATE(AñoNatural,5,1)-WEEKDAY(DATE(AñoNatural,5,1),(InicioDeSemana="LU")+1)+29</f>
        <v>43975</v>
      </c>
      <c r="D15" s="9">
        <f ca="1"/>
        <v>43976</v>
      </c>
      <c r="E15" s="8">
        <f ca="1"/>
        <v>43977</v>
      </c>
      <c r="F15" s="9">
        <f ca="1"/>
        <v>43978</v>
      </c>
      <c r="G15" s="8">
        <f ca="1"/>
        <v>43979</v>
      </c>
      <c r="H15" s="9">
        <f ca="1"/>
        <v>43980</v>
      </c>
      <c r="I15" s="8">
        <f ca="1"/>
        <v>43981</v>
      </c>
    </row>
    <row r="16" spans="2:9" ht="15" customHeight="1" x14ac:dyDescent="0.2">
      <c r="C16" s="11" t="str">
        <f ca="1">IF(WEEKDAY(CalendarDay)=ValorDeInicioDeSemana,CONCATENATE("Semana ",WEEKNUM(CalendarDay),"/Día ",CalendarDay-DATE(YEAR(CalendarDay),1,0)),CONCATENATE("Día ",CalendarDay-DATE(YEAR(CalendarDay),1,0)))</f>
        <v>Semana 22/Día 145</v>
      </c>
      <c r="D16" s="12" t="str">
        <f ca="1">IF(WEEKDAY(CalendarDay)=ValorDeInicioDeSemana,CONCATENATE("Semana ",WEEKNUM(CalendarDay),"/Día ",CalendarDay-DATE(YEAR(CalendarDay),1,0)),CONCATENATE("Día ",CalendarDay-DATE(YEAR(CalendarDay),1,0)))</f>
        <v>Día 146</v>
      </c>
      <c r="E16" s="11" t="str">
        <f ca="1">IF(WEEKDAY(CalendarDay)=ValorDeInicioDeSemana,CONCATENATE("Semana ",WEEKNUM(CalendarDay),"/Día ",CalendarDay-DATE(YEAR(CalendarDay),1,0)),CONCATENATE("Día ",CalendarDay-DATE(YEAR(CalendarDay),1,0)))</f>
        <v>Día 147</v>
      </c>
      <c r="F16" s="12" t="str">
        <f ca="1">IF(WEEKDAY(CalendarDay)=ValorDeInicioDeSemana,CONCATENATE("Semana ",WEEKNUM(CalendarDay),"/Día ",CalendarDay-DATE(YEAR(CalendarDay),1,0)),CONCATENATE("Día ",CalendarDay-DATE(YEAR(CalendarDay),1,0)))</f>
        <v>Día 148</v>
      </c>
      <c r="G16" s="11" t="str">
        <f ca="1">IF(WEEKDAY(CalendarDay)=ValorDeInicioDeSemana,CONCATENATE("Semana ",WEEKNUM(CalendarDay),"/Día ",CalendarDay-DATE(YEAR(CalendarDay),1,0)),CONCATENATE("Día ",CalendarDay-DATE(YEAR(CalendarDay),1,0)))</f>
        <v>Día 149</v>
      </c>
      <c r="H16" s="12" t="str">
        <f ca="1">IF(WEEKDAY(CalendarDay)=ValorDeInicioDeSemana,CONCATENATE("Semana ",WEEKNUM(CalendarDay),"/Día ",CalendarDay-DATE(YEAR(CalendarDay),1,0)),CONCATENATE("Día ",CalendarDay-DATE(YEAR(CalendarDay),1,0)))</f>
        <v>Día 150</v>
      </c>
      <c r="I16" s="11" t="str">
        <f ca="1">IF(WEEKDAY(CalendarDay)=ValorDeInicioDeSemana,CONCATENATE("Semana ",WEEKNUM(CalendarDay),"/Día ",CalendarDay-DATE(YEAR(CalendarDay),1,0)),CONCATENATE("Día ",CalendarDay-DATE(YEAR(CalendarDay),1,0)))</f>
        <v>Día 151</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DíasYSemanas+DATE(AñoNatural,5,1)-WEEKDAY(DATE(AñoNatural,5,1),(InicioDeSemana="LU")+1)+36</f>
        <v>43982</v>
      </c>
      <c r="D19" s="9">
        <f ca="1"/>
        <v>43983</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23/Día 152</v>
      </c>
      <c r="D20" s="2" t="str">
        <f ca="1">IF(WEEKDAY(CalendarDay)=ValorDeInicioDeSemana,CONCATENATE("Semana ",WEEKNUM(CalendarDay),"/Día ",CalendarDay-DATE(YEAR(CalendarDay),1,0)),CONCATENATE("Día ",CalendarDay-DATE(YEAR(CalendarDay),1,0)))</f>
        <v>Día 153</v>
      </c>
      <c r="E20" s="13"/>
      <c r="F20" s="13"/>
      <c r="G20" s="13"/>
      <c r="H20" s="13"/>
      <c r="I20" s="13"/>
    </row>
  </sheetData>
  <mergeCells count="2">
    <mergeCell ref="E18:I20"/>
    <mergeCell ref="C17:C18"/>
  </mergeCells>
  <conditionalFormatting sqref="C15:I15 C19:D19">
    <cfRule type="expression" dxfId="31" priority="2">
      <formula>AND(DAY(C15)&gt;=1,DAY(C15)&lt;=15)</formula>
    </cfRule>
  </conditionalFormatting>
  <conditionalFormatting sqref="C3:H3">
    <cfRule type="expression" dxfId="30" priority="1">
      <formula>DAY(C3)&gt;8</formula>
    </cfRule>
  </conditionalFormatting>
  <conditionalFormatting sqref="C4:I4">
    <cfRule type="expression" dxfId="29" priority="3">
      <formula>DAY(C3)&gt;8</formula>
    </cfRule>
  </conditionalFormatting>
  <conditionalFormatting sqref="C16:I16 C20:D20 C17:D17 F17:I17">
    <cfRule type="expression" dxfId="28" priority="4">
      <formula>AND(DAY(C15)&gt;=1,DAY(C15)&lt;=15)</formula>
    </cfRule>
  </conditionalFormatting>
  <dataValidations count="9">
    <dataValidation allowBlank="1" showInputMessage="1" showErrorMessage="1" prompt="Calendario del mes de mayo" sqref="A1" xr:uid="{00000000-0002-0000-04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400-000001000000}"/>
    <dataValidation allowBlank="1" showInputMessage="1" showErrorMessage="1" prompt="El año de esta celda se actualiza automáticamente según el año especificado en la hoja de cálculo Enero." sqref="B2" xr:uid="{00000000-0002-0000-04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400-000003000000}"/>
    <dataValidation allowBlank="1" showInputMessage="1" showErrorMessage="1" prompt="Escriba las notas diarias basadas en el día del calendario que se encuentra en las celdas bajo esta fila y las filas 5, 8, 11, 14 y 17, de las columnas C a I." sqref="C2" xr:uid="{00000000-0002-0000-04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400-000005000000}"/>
    <dataValidation allowBlank="1" showInputMessage="1" showErrorMessage="1" prompt="El número de días y semanas de esta fila y de las filas 7, 10, 13, 16 y 20 se actualizan automáticamente." sqref="C4" xr:uid="{00000000-0002-0000-0400-000006000000}"/>
    <dataValidation allowBlank="1" showInputMessage="1" showErrorMessage="1" prompt="Escriba las notas en la celda inferior." sqref="E17" xr:uid="{00000000-0002-0000-0400-000007000000}"/>
    <dataValidation allowBlank="1" showInputMessage="1" showErrorMessage="1" prompt="Escriba notas en esta celda." sqref="E18:I20" xr:uid="{00000000-0002-0000-04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79998168889431442"/>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6</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DíasYSemanas+DATE(AñoNatural,6,1)-WEEKDAY(DATE(AñoNatural,6,1),(InicioDeSemana="LU")+1)+1</f>
        <v>43982</v>
      </c>
      <c r="D3" s="9">
        <f ca="1"/>
        <v>43983</v>
      </c>
      <c r="E3" s="8">
        <f ca="1"/>
        <v>43984</v>
      </c>
      <c r="F3" s="9">
        <f ca="1"/>
        <v>43985</v>
      </c>
      <c r="G3" s="8">
        <f ca="1"/>
        <v>43986</v>
      </c>
      <c r="H3" s="9">
        <f ca="1"/>
        <v>43987</v>
      </c>
      <c r="I3" s="8">
        <f ca="1"/>
        <v>43988</v>
      </c>
    </row>
    <row r="4" spans="2:9" ht="15" customHeight="1" x14ac:dyDescent="0.2">
      <c r="C4" s="11" t="str">
        <f t="shared" ref="C4:I4" ca="1" si="1">IF(DAY(CalendarDay)=1,CONCATENATE("Semana ",WEEKNUM(CalendarDay),"/Día ",CalendarDay-DATE(YEAR(CalendarDay),1,0)),CONCATENATE("Día ",CalendarDay-DATE(YEAR(CalendarDay),1,0)))</f>
        <v>Día 152</v>
      </c>
      <c r="D4" s="12" t="str">
        <f t="shared" ca="1" si="1"/>
        <v>Semana 23/Día 153</v>
      </c>
      <c r="E4" s="11" t="str">
        <f t="shared" ca="1" si="1"/>
        <v>Día 154</v>
      </c>
      <c r="F4" s="12" t="str">
        <f t="shared" ca="1" si="1"/>
        <v>Día 155</v>
      </c>
      <c r="G4" s="11" t="str">
        <f t="shared" ca="1" si="1"/>
        <v>Día 156</v>
      </c>
      <c r="H4" s="12" t="str">
        <f t="shared" ca="1" si="1"/>
        <v>Día 157</v>
      </c>
      <c r="I4" s="11" t="str">
        <f t="shared" ca="1" si="1"/>
        <v>Día 158</v>
      </c>
    </row>
    <row r="5" spans="2:9" ht="56.25" customHeight="1" x14ac:dyDescent="0.2">
      <c r="C5" s="7"/>
      <c r="D5"/>
      <c r="E5" s="7"/>
      <c r="F5"/>
      <c r="G5" s="7"/>
      <c r="H5"/>
      <c r="I5" s="7"/>
    </row>
    <row r="6" spans="2:9" ht="16.5" customHeight="1" x14ac:dyDescent="0.25">
      <c r="C6" s="8">
        <f t="array" aca="1" ref="C6:I6" ca="1">DíasYSemanas+DATE(AñoNatural,6,1)-WEEKDAY(DATE(AñoNatural,6,1),(InicioDeSemana="LU")+1)+8</f>
        <v>43989</v>
      </c>
      <c r="D6" s="9">
        <f ca="1"/>
        <v>43990</v>
      </c>
      <c r="E6" s="8">
        <f ca="1"/>
        <v>43991</v>
      </c>
      <c r="F6" s="9">
        <f ca="1"/>
        <v>43992</v>
      </c>
      <c r="G6" s="8">
        <f ca="1"/>
        <v>43993</v>
      </c>
      <c r="H6" s="9">
        <f ca="1"/>
        <v>43994</v>
      </c>
      <c r="I6" s="8">
        <f ca="1"/>
        <v>43995</v>
      </c>
    </row>
    <row r="7" spans="2:9" ht="15" customHeight="1" x14ac:dyDescent="0.2">
      <c r="C7" s="11" t="str">
        <f ca="1">IF(WEEKDAY(CalendarDay)=ValorDeInicioDeSemana,CONCATENATE("Semana ",WEEKNUM(CalendarDay),"/Día ",CalendarDay-DATE(YEAR(CalendarDay),1,0)),CONCATENATE("Día ",CalendarDay-DATE(YEAR(CalendarDay),1,0)))</f>
        <v>Semana 24/Día 159</v>
      </c>
      <c r="D7" s="12" t="str">
        <f ca="1">IF(WEEKDAY(CalendarDay)=ValorDeInicioDeSemana,CONCATENATE("Semana ",WEEKNUM(CalendarDay),"/Día ",CalendarDay-DATE(YEAR(CalendarDay),1,0)),CONCATENATE("Día ",CalendarDay-DATE(YEAR(CalendarDay),1,0)))</f>
        <v>Día 160</v>
      </c>
      <c r="E7" s="11" t="str">
        <f ca="1">IF(WEEKDAY(CalendarDay)=ValorDeInicioDeSemana,CONCATENATE("Semana ",WEEKNUM(CalendarDay),"/Día ",CalendarDay-DATE(YEAR(CalendarDay),1,0)),CONCATENATE("Día ",CalendarDay-DATE(YEAR(CalendarDay),1,0)))</f>
        <v>Día 161</v>
      </c>
      <c r="F7" s="12" t="str">
        <f ca="1">IF(WEEKDAY(CalendarDay)=ValorDeInicioDeSemana,CONCATENATE("Semana ",WEEKNUM(CalendarDay),"/Día ",CalendarDay-DATE(YEAR(CalendarDay),1,0)),CONCATENATE("Día ",CalendarDay-DATE(YEAR(CalendarDay),1,0)))</f>
        <v>Día 162</v>
      </c>
      <c r="G7" s="11" t="str">
        <f ca="1">IF(WEEKDAY(CalendarDay)=ValorDeInicioDeSemana,CONCATENATE("Semana ",WEEKNUM(CalendarDay),"/Día ",CalendarDay-DATE(YEAR(CalendarDay),1,0)),CONCATENATE("Día ",CalendarDay-DATE(YEAR(CalendarDay),1,0)))</f>
        <v>Día 163</v>
      </c>
      <c r="H7" s="12" t="str">
        <f ca="1">IF(WEEKDAY(CalendarDay)=ValorDeInicioDeSemana,CONCATENATE("Semana ",WEEKNUM(CalendarDay),"/Día ",CalendarDay-DATE(YEAR(CalendarDay),1,0)),CONCATENATE("Día ",CalendarDay-DATE(YEAR(CalendarDay),1,0)))</f>
        <v>Día 164</v>
      </c>
      <c r="I7" s="11" t="str">
        <f ca="1">IF(WEEKDAY(CalendarDay)=ValorDeInicioDeSemana,CONCATENATE("Semana ",WEEKNUM(CalendarDay),"/Día ",CalendarDay-DATE(YEAR(CalendarDay),1,0)),CONCATENATE("Día ",CalendarDay-DATE(YEAR(CalendarDay),1,0)))</f>
        <v>Día 165</v>
      </c>
    </row>
    <row r="8" spans="2:9" ht="56.25" customHeight="1" x14ac:dyDescent="0.2">
      <c r="C8" s="7"/>
      <c r="D8"/>
      <c r="E8" s="7"/>
      <c r="F8"/>
      <c r="G8" s="7"/>
      <c r="H8"/>
      <c r="I8" s="7"/>
    </row>
    <row r="9" spans="2:9" ht="16.5" customHeight="1" x14ac:dyDescent="0.25">
      <c r="C9" s="8">
        <f t="array" aca="1" ref="C9:I9" ca="1">DíasYSemanas+DATE(AñoNatural,6,1)-WEEKDAY(DATE(AñoNatural,6,1),(InicioDeSemana="LU")+1)+15</f>
        <v>43996</v>
      </c>
      <c r="D9" s="9">
        <f ca="1"/>
        <v>43997</v>
      </c>
      <c r="E9" s="8">
        <f ca="1"/>
        <v>43998</v>
      </c>
      <c r="F9" s="9">
        <f ca="1"/>
        <v>43999</v>
      </c>
      <c r="G9" s="8">
        <f ca="1"/>
        <v>44000</v>
      </c>
      <c r="H9" s="9">
        <f ca="1"/>
        <v>44001</v>
      </c>
      <c r="I9" s="8">
        <f ca="1"/>
        <v>44002</v>
      </c>
    </row>
    <row r="10" spans="2:9" ht="15" customHeight="1" x14ac:dyDescent="0.2">
      <c r="C10" s="11" t="str">
        <f ca="1">IF(WEEKDAY(CalendarDay)=ValorDeInicioDeSemana,CONCATENATE("Semana ",WEEKNUM(CalendarDay),"/Día ",CalendarDay-DATE(YEAR(CalendarDay),1,0)),CONCATENATE("Día ",CalendarDay-DATE(YEAR(CalendarDay),1,0)))</f>
        <v>Semana 25/Día 166</v>
      </c>
      <c r="D10" s="12" t="str">
        <f ca="1">IF(WEEKDAY(CalendarDay)=ValorDeInicioDeSemana,CONCATENATE("Semana ",WEEKNUM(CalendarDay),"/Día ",CalendarDay-DATE(YEAR(CalendarDay),1,0)),CONCATENATE("Día ",CalendarDay-DATE(YEAR(CalendarDay),1,0)))</f>
        <v>Día 167</v>
      </c>
      <c r="E10" s="11" t="str">
        <f ca="1">IF(WEEKDAY(CalendarDay)=ValorDeInicioDeSemana,CONCATENATE("Semana ",WEEKNUM(CalendarDay),"/Día ",CalendarDay-DATE(YEAR(CalendarDay),1,0)),CONCATENATE("Día ",CalendarDay-DATE(YEAR(CalendarDay),1,0)))</f>
        <v>Día 168</v>
      </c>
      <c r="F10" s="12" t="str">
        <f ca="1">IF(WEEKDAY(CalendarDay)=ValorDeInicioDeSemana,CONCATENATE("Semana ",WEEKNUM(CalendarDay),"/Día ",CalendarDay-DATE(YEAR(CalendarDay),1,0)),CONCATENATE("Día ",CalendarDay-DATE(YEAR(CalendarDay),1,0)))</f>
        <v>Día 169</v>
      </c>
      <c r="G10" s="11" t="str">
        <f ca="1">IF(WEEKDAY(CalendarDay)=ValorDeInicioDeSemana,CONCATENATE("Semana ",WEEKNUM(CalendarDay),"/Día ",CalendarDay-DATE(YEAR(CalendarDay),1,0)),CONCATENATE("Día ",CalendarDay-DATE(YEAR(CalendarDay),1,0)))</f>
        <v>Día 170</v>
      </c>
      <c r="H10" s="12" t="str">
        <f ca="1">IF(WEEKDAY(CalendarDay)=ValorDeInicioDeSemana,CONCATENATE("Semana ",WEEKNUM(CalendarDay),"/Día ",CalendarDay-DATE(YEAR(CalendarDay),1,0)),CONCATENATE("Día ",CalendarDay-DATE(YEAR(CalendarDay),1,0)))</f>
        <v>Día 171</v>
      </c>
      <c r="I10" s="11" t="str">
        <f ca="1">IF(WEEKDAY(CalendarDay)=ValorDeInicioDeSemana,CONCATENATE("Semana ",WEEKNUM(CalendarDay),"/Día ",CalendarDay-DATE(YEAR(CalendarDay),1,0)),CONCATENATE("Día ",CalendarDay-DATE(YEAR(CalendarDay),1,0)))</f>
        <v>Día 172</v>
      </c>
    </row>
    <row r="11" spans="2:9" ht="56.25" customHeight="1" x14ac:dyDescent="0.2">
      <c r="C11" s="7"/>
      <c r="D11"/>
      <c r="E11" s="7"/>
      <c r="F11"/>
      <c r="G11" s="7"/>
      <c r="H11"/>
      <c r="I11" s="7"/>
    </row>
    <row r="12" spans="2:9" ht="16.5" customHeight="1" x14ac:dyDescent="0.25">
      <c r="C12" s="8">
        <f t="array" aca="1" ref="C12:I12" ca="1">DíasYSemanas+DATE(AñoNatural,6,1)-WEEKDAY(DATE(AñoNatural,6,1),(InicioDeSemana="LU")+1)+22</f>
        <v>44003</v>
      </c>
      <c r="D12" s="9">
        <f ca="1"/>
        <v>44004</v>
      </c>
      <c r="E12" s="8">
        <f ca="1"/>
        <v>44005</v>
      </c>
      <c r="F12" s="9">
        <f ca="1"/>
        <v>44006</v>
      </c>
      <c r="G12" s="8">
        <f ca="1"/>
        <v>44007</v>
      </c>
      <c r="H12" s="9">
        <f ca="1"/>
        <v>44008</v>
      </c>
      <c r="I12" s="8">
        <f ca="1"/>
        <v>44009</v>
      </c>
    </row>
    <row r="13" spans="2:9" ht="15" customHeight="1" x14ac:dyDescent="0.2">
      <c r="C13" s="11" t="str">
        <f ca="1">IF(WEEKDAY(CalendarDay)=ValorDeInicioDeSemana,CONCATENATE("Semana ",WEEKNUM(CalendarDay),"/Día ",CalendarDay-DATE(YEAR(CalendarDay),1,0)),CONCATENATE("Día ",CalendarDay-DATE(YEAR(CalendarDay),1,0)))</f>
        <v>Semana 26/Día 173</v>
      </c>
      <c r="D13" s="12" t="str">
        <f ca="1">IF(WEEKDAY(CalendarDay)=ValorDeInicioDeSemana,CONCATENATE("Semana ",WEEKNUM(CalendarDay),"/Día ",CalendarDay-DATE(YEAR(CalendarDay),1,0)),CONCATENATE("Día ",CalendarDay-DATE(YEAR(CalendarDay),1,0)))</f>
        <v>Día 174</v>
      </c>
      <c r="E13" s="11" t="str">
        <f ca="1">IF(WEEKDAY(CalendarDay)=ValorDeInicioDeSemana,CONCATENATE("Semana ",WEEKNUM(CalendarDay),"/Día ",CalendarDay-DATE(YEAR(CalendarDay),1,0)),CONCATENATE("Día ",CalendarDay-DATE(YEAR(CalendarDay),1,0)))</f>
        <v>Día 175</v>
      </c>
      <c r="F13" s="12" t="str">
        <f ca="1">IF(WEEKDAY(CalendarDay)=ValorDeInicioDeSemana,CONCATENATE("Semana ",WEEKNUM(CalendarDay),"/Día ",CalendarDay-DATE(YEAR(CalendarDay),1,0)),CONCATENATE("Día ",CalendarDay-DATE(YEAR(CalendarDay),1,0)))</f>
        <v>Día 176</v>
      </c>
      <c r="G13" s="11" t="str">
        <f ca="1">IF(WEEKDAY(CalendarDay)=ValorDeInicioDeSemana,CONCATENATE("Semana ",WEEKNUM(CalendarDay),"/Día ",CalendarDay-DATE(YEAR(CalendarDay),1,0)),CONCATENATE("Día ",CalendarDay-DATE(YEAR(CalendarDay),1,0)))</f>
        <v>Día 177</v>
      </c>
      <c r="H13" s="12" t="str">
        <f ca="1">IF(WEEKDAY(CalendarDay)=ValorDeInicioDeSemana,CONCATENATE("Semana ",WEEKNUM(CalendarDay),"/Día ",CalendarDay-DATE(YEAR(CalendarDay),1,0)),CONCATENATE("Día ",CalendarDay-DATE(YEAR(CalendarDay),1,0)))</f>
        <v>Día 178</v>
      </c>
      <c r="I13" s="11" t="str">
        <f ca="1">IF(WEEKDAY(CalendarDay)=ValorDeInicioDeSemana,CONCATENATE("Semana ",WEEKNUM(CalendarDay),"/Día ",CalendarDay-DATE(YEAR(CalendarDay),1,0)),CONCATENATE("Día ",CalendarDay-DATE(YEAR(CalendarDay),1,0)))</f>
        <v>Día 179</v>
      </c>
    </row>
    <row r="14" spans="2:9" ht="56.25" customHeight="1" x14ac:dyDescent="0.2">
      <c r="C14" s="7"/>
      <c r="D14"/>
      <c r="E14" s="7"/>
      <c r="F14"/>
      <c r="G14" s="7"/>
      <c r="H14"/>
      <c r="I14" s="7"/>
    </row>
    <row r="15" spans="2:9" ht="16.5" customHeight="1" x14ac:dyDescent="0.25">
      <c r="C15" s="8">
        <f t="array" aca="1" ref="C15:I15" ca="1">DíasYSemanas+DATE(AñoNatural,6,1)-WEEKDAY(DATE(AñoNatural,6,1),(InicioDeSemana="LU")+1)+29</f>
        <v>44010</v>
      </c>
      <c r="D15" s="9">
        <f ca="1"/>
        <v>44011</v>
      </c>
      <c r="E15" s="8">
        <f ca="1"/>
        <v>44012</v>
      </c>
      <c r="F15" s="9">
        <f ca="1"/>
        <v>44013</v>
      </c>
      <c r="G15" s="8">
        <f ca="1"/>
        <v>44014</v>
      </c>
      <c r="H15" s="9">
        <f ca="1"/>
        <v>44015</v>
      </c>
      <c r="I15" s="8">
        <f ca="1"/>
        <v>44016</v>
      </c>
    </row>
    <row r="16" spans="2:9" ht="15" customHeight="1" x14ac:dyDescent="0.2">
      <c r="C16" s="11" t="str">
        <f ca="1">IF(WEEKDAY(CalendarDay)=ValorDeInicioDeSemana,CONCATENATE("Semana ",WEEKNUM(CalendarDay),"/Día ",CalendarDay-DATE(YEAR(CalendarDay),1,0)),CONCATENATE("Día ",CalendarDay-DATE(YEAR(CalendarDay),1,0)))</f>
        <v>Semana 27/Día 180</v>
      </c>
      <c r="D16" s="12" t="str">
        <f ca="1">IF(WEEKDAY(CalendarDay)=ValorDeInicioDeSemana,CONCATENATE("Semana ",WEEKNUM(CalendarDay),"/Día ",CalendarDay-DATE(YEAR(CalendarDay),1,0)),CONCATENATE("Día ",CalendarDay-DATE(YEAR(CalendarDay),1,0)))</f>
        <v>Día 181</v>
      </c>
      <c r="E16" s="11" t="str">
        <f ca="1">IF(WEEKDAY(CalendarDay)=ValorDeInicioDeSemana,CONCATENATE("Semana ",WEEKNUM(CalendarDay),"/Día ",CalendarDay-DATE(YEAR(CalendarDay),1,0)),CONCATENATE("Día ",CalendarDay-DATE(YEAR(CalendarDay),1,0)))</f>
        <v>Día 182</v>
      </c>
      <c r="F16" s="12" t="str">
        <f ca="1">IF(WEEKDAY(CalendarDay)=ValorDeInicioDeSemana,CONCATENATE("Semana ",WEEKNUM(CalendarDay),"/Día ",CalendarDay-DATE(YEAR(CalendarDay),1,0)),CONCATENATE("Día ",CalendarDay-DATE(YEAR(CalendarDay),1,0)))</f>
        <v>Día 183</v>
      </c>
      <c r="G16" s="11" t="str">
        <f ca="1">IF(WEEKDAY(CalendarDay)=ValorDeInicioDeSemana,CONCATENATE("Semana ",WEEKNUM(CalendarDay),"/Día ",CalendarDay-DATE(YEAR(CalendarDay),1,0)),CONCATENATE("Día ",CalendarDay-DATE(YEAR(CalendarDay),1,0)))</f>
        <v>Día 184</v>
      </c>
      <c r="H16" s="12" t="str">
        <f ca="1">IF(WEEKDAY(CalendarDay)=ValorDeInicioDeSemana,CONCATENATE("Semana ",WEEKNUM(CalendarDay),"/Día ",CalendarDay-DATE(YEAR(CalendarDay),1,0)),CONCATENATE("Día ",CalendarDay-DATE(YEAR(CalendarDay),1,0)))</f>
        <v>Día 185</v>
      </c>
      <c r="I16" s="11" t="str">
        <f ca="1">IF(WEEKDAY(CalendarDay)=ValorDeInicioDeSemana,CONCATENATE("Semana ",WEEKNUM(CalendarDay),"/Día ",CalendarDay-DATE(YEAR(CalendarDay),1,0)),CONCATENATE("Día ",CalendarDay-DATE(YEAR(CalendarDay),1,0)))</f>
        <v>Día 186</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DíasYSemanas+DATE(AñoNatural,6,1)-WEEKDAY(DATE(AñoNatural,6,1),(InicioDeSemana="LU")+1)+36</f>
        <v>44017</v>
      </c>
      <c r="D19" s="9">
        <f ca="1"/>
        <v>44018</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28/Día 187</v>
      </c>
      <c r="D20" s="2" t="str">
        <f ca="1">IF(WEEKDAY(CalendarDay)=ValorDeInicioDeSemana,CONCATENATE("Semana ",WEEKNUM(CalendarDay),"/Día ",CalendarDay-DATE(YEAR(CalendarDay),1,0)),CONCATENATE("Día ",CalendarDay-DATE(YEAR(CalendarDay),1,0)))</f>
        <v>Día 188</v>
      </c>
      <c r="E20" s="13"/>
      <c r="F20" s="13"/>
      <c r="G20" s="13"/>
      <c r="H20" s="13"/>
      <c r="I20" s="13"/>
    </row>
  </sheetData>
  <mergeCells count="2">
    <mergeCell ref="E18:I20"/>
    <mergeCell ref="C17:C18"/>
  </mergeCells>
  <conditionalFormatting sqref="C15:I15 C19:D19">
    <cfRule type="expression" dxfId="27" priority="2">
      <formula>AND(DAY(C15)&gt;=1,DAY(C15)&lt;=15)</formula>
    </cfRule>
  </conditionalFormatting>
  <conditionalFormatting sqref="C3:H3">
    <cfRule type="expression" dxfId="26" priority="1">
      <formula>DAY(C3)&gt;8</formula>
    </cfRule>
  </conditionalFormatting>
  <conditionalFormatting sqref="C4:I4">
    <cfRule type="expression" dxfId="25" priority="3">
      <formula>DAY(C3)&gt;8</formula>
    </cfRule>
  </conditionalFormatting>
  <conditionalFormatting sqref="C16:I16 C20:D20 C17:D17 F17:I17">
    <cfRule type="expression" dxfId="24" priority="4">
      <formula>AND(DAY(C15)&gt;=1,DAY(C15)&lt;=15)</formula>
    </cfRule>
  </conditionalFormatting>
  <dataValidations count="9">
    <dataValidation allowBlank="1" showInputMessage="1" showErrorMessage="1" prompt="Calendario del mes de junio" sqref="A1" xr:uid="{00000000-0002-0000-05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500-000001000000}"/>
    <dataValidation allowBlank="1" showInputMessage="1" showErrorMessage="1" prompt="El año de esta celda se actualiza automáticamente según el año especificado en la hoja de cálculo Enero." sqref="B2" xr:uid="{00000000-0002-0000-05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500-000003000000}"/>
    <dataValidation allowBlank="1" showInputMessage="1" showErrorMessage="1" prompt="Escriba las notas diarias basadas en el día del calendario que se encuentra en las celdas bajo esta fila y las filas 5, 8, 11, 14 y 17, de las columnas C a I." sqref="C2" xr:uid="{00000000-0002-0000-05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500-000005000000}"/>
    <dataValidation allowBlank="1" showInputMessage="1" showErrorMessage="1" prompt="El número de días y semanas de esta fila y de las filas 7, 10, 13, 16 y 20 se actualizan automáticamente." sqref="C4" xr:uid="{00000000-0002-0000-0500-000006000000}"/>
    <dataValidation allowBlank="1" showInputMessage="1" showErrorMessage="1" prompt="Escriba las notas en la celda inferior." sqref="E17" xr:uid="{00000000-0002-0000-0500-000007000000}"/>
    <dataValidation allowBlank="1" showInputMessage="1" showErrorMessage="1" prompt="Escriba notas en esta celda." sqref="E18:I20" xr:uid="{00000000-0002-0000-05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2"/>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7</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DíasYSemanas+DATE(AñoNatural,7,1)-WEEKDAY(DATE(AñoNatural,7,1),(InicioDeSemana="LU")+1)+1</f>
        <v>44010</v>
      </c>
      <c r="D3" s="9">
        <f ca="1"/>
        <v>44011</v>
      </c>
      <c r="E3" s="8">
        <f ca="1"/>
        <v>44012</v>
      </c>
      <c r="F3" s="9">
        <f ca="1"/>
        <v>44013</v>
      </c>
      <c r="G3" s="8">
        <f ca="1"/>
        <v>44014</v>
      </c>
      <c r="H3" s="9">
        <f ca="1"/>
        <v>44015</v>
      </c>
      <c r="I3" s="8">
        <f ca="1"/>
        <v>44016</v>
      </c>
    </row>
    <row r="4" spans="2:9" ht="15" customHeight="1" x14ac:dyDescent="0.2">
      <c r="C4" s="11" t="str">
        <f t="shared" ref="C4:I4" ca="1" si="1">IF(DAY(CalendarDay)=1,CONCATENATE("Semana ",WEEKNUM(CalendarDay),"/Día ",CalendarDay-DATE(YEAR(CalendarDay),1,0)),CONCATENATE("Día ",CalendarDay-DATE(YEAR(CalendarDay),1,0)))</f>
        <v>Día 180</v>
      </c>
      <c r="D4" s="12" t="str">
        <f t="shared" ca="1" si="1"/>
        <v>Día 181</v>
      </c>
      <c r="E4" s="11" t="str">
        <f t="shared" ca="1" si="1"/>
        <v>Día 182</v>
      </c>
      <c r="F4" s="12" t="str">
        <f t="shared" ca="1" si="1"/>
        <v>Semana 27/Día 183</v>
      </c>
      <c r="G4" s="11" t="str">
        <f t="shared" ca="1" si="1"/>
        <v>Día 184</v>
      </c>
      <c r="H4" s="12" t="str">
        <f t="shared" ca="1" si="1"/>
        <v>Día 185</v>
      </c>
      <c r="I4" s="11" t="str">
        <f t="shared" ca="1" si="1"/>
        <v>Día 186</v>
      </c>
    </row>
    <row r="5" spans="2:9" ht="56.25" customHeight="1" x14ac:dyDescent="0.2">
      <c r="C5" s="7"/>
      <c r="D5"/>
      <c r="E5" s="7"/>
      <c r="F5"/>
      <c r="G5" s="7"/>
      <c r="H5"/>
      <c r="I5" s="7"/>
    </row>
    <row r="6" spans="2:9" ht="16.5" customHeight="1" x14ac:dyDescent="0.25">
      <c r="C6" s="8">
        <f t="array" aca="1" ref="C6:I6" ca="1">DíasYSemanas+DATE(AñoNatural,7,1)-WEEKDAY(DATE(AñoNatural,7,1),(InicioDeSemana="LU")+1)+8</f>
        <v>44017</v>
      </c>
      <c r="D6" s="9">
        <f ca="1"/>
        <v>44018</v>
      </c>
      <c r="E6" s="8">
        <f ca="1"/>
        <v>44019</v>
      </c>
      <c r="F6" s="9">
        <f ca="1"/>
        <v>44020</v>
      </c>
      <c r="G6" s="8">
        <f ca="1"/>
        <v>44021</v>
      </c>
      <c r="H6" s="9">
        <f ca="1"/>
        <v>44022</v>
      </c>
      <c r="I6" s="8">
        <f ca="1"/>
        <v>44023</v>
      </c>
    </row>
    <row r="7" spans="2:9" ht="15" customHeight="1" x14ac:dyDescent="0.2">
      <c r="C7" s="11" t="str">
        <f ca="1">IF(WEEKDAY(CalendarDay)=ValorDeInicioDeSemana,CONCATENATE("Semana ",WEEKNUM(CalendarDay),"/Día ",CalendarDay-DATE(YEAR(CalendarDay),1,0)),CONCATENATE("Día ",CalendarDay-DATE(YEAR(CalendarDay),1,0)))</f>
        <v>Semana 28/Día 187</v>
      </c>
      <c r="D7" s="12" t="str">
        <f ca="1">IF(WEEKDAY(CalendarDay)=ValorDeInicioDeSemana,CONCATENATE("Semana ",WEEKNUM(CalendarDay),"/Día ",CalendarDay-DATE(YEAR(CalendarDay),1,0)),CONCATENATE("Día ",CalendarDay-DATE(YEAR(CalendarDay),1,0)))</f>
        <v>Día 188</v>
      </c>
      <c r="E7" s="11" t="str">
        <f ca="1">IF(WEEKDAY(CalendarDay)=ValorDeInicioDeSemana,CONCATENATE("Semana ",WEEKNUM(CalendarDay),"/Día ",CalendarDay-DATE(YEAR(CalendarDay),1,0)),CONCATENATE("Día ",CalendarDay-DATE(YEAR(CalendarDay),1,0)))</f>
        <v>Día 189</v>
      </c>
      <c r="F7" s="12" t="str">
        <f ca="1">IF(WEEKDAY(CalendarDay)=ValorDeInicioDeSemana,CONCATENATE("Semana ",WEEKNUM(CalendarDay),"/Día ",CalendarDay-DATE(YEAR(CalendarDay),1,0)),CONCATENATE("Día ",CalendarDay-DATE(YEAR(CalendarDay),1,0)))</f>
        <v>Día 190</v>
      </c>
      <c r="G7" s="11" t="str">
        <f ca="1">IF(WEEKDAY(CalendarDay)=ValorDeInicioDeSemana,CONCATENATE("Semana ",WEEKNUM(CalendarDay),"/Día ",CalendarDay-DATE(YEAR(CalendarDay),1,0)),CONCATENATE("Día ",CalendarDay-DATE(YEAR(CalendarDay),1,0)))</f>
        <v>Día 191</v>
      </c>
      <c r="H7" s="12" t="str">
        <f ca="1">IF(WEEKDAY(CalendarDay)=ValorDeInicioDeSemana,CONCATENATE("Semana ",WEEKNUM(CalendarDay),"/Día ",CalendarDay-DATE(YEAR(CalendarDay),1,0)),CONCATENATE("Día ",CalendarDay-DATE(YEAR(CalendarDay),1,0)))</f>
        <v>Día 192</v>
      </c>
      <c r="I7" s="11" t="str">
        <f ca="1">IF(WEEKDAY(CalendarDay)=ValorDeInicioDeSemana,CONCATENATE("Semana ",WEEKNUM(CalendarDay),"/Día ",CalendarDay-DATE(YEAR(CalendarDay),1,0)),CONCATENATE("Día ",CalendarDay-DATE(YEAR(CalendarDay),1,0)))</f>
        <v>Día 193</v>
      </c>
    </row>
    <row r="8" spans="2:9" ht="56.25" customHeight="1" x14ac:dyDescent="0.2">
      <c r="C8" s="7"/>
      <c r="D8"/>
      <c r="E8" s="7"/>
      <c r="F8"/>
      <c r="G8" s="7"/>
      <c r="H8"/>
      <c r="I8" s="7"/>
    </row>
    <row r="9" spans="2:9" ht="16.5" customHeight="1" x14ac:dyDescent="0.25">
      <c r="C9" s="8">
        <f t="array" aca="1" ref="C9:I9" ca="1">DíasYSemanas+DATE(AñoNatural,7,1)-WEEKDAY(DATE(AñoNatural,7,1),(InicioDeSemana="LU")+1)+15</f>
        <v>44024</v>
      </c>
      <c r="D9" s="9">
        <f ca="1"/>
        <v>44025</v>
      </c>
      <c r="E9" s="8">
        <f ca="1"/>
        <v>44026</v>
      </c>
      <c r="F9" s="9">
        <f ca="1"/>
        <v>44027</v>
      </c>
      <c r="G9" s="8">
        <f ca="1"/>
        <v>44028</v>
      </c>
      <c r="H9" s="9">
        <f ca="1"/>
        <v>44029</v>
      </c>
      <c r="I9" s="8">
        <f ca="1"/>
        <v>44030</v>
      </c>
    </row>
    <row r="10" spans="2:9" ht="15" customHeight="1" x14ac:dyDescent="0.2">
      <c r="C10" s="11" t="str">
        <f ca="1">IF(WEEKDAY(CalendarDay)=ValorDeInicioDeSemana,CONCATENATE("Semana ",WEEKNUM(CalendarDay),"/Día ",CalendarDay-DATE(YEAR(CalendarDay),1,0)),CONCATENATE("Día ",CalendarDay-DATE(YEAR(CalendarDay),1,0)))</f>
        <v>Semana 29/Día 194</v>
      </c>
      <c r="D10" s="12" t="str">
        <f ca="1">IF(WEEKDAY(CalendarDay)=ValorDeInicioDeSemana,CONCATENATE("Semana ",WEEKNUM(CalendarDay),"/Día ",CalendarDay-DATE(YEAR(CalendarDay),1,0)),CONCATENATE("Día ",CalendarDay-DATE(YEAR(CalendarDay),1,0)))</f>
        <v>Día 195</v>
      </c>
      <c r="E10" s="11" t="str">
        <f ca="1">IF(WEEKDAY(CalendarDay)=ValorDeInicioDeSemana,CONCATENATE("Semana ",WEEKNUM(CalendarDay),"/Día ",CalendarDay-DATE(YEAR(CalendarDay),1,0)),CONCATENATE("Día ",CalendarDay-DATE(YEAR(CalendarDay),1,0)))</f>
        <v>Día 196</v>
      </c>
      <c r="F10" s="12" t="str">
        <f ca="1">IF(WEEKDAY(CalendarDay)=ValorDeInicioDeSemana,CONCATENATE("Semana ",WEEKNUM(CalendarDay),"/Día ",CalendarDay-DATE(YEAR(CalendarDay),1,0)),CONCATENATE("Día ",CalendarDay-DATE(YEAR(CalendarDay),1,0)))</f>
        <v>Día 197</v>
      </c>
      <c r="G10" s="11" t="str">
        <f ca="1">IF(WEEKDAY(CalendarDay)=ValorDeInicioDeSemana,CONCATENATE("Semana ",WEEKNUM(CalendarDay),"/Día ",CalendarDay-DATE(YEAR(CalendarDay),1,0)),CONCATENATE("Día ",CalendarDay-DATE(YEAR(CalendarDay),1,0)))</f>
        <v>Día 198</v>
      </c>
      <c r="H10" s="12" t="str">
        <f ca="1">IF(WEEKDAY(CalendarDay)=ValorDeInicioDeSemana,CONCATENATE("Semana ",WEEKNUM(CalendarDay),"/Día ",CalendarDay-DATE(YEAR(CalendarDay),1,0)),CONCATENATE("Día ",CalendarDay-DATE(YEAR(CalendarDay),1,0)))</f>
        <v>Día 199</v>
      </c>
      <c r="I10" s="11" t="str">
        <f ca="1">IF(WEEKDAY(CalendarDay)=ValorDeInicioDeSemana,CONCATENATE("Semana ",WEEKNUM(CalendarDay),"/Día ",CalendarDay-DATE(YEAR(CalendarDay),1,0)),CONCATENATE("Día ",CalendarDay-DATE(YEAR(CalendarDay),1,0)))</f>
        <v>Día 200</v>
      </c>
    </row>
    <row r="11" spans="2:9" ht="56.25" customHeight="1" x14ac:dyDescent="0.2">
      <c r="C11" s="7"/>
      <c r="D11"/>
      <c r="E11" s="7"/>
      <c r="F11"/>
      <c r="G11" s="7"/>
      <c r="H11"/>
      <c r="I11" s="7"/>
    </row>
    <row r="12" spans="2:9" ht="16.5" customHeight="1" x14ac:dyDescent="0.25">
      <c r="C12" s="8">
        <f t="array" aca="1" ref="C12:I12" ca="1">DíasYSemanas+DATE(AñoNatural,7,1)-WEEKDAY(DATE(AñoNatural,7,1),(InicioDeSemana="LU")+1)+22</f>
        <v>44031</v>
      </c>
      <c r="D12" s="9">
        <f ca="1"/>
        <v>44032</v>
      </c>
      <c r="E12" s="8">
        <f ca="1"/>
        <v>44033</v>
      </c>
      <c r="F12" s="9">
        <f ca="1"/>
        <v>44034</v>
      </c>
      <c r="G12" s="8">
        <f ca="1"/>
        <v>44035</v>
      </c>
      <c r="H12" s="9">
        <f ca="1"/>
        <v>44036</v>
      </c>
      <c r="I12" s="8">
        <f ca="1"/>
        <v>44037</v>
      </c>
    </row>
    <row r="13" spans="2:9" ht="15" customHeight="1" x14ac:dyDescent="0.2">
      <c r="C13" s="11" t="str">
        <f ca="1">IF(WEEKDAY(CalendarDay)=ValorDeInicioDeSemana,CONCATENATE("Semana ",WEEKNUM(CalendarDay),"/Día ",CalendarDay-DATE(YEAR(CalendarDay),1,0)),CONCATENATE("Día ",CalendarDay-DATE(YEAR(CalendarDay),1,0)))</f>
        <v>Semana 30/Día 201</v>
      </c>
      <c r="D13" s="12" t="str">
        <f ca="1">IF(WEEKDAY(CalendarDay)=ValorDeInicioDeSemana,CONCATENATE("Semana ",WEEKNUM(CalendarDay),"/Día ",CalendarDay-DATE(YEAR(CalendarDay),1,0)),CONCATENATE("Día ",CalendarDay-DATE(YEAR(CalendarDay),1,0)))</f>
        <v>Día 202</v>
      </c>
      <c r="E13" s="11" t="str">
        <f ca="1">IF(WEEKDAY(CalendarDay)=ValorDeInicioDeSemana,CONCATENATE("Semana ",WEEKNUM(CalendarDay),"/Día ",CalendarDay-DATE(YEAR(CalendarDay),1,0)),CONCATENATE("Día ",CalendarDay-DATE(YEAR(CalendarDay),1,0)))</f>
        <v>Día 203</v>
      </c>
      <c r="F13" s="12" t="str">
        <f ca="1">IF(WEEKDAY(CalendarDay)=ValorDeInicioDeSemana,CONCATENATE("Semana ",WEEKNUM(CalendarDay),"/Día ",CalendarDay-DATE(YEAR(CalendarDay),1,0)),CONCATENATE("Día ",CalendarDay-DATE(YEAR(CalendarDay),1,0)))</f>
        <v>Día 204</v>
      </c>
      <c r="G13" s="11" t="str">
        <f ca="1">IF(WEEKDAY(CalendarDay)=ValorDeInicioDeSemana,CONCATENATE("Semana ",WEEKNUM(CalendarDay),"/Día ",CalendarDay-DATE(YEAR(CalendarDay),1,0)),CONCATENATE("Día ",CalendarDay-DATE(YEAR(CalendarDay),1,0)))</f>
        <v>Día 205</v>
      </c>
      <c r="H13" s="12" t="str">
        <f ca="1">IF(WEEKDAY(CalendarDay)=ValorDeInicioDeSemana,CONCATENATE("Semana ",WEEKNUM(CalendarDay),"/Día ",CalendarDay-DATE(YEAR(CalendarDay),1,0)),CONCATENATE("Día ",CalendarDay-DATE(YEAR(CalendarDay),1,0)))</f>
        <v>Día 206</v>
      </c>
      <c r="I13" s="11" t="str">
        <f ca="1">IF(WEEKDAY(CalendarDay)=ValorDeInicioDeSemana,CONCATENATE("Semana ",WEEKNUM(CalendarDay),"/Día ",CalendarDay-DATE(YEAR(CalendarDay),1,0)),CONCATENATE("Día ",CalendarDay-DATE(YEAR(CalendarDay),1,0)))</f>
        <v>Día 207</v>
      </c>
    </row>
    <row r="14" spans="2:9" ht="56.25" customHeight="1" x14ac:dyDescent="0.2">
      <c r="C14" s="7"/>
      <c r="D14"/>
      <c r="E14" s="7"/>
      <c r="F14"/>
      <c r="G14" s="7"/>
      <c r="H14"/>
      <c r="I14" s="7"/>
    </row>
    <row r="15" spans="2:9" ht="16.5" customHeight="1" x14ac:dyDescent="0.25">
      <c r="C15" s="8">
        <f t="array" aca="1" ref="C15:I15" ca="1">DíasYSemanas+DATE(AñoNatural,7,1)-WEEKDAY(DATE(AñoNatural,7,1),(InicioDeSemana="LU")+1)+29</f>
        <v>44038</v>
      </c>
      <c r="D15" s="9">
        <f ca="1"/>
        <v>44039</v>
      </c>
      <c r="E15" s="8">
        <f ca="1"/>
        <v>44040</v>
      </c>
      <c r="F15" s="9">
        <f ca="1"/>
        <v>44041</v>
      </c>
      <c r="G15" s="8">
        <f ca="1"/>
        <v>44042</v>
      </c>
      <c r="H15" s="9">
        <f ca="1"/>
        <v>44043</v>
      </c>
      <c r="I15" s="8">
        <f ca="1"/>
        <v>44044</v>
      </c>
    </row>
    <row r="16" spans="2:9" ht="15" customHeight="1" x14ac:dyDescent="0.2">
      <c r="C16" s="11" t="str">
        <f ca="1">IF(WEEKDAY(CalendarDay)=ValorDeInicioDeSemana,CONCATENATE("Semana ",WEEKNUM(CalendarDay),"/Día ",CalendarDay-DATE(YEAR(CalendarDay),1,0)),CONCATENATE("Día ",CalendarDay-DATE(YEAR(CalendarDay),1,0)))</f>
        <v>Semana 31/Día 208</v>
      </c>
      <c r="D16" s="12" t="str">
        <f ca="1">IF(WEEKDAY(CalendarDay)=ValorDeInicioDeSemana,CONCATENATE("Semana ",WEEKNUM(CalendarDay),"/Día ",CalendarDay-DATE(YEAR(CalendarDay),1,0)),CONCATENATE("Día ",CalendarDay-DATE(YEAR(CalendarDay),1,0)))</f>
        <v>Día 209</v>
      </c>
      <c r="E16" s="11" t="str">
        <f ca="1">IF(WEEKDAY(CalendarDay)=ValorDeInicioDeSemana,CONCATENATE("Semana ",WEEKNUM(CalendarDay),"/Día ",CalendarDay-DATE(YEAR(CalendarDay),1,0)),CONCATENATE("Día ",CalendarDay-DATE(YEAR(CalendarDay),1,0)))</f>
        <v>Día 210</v>
      </c>
      <c r="F16" s="12" t="str">
        <f ca="1">IF(WEEKDAY(CalendarDay)=ValorDeInicioDeSemana,CONCATENATE("Semana ",WEEKNUM(CalendarDay),"/Día ",CalendarDay-DATE(YEAR(CalendarDay),1,0)),CONCATENATE("Día ",CalendarDay-DATE(YEAR(CalendarDay),1,0)))</f>
        <v>Día 211</v>
      </c>
      <c r="G16" s="11" t="str">
        <f ca="1">IF(WEEKDAY(CalendarDay)=ValorDeInicioDeSemana,CONCATENATE("Semana ",WEEKNUM(CalendarDay),"/Día ",CalendarDay-DATE(YEAR(CalendarDay),1,0)),CONCATENATE("Día ",CalendarDay-DATE(YEAR(CalendarDay),1,0)))</f>
        <v>Día 212</v>
      </c>
      <c r="H16" s="12" t="str">
        <f ca="1">IF(WEEKDAY(CalendarDay)=ValorDeInicioDeSemana,CONCATENATE("Semana ",WEEKNUM(CalendarDay),"/Día ",CalendarDay-DATE(YEAR(CalendarDay),1,0)),CONCATENATE("Día ",CalendarDay-DATE(YEAR(CalendarDay),1,0)))</f>
        <v>Día 213</v>
      </c>
      <c r="I16" s="11" t="str">
        <f ca="1">IF(WEEKDAY(CalendarDay)=ValorDeInicioDeSemana,CONCATENATE("Semana ",WEEKNUM(CalendarDay),"/Día ",CalendarDay-DATE(YEAR(CalendarDay),1,0)),CONCATENATE("Día ",CalendarDay-DATE(YEAR(CalendarDay),1,0)))</f>
        <v>Día 214</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DíasYSemanas+DATE(AñoNatural,7,1)-WEEKDAY(DATE(AñoNatural,7,1),(InicioDeSemana="LU")+1)+36</f>
        <v>44045</v>
      </c>
      <c r="D19" s="9">
        <f ca="1"/>
        <v>44046</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32/Día 215</v>
      </c>
      <c r="D20" s="2" t="str">
        <f ca="1">IF(WEEKDAY(CalendarDay)=ValorDeInicioDeSemana,CONCATENATE("Semana ",WEEKNUM(CalendarDay),"/Día ",CalendarDay-DATE(YEAR(CalendarDay),1,0)),CONCATENATE("Día ",CalendarDay-DATE(YEAR(CalendarDay),1,0)))</f>
        <v>Día 216</v>
      </c>
      <c r="E20" s="13"/>
      <c r="F20" s="13"/>
      <c r="G20" s="13"/>
      <c r="H20" s="13"/>
      <c r="I20" s="13"/>
    </row>
  </sheetData>
  <mergeCells count="2">
    <mergeCell ref="E18:I20"/>
    <mergeCell ref="C17:C18"/>
  </mergeCells>
  <conditionalFormatting sqref="C15:I15 C19:D19">
    <cfRule type="expression" dxfId="23" priority="2">
      <formula>AND(DAY(C15)&gt;=1,DAY(C15)&lt;=15)</formula>
    </cfRule>
  </conditionalFormatting>
  <conditionalFormatting sqref="C3:H3">
    <cfRule type="expression" dxfId="22" priority="1">
      <formula>DAY(C3)&gt;8</formula>
    </cfRule>
  </conditionalFormatting>
  <conditionalFormatting sqref="C4:I4">
    <cfRule type="expression" dxfId="21" priority="3">
      <formula>DAY(C3)&gt;8</formula>
    </cfRule>
  </conditionalFormatting>
  <conditionalFormatting sqref="C16:I16 C20:D20 C17:D17 F17:I17">
    <cfRule type="expression" dxfId="20" priority="4">
      <formula>AND(DAY(C15)&gt;=1,DAY(C15)&lt;=15)</formula>
    </cfRule>
  </conditionalFormatting>
  <dataValidations count="9">
    <dataValidation allowBlank="1" showInputMessage="1" showErrorMessage="1" prompt="Calendario del mes de julio" sqref="A1" xr:uid="{00000000-0002-0000-06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600-000001000000}"/>
    <dataValidation allowBlank="1" showInputMessage="1" showErrorMessage="1" prompt="El año de esta celda se actualiza automáticamente según el año especificado en la hoja de cálculo Enero." sqref="B2" xr:uid="{00000000-0002-0000-06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600-000003000000}"/>
    <dataValidation allowBlank="1" showInputMessage="1" showErrorMessage="1" prompt="Escriba las notas diarias basadas en el día del calendario que se encuentra en las celdas bajo esta fila y las filas 5, 8, 11, 14 y 17, de las columnas C a I." sqref="C2" xr:uid="{00000000-0002-0000-06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600-000005000000}"/>
    <dataValidation allowBlank="1" showInputMessage="1" showErrorMessage="1" prompt="El número de días y semanas de esta fila y de las filas 7, 10, 13, 16 y 20 se actualizan automáticamente." sqref="C4" xr:uid="{00000000-0002-0000-0600-000006000000}"/>
    <dataValidation allowBlank="1" showInputMessage="1" showErrorMessage="1" prompt="Escriba las notas en la celda inferior." sqref="E17" xr:uid="{00000000-0002-0000-0600-000007000000}"/>
    <dataValidation allowBlank="1" showInputMessage="1" showErrorMessage="1" prompt="Escriba notas en esta celda." sqref="E18:I20" xr:uid="{00000000-0002-0000-06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2" tint="-9.9978637043366805E-2"/>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8</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DíasYSemanas+DATE(AñoNatural,8,1)-WEEKDAY(DATE(AñoNatural,8,1),(InicioDeSemana="LU")+1)+1</f>
        <v>44038</v>
      </c>
      <c r="D3" s="9">
        <f ca="1"/>
        <v>44039</v>
      </c>
      <c r="E3" s="8">
        <f ca="1"/>
        <v>44040</v>
      </c>
      <c r="F3" s="9">
        <f ca="1"/>
        <v>44041</v>
      </c>
      <c r="G3" s="8">
        <f ca="1"/>
        <v>44042</v>
      </c>
      <c r="H3" s="9">
        <f ca="1"/>
        <v>44043</v>
      </c>
      <c r="I3" s="8">
        <f ca="1"/>
        <v>44044</v>
      </c>
    </row>
    <row r="4" spans="2:9" ht="15" customHeight="1" x14ac:dyDescent="0.2">
      <c r="C4" s="11" t="str">
        <f t="shared" ref="C4:I4" ca="1" si="1">IF(DAY(CalendarDay)=1,CONCATENATE("Semana ",WEEKNUM(CalendarDay),"/Día ",CalendarDay-DATE(YEAR(CalendarDay),1,0)),CONCATENATE("Día ",CalendarDay-DATE(YEAR(CalendarDay),1,0)))</f>
        <v>Día 208</v>
      </c>
      <c r="D4" s="12" t="str">
        <f t="shared" ca="1" si="1"/>
        <v>Día 209</v>
      </c>
      <c r="E4" s="11" t="str">
        <f t="shared" ca="1" si="1"/>
        <v>Día 210</v>
      </c>
      <c r="F4" s="12" t="str">
        <f t="shared" ca="1" si="1"/>
        <v>Día 211</v>
      </c>
      <c r="G4" s="11" t="str">
        <f t="shared" ca="1" si="1"/>
        <v>Día 212</v>
      </c>
      <c r="H4" s="12" t="str">
        <f t="shared" ca="1" si="1"/>
        <v>Día 213</v>
      </c>
      <c r="I4" s="11" t="str">
        <f t="shared" ca="1" si="1"/>
        <v>Semana 31/Día 214</v>
      </c>
    </row>
    <row r="5" spans="2:9" ht="56.25" customHeight="1" x14ac:dyDescent="0.2">
      <c r="C5" s="7"/>
      <c r="D5"/>
      <c r="E5" s="7"/>
      <c r="F5"/>
      <c r="G5" s="7"/>
      <c r="H5"/>
      <c r="I5" s="7"/>
    </row>
    <row r="6" spans="2:9" ht="16.5" customHeight="1" x14ac:dyDescent="0.25">
      <c r="C6" s="8">
        <f t="array" aca="1" ref="C6:I6" ca="1">DíasYSemanas+DATE(AñoNatural,8,1)-WEEKDAY(DATE(AñoNatural,8,1),(InicioDeSemana="LU")+1)+8</f>
        <v>44045</v>
      </c>
      <c r="D6" s="9">
        <f ca="1"/>
        <v>44046</v>
      </c>
      <c r="E6" s="8">
        <f ca="1"/>
        <v>44047</v>
      </c>
      <c r="F6" s="9">
        <f ca="1"/>
        <v>44048</v>
      </c>
      <c r="G6" s="8">
        <f ca="1"/>
        <v>44049</v>
      </c>
      <c r="H6" s="9">
        <f ca="1"/>
        <v>44050</v>
      </c>
      <c r="I6" s="8">
        <f ca="1"/>
        <v>44051</v>
      </c>
    </row>
    <row r="7" spans="2:9" ht="15" customHeight="1" x14ac:dyDescent="0.2">
      <c r="C7" s="11" t="str">
        <f ca="1">IF(WEEKDAY(CalendarDay)=ValorDeInicioDeSemana,CONCATENATE("Semana ",WEEKNUM(CalendarDay),"/Día ",CalendarDay-DATE(YEAR(CalendarDay),1,0)),CONCATENATE("Día ",CalendarDay-DATE(YEAR(CalendarDay),1,0)))</f>
        <v>Semana 32/Día 215</v>
      </c>
      <c r="D7" s="12" t="str">
        <f ca="1">IF(WEEKDAY(CalendarDay)=ValorDeInicioDeSemana,CONCATENATE("Semana ",WEEKNUM(CalendarDay),"/Día ",CalendarDay-DATE(YEAR(CalendarDay),1,0)),CONCATENATE("Día ",CalendarDay-DATE(YEAR(CalendarDay),1,0)))</f>
        <v>Día 216</v>
      </c>
      <c r="E7" s="11" t="str">
        <f ca="1">IF(WEEKDAY(CalendarDay)=ValorDeInicioDeSemana,CONCATENATE("Semana ",WEEKNUM(CalendarDay),"/Día ",CalendarDay-DATE(YEAR(CalendarDay),1,0)),CONCATENATE("Día ",CalendarDay-DATE(YEAR(CalendarDay),1,0)))</f>
        <v>Día 217</v>
      </c>
      <c r="F7" s="12" t="str">
        <f ca="1">IF(WEEKDAY(CalendarDay)=ValorDeInicioDeSemana,CONCATENATE("Semana ",WEEKNUM(CalendarDay),"/Día ",CalendarDay-DATE(YEAR(CalendarDay),1,0)),CONCATENATE("Día ",CalendarDay-DATE(YEAR(CalendarDay),1,0)))</f>
        <v>Día 218</v>
      </c>
      <c r="G7" s="11" t="str">
        <f ca="1">IF(WEEKDAY(CalendarDay)=ValorDeInicioDeSemana,CONCATENATE("Semana ",WEEKNUM(CalendarDay),"/Día ",CalendarDay-DATE(YEAR(CalendarDay),1,0)),CONCATENATE("Día ",CalendarDay-DATE(YEAR(CalendarDay),1,0)))</f>
        <v>Día 219</v>
      </c>
      <c r="H7" s="12" t="str">
        <f ca="1">IF(WEEKDAY(CalendarDay)=ValorDeInicioDeSemana,CONCATENATE("Semana ",WEEKNUM(CalendarDay),"/Día ",CalendarDay-DATE(YEAR(CalendarDay),1,0)),CONCATENATE("Día ",CalendarDay-DATE(YEAR(CalendarDay),1,0)))</f>
        <v>Día 220</v>
      </c>
      <c r="I7" s="11" t="str">
        <f ca="1">IF(WEEKDAY(CalendarDay)=ValorDeInicioDeSemana,CONCATENATE("Semana ",WEEKNUM(CalendarDay),"/Día ",CalendarDay-DATE(YEAR(CalendarDay),1,0)),CONCATENATE("Día ",CalendarDay-DATE(YEAR(CalendarDay),1,0)))</f>
        <v>Día 221</v>
      </c>
    </row>
    <row r="8" spans="2:9" ht="56.25" customHeight="1" x14ac:dyDescent="0.2">
      <c r="C8" s="7"/>
      <c r="D8"/>
      <c r="E8" s="7"/>
      <c r="F8"/>
      <c r="G8" s="7"/>
      <c r="H8"/>
      <c r="I8" s="7"/>
    </row>
    <row r="9" spans="2:9" ht="16.5" customHeight="1" x14ac:dyDescent="0.25">
      <c r="C9" s="8">
        <f t="array" aca="1" ref="C9:I9" ca="1">DíasYSemanas+DATE(AñoNatural,8,1)-WEEKDAY(DATE(AñoNatural,8,1),(InicioDeSemana="LU")+1)+15</f>
        <v>44052</v>
      </c>
      <c r="D9" s="9">
        <f ca="1"/>
        <v>44053</v>
      </c>
      <c r="E9" s="8">
        <f ca="1"/>
        <v>44054</v>
      </c>
      <c r="F9" s="9">
        <f ca="1"/>
        <v>44055</v>
      </c>
      <c r="G9" s="8">
        <f ca="1"/>
        <v>44056</v>
      </c>
      <c r="H9" s="9">
        <f ca="1"/>
        <v>44057</v>
      </c>
      <c r="I9" s="8">
        <f ca="1"/>
        <v>44058</v>
      </c>
    </row>
    <row r="10" spans="2:9" ht="15" customHeight="1" x14ac:dyDescent="0.2">
      <c r="C10" s="11" t="str">
        <f ca="1">IF(WEEKDAY(CalendarDay)=ValorDeInicioDeSemana,CONCATENATE("Semana ",WEEKNUM(CalendarDay),"/Día ",CalendarDay-DATE(YEAR(CalendarDay),1,0)),CONCATENATE("Día ",CalendarDay-DATE(YEAR(CalendarDay),1,0)))</f>
        <v>Semana 33/Día 222</v>
      </c>
      <c r="D10" s="12" t="str">
        <f ca="1">IF(WEEKDAY(CalendarDay)=ValorDeInicioDeSemana,CONCATENATE("Semana ",WEEKNUM(CalendarDay),"/Día ",CalendarDay-DATE(YEAR(CalendarDay),1,0)),CONCATENATE("Día ",CalendarDay-DATE(YEAR(CalendarDay),1,0)))</f>
        <v>Día 223</v>
      </c>
      <c r="E10" s="11" t="str">
        <f ca="1">IF(WEEKDAY(CalendarDay)=ValorDeInicioDeSemana,CONCATENATE("Semana ",WEEKNUM(CalendarDay),"/Día ",CalendarDay-DATE(YEAR(CalendarDay),1,0)),CONCATENATE("Día ",CalendarDay-DATE(YEAR(CalendarDay),1,0)))</f>
        <v>Día 224</v>
      </c>
      <c r="F10" s="12" t="str">
        <f ca="1">IF(WEEKDAY(CalendarDay)=ValorDeInicioDeSemana,CONCATENATE("Semana ",WEEKNUM(CalendarDay),"/Día ",CalendarDay-DATE(YEAR(CalendarDay),1,0)),CONCATENATE("Día ",CalendarDay-DATE(YEAR(CalendarDay),1,0)))</f>
        <v>Día 225</v>
      </c>
      <c r="G10" s="11" t="str">
        <f ca="1">IF(WEEKDAY(CalendarDay)=ValorDeInicioDeSemana,CONCATENATE("Semana ",WEEKNUM(CalendarDay),"/Día ",CalendarDay-DATE(YEAR(CalendarDay),1,0)),CONCATENATE("Día ",CalendarDay-DATE(YEAR(CalendarDay),1,0)))</f>
        <v>Día 226</v>
      </c>
      <c r="H10" s="12" t="str">
        <f ca="1">IF(WEEKDAY(CalendarDay)=ValorDeInicioDeSemana,CONCATENATE("Semana ",WEEKNUM(CalendarDay),"/Día ",CalendarDay-DATE(YEAR(CalendarDay),1,0)),CONCATENATE("Día ",CalendarDay-DATE(YEAR(CalendarDay),1,0)))</f>
        <v>Día 227</v>
      </c>
      <c r="I10" s="11" t="str">
        <f ca="1">IF(WEEKDAY(CalendarDay)=ValorDeInicioDeSemana,CONCATENATE("Semana ",WEEKNUM(CalendarDay),"/Día ",CalendarDay-DATE(YEAR(CalendarDay),1,0)),CONCATENATE("Día ",CalendarDay-DATE(YEAR(CalendarDay),1,0)))</f>
        <v>Día 228</v>
      </c>
    </row>
    <row r="11" spans="2:9" ht="56.25" customHeight="1" x14ac:dyDescent="0.2">
      <c r="C11" s="7"/>
      <c r="D11"/>
      <c r="E11" s="7"/>
      <c r="F11"/>
      <c r="G11" s="7"/>
      <c r="H11"/>
      <c r="I11" s="7"/>
    </row>
    <row r="12" spans="2:9" ht="16.5" customHeight="1" x14ac:dyDescent="0.25">
      <c r="C12" s="8">
        <f t="array" aca="1" ref="C12:I12" ca="1">DíasYSemanas+DATE(AñoNatural,8,1)-WEEKDAY(DATE(AñoNatural,8,1),(InicioDeSemana="LU")+1)+22</f>
        <v>44059</v>
      </c>
      <c r="D12" s="9">
        <f ca="1"/>
        <v>44060</v>
      </c>
      <c r="E12" s="8">
        <f ca="1"/>
        <v>44061</v>
      </c>
      <c r="F12" s="9">
        <f ca="1"/>
        <v>44062</v>
      </c>
      <c r="G12" s="8">
        <f ca="1"/>
        <v>44063</v>
      </c>
      <c r="H12" s="9">
        <f ca="1"/>
        <v>44064</v>
      </c>
      <c r="I12" s="8">
        <f ca="1"/>
        <v>44065</v>
      </c>
    </row>
    <row r="13" spans="2:9" ht="15" customHeight="1" x14ac:dyDescent="0.2">
      <c r="C13" s="11" t="str">
        <f ca="1">IF(WEEKDAY(CalendarDay)=ValorDeInicioDeSemana,CONCATENATE("Semana ",WEEKNUM(CalendarDay),"/Día ",CalendarDay-DATE(YEAR(CalendarDay),1,0)),CONCATENATE("Día ",CalendarDay-DATE(YEAR(CalendarDay),1,0)))</f>
        <v>Semana 34/Día 229</v>
      </c>
      <c r="D13" s="12" t="str">
        <f ca="1">IF(WEEKDAY(CalendarDay)=ValorDeInicioDeSemana,CONCATENATE("Semana ",WEEKNUM(CalendarDay),"/Día ",CalendarDay-DATE(YEAR(CalendarDay),1,0)),CONCATENATE("Día ",CalendarDay-DATE(YEAR(CalendarDay),1,0)))</f>
        <v>Día 230</v>
      </c>
      <c r="E13" s="11" t="str">
        <f ca="1">IF(WEEKDAY(CalendarDay)=ValorDeInicioDeSemana,CONCATENATE("Semana ",WEEKNUM(CalendarDay),"/Día ",CalendarDay-DATE(YEAR(CalendarDay),1,0)),CONCATENATE("Día ",CalendarDay-DATE(YEAR(CalendarDay),1,0)))</f>
        <v>Día 231</v>
      </c>
      <c r="F13" s="12" t="str">
        <f ca="1">IF(WEEKDAY(CalendarDay)=ValorDeInicioDeSemana,CONCATENATE("Semana ",WEEKNUM(CalendarDay),"/Día ",CalendarDay-DATE(YEAR(CalendarDay),1,0)),CONCATENATE("Día ",CalendarDay-DATE(YEAR(CalendarDay),1,0)))</f>
        <v>Día 232</v>
      </c>
      <c r="G13" s="11" t="str">
        <f ca="1">IF(WEEKDAY(CalendarDay)=ValorDeInicioDeSemana,CONCATENATE("Semana ",WEEKNUM(CalendarDay),"/Día ",CalendarDay-DATE(YEAR(CalendarDay),1,0)),CONCATENATE("Día ",CalendarDay-DATE(YEAR(CalendarDay),1,0)))</f>
        <v>Día 233</v>
      </c>
      <c r="H13" s="12" t="str">
        <f ca="1">IF(WEEKDAY(CalendarDay)=ValorDeInicioDeSemana,CONCATENATE("Semana ",WEEKNUM(CalendarDay),"/Día ",CalendarDay-DATE(YEAR(CalendarDay),1,0)),CONCATENATE("Día ",CalendarDay-DATE(YEAR(CalendarDay),1,0)))</f>
        <v>Día 234</v>
      </c>
      <c r="I13" s="11" t="str">
        <f ca="1">IF(WEEKDAY(CalendarDay)=ValorDeInicioDeSemana,CONCATENATE("Semana ",WEEKNUM(CalendarDay),"/Día ",CalendarDay-DATE(YEAR(CalendarDay),1,0)),CONCATENATE("Día ",CalendarDay-DATE(YEAR(CalendarDay),1,0)))</f>
        <v>Día 235</v>
      </c>
    </row>
    <row r="14" spans="2:9" ht="56.25" customHeight="1" x14ac:dyDescent="0.2">
      <c r="C14" s="7"/>
      <c r="D14"/>
      <c r="E14" s="7"/>
      <c r="F14"/>
      <c r="G14" s="7"/>
      <c r="H14"/>
      <c r="I14" s="7"/>
    </row>
    <row r="15" spans="2:9" ht="16.5" customHeight="1" x14ac:dyDescent="0.25">
      <c r="C15" s="8">
        <f t="array" aca="1" ref="C15:I15" ca="1">DíasYSemanas+DATE(AñoNatural,8,1)-WEEKDAY(DATE(AñoNatural,8,1),(InicioDeSemana="LU")+1)+29</f>
        <v>44066</v>
      </c>
      <c r="D15" s="9">
        <f ca="1"/>
        <v>44067</v>
      </c>
      <c r="E15" s="8">
        <f ca="1"/>
        <v>44068</v>
      </c>
      <c r="F15" s="9">
        <f ca="1"/>
        <v>44069</v>
      </c>
      <c r="G15" s="8">
        <f ca="1"/>
        <v>44070</v>
      </c>
      <c r="H15" s="9">
        <f ca="1"/>
        <v>44071</v>
      </c>
      <c r="I15" s="8">
        <f ca="1"/>
        <v>44072</v>
      </c>
    </row>
    <row r="16" spans="2:9" ht="15" customHeight="1" x14ac:dyDescent="0.2">
      <c r="C16" s="11" t="str">
        <f ca="1">IF(WEEKDAY(CalendarDay)=ValorDeInicioDeSemana,CONCATENATE("Semana ",WEEKNUM(CalendarDay),"/Día ",CalendarDay-DATE(YEAR(CalendarDay),1,0)),CONCATENATE("Día ",CalendarDay-DATE(YEAR(CalendarDay),1,0)))</f>
        <v>Semana 35/Día 236</v>
      </c>
      <c r="D16" s="12" t="str">
        <f ca="1">IF(WEEKDAY(CalendarDay)=ValorDeInicioDeSemana,CONCATENATE("Semana ",WEEKNUM(CalendarDay),"/Día ",CalendarDay-DATE(YEAR(CalendarDay),1,0)),CONCATENATE("Día ",CalendarDay-DATE(YEAR(CalendarDay),1,0)))</f>
        <v>Día 237</v>
      </c>
      <c r="E16" s="11" t="str">
        <f ca="1">IF(WEEKDAY(CalendarDay)=ValorDeInicioDeSemana,CONCATENATE("Semana ",WEEKNUM(CalendarDay),"/Día ",CalendarDay-DATE(YEAR(CalendarDay),1,0)),CONCATENATE("Día ",CalendarDay-DATE(YEAR(CalendarDay),1,0)))</f>
        <v>Día 238</v>
      </c>
      <c r="F16" s="12" t="str">
        <f ca="1">IF(WEEKDAY(CalendarDay)=ValorDeInicioDeSemana,CONCATENATE("Semana ",WEEKNUM(CalendarDay),"/Día ",CalendarDay-DATE(YEAR(CalendarDay),1,0)),CONCATENATE("Día ",CalendarDay-DATE(YEAR(CalendarDay),1,0)))</f>
        <v>Día 239</v>
      </c>
      <c r="G16" s="11" t="str">
        <f ca="1">IF(WEEKDAY(CalendarDay)=ValorDeInicioDeSemana,CONCATENATE("Semana ",WEEKNUM(CalendarDay),"/Día ",CalendarDay-DATE(YEAR(CalendarDay),1,0)),CONCATENATE("Día ",CalendarDay-DATE(YEAR(CalendarDay),1,0)))</f>
        <v>Día 240</v>
      </c>
      <c r="H16" s="12" t="str">
        <f ca="1">IF(WEEKDAY(CalendarDay)=ValorDeInicioDeSemana,CONCATENATE("Semana ",WEEKNUM(CalendarDay),"/Día ",CalendarDay-DATE(YEAR(CalendarDay),1,0)),CONCATENATE("Día ",CalendarDay-DATE(YEAR(CalendarDay),1,0)))</f>
        <v>Día 241</v>
      </c>
      <c r="I16" s="11" t="str">
        <f ca="1">IF(WEEKDAY(CalendarDay)=ValorDeInicioDeSemana,CONCATENATE("Semana ",WEEKNUM(CalendarDay),"/Día ",CalendarDay-DATE(YEAR(CalendarDay),1,0)),CONCATENATE("Día ",CalendarDay-DATE(YEAR(CalendarDay),1,0)))</f>
        <v>Día 242</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DíasYSemanas+DATE(AñoNatural,8,1)-WEEKDAY(DATE(AñoNatural,8,1),(InicioDeSemana="LU")+1)+36</f>
        <v>44073</v>
      </c>
      <c r="D19" s="9">
        <f ca="1"/>
        <v>44074</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36/Día 243</v>
      </c>
      <c r="D20" s="2" t="str">
        <f ca="1">IF(WEEKDAY(CalendarDay)=ValorDeInicioDeSemana,CONCATENATE("Semana ",WEEKNUM(CalendarDay),"/Día ",CalendarDay-DATE(YEAR(CalendarDay),1,0)),CONCATENATE("Día ",CalendarDay-DATE(YEAR(CalendarDay),1,0)))</f>
        <v>Día 244</v>
      </c>
      <c r="E20" s="13"/>
      <c r="F20" s="13"/>
      <c r="G20" s="13"/>
      <c r="H20" s="13"/>
      <c r="I20" s="13"/>
    </row>
  </sheetData>
  <mergeCells count="2">
    <mergeCell ref="E18:I20"/>
    <mergeCell ref="C17:C18"/>
  </mergeCells>
  <conditionalFormatting sqref="C15:I15 C19:D19">
    <cfRule type="expression" dxfId="19" priority="2">
      <formula>AND(DAY(C15)&gt;=1,DAY(C15)&lt;=15)</formula>
    </cfRule>
  </conditionalFormatting>
  <conditionalFormatting sqref="C3:H3">
    <cfRule type="expression" dxfId="18" priority="1">
      <formula>DAY(C3)&gt;8</formula>
    </cfRule>
  </conditionalFormatting>
  <conditionalFormatting sqref="C4:I4">
    <cfRule type="expression" dxfId="17" priority="3">
      <formula>DAY(C3)&gt;8</formula>
    </cfRule>
  </conditionalFormatting>
  <conditionalFormatting sqref="C16:I16 C20:D20 C17:D17 F17:I17">
    <cfRule type="expression" dxfId="16" priority="4">
      <formula>AND(DAY(C15)&gt;=1,DAY(C15)&lt;=15)</formula>
    </cfRule>
  </conditionalFormatting>
  <dataValidations count="9">
    <dataValidation allowBlank="1" showInputMessage="1" showErrorMessage="1" prompt="Calendario del mes de agosto" sqref="A1" xr:uid="{00000000-0002-0000-07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700-000001000000}"/>
    <dataValidation allowBlank="1" showInputMessage="1" showErrorMessage="1" prompt="El año de esta celda se actualiza automáticamente según el año especificado en la hoja de cálculo Enero." sqref="B2" xr:uid="{00000000-0002-0000-07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700-000003000000}"/>
    <dataValidation allowBlank="1" showInputMessage="1" showErrorMessage="1" prompt="Escriba las notas diarias basadas en el día del calendario que se encuentra en las celdas bajo esta fila y las filas 5, 8, 11, 14 y 17, de las columnas C a I." sqref="C2" xr:uid="{00000000-0002-0000-07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700-000005000000}"/>
    <dataValidation allowBlank="1" showInputMessage="1" showErrorMessage="1" prompt="El número de días y semanas de esta fila y de las filas 7, 10, 13, 16 y 20 se actualizan automáticamente." sqref="C4" xr:uid="{00000000-0002-0000-0700-000006000000}"/>
    <dataValidation allowBlank="1" showInputMessage="1" showErrorMessage="1" prompt="Escriba las notas en la celda inferior." sqref="E17" xr:uid="{00000000-0002-0000-0700-000007000000}"/>
    <dataValidation allowBlank="1" showInputMessage="1" showErrorMessage="1" prompt="Escriba notas en esta celda." sqref="E18:I20" xr:uid="{00000000-0002-0000-07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2" tint="-0.249977111117893"/>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9</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DíasYSemanas+DATE(AñoNatural,9,1)-WEEKDAY(DATE(AñoNatural,9,1),(InicioDeSemana="LU")+1)+1</f>
        <v>44073</v>
      </c>
      <c r="D3" s="9">
        <f ca="1"/>
        <v>44074</v>
      </c>
      <c r="E3" s="8">
        <f ca="1"/>
        <v>44075</v>
      </c>
      <c r="F3" s="9">
        <f ca="1"/>
        <v>44076</v>
      </c>
      <c r="G3" s="8">
        <f ca="1"/>
        <v>44077</v>
      </c>
      <c r="H3" s="9">
        <f ca="1"/>
        <v>44078</v>
      </c>
      <c r="I3" s="8">
        <f ca="1"/>
        <v>44079</v>
      </c>
    </row>
    <row r="4" spans="2:9" ht="15" customHeight="1" x14ac:dyDescent="0.2">
      <c r="C4" s="11" t="str">
        <f t="shared" ref="C4:I4" ca="1" si="1">IF(DAY(CalendarDay)=1,CONCATENATE("Semana ",WEEKNUM(CalendarDay),"/Día ",CalendarDay-DATE(YEAR(CalendarDay),1,0)),CONCATENATE("Día ",CalendarDay-DATE(YEAR(CalendarDay),1,0)))</f>
        <v>Día 243</v>
      </c>
      <c r="D4" s="12" t="str">
        <f t="shared" ca="1" si="1"/>
        <v>Día 244</v>
      </c>
      <c r="E4" s="11" t="str">
        <f t="shared" ca="1" si="1"/>
        <v>Semana 36/Día 245</v>
      </c>
      <c r="F4" s="12" t="str">
        <f t="shared" ca="1" si="1"/>
        <v>Día 246</v>
      </c>
      <c r="G4" s="11" t="str">
        <f t="shared" ca="1" si="1"/>
        <v>Día 247</v>
      </c>
      <c r="H4" s="12" t="str">
        <f t="shared" ca="1" si="1"/>
        <v>Día 248</v>
      </c>
      <c r="I4" s="11" t="str">
        <f t="shared" ca="1" si="1"/>
        <v>Día 249</v>
      </c>
    </row>
    <row r="5" spans="2:9" ht="56.25" customHeight="1" x14ac:dyDescent="0.2">
      <c r="C5" s="7"/>
      <c r="D5"/>
      <c r="E5" s="7"/>
      <c r="F5"/>
      <c r="G5" s="7"/>
      <c r="H5"/>
      <c r="I5" s="7"/>
    </row>
    <row r="6" spans="2:9" ht="16.5" customHeight="1" x14ac:dyDescent="0.25">
      <c r="C6" s="8">
        <f t="array" aca="1" ref="C6:I6" ca="1">DíasYSemanas+DATE(AñoNatural,9,1)-WEEKDAY(DATE(AñoNatural,9,1),(InicioDeSemana="LU")+1)+8</f>
        <v>44080</v>
      </c>
      <c r="D6" s="9">
        <f ca="1"/>
        <v>44081</v>
      </c>
      <c r="E6" s="8">
        <f ca="1"/>
        <v>44082</v>
      </c>
      <c r="F6" s="9">
        <f ca="1"/>
        <v>44083</v>
      </c>
      <c r="G6" s="8">
        <f ca="1"/>
        <v>44084</v>
      </c>
      <c r="H6" s="9">
        <f ca="1"/>
        <v>44085</v>
      </c>
      <c r="I6" s="8">
        <f ca="1"/>
        <v>44086</v>
      </c>
    </row>
    <row r="7" spans="2:9" ht="15" customHeight="1" x14ac:dyDescent="0.2">
      <c r="C7" s="11" t="str">
        <f ca="1">IF(WEEKDAY(CalendarDay)=ValorDeInicioDeSemana,CONCATENATE("Semana ",WEEKNUM(CalendarDay),"/Día ",CalendarDay-DATE(YEAR(CalendarDay),1,0)),CONCATENATE("Día ",CalendarDay-DATE(YEAR(CalendarDay),1,0)))</f>
        <v>Semana 37/Día 250</v>
      </c>
      <c r="D7" s="12" t="str">
        <f ca="1">IF(WEEKDAY(CalendarDay)=ValorDeInicioDeSemana,CONCATENATE("Semana ",WEEKNUM(CalendarDay),"/Día ",CalendarDay-DATE(YEAR(CalendarDay),1,0)),CONCATENATE("Día ",CalendarDay-DATE(YEAR(CalendarDay),1,0)))</f>
        <v>Día 251</v>
      </c>
      <c r="E7" s="11" t="str">
        <f ca="1">IF(WEEKDAY(CalendarDay)=ValorDeInicioDeSemana,CONCATENATE("Semana ",WEEKNUM(CalendarDay),"/Día ",CalendarDay-DATE(YEAR(CalendarDay),1,0)),CONCATENATE("Día ",CalendarDay-DATE(YEAR(CalendarDay),1,0)))</f>
        <v>Día 252</v>
      </c>
      <c r="F7" s="12" t="str">
        <f ca="1">IF(WEEKDAY(CalendarDay)=ValorDeInicioDeSemana,CONCATENATE("Semana ",WEEKNUM(CalendarDay),"/Día ",CalendarDay-DATE(YEAR(CalendarDay),1,0)),CONCATENATE("Día ",CalendarDay-DATE(YEAR(CalendarDay),1,0)))</f>
        <v>Día 253</v>
      </c>
      <c r="G7" s="11" t="str">
        <f ca="1">IF(WEEKDAY(CalendarDay)=ValorDeInicioDeSemana,CONCATENATE("Semana ",WEEKNUM(CalendarDay),"/Día ",CalendarDay-DATE(YEAR(CalendarDay),1,0)),CONCATENATE("Día ",CalendarDay-DATE(YEAR(CalendarDay),1,0)))</f>
        <v>Día 254</v>
      </c>
      <c r="H7" s="12" t="str">
        <f ca="1">IF(WEEKDAY(CalendarDay)=ValorDeInicioDeSemana,CONCATENATE("Semana ",WEEKNUM(CalendarDay),"/Día ",CalendarDay-DATE(YEAR(CalendarDay),1,0)),CONCATENATE("Día ",CalendarDay-DATE(YEAR(CalendarDay),1,0)))</f>
        <v>Día 255</v>
      </c>
      <c r="I7" s="11" t="str">
        <f ca="1">IF(WEEKDAY(CalendarDay)=ValorDeInicioDeSemana,CONCATENATE("Semana ",WEEKNUM(CalendarDay),"/Día ",CalendarDay-DATE(YEAR(CalendarDay),1,0)),CONCATENATE("Día ",CalendarDay-DATE(YEAR(CalendarDay),1,0)))</f>
        <v>Día 256</v>
      </c>
    </row>
    <row r="8" spans="2:9" ht="56.25" customHeight="1" x14ac:dyDescent="0.2">
      <c r="C8" s="7"/>
      <c r="D8"/>
      <c r="E8" s="7"/>
      <c r="F8"/>
      <c r="G8" s="7"/>
      <c r="H8"/>
      <c r="I8" s="7"/>
    </row>
    <row r="9" spans="2:9" ht="16.5" customHeight="1" x14ac:dyDescent="0.25">
      <c r="C9" s="8">
        <f t="array" aca="1" ref="C9:I9" ca="1">DíasYSemanas+DATE(AñoNatural,9,1)-WEEKDAY(DATE(AñoNatural,9,1),(InicioDeSemana="LU")+1)+15</f>
        <v>44087</v>
      </c>
      <c r="D9" s="9">
        <f ca="1"/>
        <v>44088</v>
      </c>
      <c r="E9" s="8">
        <f ca="1"/>
        <v>44089</v>
      </c>
      <c r="F9" s="9">
        <f ca="1"/>
        <v>44090</v>
      </c>
      <c r="G9" s="8">
        <f ca="1"/>
        <v>44091</v>
      </c>
      <c r="H9" s="9">
        <f ca="1"/>
        <v>44092</v>
      </c>
      <c r="I9" s="8">
        <f ca="1"/>
        <v>44093</v>
      </c>
    </row>
    <row r="10" spans="2:9" ht="15" customHeight="1" x14ac:dyDescent="0.2">
      <c r="C10" s="11" t="str">
        <f ca="1">IF(WEEKDAY(CalendarDay)=ValorDeInicioDeSemana,CONCATENATE("Semana ",WEEKNUM(CalendarDay),"/Día ",CalendarDay-DATE(YEAR(CalendarDay),1,0)),CONCATENATE("Día ",CalendarDay-DATE(YEAR(CalendarDay),1,0)))</f>
        <v>Semana 38/Día 257</v>
      </c>
      <c r="D10" s="12" t="str">
        <f ca="1">IF(WEEKDAY(CalendarDay)=ValorDeInicioDeSemana,CONCATENATE("Semana ",WEEKNUM(CalendarDay),"/Día ",CalendarDay-DATE(YEAR(CalendarDay),1,0)),CONCATENATE("Día ",CalendarDay-DATE(YEAR(CalendarDay),1,0)))</f>
        <v>Día 258</v>
      </c>
      <c r="E10" s="11" t="str">
        <f ca="1">IF(WEEKDAY(CalendarDay)=ValorDeInicioDeSemana,CONCATENATE("Semana ",WEEKNUM(CalendarDay),"/Día ",CalendarDay-DATE(YEAR(CalendarDay),1,0)),CONCATENATE("Día ",CalendarDay-DATE(YEAR(CalendarDay),1,0)))</f>
        <v>Día 259</v>
      </c>
      <c r="F10" s="12" t="str">
        <f ca="1">IF(WEEKDAY(CalendarDay)=ValorDeInicioDeSemana,CONCATENATE("Semana ",WEEKNUM(CalendarDay),"/Día ",CalendarDay-DATE(YEAR(CalendarDay),1,0)),CONCATENATE("Día ",CalendarDay-DATE(YEAR(CalendarDay),1,0)))</f>
        <v>Día 260</v>
      </c>
      <c r="G10" s="11" t="str">
        <f ca="1">IF(WEEKDAY(CalendarDay)=ValorDeInicioDeSemana,CONCATENATE("Semana ",WEEKNUM(CalendarDay),"/Día ",CalendarDay-DATE(YEAR(CalendarDay),1,0)),CONCATENATE("Día ",CalendarDay-DATE(YEAR(CalendarDay),1,0)))</f>
        <v>Día 261</v>
      </c>
      <c r="H10" s="12" t="str">
        <f ca="1">IF(WEEKDAY(CalendarDay)=ValorDeInicioDeSemana,CONCATENATE("Semana ",WEEKNUM(CalendarDay),"/Día ",CalendarDay-DATE(YEAR(CalendarDay),1,0)),CONCATENATE("Día ",CalendarDay-DATE(YEAR(CalendarDay),1,0)))</f>
        <v>Día 262</v>
      </c>
      <c r="I10" s="11" t="str">
        <f ca="1">IF(WEEKDAY(CalendarDay)=ValorDeInicioDeSemana,CONCATENATE("Semana ",WEEKNUM(CalendarDay),"/Día ",CalendarDay-DATE(YEAR(CalendarDay),1,0)),CONCATENATE("Día ",CalendarDay-DATE(YEAR(CalendarDay),1,0)))</f>
        <v>Día 263</v>
      </c>
    </row>
    <row r="11" spans="2:9" ht="56.25" customHeight="1" x14ac:dyDescent="0.2">
      <c r="C11" s="7"/>
      <c r="D11"/>
      <c r="E11" s="7"/>
      <c r="F11"/>
      <c r="G11" s="7"/>
      <c r="H11"/>
      <c r="I11" s="7"/>
    </row>
    <row r="12" spans="2:9" ht="16.5" customHeight="1" x14ac:dyDescent="0.25">
      <c r="C12" s="8">
        <f t="array" aca="1" ref="C12:I12" ca="1">DíasYSemanas+DATE(AñoNatural,9,1)-WEEKDAY(DATE(AñoNatural,9,1),(InicioDeSemana="LU")+1)+22</f>
        <v>44094</v>
      </c>
      <c r="D12" s="9">
        <f ca="1"/>
        <v>44095</v>
      </c>
      <c r="E12" s="8">
        <f ca="1"/>
        <v>44096</v>
      </c>
      <c r="F12" s="9">
        <f ca="1"/>
        <v>44097</v>
      </c>
      <c r="G12" s="8">
        <f ca="1"/>
        <v>44098</v>
      </c>
      <c r="H12" s="9">
        <f ca="1"/>
        <v>44099</v>
      </c>
      <c r="I12" s="8">
        <f ca="1"/>
        <v>44100</v>
      </c>
    </row>
    <row r="13" spans="2:9" ht="15" customHeight="1" x14ac:dyDescent="0.2">
      <c r="C13" s="11" t="str">
        <f ca="1">IF(WEEKDAY(CalendarDay)=ValorDeInicioDeSemana,CONCATENATE("Semana ",WEEKNUM(CalendarDay),"/Día ",CalendarDay-DATE(YEAR(CalendarDay),1,0)),CONCATENATE("Día ",CalendarDay-DATE(YEAR(CalendarDay),1,0)))</f>
        <v>Semana 39/Día 264</v>
      </c>
      <c r="D13" s="12" t="str">
        <f ca="1">IF(WEEKDAY(CalendarDay)=ValorDeInicioDeSemana,CONCATENATE("Semana ",WEEKNUM(CalendarDay),"/Día ",CalendarDay-DATE(YEAR(CalendarDay),1,0)),CONCATENATE("Día ",CalendarDay-DATE(YEAR(CalendarDay),1,0)))</f>
        <v>Día 265</v>
      </c>
      <c r="E13" s="11" t="str">
        <f ca="1">IF(WEEKDAY(CalendarDay)=ValorDeInicioDeSemana,CONCATENATE("Semana ",WEEKNUM(CalendarDay),"/Día ",CalendarDay-DATE(YEAR(CalendarDay),1,0)),CONCATENATE("Día ",CalendarDay-DATE(YEAR(CalendarDay),1,0)))</f>
        <v>Día 266</v>
      </c>
      <c r="F13" s="12" t="str">
        <f ca="1">IF(WEEKDAY(CalendarDay)=ValorDeInicioDeSemana,CONCATENATE("Semana ",WEEKNUM(CalendarDay),"/Día ",CalendarDay-DATE(YEAR(CalendarDay),1,0)),CONCATENATE("Día ",CalendarDay-DATE(YEAR(CalendarDay),1,0)))</f>
        <v>Día 267</v>
      </c>
      <c r="G13" s="11" t="str">
        <f ca="1">IF(WEEKDAY(CalendarDay)=ValorDeInicioDeSemana,CONCATENATE("Semana ",WEEKNUM(CalendarDay),"/Día ",CalendarDay-DATE(YEAR(CalendarDay),1,0)),CONCATENATE("Día ",CalendarDay-DATE(YEAR(CalendarDay),1,0)))</f>
        <v>Día 268</v>
      </c>
      <c r="H13" s="12" t="str">
        <f ca="1">IF(WEEKDAY(CalendarDay)=ValorDeInicioDeSemana,CONCATENATE("Semana ",WEEKNUM(CalendarDay),"/Día ",CalendarDay-DATE(YEAR(CalendarDay),1,0)),CONCATENATE("Día ",CalendarDay-DATE(YEAR(CalendarDay),1,0)))</f>
        <v>Día 269</v>
      </c>
      <c r="I13" s="11" t="str">
        <f ca="1">IF(WEEKDAY(CalendarDay)=ValorDeInicioDeSemana,CONCATENATE("Semana ",WEEKNUM(CalendarDay),"/Día ",CalendarDay-DATE(YEAR(CalendarDay),1,0)),CONCATENATE("Día ",CalendarDay-DATE(YEAR(CalendarDay),1,0)))</f>
        <v>Día 270</v>
      </c>
    </row>
    <row r="14" spans="2:9" ht="56.25" customHeight="1" x14ac:dyDescent="0.2">
      <c r="C14" s="7"/>
      <c r="D14"/>
      <c r="E14" s="7"/>
      <c r="F14"/>
      <c r="G14" s="7"/>
      <c r="H14"/>
      <c r="I14" s="7"/>
    </row>
    <row r="15" spans="2:9" ht="16.5" customHeight="1" x14ac:dyDescent="0.25">
      <c r="C15" s="8">
        <f t="array" aca="1" ref="C15:I15" ca="1">DíasYSemanas+DATE(AñoNatural,9,1)-WEEKDAY(DATE(AñoNatural,9,1),(InicioDeSemana="LU")+1)+29</f>
        <v>44101</v>
      </c>
      <c r="D15" s="9">
        <f ca="1"/>
        <v>44102</v>
      </c>
      <c r="E15" s="8">
        <f ca="1"/>
        <v>44103</v>
      </c>
      <c r="F15" s="9">
        <f ca="1"/>
        <v>44104</v>
      </c>
      <c r="G15" s="8">
        <f ca="1"/>
        <v>44105</v>
      </c>
      <c r="H15" s="9">
        <f ca="1"/>
        <v>44106</v>
      </c>
      <c r="I15" s="8">
        <f ca="1"/>
        <v>44107</v>
      </c>
    </row>
    <row r="16" spans="2:9" ht="15" customHeight="1" x14ac:dyDescent="0.2">
      <c r="C16" s="11" t="str">
        <f ca="1">IF(WEEKDAY(CalendarDay)=ValorDeInicioDeSemana,CONCATENATE("Semana ",WEEKNUM(CalendarDay),"/Día ",CalendarDay-DATE(YEAR(CalendarDay),1,0)),CONCATENATE("Día ",CalendarDay-DATE(YEAR(CalendarDay),1,0)))</f>
        <v>Semana 40/Día 271</v>
      </c>
      <c r="D16" s="12" t="str">
        <f ca="1">IF(WEEKDAY(CalendarDay)=ValorDeInicioDeSemana,CONCATENATE("Semana ",WEEKNUM(CalendarDay),"/Día ",CalendarDay-DATE(YEAR(CalendarDay),1,0)),CONCATENATE("Día ",CalendarDay-DATE(YEAR(CalendarDay),1,0)))</f>
        <v>Día 272</v>
      </c>
      <c r="E16" s="11" t="str">
        <f ca="1">IF(WEEKDAY(CalendarDay)=ValorDeInicioDeSemana,CONCATENATE("Semana ",WEEKNUM(CalendarDay),"/Día ",CalendarDay-DATE(YEAR(CalendarDay),1,0)),CONCATENATE("Día ",CalendarDay-DATE(YEAR(CalendarDay),1,0)))</f>
        <v>Día 273</v>
      </c>
      <c r="F16" s="12" t="str">
        <f ca="1">IF(WEEKDAY(CalendarDay)=ValorDeInicioDeSemana,CONCATENATE("Semana ",WEEKNUM(CalendarDay),"/Día ",CalendarDay-DATE(YEAR(CalendarDay),1,0)),CONCATENATE("Día ",CalendarDay-DATE(YEAR(CalendarDay),1,0)))</f>
        <v>Día 274</v>
      </c>
      <c r="G16" s="11" t="str">
        <f ca="1">IF(WEEKDAY(CalendarDay)=ValorDeInicioDeSemana,CONCATENATE("Semana ",WEEKNUM(CalendarDay),"/Día ",CalendarDay-DATE(YEAR(CalendarDay),1,0)),CONCATENATE("Día ",CalendarDay-DATE(YEAR(CalendarDay),1,0)))</f>
        <v>Día 275</v>
      </c>
      <c r="H16" s="12" t="str">
        <f ca="1">IF(WEEKDAY(CalendarDay)=ValorDeInicioDeSemana,CONCATENATE("Semana ",WEEKNUM(CalendarDay),"/Día ",CalendarDay-DATE(YEAR(CalendarDay),1,0)),CONCATENATE("Día ",CalendarDay-DATE(YEAR(CalendarDay),1,0)))</f>
        <v>Día 276</v>
      </c>
      <c r="I16" s="11" t="str">
        <f ca="1">IF(WEEKDAY(CalendarDay)=ValorDeInicioDeSemana,CONCATENATE("Semana ",WEEKNUM(CalendarDay),"/Día ",CalendarDay-DATE(YEAR(CalendarDay),1,0)),CONCATENATE("Día ",CalendarDay-DATE(YEAR(CalendarDay),1,0)))</f>
        <v>Día 277</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DíasYSemanas+DATE(AñoNatural,9,1)-WEEKDAY(DATE(AñoNatural,9,1),(InicioDeSemana="LU")+1)+36</f>
        <v>44108</v>
      </c>
      <c r="D19" s="9">
        <f ca="1"/>
        <v>44109</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41/Día 278</v>
      </c>
      <c r="D20" s="2" t="str">
        <f ca="1">IF(WEEKDAY(CalendarDay)=ValorDeInicioDeSemana,CONCATENATE("Semana ",WEEKNUM(CalendarDay),"/Día ",CalendarDay-DATE(YEAR(CalendarDay),1,0)),CONCATENATE("Día ",CalendarDay-DATE(YEAR(CalendarDay),1,0)))</f>
        <v>Día 279</v>
      </c>
      <c r="E20" s="13"/>
      <c r="F20" s="13"/>
      <c r="G20" s="13"/>
      <c r="H20" s="13"/>
      <c r="I20" s="13"/>
    </row>
  </sheetData>
  <mergeCells count="2">
    <mergeCell ref="E18:I20"/>
    <mergeCell ref="C17:C18"/>
  </mergeCells>
  <conditionalFormatting sqref="C15:I15 C19:D19">
    <cfRule type="expression" dxfId="15" priority="2">
      <formula>AND(DAY(C15)&gt;=1,DAY(C15)&lt;=15)</formula>
    </cfRule>
  </conditionalFormatting>
  <conditionalFormatting sqref="C3:H3">
    <cfRule type="expression" dxfId="14" priority="1">
      <formula>DAY(C3)&gt;8</formula>
    </cfRule>
  </conditionalFormatting>
  <conditionalFormatting sqref="C4:I4">
    <cfRule type="expression" dxfId="13" priority="3">
      <formula>DAY(C3)&gt;8</formula>
    </cfRule>
  </conditionalFormatting>
  <conditionalFormatting sqref="C16:I16 C20:D20 C17:D17 F17:I17">
    <cfRule type="expression" dxfId="12" priority="4">
      <formula>AND(DAY(C15)&gt;=1,DAY(C15)&lt;=15)</formula>
    </cfRule>
  </conditionalFormatting>
  <dataValidations count="9">
    <dataValidation allowBlank="1" showInputMessage="1" showErrorMessage="1" prompt="Calendario del mes de septiembre" sqref="A1" xr:uid="{00000000-0002-0000-08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800-000001000000}"/>
    <dataValidation allowBlank="1" showInputMessage="1" showErrorMessage="1" prompt="El año de esta celda se actualiza automáticamente según el año especificado en la hoja de cálculo Enero." sqref="B2" xr:uid="{00000000-0002-0000-08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800-000003000000}"/>
    <dataValidation allowBlank="1" showInputMessage="1" showErrorMessage="1" prompt="Escriba las notas diarias basadas en el día del calendario que se encuentra en las celdas bajo esta fila y las filas 5, 8, 11, 14 y 17, de las columnas C a I." sqref="C2" xr:uid="{00000000-0002-0000-08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800-000005000000}"/>
    <dataValidation allowBlank="1" showInputMessage="1" showErrorMessage="1" prompt="El número de días y semanas de esta fila y de las filas 7, 10, 13, 16 y 20 se actualizan automáticamente." sqref="C4" xr:uid="{00000000-0002-0000-0800-000006000000}"/>
    <dataValidation allowBlank="1" showInputMessage="1" showErrorMessage="1" prompt="Escriba las notas en la celda inferior." sqref="E17" xr:uid="{00000000-0002-0000-0800-000007000000}"/>
    <dataValidation allowBlank="1" showInputMessage="1" showErrorMessage="1" prompt="Escriba notas en esta celda." sqref="E18:I20" xr:uid="{00000000-0002-0000-08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2" tint="-0.499984740745262"/>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10</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DíasYSemanas+DATE(AñoNatural,10,1)-WEEKDAY(DATE(AñoNatural,10,1),(InicioDeSemana="LU")+1)+1</f>
        <v>44101</v>
      </c>
      <c r="D3" s="9">
        <f ca="1"/>
        <v>44102</v>
      </c>
      <c r="E3" s="8">
        <f ca="1"/>
        <v>44103</v>
      </c>
      <c r="F3" s="9">
        <f ca="1"/>
        <v>44104</v>
      </c>
      <c r="G3" s="8">
        <f ca="1"/>
        <v>44105</v>
      </c>
      <c r="H3" s="9">
        <f ca="1"/>
        <v>44106</v>
      </c>
      <c r="I3" s="8">
        <f ca="1"/>
        <v>44107</v>
      </c>
    </row>
    <row r="4" spans="2:9" ht="15" customHeight="1" x14ac:dyDescent="0.2">
      <c r="C4" s="11" t="str">
        <f t="shared" ref="C4:I4" ca="1" si="1">IF(DAY(CalendarDay)=1,CONCATENATE("Semana ",WEEKNUM(CalendarDay),"/Día ",CalendarDay-DATE(YEAR(CalendarDay),1,0)),CONCATENATE("Día ",CalendarDay-DATE(YEAR(CalendarDay),1,0)))</f>
        <v>Día 271</v>
      </c>
      <c r="D4" s="12" t="str">
        <f t="shared" ca="1" si="1"/>
        <v>Día 272</v>
      </c>
      <c r="E4" s="11" t="str">
        <f t="shared" ca="1" si="1"/>
        <v>Día 273</v>
      </c>
      <c r="F4" s="12" t="str">
        <f t="shared" ca="1" si="1"/>
        <v>Día 274</v>
      </c>
      <c r="G4" s="11" t="str">
        <f t="shared" ca="1" si="1"/>
        <v>Semana 40/Día 275</v>
      </c>
      <c r="H4" s="12" t="str">
        <f t="shared" ca="1" si="1"/>
        <v>Día 276</v>
      </c>
      <c r="I4" s="11" t="str">
        <f t="shared" ca="1" si="1"/>
        <v>Día 277</v>
      </c>
    </row>
    <row r="5" spans="2:9" ht="56.25" customHeight="1" x14ac:dyDescent="0.2">
      <c r="C5" s="7"/>
      <c r="D5"/>
      <c r="E5" s="7"/>
      <c r="F5"/>
      <c r="G5" s="7"/>
      <c r="H5"/>
      <c r="I5" s="7"/>
    </row>
    <row r="6" spans="2:9" ht="16.5" customHeight="1" x14ac:dyDescent="0.25">
      <c r="C6" s="8">
        <f t="array" aca="1" ref="C6:I6" ca="1">DíasYSemanas+DATE(AñoNatural,10,1)-WEEKDAY(DATE(AñoNatural,10,1),(InicioDeSemana="LU")+1)+8</f>
        <v>44108</v>
      </c>
      <c r="D6" s="9">
        <f ca="1"/>
        <v>44109</v>
      </c>
      <c r="E6" s="8">
        <f ca="1"/>
        <v>44110</v>
      </c>
      <c r="F6" s="9">
        <f ca="1"/>
        <v>44111</v>
      </c>
      <c r="G6" s="8">
        <f ca="1"/>
        <v>44112</v>
      </c>
      <c r="H6" s="9">
        <f ca="1"/>
        <v>44113</v>
      </c>
      <c r="I6" s="8">
        <f ca="1"/>
        <v>44114</v>
      </c>
    </row>
    <row r="7" spans="2:9" ht="15" customHeight="1" x14ac:dyDescent="0.2">
      <c r="C7" s="11" t="str">
        <f ca="1">IF(WEEKDAY(CalendarDay)=ValorDeInicioDeSemana,CONCATENATE("Semana ",WEEKNUM(CalendarDay),"/Día ",CalendarDay-DATE(YEAR(CalendarDay),1,0)),CONCATENATE("Día ",CalendarDay-DATE(YEAR(CalendarDay),1,0)))</f>
        <v>Semana 41/Día 278</v>
      </c>
      <c r="D7" s="12" t="str">
        <f ca="1">IF(WEEKDAY(CalendarDay)=ValorDeInicioDeSemana,CONCATENATE("Semana ",WEEKNUM(CalendarDay),"/Día ",CalendarDay-DATE(YEAR(CalendarDay),1,0)),CONCATENATE("Día ",CalendarDay-DATE(YEAR(CalendarDay),1,0)))</f>
        <v>Día 279</v>
      </c>
      <c r="E7" s="11" t="str">
        <f ca="1">IF(WEEKDAY(CalendarDay)=ValorDeInicioDeSemana,CONCATENATE("Semana ",WEEKNUM(CalendarDay),"/Día ",CalendarDay-DATE(YEAR(CalendarDay),1,0)),CONCATENATE("Día ",CalendarDay-DATE(YEAR(CalendarDay),1,0)))</f>
        <v>Día 280</v>
      </c>
      <c r="F7" s="12" t="str">
        <f ca="1">IF(WEEKDAY(CalendarDay)=ValorDeInicioDeSemana,CONCATENATE("Semana ",WEEKNUM(CalendarDay),"/Día ",CalendarDay-DATE(YEAR(CalendarDay),1,0)),CONCATENATE("Día ",CalendarDay-DATE(YEAR(CalendarDay),1,0)))</f>
        <v>Día 281</v>
      </c>
      <c r="G7" s="11" t="str">
        <f ca="1">IF(WEEKDAY(CalendarDay)=ValorDeInicioDeSemana,CONCATENATE("Semana ",WEEKNUM(CalendarDay),"/Día ",CalendarDay-DATE(YEAR(CalendarDay),1,0)),CONCATENATE("Día ",CalendarDay-DATE(YEAR(CalendarDay),1,0)))</f>
        <v>Día 282</v>
      </c>
      <c r="H7" s="12" t="str">
        <f ca="1">IF(WEEKDAY(CalendarDay)=ValorDeInicioDeSemana,CONCATENATE("Semana ",WEEKNUM(CalendarDay),"/Día ",CalendarDay-DATE(YEAR(CalendarDay),1,0)),CONCATENATE("Día ",CalendarDay-DATE(YEAR(CalendarDay),1,0)))</f>
        <v>Día 283</v>
      </c>
      <c r="I7" s="11" t="str">
        <f ca="1">IF(WEEKDAY(CalendarDay)=ValorDeInicioDeSemana,CONCATENATE("Semana ",WEEKNUM(CalendarDay),"/Día ",CalendarDay-DATE(YEAR(CalendarDay),1,0)),CONCATENATE("Día ",CalendarDay-DATE(YEAR(CalendarDay),1,0)))</f>
        <v>Día 284</v>
      </c>
    </row>
    <row r="8" spans="2:9" ht="56.25" customHeight="1" x14ac:dyDescent="0.2">
      <c r="C8" s="7"/>
      <c r="D8"/>
      <c r="E8" s="7"/>
      <c r="F8"/>
      <c r="G8" s="7"/>
      <c r="H8"/>
      <c r="I8" s="7"/>
    </row>
    <row r="9" spans="2:9" ht="16.5" customHeight="1" x14ac:dyDescent="0.25">
      <c r="C9" s="8">
        <f t="array" aca="1" ref="C9:I9" ca="1">DíasYSemanas+DATE(AñoNatural,10,1)-WEEKDAY(DATE(AñoNatural,10,1),(InicioDeSemana="LU")+1)+15</f>
        <v>44115</v>
      </c>
      <c r="D9" s="9">
        <f ca="1"/>
        <v>44116</v>
      </c>
      <c r="E9" s="8">
        <f ca="1"/>
        <v>44117</v>
      </c>
      <c r="F9" s="9">
        <f ca="1"/>
        <v>44118</v>
      </c>
      <c r="G9" s="8">
        <f ca="1"/>
        <v>44119</v>
      </c>
      <c r="H9" s="9">
        <f ca="1"/>
        <v>44120</v>
      </c>
      <c r="I9" s="8">
        <f ca="1"/>
        <v>44121</v>
      </c>
    </row>
    <row r="10" spans="2:9" ht="15" customHeight="1" x14ac:dyDescent="0.2">
      <c r="C10" s="11" t="str">
        <f ca="1">IF(WEEKDAY(CalendarDay)=ValorDeInicioDeSemana,CONCATENATE("Semana ",WEEKNUM(CalendarDay),"/Día ",CalendarDay-DATE(YEAR(CalendarDay),1,0)),CONCATENATE("Día ",CalendarDay-DATE(YEAR(CalendarDay),1,0)))</f>
        <v>Semana 42/Día 285</v>
      </c>
      <c r="D10" s="12" t="str">
        <f ca="1">IF(WEEKDAY(CalendarDay)=ValorDeInicioDeSemana,CONCATENATE("Semana ",WEEKNUM(CalendarDay),"/Día ",CalendarDay-DATE(YEAR(CalendarDay),1,0)),CONCATENATE("Día ",CalendarDay-DATE(YEAR(CalendarDay),1,0)))</f>
        <v>Día 286</v>
      </c>
      <c r="E10" s="11" t="str">
        <f ca="1">IF(WEEKDAY(CalendarDay)=ValorDeInicioDeSemana,CONCATENATE("Semana ",WEEKNUM(CalendarDay),"/Día ",CalendarDay-DATE(YEAR(CalendarDay),1,0)),CONCATENATE("Día ",CalendarDay-DATE(YEAR(CalendarDay),1,0)))</f>
        <v>Día 287</v>
      </c>
      <c r="F10" s="12" t="str">
        <f ca="1">IF(WEEKDAY(CalendarDay)=ValorDeInicioDeSemana,CONCATENATE("Semana ",WEEKNUM(CalendarDay),"/Día ",CalendarDay-DATE(YEAR(CalendarDay),1,0)),CONCATENATE("Día ",CalendarDay-DATE(YEAR(CalendarDay),1,0)))</f>
        <v>Día 288</v>
      </c>
      <c r="G10" s="11" t="str">
        <f ca="1">IF(WEEKDAY(CalendarDay)=ValorDeInicioDeSemana,CONCATENATE("Semana ",WEEKNUM(CalendarDay),"/Día ",CalendarDay-DATE(YEAR(CalendarDay),1,0)),CONCATENATE("Día ",CalendarDay-DATE(YEAR(CalendarDay),1,0)))</f>
        <v>Día 289</v>
      </c>
      <c r="H10" s="12" t="str">
        <f ca="1">IF(WEEKDAY(CalendarDay)=ValorDeInicioDeSemana,CONCATENATE("Semana ",WEEKNUM(CalendarDay),"/Día ",CalendarDay-DATE(YEAR(CalendarDay),1,0)),CONCATENATE("Día ",CalendarDay-DATE(YEAR(CalendarDay),1,0)))</f>
        <v>Día 290</v>
      </c>
      <c r="I10" s="11" t="str">
        <f ca="1">IF(WEEKDAY(CalendarDay)=ValorDeInicioDeSemana,CONCATENATE("Semana ",WEEKNUM(CalendarDay),"/Día ",CalendarDay-DATE(YEAR(CalendarDay),1,0)),CONCATENATE("Día ",CalendarDay-DATE(YEAR(CalendarDay),1,0)))</f>
        <v>Día 291</v>
      </c>
    </row>
    <row r="11" spans="2:9" ht="56.25" customHeight="1" x14ac:dyDescent="0.2">
      <c r="C11" s="7"/>
      <c r="D11"/>
      <c r="E11" s="7"/>
      <c r="F11"/>
      <c r="G11" s="7"/>
      <c r="H11"/>
      <c r="I11" s="7"/>
    </row>
    <row r="12" spans="2:9" ht="16.5" customHeight="1" x14ac:dyDescent="0.25">
      <c r="C12" s="8">
        <f t="array" aca="1" ref="C12:I12" ca="1">DíasYSemanas+DATE(AñoNatural,10,1)-WEEKDAY(DATE(AñoNatural,10,1),(InicioDeSemana="LU")+1)+22</f>
        <v>44122</v>
      </c>
      <c r="D12" s="9">
        <f ca="1"/>
        <v>44123</v>
      </c>
      <c r="E12" s="8">
        <f ca="1"/>
        <v>44124</v>
      </c>
      <c r="F12" s="9">
        <f ca="1"/>
        <v>44125</v>
      </c>
      <c r="G12" s="8">
        <f ca="1"/>
        <v>44126</v>
      </c>
      <c r="H12" s="9">
        <f ca="1"/>
        <v>44127</v>
      </c>
      <c r="I12" s="8">
        <f ca="1"/>
        <v>44128</v>
      </c>
    </row>
    <row r="13" spans="2:9" ht="15" customHeight="1" x14ac:dyDescent="0.2">
      <c r="C13" s="11" t="str">
        <f ca="1">IF(WEEKDAY(CalendarDay)=ValorDeInicioDeSemana,CONCATENATE("Semana ",WEEKNUM(CalendarDay),"/Día ",CalendarDay-DATE(YEAR(CalendarDay),1,0)),CONCATENATE("Día ",CalendarDay-DATE(YEAR(CalendarDay),1,0)))</f>
        <v>Semana 43/Día 292</v>
      </c>
      <c r="D13" s="12" t="str">
        <f ca="1">IF(WEEKDAY(CalendarDay)=ValorDeInicioDeSemana,CONCATENATE("Semana ",WEEKNUM(CalendarDay),"/Día ",CalendarDay-DATE(YEAR(CalendarDay),1,0)),CONCATENATE("Día ",CalendarDay-DATE(YEAR(CalendarDay),1,0)))</f>
        <v>Día 293</v>
      </c>
      <c r="E13" s="11" t="str">
        <f ca="1">IF(WEEKDAY(CalendarDay)=ValorDeInicioDeSemana,CONCATENATE("Semana ",WEEKNUM(CalendarDay),"/Día ",CalendarDay-DATE(YEAR(CalendarDay),1,0)),CONCATENATE("Día ",CalendarDay-DATE(YEAR(CalendarDay),1,0)))</f>
        <v>Día 294</v>
      </c>
      <c r="F13" s="12" t="str">
        <f ca="1">IF(WEEKDAY(CalendarDay)=ValorDeInicioDeSemana,CONCATENATE("Semana ",WEEKNUM(CalendarDay),"/Día ",CalendarDay-DATE(YEAR(CalendarDay),1,0)),CONCATENATE("Día ",CalendarDay-DATE(YEAR(CalendarDay),1,0)))</f>
        <v>Día 295</v>
      </c>
      <c r="G13" s="11" t="str">
        <f ca="1">IF(WEEKDAY(CalendarDay)=ValorDeInicioDeSemana,CONCATENATE("Semana ",WEEKNUM(CalendarDay),"/Día ",CalendarDay-DATE(YEAR(CalendarDay),1,0)),CONCATENATE("Día ",CalendarDay-DATE(YEAR(CalendarDay),1,0)))</f>
        <v>Día 296</v>
      </c>
      <c r="H13" s="12" t="str">
        <f ca="1">IF(WEEKDAY(CalendarDay)=ValorDeInicioDeSemana,CONCATENATE("Semana ",WEEKNUM(CalendarDay),"/Día ",CalendarDay-DATE(YEAR(CalendarDay),1,0)),CONCATENATE("Día ",CalendarDay-DATE(YEAR(CalendarDay),1,0)))</f>
        <v>Día 297</v>
      </c>
      <c r="I13" s="11" t="str">
        <f ca="1">IF(WEEKDAY(CalendarDay)=ValorDeInicioDeSemana,CONCATENATE("Semana ",WEEKNUM(CalendarDay),"/Día ",CalendarDay-DATE(YEAR(CalendarDay),1,0)),CONCATENATE("Día ",CalendarDay-DATE(YEAR(CalendarDay),1,0)))</f>
        <v>Día 298</v>
      </c>
    </row>
    <row r="14" spans="2:9" ht="56.25" customHeight="1" x14ac:dyDescent="0.2">
      <c r="C14" s="7"/>
      <c r="D14"/>
      <c r="E14" s="7"/>
      <c r="F14"/>
      <c r="G14" s="7"/>
      <c r="H14"/>
      <c r="I14" s="7"/>
    </row>
    <row r="15" spans="2:9" ht="16.5" customHeight="1" x14ac:dyDescent="0.25">
      <c r="C15" s="8">
        <f t="array" aca="1" ref="C15:I15" ca="1">DíasYSemanas+DATE(AñoNatural,10,1)-WEEKDAY(DATE(AñoNatural,10,1),(InicioDeSemana="LU")+1)+29</f>
        <v>44129</v>
      </c>
      <c r="D15" s="9">
        <f ca="1"/>
        <v>44130</v>
      </c>
      <c r="E15" s="8">
        <f ca="1"/>
        <v>44131</v>
      </c>
      <c r="F15" s="9">
        <f ca="1"/>
        <v>44132</v>
      </c>
      <c r="G15" s="8">
        <f ca="1"/>
        <v>44133</v>
      </c>
      <c r="H15" s="9">
        <f ca="1"/>
        <v>44134</v>
      </c>
      <c r="I15" s="8">
        <f ca="1"/>
        <v>44135</v>
      </c>
    </row>
    <row r="16" spans="2:9" ht="15" customHeight="1" x14ac:dyDescent="0.2">
      <c r="C16" s="11" t="str">
        <f ca="1">IF(WEEKDAY(CalendarDay)=ValorDeInicioDeSemana,CONCATENATE("Semana ",WEEKNUM(CalendarDay),"/Día ",CalendarDay-DATE(YEAR(CalendarDay),1,0)),CONCATENATE("Día ",CalendarDay-DATE(YEAR(CalendarDay),1,0)))</f>
        <v>Semana 44/Día 299</v>
      </c>
      <c r="D16" s="12" t="str">
        <f ca="1">IF(WEEKDAY(CalendarDay)=ValorDeInicioDeSemana,CONCATENATE("Semana ",WEEKNUM(CalendarDay),"/Día ",CalendarDay-DATE(YEAR(CalendarDay),1,0)),CONCATENATE("Día ",CalendarDay-DATE(YEAR(CalendarDay),1,0)))</f>
        <v>Día 300</v>
      </c>
      <c r="E16" s="11" t="str">
        <f ca="1">IF(WEEKDAY(CalendarDay)=ValorDeInicioDeSemana,CONCATENATE("Semana ",WEEKNUM(CalendarDay),"/Día ",CalendarDay-DATE(YEAR(CalendarDay),1,0)),CONCATENATE("Día ",CalendarDay-DATE(YEAR(CalendarDay),1,0)))</f>
        <v>Día 301</v>
      </c>
      <c r="F16" s="12" t="str">
        <f ca="1">IF(WEEKDAY(CalendarDay)=ValorDeInicioDeSemana,CONCATENATE("Semana ",WEEKNUM(CalendarDay),"/Día ",CalendarDay-DATE(YEAR(CalendarDay),1,0)),CONCATENATE("Día ",CalendarDay-DATE(YEAR(CalendarDay),1,0)))</f>
        <v>Día 302</v>
      </c>
      <c r="G16" s="11" t="str">
        <f ca="1">IF(WEEKDAY(CalendarDay)=ValorDeInicioDeSemana,CONCATENATE("Semana ",WEEKNUM(CalendarDay),"/Día ",CalendarDay-DATE(YEAR(CalendarDay),1,0)),CONCATENATE("Día ",CalendarDay-DATE(YEAR(CalendarDay),1,0)))</f>
        <v>Día 303</v>
      </c>
      <c r="H16" s="12" t="str">
        <f ca="1">IF(WEEKDAY(CalendarDay)=ValorDeInicioDeSemana,CONCATENATE("Semana ",WEEKNUM(CalendarDay),"/Día ",CalendarDay-DATE(YEAR(CalendarDay),1,0)),CONCATENATE("Día ",CalendarDay-DATE(YEAR(CalendarDay),1,0)))</f>
        <v>Día 304</v>
      </c>
      <c r="I16" s="11" t="str">
        <f ca="1">IF(WEEKDAY(CalendarDay)=ValorDeInicioDeSemana,CONCATENATE("Semana ",WEEKNUM(CalendarDay),"/Día ",CalendarDay-DATE(YEAR(CalendarDay),1,0)),CONCATENATE("Día ",CalendarDay-DATE(YEAR(CalendarDay),1,0)))</f>
        <v>Día 305</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DíasYSemanas+DATE(AñoNatural,10,1)-WEEKDAY(DATE(AñoNatural,10,1),(InicioDeSemana="LU")+1)+36</f>
        <v>44136</v>
      </c>
      <c r="D19" s="9">
        <f ca="1"/>
        <v>44137</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45/Día 306</v>
      </c>
      <c r="D20" s="2" t="str">
        <f ca="1">IF(WEEKDAY(CalendarDay)=ValorDeInicioDeSemana,CONCATENATE("Semana ",WEEKNUM(CalendarDay),"/Día ",CalendarDay-DATE(YEAR(CalendarDay),1,0)),CONCATENATE("Día ",CalendarDay-DATE(YEAR(CalendarDay),1,0)))</f>
        <v>Día 307</v>
      </c>
      <c r="E20" s="13"/>
      <c r="F20" s="13"/>
      <c r="G20" s="13"/>
      <c r="H20" s="13"/>
      <c r="I20" s="13"/>
    </row>
  </sheetData>
  <mergeCells count="2">
    <mergeCell ref="E18:I20"/>
    <mergeCell ref="C17:C18"/>
  </mergeCells>
  <conditionalFormatting sqref="C15:I15 C19:D19">
    <cfRule type="expression" dxfId="11" priority="2">
      <formula>AND(DAY(C15)&gt;=1,DAY(C15)&lt;=15)</formula>
    </cfRule>
  </conditionalFormatting>
  <conditionalFormatting sqref="C3:H3">
    <cfRule type="expression" dxfId="10" priority="1">
      <formula>DAY(C3)&gt;8</formula>
    </cfRule>
  </conditionalFormatting>
  <conditionalFormatting sqref="C4:I4">
    <cfRule type="expression" dxfId="9" priority="3">
      <formula>DAY(C3)&gt;8</formula>
    </cfRule>
  </conditionalFormatting>
  <conditionalFormatting sqref="C16:I16 C20:D20 C17:D17 F17:I17">
    <cfRule type="expression" dxfId="8" priority="4">
      <formula>AND(DAY(C15)&gt;=1,DAY(C15)&lt;=15)</formula>
    </cfRule>
  </conditionalFormatting>
  <dataValidations count="9">
    <dataValidation allowBlank="1" showInputMessage="1" showErrorMessage="1" prompt="Calendario del mes de octubre" sqref="A1" xr:uid="{00000000-0002-0000-09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900-000001000000}"/>
    <dataValidation allowBlank="1" showInputMessage="1" showErrorMessage="1" prompt="El año de esta celda se actualiza automáticamente según el año especificado en la hoja de cálculo Enero." sqref="B2" xr:uid="{00000000-0002-0000-09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900-000003000000}"/>
    <dataValidation allowBlank="1" showInputMessage="1" showErrorMessage="1" prompt="Escriba las notas diarias basadas en el día del calendario que se encuentra en las celdas bajo esta fila y las filas 5, 8, 11, 14 y 17, de las columnas C a I." sqref="C2" xr:uid="{00000000-0002-0000-09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900-000005000000}"/>
    <dataValidation allowBlank="1" showInputMessage="1" showErrorMessage="1" prompt="El número de días y semanas de esta fila y de las filas 7, 10, 13, 16 y 20 se actualizan automáticamente." sqref="C4" xr:uid="{00000000-0002-0000-0900-000006000000}"/>
    <dataValidation allowBlank="1" showInputMessage="1" showErrorMessage="1" prompt="Escriba las notas en la celda inferior." sqref="E17" xr:uid="{00000000-0002-0000-0900-000007000000}"/>
    <dataValidation allowBlank="1" showInputMessage="1" showErrorMessage="1" prompt="Escriba notas en esta celda." sqref="E18:I20" xr:uid="{00000000-0002-0000-09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2" tint="-0.749992370372631"/>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11</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DíasYSemanas+DATE(AñoNatural,11,1)-WEEKDAY(DATE(AñoNatural,11,1),(InicioDeSemana="LU")+1)+1</f>
        <v>44136</v>
      </c>
      <c r="D3" s="9">
        <f ca="1"/>
        <v>44137</v>
      </c>
      <c r="E3" s="8">
        <f ca="1"/>
        <v>44138</v>
      </c>
      <c r="F3" s="9">
        <f ca="1"/>
        <v>44139</v>
      </c>
      <c r="G3" s="8">
        <f ca="1"/>
        <v>44140</v>
      </c>
      <c r="H3" s="9">
        <f ca="1"/>
        <v>44141</v>
      </c>
      <c r="I3" s="8">
        <f ca="1"/>
        <v>44142</v>
      </c>
    </row>
    <row r="4" spans="2:9" ht="15" customHeight="1" x14ac:dyDescent="0.2">
      <c r="C4" s="11" t="str">
        <f t="shared" ref="C4:I4" ca="1" si="1">IF(DAY(CalendarDay)=1,CONCATENATE("Semana ",WEEKNUM(CalendarDay),"/Día ",CalendarDay-DATE(YEAR(CalendarDay),1,0)),CONCATENATE("Día ",CalendarDay-DATE(YEAR(CalendarDay),1,0)))</f>
        <v>Semana 45/Día 306</v>
      </c>
      <c r="D4" s="12" t="str">
        <f t="shared" ca="1" si="1"/>
        <v>Día 307</v>
      </c>
      <c r="E4" s="11" t="str">
        <f t="shared" ca="1" si="1"/>
        <v>Día 308</v>
      </c>
      <c r="F4" s="12" t="str">
        <f t="shared" ca="1" si="1"/>
        <v>Día 309</v>
      </c>
      <c r="G4" s="11" t="str">
        <f t="shared" ca="1" si="1"/>
        <v>Día 310</v>
      </c>
      <c r="H4" s="12" t="str">
        <f t="shared" ca="1" si="1"/>
        <v>Día 311</v>
      </c>
      <c r="I4" s="11" t="str">
        <f t="shared" ca="1" si="1"/>
        <v>Día 312</v>
      </c>
    </row>
    <row r="5" spans="2:9" ht="56.25" customHeight="1" x14ac:dyDescent="0.2">
      <c r="C5" s="7"/>
      <c r="D5"/>
      <c r="E5" s="7"/>
      <c r="F5"/>
      <c r="G5" s="7"/>
      <c r="H5"/>
      <c r="I5" s="7"/>
    </row>
    <row r="6" spans="2:9" ht="16.5" customHeight="1" x14ac:dyDescent="0.25">
      <c r="C6" s="8">
        <f t="array" aca="1" ref="C6:I6" ca="1">DíasYSemanas+DATE(AñoNatural,11,1)-WEEKDAY(DATE(AñoNatural,11,1),(InicioDeSemana="LU")+1)+8</f>
        <v>44143</v>
      </c>
      <c r="D6" s="9">
        <f ca="1"/>
        <v>44144</v>
      </c>
      <c r="E6" s="8">
        <f ca="1"/>
        <v>44145</v>
      </c>
      <c r="F6" s="9">
        <f ca="1"/>
        <v>44146</v>
      </c>
      <c r="G6" s="8">
        <f ca="1"/>
        <v>44147</v>
      </c>
      <c r="H6" s="9">
        <f ca="1"/>
        <v>44148</v>
      </c>
      <c r="I6" s="8">
        <f ca="1"/>
        <v>44149</v>
      </c>
    </row>
    <row r="7" spans="2:9" ht="15" customHeight="1" x14ac:dyDescent="0.2">
      <c r="C7" s="11" t="str">
        <f ca="1">IF(WEEKDAY(CalendarDay)=ValorDeInicioDeSemana,CONCATENATE("Semana ",WEEKNUM(CalendarDay),"/Día ",CalendarDay-DATE(YEAR(CalendarDay),1,0)),CONCATENATE("Día ",CalendarDay-DATE(YEAR(CalendarDay),1,0)))</f>
        <v>Semana 46/Día 313</v>
      </c>
      <c r="D7" s="12" t="str">
        <f ca="1">IF(WEEKDAY(CalendarDay)=ValorDeInicioDeSemana,CONCATENATE("Semana ",WEEKNUM(CalendarDay),"/Día ",CalendarDay-DATE(YEAR(CalendarDay),1,0)),CONCATENATE("Día ",CalendarDay-DATE(YEAR(CalendarDay),1,0)))</f>
        <v>Día 314</v>
      </c>
      <c r="E7" s="11" t="str">
        <f ca="1">IF(WEEKDAY(CalendarDay)=ValorDeInicioDeSemana,CONCATENATE("Semana ",WEEKNUM(CalendarDay),"/Día ",CalendarDay-DATE(YEAR(CalendarDay),1,0)),CONCATENATE("Día ",CalendarDay-DATE(YEAR(CalendarDay),1,0)))</f>
        <v>Día 315</v>
      </c>
      <c r="F7" s="12" t="str">
        <f ca="1">IF(WEEKDAY(CalendarDay)=ValorDeInicioDeSemana,CONCATENATE("Semana ",WEEKNUM(CalendarDay),"/Día ",CalendarDay-DATE(YEAR(CalendarDay),1,0)),CONCATENATE("Día ",CalendarDay-DATE(YEAR(CalendarDay),1,0)))</f>
        <v>Día 316</v>
      </c>
      <c r="G7" s="11" t="str">
        <f ca="1">IF(WEEKDAY(CalendarDay)=ValorDeInicioDeSemana,CONCATENATE("Semana ",WEEKNUM(CalendarDay),"/Día ",CalendarDay-DATE(YEAR(CalendarDay),1,0)),CONCATENATE("Día ",CalendarDay-DATE(YEAR(CalendarDay),1,0)))</f>
        <v>Día 317</v>
      </c>
      <c r="H7" s="12" t="str">
        <f ca="1">IF(WEEKDAY(CalendarDay)=ValorDeInicioDeSemana,CONCATENATE("Semana ",WEEKNUM(CalendarDay),"/Día ",CalendarDay-DATE(YEAR(CalendarDay),1,0)),CONCATENATE("Día ",CalendarDay-DATE(YEAR(CalendarDay),1,0)))</f>
        <v>Día 318</v>
      </c>
      <c r="I7" s="11" t="str">
        <f ca="1">IF(WEEKDAY(CalendarDay)=ValorDeInicioDeSemana,CONCATENATE("Semana ",WEEKNUM(CalendarDay),"/Día ",CalendarDay-DATE(YEAR(CalendarDay),1,0)),CONCATENATE("Día ",CalendarDay-DATE(YEAR(CalendarDay),1,0)))</f>
        <v>Día 319</v>
      </c>
    </row>
    <row r="8" spans="2:9" ht="56.25" customHeight="1" x14ac:dyDescent="0.2">
      <c r="C8" s="7"/>
      <c r="D8"/>
      <c r="E8" s="7"/>
      <c r="F8"/>
      <c r="G8" s="7"/>
      <c r="H8"/>
      <c r="I8" s="7"/>
    </row>
    <row r="9" spans="2:9" ht="16.5" customHeight="1" x14ac:dyDescent="0.25">
      <c r="C9" s="8">
        <f t="array" aca="1" ref="C9:I9" ca="1">DíasYSemanas+DATE(AñoNatural,11,1)-WEEKDAY(DATE(AñoNatural,11,1),(InicioDeSemana="LU")+1)+15</f>
        <v>44150</v>
      </c>
      <c r="D9" s="9">
        <f ca="1"/>
        <v>44151</v>
      </c>
      <c r="E9" s="8">
        <f ca="1"/>
        <v>44152</v>
      </c>
      <c r="F9" s="9">
        <f ca="1"/>
        <v>44153</v>
      </c>
      <c r="G9" s="8">
        <f ca="1"/>
        <v>44154</v>
      </c>
      <c r="H9" s="9">
        <f ca="1"/>
        <v>44155</v>
      </c>
      <c r="I9" s="8">
        <f ca="1"/>
        <v>44156</v>
      </c>
    </row>
    <row r="10" spans="2:9" ht="15" customHeight="1" x14ac:dyDescent="0.2">
      <c r="C10" s="11" t="str">
        <f ca="1">IF(WEEKDAY(CalendarDay)=ValorDeInicioDeSemana,CONCATENATE("Semana ",WEEKNUM(CalendarDay),"/Día ",CalendarDay-DATE(YEAR(CalendarDay),1,0)),CONCATENATE("Día ",CalendarDay-DATE(YEAR(CalendarDay),1,0)))</f>
        <v>Semana 47/Día 320</v>
      </c>
      <c r="D10" s="12" t="str">
        <f ca="1">IF(WEEKDAY(CalendarDay)=ValorDeInicioDeSemana,CONCATENATE("Semana ",WEEKNUM(CalendarDay),"/Día ",CalendarDay-DATE(YEAR(CalendarDay),1,0)),CONCATENATE("Día ",CalendarDay-DATE(YEAR(CalendarDay),1,0)))</f>
        <v>Día 321</v>
      </c>
      <c r="E10" s="11" t="str">
        <f ca="1">IF(WEEKDAY(CalendarDay)=ValorDeInicioDeSemana,CONCATENATE("Semana ",WEEKNUM(CalendarDay),"/Día ",CalendarDay-DATE(YEAR(CalendarDay),1,0)),CONCATENATE("Día ",CalendarDay-DATE(YEAR(CalendarDay),1,0)))</f>
        <v>Día 322</v>
      </c>
      <c r="F10" s="12" t="str">
        <f ca="1">IF(WEEKDAY(CalendarDay)=ValorDeInicioDeSemana,CONCATENATE("Semana ",WEEKNUM(CalendarDay),"/Día ",CalendarDay-DATE(YEAR(CalendarDay),1,0)),CONCATENATE("Día ",CalendarDay-DATE(YEAR(CalendarDay),1,0)))</f>
        <v>Día 323</v>
      </c>
      <c r="G10" s="11" t="str">
        <f ca="1">IF(WEEKDAY(CalendarDay)=ValorDeInicioDeSemana,CONCATENATE("Semana ",WEEKNUM(CalendarDay),"/Día ",CalendarDay-DATE(YEAR(CalendarDay),1,0)),CONCATENATE("Día ",CalendarDay-DATE(YEAR(CalendarDay),1,0)))</f>
        <v>Día 324</v>
      </c>
      <c r="H10" s="12" t="str">
        <f ca="1">IF(WEEKDAY(CalendarDay)=ValorDeInicioDeSemana,CONCATENATE("Semana ",WEEKNUM(CalendarDay),"/Día ",CalendarDay-DATE(YEAR(CalendarDay),1,0)),CONCATENATE("Día ",CalendarDay-DATE(YEAR(CalendarDay),1,0)))</f>
        <v>Día 325</v>
      </c>
      <c r="I10" s="11" t="str">
        <f ca="1">IF(WEEKDAY(CalendarDay)=ValorDeInicioDeSemana,CONCATENATE("Semana ",WEEKNUM(CalendarDay),"/Día ",CalendarDay-DATE(YEAR(CalendarDay),1,0)),CONCATENATE("Día ",CalendarDay-DATE(YEAR(CalendarDay),1,0)))</f>
        <v>Día 326</v>
      </c>
    </row>
    <row r="11" spans="2:9" ht="56.25" customHeight="1" x14ac:dyDescent="0.2">
      <c r="C11" s="7"/>
      <c r="D11"/>
      <c r="E11" s="7"/>
      <c r="F11"/>
      <c r="G11" s="7"/>
      <c r="H11"/>
      <c r="I11" s="7"/>
    </row>
    <row r="12" spans="2:9" ht="16.5" customHeight="1" x14ac:dyDescent="0.25">
      <c r="C12" s="8">
        <f t="array" aca="1" ref="C12:I12" ca="1">DíasYSemanas+DATE(AñoNatural,11,1)-WEEKDAY(DATE(AñoNatural,11,1),(InicioDeSemana="LU")+1)+22</f>
        <v>44157</v>
      </c>
      <c r="D12" s="9">
        <f ca="1"/>
        <v>44158</v>
      </c>
      <c r="E12" s="8">
        <f ca="1"/>
        <v>44159</v>
      </c>
      <c r="F12" s="9">
        <f ca="1"/>
        <v>44160</v>
      </c>
      <c r="G12" s="8">
        <f ca="1"/>
        <v>44161</v>
      </c>
      <c r="H12" s="9">
        <f ca="1"/>
        <v>44162</v>
      </c>
      <c r="I12" s="8">
        <f ca="1"/>
        <v>44163</v>
      </c>
    </row>
    <row r="13" spans="2:9" ht="15" customHeight="1" x14ac:dyDescent="0.2">
      <c r="C13" s="11" t="str">
        <f ca="1">IF(WEEKDAY(CalendarDay)=ValorDeInicioDeSemana,CONCATENATE("Semana ",WEEKNUM(CalendarDay),"/Día ",CalendarDay-DATE(YEAR(CalendarDay),1,0)),CONCATENATE("Día ",CalendarDay-DATE(YEAR(CalendarDay),1,0)))</f>
        <v>Semana 48/Día 327</v>
      </c>
      <c r="D13" s="12" t="str">
        <f ca="1">IF(WEEKDAY(CalendarDay)=ValorDeInicioDeSemana,CONCATENATE("Semana ",WEEKNUM(CalendarDay),"/Día ",CalendarDay-DATE(YEAR(CalendarDay),1,0)),CONCATENATE("Día ",CalendarDay-DATE(YEAR(CalendarDay),1,0)))</f>
        <v>Día 328</v>
      </c>
      <c r="E13" s="11" t="str">
        <f ca="1">IF(WEEKDAY(CalendarDay)=ValorDeInicioDeSemana,CONCATENATE("Semana ",WEEKNUM(CalendarDay),"/Día ",CalendarDay-DATE(YEAR(CalendarDay),1,0)),CONCATENATE("Día ",CalendarDay-DATE(YEAR(CalendarDay),1,0)))</f>
        <v>Día 329</v>
      </c>
      <c r="F13" s="12" t="str">
        <f ca="1">IF(WEEKDAY(CalendarDay)=ValorDeInicioDeSemana,CONCATENATE("Semana ",WEEKNUM(CalendarDay),"/Día ",CalendarDay-DATE(YEAR(CalendarDay),1,0)),CONCATENATE("Día ",CalendarDay-DATE(YEAR(CalendarDay),1,0)))</f>
        <v>Día 330</v>
      </c>
      <c r="G13" s="11" t="str">
        <f ca="1">IF(WEEKDAY(CalendarDay)=ValorDeInicioDeSemana,CONCATENATE("Semana ",WEEKNUM(CalendarDay),"/Día ",CalendarDay-DATE(YEAR(CalendarDay),1,0)),CONCATENATE("Día ",CalendarDay-DATE(YEAR(CalendarDay),1,0)))</f>
        <v>Día 331</v>
      </c>
      <c r="H13" s="12" t="str">
        <f ca="1">IF(WEEKDAY(CalendarDay)=ValorDeInicioDeSemana,CONCATENATE("Semana ",WEEKNUM(CalendarDay),"/Día ",CalendarDay-DATE(YEAR(CalendarDay),1,0)),CONCATENATE("Día ",CalendarDay-DATE(YEAR(CalendarDay),1,0)))</f>
        <v>Día 332</v>
      </c>
      <c r="I13" s="11" t="str">
        <f ca="1">IF(WEEKDAY(CalendarDay)=ValorDeInicioDeSemana,CONCATENATE("Semana ",WEEKNUM(CalendarDay),"/Día ",CalendarDay-DATE(YEAR(CalendarDay),1,0)),CONCATENATE("Día ",CalendarDay-DATE(YEAR(CalendarDay),1,0)))</f>
        <v>Día 333</v>
      </c>
    </row>
    <row r="14" spans="2:9" ht="56.25" customHeight="1" x14ac:dyDescent="0.2">
      <c r="C14" s="7"/>
      <c r="D14"/>
      <c r="E14" s="7"/>
      <c r="F14"/>
      <c r="G14" s="7"/>
      <c r="H14"/>
      <c r="I14" s="7"/>
    </row>
    <row r="15" spans="2:9" ht="16.5" customHeight="1" x14ac:dyDescent="0.25">
      <c r="C15" s="8">
        <f t="array" aca="1" ref="C15:I15" ca="1">DíasYSemanas+DATE(AñoNatural,11,1)-WEEKDAY(DATE(AñoNatural,11,1),(InicioDeSemana="LU")+1)+29</f>
        <v>44164</v>
      </c>
      <c r="D15" s="9">
        <f ca="1"/>
        <v>44165</v>
      </c>
      <c r="E15" s="8">
        <f ca="1"/>
        <v>44166</v>
      </c>
      <c r="F15" s="9">
        <f ca="1"/>
        <v>44167</v>
      </c>
      <c r="G15" s="8">
        <f ca="1"/>
        <v>44168</v>
      </c>
      <c r="H15" s="9">
        <f ca="1"/>
        <v>44169</v>
      </c>
      <c r="I15" s="8">
        <f ca="1"/>
        <v>44170</v>
      </c>
    </row>
    <row r="16" spans="2:9" ht="15" customHeight="1" x14ac:dyDescent="0.2">
      <c r="C16" s="11" t="str">
        <f ca="1">IF(WEEKDAY(CalendarDay)=ValorDeInicioDeSemana,CONCATENATE("Semana ",WEEKNUM(CalendarDay),"/Día ",CalendarDay-DATE(YEAR(CalendarDay),1,0)),CONCATENATE("Día ",CalendarDay-DATE(YEAR(CalendarDay),1,0)))</f>
        <v>Semana 49/Día 334</v>
      </c>
      <c r="D16" s="12" t="str">
        <f ca="1">IF(WEEKDAY(CalendarDay)=ValorDeInicioDeSemana,CONCATENATE("Semana ",WEEKNUM(CalendarDay),"/Día ",CalendarDay-DATE(YEAR(CalendarDay),1,0)),CONCATENATE("Día ",CalendarDay-DATE(YEAR(CalendarDay),1,0)))</f>
        <v>Día 335</v>
      </c>
      <c r="E16" s="11" t="str">
        <f ca="1">IF(WEEKDAY(CalendarDay)=ValorDeInicioDeSemana,CONCATENATE("Semana ",WEEKNUM(CalendarDay),"/Día ",CalendarDay-DATE(YEAR(CalendarDay),1,0)),CONCATENATE("Día ",CalendarDay-DATE(YEAR(CalendarDay),1,0)))</f>
        <v>Día 336</v>
      </c>
      <c r="F16" s="12" t="str">
        <f ca="1">IF(WEEKDAY(CalendarDay)=ValorDeInicioDeSemana,CONCATENATE("Semana ",WEEKNUM(CalendarDay),"/Día ",CalendarDay-DATE(YEAR(CalendarDay),1,0)),CONCATENATE("Día ",CalendarDay-DATE(YEAR(CalendarDay),1,0)))</f>
        <v>Día 337</v>
      </c>
      <c r="G16" s="11" t="str">
        <f ca="1">IF(WEEKDAY(CalendarDay)=ValorDeInicioDeSemana,CONCATENATE("Semana ",WEEKNUM(CalendarDay),"/Día ",CalendarDay-DATE(YEAR(CalendarDay),1,0)),CONCATENATE("Día ",CalendarDay-DATE(YEAR(CalendarDay),1,0)))</f>
        <v>Día 338</v>
      </c>
      <c r="H16" s="12" t="str">
        <f ca="1">IF(WEEKDAY(CalendarDay)=ValorDeInicioDeSemana,CONCATENATE("Semana ",WEEKNUM(CalendarDay),"/Día ",CalendarDay-DATE(YEAR(CalendarDay),1,0)),CONCATENATE("Día ",CalendarDay-DATE(YEAR(CalendarDay),1,0)))</f>
        <v>Día 339</v>
      </c>
      <c r="I16" s="11" t="str">
        <f ca="1">IF(WEEKDAY(CalendarDay)=ValorDeInicioDeSemana,CONCATENATE("Semana ",WEEKNUM(CalendarDay),"/Día ",CalendarDay-DATE(YEAR(CalendarDay),1,0)),CONCATENATE("Día ",CalendarDay-DATE(YEAR(CalendarDay),1,0)))</f>
        <v>Día 340</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DíasYSemanas+DATE(AñoNatural,11,1)-WEEKDAY(DATE(AñoNatural,11,1),(InicioDeSemana="LU")+1)+36</f>
        <v>44171</v>
      </c>
      <c r="D19" s="9">
        <f ca="1"/>
        <v>44172</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50/Día 341</v>
      </c>
      <c r="D20" s="2" t="str">
        <f ca="1">IF(WEEKDAY(CalendarDay)=ValorDeInicioDeSemana,CONCATENATE("Semana ",WEEKNUM(CalendarDay),"/Día ",CalendarDay-DATE(YEAR(CalendarDay),1,0)),CONCATENATE("Día ",CalendarDay-DATE(YEAR(CalendarDay),1,0)))</f>
        <v>Día 342</v>
      </c>
      <c r="E20" s="13"/>
      <c r="F20" s="13"/>
      <c r="G20" s="13"/>
      <c r="H20" s="13"/>
      <c r="I20" s="13"/>
    </row>
  </sheetData>
  <mergeCells count="2">
    <mergeCell ref="E18:I20"/>
    <mergeCell ref="C17:C18"/>
  </mergeCells>
  <conditionalFormatting sqref="C15:I15 C19:D19">
    <cfRule type="expression" dxfId="7" priority="2">
      <formula>AND(DAY(C15)&gt;=1,DAY(C15)&lt;=15)</formula>
    </cfRule>
  </conditionalFormatting>
  <conditionalFormatting sqref="C3:H3">
    <cfRule type="expression" dxfId="6" priority="1">
      <formula>DAY(C3)&gt;8</formula>
    </cfRule>
  </conditionalFormatting>
  <conditionalFormatting sqref="C4:I4">
    <cfRule type="expression" dxfId="5" priority="3">
      <formula>DAY(C3)&gt;8</formula>
    </cfRule>
  </conditionalFormatting>
  <conditionalFormatting sqref="C16:I16 C20:D20 C17:D17 F17:I17">
    <cfRule type="expression" dxfId="4" priority="4">
      <formula>AND(DAY(C15)&gt;=1,DAY(C15)&lt;=15)</formula>
    </cfRule>
  </conditionalFormatting>
  <dataValidations count="9">
    <dataValidation allowBlank="1" showInputMessage="1" showErrorMessage="1" prompt="Calendario del mes de noviembre" sqref="A1" xr:uid="{00000000-0002-0000-0A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A00-000001000000}"/>
    <dataValidation allowBlank="1" showInputMessage="1" showErrorMessage="1" prompt="El año de esta celda se actualiza automáticamente según el año especificado en la hoja de cálculo Enero." sqref="B2" xr:uid="{00000000-0002-0000-0A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A00-000003000000}"/>
    <dataValidation allowBlank="1" showInputMessage="1" showErrorMessage="1" prompt="Escriba las notas diarias basadas en el día del calendario que se encuentra en las celdas bajo esta fila y las filas 5, 8, 11, 14 y 17, de las columnas C a I." sqref="C2" xr:uid="{00000000-0002-0000-0A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A00-000005000000}"/>
    <dataValidation allowBlank="1" showInputMessage="1" showErrorMessage="1" prompt="El número de días y semanas de esta fila y de las filas 7, 10, 13, 16 y 20 se actualizan automáticamente." sqref="C4" xr:uid="{00000000-0002-0000-0A00-000006000000}"/>
    <dataValidation allowBlank="1" showInputMessage="1" showErrorMessage="1" prompt="Escriba las notas en la celda inferior." sqref="E17" xr:uid="{00000000-0002-0000-0A00-000007000000}"/>
    <dataValidation allowBlank="1" showInputMessage="1" showErrorMessage="1" prompt="Escriba notas en esta celda." sqref="E18:I20" xr:uid="{00000000-0002-0000-0A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2" tint="-0.89999084444715716"/>
    <pageSetUpPr fitToPage="1"/>
  </sheetPr>
  <dimension ref="A1:I20"/>
  <sheetViews>
    <sheetView showGridLines="0" zoomScaleNormal="100" workbookViewId="0"/>
  </sheetViews>
  <sheetFormatPr baseColWidth="10" defaultColWidth="8.75" defaultRowHeight="15" customHeight="1" x14ac:dyDescent="0.2"/>
  <cols>
    <col min="1" max="1" width="2.625" style="10" customWidth="1"/>
    <col min="2" max="2" width="15" style="10" customWidth="1"/>
    <col min="3" max="3" width="18.25" style="10" customWidth="1"/>
    <col min="4" max="9" width="17.625" style="10" customWidth="1"/>
    <col min="10" max="10" width="2.625" customWidth="1"/>
    <col min="11" max="11" width="15.625" customWidth="1"/>
    <col min="12" max="12" width="13.75" customWidth="1"/>
  </cols>
  <sheetData>
    <row r="1" spans="2:9" ht="41.1" customHeight="1" x14ac:dyDescent="0.6">
      <c r="B1" s="3" t="s">
        <v>12</v>
      </c>
      <c r="C1" s="1" t="str">
        <f>UPPER(TEXT(InicioDeSemana,"ddd"))</f>
        <v>DO</v>
      </c>
      <c r="D1" s="1" t="str">
        <f t="shared" ref="D1:I1" ca="1" si="0">UPPER(TEXT(D3,"ddd"))</f>
        <v>LUN</v>
      </c>
      <c r="E1" s="1" t="str">
        <f t="shared" ca="1" si="0"/>
        <v>MAR</v>
      </c>
      <c r="F1" s="1" t="str">
        <f t="shared" ca="1" si="0"/>
        <v>MIÉ</v>
      </c>
      <c r="G1" s="1" t="str">
        <f t="shared" ca="1" si="0"/>
        <v>JUE</v>
      </c>
      <c r="H1" s="1" t="str">
        <f t="shared" ca="1" si="0"/>
        <v>VIE</v>
      </c>
      <c r="I1" s="1" t="str">
        <f t="shared" ca="1" si="0"/>
        <v>SÁB</v>
      </c>
    </row>
    <row r="2" spans="2:9" ht="56.25" customHeight="1" x14ac:dyDescent="0.2">
      <c r="B2" s="5">
        <f ca="1">AñoNatural</f>
        <v>2020</v>
      </c>
      <c r="C2" s="7"/>
      <c r="D2"/>
      <c r="E2" s="7"/>
      <c r="F2"/>
      <c r="G2" s="7"/>
      <c r="H2"/>
      <c r="I2" s="7"/>
    </row>
    <row r="3" spans="2:9" ht="16.5" customHeight="1" x14ac:dyDescent="0.25">
      <c r="C3" s="8">
        <f t="array" aca="1" ref="C3:I3" ca="1">DíasYSemanas+DATE(AñoNatural,12,1)-WEEKDAY(DATE(AñoNatural,12,1),(InicioDeSemana="LU")+1)+1</f>
        <v>44164</v>
      </c>
      <c r="D3" s="9">
        <f ca="1"/>
        <v>44165</v>
      </c>
      <c r="E3" s="8">
        <f ca="1"/>
        <v>44166</v>
      </c>
      <c r="F3" s="9">
        <f ca="1"/>
        <v>44167</v>
      </c>
      <c r="G3" s="8">
        <f ca="1"/>
        <v>44168</v>
      </c>
      <c r="H3" s="9">
        <f ca="1"/>
        <v>44169</v>
      </c>
      <c r="I3" s="8">
        <f ca="1"/>
        <v>44170</v>
      </c>
    </row>
    <row r="4" spans="2:9" ht="15" customHeight="1" x14ac:dyDescent="0.2">
      <c r="C4" s="11" t="str">
        <f t="shared" ref="C4:I4" ca="1" si="1">IF(DAY(CalendarDay)=1,CONCATENATE("Semana ",WEEKNUM(CalendarDay),"/Día ",CalendarDay-DATE(YEAR(CalendarDay),1,0)),CONCATENATE("Día ",CalendarDay-DATE(YEAR(CalendarDay),1,0)))</f>
        <v>Día 334</v>
      </c>
      <c r="D4" s="12" t="str">
        <f t="shared" ca="1" si="1"/>
        <v>Día 335</v>
      </c>
      <c r="E4" s="11" t="str">
        <f t="shared" ca="1" si="1"/>
        <v>Semana 49/Día 336</v>
      </c>
      <c r="F4" s="12" t="str">
        <f t="shared" ca="1" si="1"/>
        <v>Día 337</v>
      </c>
      <c r="G4" s="11" t="str">
        <f t="shared" ca="1" si="1"/>
        <v>Día 338</v>
      </c>
      <c r="H4" s="12" t="str">
        <f t="shared" ca="1" si="1"/>
        <v>Día 339</v>
      </c>
      <c r="I4" s="11" t="str">
        <f t="shared" ca="1" si="1"/>
        <v>Día 340</v>
      </c>
    </row>
    <row r="5" spans="2:9" ht="56.25" customHeight="1" x14ac:dyDescent="0.2">
      <c r="C5" s="7"/>
      <c r="D5"/>
      <c r="E5" s="7"/>
      <c r="F5"/>
      <c r="G5" s="7"/>
      <c r="H5"/>
      <c r="I5" s="7"/>
    </row>
    <row r="6" spans="2:9" ht="16.5" customHeight="1" x14ac:dyDescent="0.25">
      <c r="C6" s="8">
        <f t="array" aca="1" ref="C6:I6" ca="1">DíasYSemanas+DATE(AñoNatural,12,1)-WEEKDAY(DATE(AñoNatural,12,1),(InicioDeSemana="LU")+1)+8</f>
        <v>44171</v>
      </c>
      <c r="D6" s="9">
        <f ca="1"/>
        <v>44172</v>
      </c>
      <c r="E6" s="8">
        <f ca="1"/>
        <v>44173</v>
      </c>
      <c r="F6" s="9">
        <f ca="1"/>
        <v>44174</v>
      </c>
      <c r="G6" s="8">
        <f ca="1"/>
        <v>44175</v>
      </c>
      <c r="H6" s="9">
        <f ca="1"/>
        <v>44176</v>
      </c>
      <c r="I6" s="8">
        <f ca="1"/>
        <v>44177</v>
      </c>
    </row>
    <row r="7" spans="2:9" ht="15" customHeight="1" x14ac:dyDescent="0.2">
      <c r="C7" s="11" t="str">
        <f ca="1">IF(WEEKDAY(CalendarDay)=ValorDeInicioDeSemana,CONCATENATE("Semana ",WEEKNUM(CalendarDay),"/Día ",CalendarDay-DATE(YEAR(CalendarDay),1,0)),CONCATENATE("Día ",CalendarDay-DATE(YEAR(CalendarDay),1,0)))</f>
        <v>Semana 50/Día 341</v>
      </c>
      <c r="D7" s="12" t="str">
        <f ca="1">IF(WEEKDAY(CalendarDay)=ValorDeInicioDeSemana,CONCATENATE("Semana ",WEEKNUM(CalendarDay),"/Día ",CalendarDay-DATE(YEAR(CalendarDay),1,0)),CONCATENATE("Día ",CalendarDay-DATE(YEAR(CalendarDay),1,0)))</f>
        <v>Día 342</v>
      </c>
      <c r="E7" s="11" t="str">
        <f ca="1">IF(WEEKDAY(CalendarDay)=ValorDeInicioDeSemana,CONCATENATE("Semana ",WEEKNUM(CalendarDay),"/Día ",CalendarDay-DATE(YEAR(CalendarDay),1,0)),CONCATENATE("Día ",CalendarDay-DATE(YEAR(CalendarDay),1,0)))</f>
        <v>Día 343</v>
      </c>
      <c r="F7" s="12" t="str">
        <f ca="1">IF(WEEKDAY(CalendarDay)=ValorDeInicioDeSemana,CONCATENATE("Semana ",WEEKNUM(CalendarDay),"/Día ",CalendarDay-DATE(YEAR(CalendarDay),1,0)),CONCATENATE("Día ",CalendarDay-DATE(YEAR(CalendarDay),1,0)))</f>
        <v>Día 344</v>
      </c>
      <c r="G7" s="11" t="str">
        <f ca="1">IF(WEEKDAY(CalendarDay)=ValorDeInicioDeSemana,CONCATENATE("Semana ",WEEKNUM(CalendarDay),"/Día ",CalendarDay-DATE(YEAR(CalendarDay),1,0)),CONCATENATE("Día ",CalendarDay-DATE(YEAR(CalendarDay),1,0)))</f>
        <v>Día 345</v>
      </c>
      <c r="H7" s="12" t="str">
        <f ca="1">IF(WEEKDAY(CalendarDay)=ValorDeInicioDeSemana,CONCATENATE("Semana ",WEEKNUM(CalendarDay),"/Día ",CalendarDay-DATE(YEAR(CalendarDay),1,0)),CONCATENATE("Día ",CalendarDay-DATE(YEAR(CalendarDay),1,0)))</f>
        <v>Día 346</v>
      </c>
      <c r="I7" s="11" t="str">
        <f ca="1">IF(WEEKDAY(CalendarDay)=ValorDeInicioDeSemana,CONCATENATE("Semana ",WEEKNUM(CalendarDay),"/Día ",CalendarDay-DATE(YEAR(CalendarDay),1,0)),CONCATENATE("Día ",CalendarDay-DATE(YEAR(CalendarDay),1,0)))</f>
        <v>Día 347</v>
      </c>
    </row>
    <row r="8" spans="2:9" ht="56.25" customHeight="1" x14ac:dyDescent="0.2">
      <c r="C8" s="7"/>
      <c r="D8"/>
      <c r="E8" s="7"/>
      <c r="F8"/>
      <c r="G8" s="7"/>
      <c r="H8"/>
      <c r="I8" s="7"/>
    </row>
    <row r="9" spans="2:9" ht="16.5" customHeight="1" x14ac:dyDescent="0.25">
      <c r="C9" s="8">
        <f t="array" aca="1" ref="C9:I9" ca="1">DíasYSemanas+DATE(AñoNatural,12,1)-WEEKDAY(DATE(AñoNatural,12,1),(InicioDeSemana="LU")+1)+15</f>
        <v>44178</v>
      </c>
      <c r="D9" s="9">
        <f ca="1"/>
        <v>44179</v>
      </c>
      <c r="E9" s="8">
        <f ca="1"/>
        <v>44180</v>
      </c>
      <c r="F9" s="9">
        <f ca="1"/>
        <v>44181</v>
      </c>
      <c r="G9" s="8">
        <f ca="1"/>
        <v>44182</v>
      </c>
      <c r="H9" s="9">
        <f ca="1"/>
        <v>44183</v>
      </c>
      <c r="I9" s="8">
        <f ca="1"/>
        <v>44184</v>
      </c>
    </row>
    <row r="10" spans="2:9" ht="15" customHeight="1" x14ac:dyDescent="0.2">
      <c r="C10" s="11" t="str">
        <f ca="1">IF(WEEKDAY(CalendarDay)=ValorDeInicioDeSemana,CONCATENATE("Semana ",WEEKNUM(CalendarDay),"/Día ",CalendarDay-DATE(YEAR(CalendarDay),1,0)),CONCATENATE("Día ",CalendarDay-DATE(YEAR(CalendarDay),1,0)))</f>
        <v>Semana 51/Día 348</v>
      </c>
      <c r="D10" s="12" t="str">
        <f ca="1">IF(WEEKDAY(CalendarDay)=ValorDeInicioDeSemana,CONCATENATE("Semana ",WEEKNUM(CalendarDay),"/Día ",CalendarDay-DATE(YEAR(CalendarDay),1,0)),CONCATENATE("Día ",CalendarDay-DATE(YEAR(CalendarDay),1,0)))</f>
        <v>Día 349</v>
      </c>
      <c r="E10" s="11" t="str">
        <f ca="1">IF(WEEKDAY(CalendarDay)=ValorDeInicioDeSemana,CONCATENATE("Semana ",WEEKNUM(CalendarDay),"/Día ",CalendarDay-DATE(YEAR(CalendarDay),1,0)),CONCATENATE("Día ",CalendarDay-DATE(YEAR(CalendarDay),1,0)))</f>
        <v>Día 350</v>
      </c>
      <c r="F10" s="12" t="str">
        <f ca="1">IF(WEEKDAY(CalendarDay)=ValorDeInicioDeSemana,CONCATENATE("Semana ",WEEKNUM(CalendarDay),"/Día ",CalendarDay-DATE(YEAR(CalendarDay),1,0)),CONCATENATE("Día ",CalendarDay-DATE(YEAR(CalendarDay),1,0)))</f>
        <v>Día 351</v>
      </c>
      <c r="G10" s="11" t="str">
        <f ca="1">IF(WEEKDAY(CalendarDay)=ValorDeInicioDeSemana,CONCATENATE("Semana ",WEEKNUM(CalendarDay),"/Día ",CalendarDay-DATE(YEAR(CalendarDay),1,0)),CONCATENATE("Día ",CalendarDay-DATE(YEAR(CalendarDay),1,0)))</f>
        <v>Día 352</v>
      </c>
      <c r="H10" s="12" t="str">
        <f ca="1">IF(WEEKDAY(CalendarDay)=ValorDeInicioDeSemana,CONCATENATE("Semana ",WEEKNUM(CalendarDay),"/Día ",CalendarDay-DATE(YEAR(CalendarDay),1,0)),CONCATENATE("Día ",CalendarDay-DATE(YEAR(CalendarDay),1,0)))</f>
        <v>Día 353</v>
      </c>
      <c r="I10" s="11" t="str">
        <f ca="1">IF(WEEKDAY(CalendarDay)=ValorDeInicioDeSemana,CONCATENATE("Semana ",WEEKNUM(CalendarDay),"/Día ",CalendarDay-DATE(YEAR(CalendarDay),1,0)),CONCATENATE("Día ",CalendarDay-DATE(YEAR(CalendarDay),1,0)))</f>
        <v>Día 354</v>
      </c>
    </row>
    <row r="11" spans="2:9" ht="56.25" customHeight="1" x14ac:dyDescent="0.2">
      <c r="C11" s="7"/>
      <c r="D11"/>
      <c r="E11" s="7"/>
      <c r="F11"/>
      <c r="G11" s="7"/>
      <c r="H11"/>
      <c r="I11" s="7"/>
    </row>
    <row r="12" spans="2:9" ht="16.5" customHeight="1" x14ac:dyDescent="0.25">
      <c r="C12" s="8">
        <f t="array" aca="1" ref="C12:I12" ca="1">DíasYSemanas+DATE(AñoNatural,12,1)-WEEKDAY(DATE(AñoNatural,12,1),(InicioDeSemana="LU")+1)+22</f>
        <v>44185</v>
      </c>
      <c r="D12" s="9">
        <f ca="1"/>
        <v>44186</v>
      </c>
      <c r="E12" s="8">
        <f ca="1"/>
        <v>44187</v>
      </c>
      <c r="F12" s="9">
        <f ca="1"/>
        <v>44188</v>
      </c>
      <c r="G12" s="8">
        <f ca="1"/>
        <v>44189</v>
      </c>
      <c r="H12" s="9">
        <f ca="1"/>
        <v>44190</v>
      </c>
      <c r="I12" s="8">
        <f ca="1"/>
        <v>44191</v>
      </c>
    </row>
    <row r="13" spans="2:9" ht="15" customHeight="1" x14ac:dyDescent="0.2">
      <c r="C13" s="11" t="str">
        <f ca="1">IF(WEEKDAY(CalendarDay)=ValorDeInicioDeSemana,CONCATENATE("Semana ",WEEKNUM(CalendarDay),"/Día ",CalendarDay-DATE(YEAR(CalendarDay),1,0)),CONCATENATE("Día ",CalendarDay-DATE(YEAR(CalendarDay),1,0)))</f>
        <v>Semana 52/Día 355</v>
      </c>
      <c r="D13" s="12" t="str">
        <f ca="1">IF(WEEKDAY(CalendarDay)=ValorDeInicioDeSemana,CONCATENATE("Semana ",WEEKNUM(CalendarDay),"/Día ",CalendarDay-DATE(YEAR(CalendarDay),1,0)),CONCATENATE("Día ",CalendarDay-DATE(YEAR(CalendarDay),1,0)))</f>
        <v>Día 356</v>
      </c>
      <c r="E13" s="11" t="str">
        <f ca="1">IF(WEEKDAY(CalendarDay)=ValorDeInicioDeSemana,CONCATENATE("Semana ",WEEKNUM(CalendarDay),"/Día ",CalendarDay-DATE(YEAR(CalendarDay),1,0)),CONCATENATE("Día ",CalendarDay-DATE(YEAR(CalendarDay),1,0)))</f>
        <v>Día 357</v>
      </c>
      <c r="F13" s="12" t="str">
        <f ca="1">IF(WEEKDAY(CalendarDay)=ValorDeInicioDeSemana,CONCATENATE("Semana ",WEEKNUM(CalendarDay),"/Día ",CalendarDay-DATE(YEAR(CalendarDay),1,0)),CONCATENATE("Día ",CalendarDay-DATE(YEAR(CalendarDay),1,0)))</f>
        <v>Día 358</v>
      </c>
      <c r="G13" s="11" t="str">
        <f ca="1">IF(WEEKDAY(CalendarDay)=ValorDeInicioDeSemana,CONCATENATE("Semana ",WEEKNUM(CalendarDay),"/Día ",CalendarDay-DATE(YEAR(CalendarDay),1,0)),CONCATENATE("Día ",CalendarDay-DATE(YEAR(CalendarDay),1,0)))</f>
        <v>Día 359</v>
      </c>
      <c r="H13" s="12" t="str">
        <f ca="1">IF(WEEKDAY(CalendarDay)=ValorDeInicioDeSemana,CONCATENATE("Semana ",WEEKNUM(CalendarDay),"/Día ",CalendarDay-DATE(YEAR(CalendarDay),1,0)),CONCATENATE("Día ",CalendarDay-DATE(YEAR(CalendarDay),1,0)))</f>
        <v>Día 360</v>
      </c>
      <c r="I13" s="11" t="str">
        <f ca="1">IF(WEEKDAY(CalendarDay)=ValorDeInicioDeSemana,CONCATENATE("Semana ",WEEKNUM(CalendarDay),"/Día ",CalendarDay-DATE(YEAR(CalendarDay),1,0)),CONCATENATE("Día ",CalendarDay-DATE(YEAR(CalendarDay),1,0)))</f>
        <v>Día 361</v>
      </c>
    </row>
    <row r="14" spans="2:9" ht="56.25" customHeight="1" x14ac:dyDescent="0.2">
      <c r="C14" s="7"/>
      <c r="D14"/>
      <c r="E14" s="7"/>
      <c r="F14"/>
      <c r="G14" s="7"/>
      <c r="H14"/>
      <c r="I14" s="7"/>
    </row>
    <row r="15" spans="2:9" ht="16.5" customHeight="1" x14ac:dyDescent="0.25">
      <c r="C15" s="8">
        <f t="array" aca="1" ref="C15:I15" ca="1">DíasYSemanas+DATE(AñoNatural,12,1)-WEEKDAY(DATE(AñoNatural,12,1),(InicioDeSemana="LU")+1)+29</f>
        <v>44192</v>
      </c>
      <c r="D15" s="9">
        <f ca="1"/>
        <v>44193</v>
      </c>
      <c r="E15" s="8">
        <f ca="1"/>
        <v>44194</v>
      </c>
      <c r="F15" s="9">
        <f ca="1"/>
        <v>44195</v>
      </c>
      <c r="G15" s="8">
        <f ca="1"/>
        <v>44196</v>
      </c>
      <c r="H15" s="9">
        <f ca="1"/>
        <v>44197</v>
      </c>
      <c r="I15" s="8">
        <f ca="1"/>
        <v>44198</v>
      </c>
    </row>
    <row r="16" spans="2:9" ht="15" customHeight="1" x14ac:dyDescent="0.2">
      <c r="C16" s="11" t="str">
        <f ca="1">IF(WEEKDAY(CalendarDay)=ValorDeInicioDeSemana,CONCATENATE("Semana ",WEEKNUM(CalendarDay),"/Día ",CalendarDay-DATE(YEAR(CalendarDay),1,0)),CONCATENATE("Día ",CalendarDay-DATE(YEAR(CalendarDay),1,0)))</f>
        <v>Semana 53/Día 362</v>
      </c>
      <c r="D16" s="12" t="str">
        <f ca="1">IF(WEEKDAY(CalendarDay)=ValorDeInicioDeSemana,CONCATENATE("Semana ",WEEKNUM(CalendarDay),"/Día ",CalendarDay-DATE(YEAR(CalendarDay),1,0)),CONCATENATE("Día ",CalendarDay-DATE(YEAR(CalendarDay),1,0)))</f>
        <v>Día 363</v>
      </c>
      <c r="E16" s="11" t="str">
        <f ca="1">IF(WEEKDAY(CalendarDay)=ValorDeInicioDeSemana,CONCATENATE("Semana ",WEEKNUM(CalendarDay),"/Día ",CalendarDay-DATE(YEAR(CalendarDay),1,0)),CONCATENATE("Día ",CalendarDay-DATE(YEAR(CalendarDay),1,0)))</f>
        <v>Día 364</v>
      </c>
      <c r="F16" s="12" t="str">
        <f ca="1">IF(WEEKDAY(CalendarDay)=ValorDeInicioDeSemana,CONCATENATE("Semana ",WEEKNUM(CalendarDay),"/Día ",CalendarDay-DATE(YEAR(CalendarDay),1,0)),CONCATENATE("Día ",CalendarDay-DATE(YEAR(CalendarDay),1,0)))</f>
        <v>Día 365</v>
      </c>
      <c r="G16" s="11" t="str">
        <f ca="1">IF(WEEKDAY(CalendarDay)=ValorDeInicioDeSemana,CONCATENATE("Semana ",WEEKNUM(CalendarDay),"/Día ",CalendarDay-DATE(YEAR(CalendarDay),1,0)),CONCATENATE("Día ",CalendarDay-DATE(YEAR(CalendarDay),1,0)))</f>
        <v>Día 366</v>
      </c>
      <c r="H16" s="12" t="str">
        <f ca="1">IF(WEEKDAY(CalendarDay)=ValorDeInicioDeSemana,CONCATENATE("Semana ",WEEKNUM(CalendarDay),"/Día ",CalendarDay-DATE(YEAR(CalendarDay),1,0)),CONCATENATE("Día ",CalendarDay-DATE(YEAR(CalendarDay),1,0)))</f>
        <v>Día 1</v>
      </c>
      <c r="I16" s="11" t="str">
        <f ca="1">IF(WEEKDAY(CalendarDay)=ValorDeInicioDeSemana,CONCATENATE("Semana ",WEEKNUM(CalendarDay),"/Día ",CalendarDay-DATE(YEAR(CalendarDay),1,0)),CONCATENATE("Día ",CalendarDay-DATE(YEAR(CalendarDay),1,0)))</f>
        <v>Día 2</v>
      </c>
    </row>
    <row r="17" spans="3:9" ht="15" customHeight="1" x14ac:dyDescent="0.25">
      <c r="C17" s="14"/>
      <c r="D17"/>
      <c r="E17" s="4" t="s">
        <v>1</v>
      </c>
      <c r="F17"/>
      <c r="G17"/>
      <c r="H17"/>
      <c r="I17"/>
    </row>
    <row r="18" spans="3:9" ht="41.25" customHeight="1" x14ac:dyDescent="0.2">
      <c r="C18" s="14"/>
      <c r="D18"/>
      <c r="E18" s="13"/>
      <c r="F18" s="13"/>
      <c r="G18" s="13"/>
      <c r="H18" s="13"/>
      <c r="I18" s="13"/>
    </row>
    <row r="19" spans="3:9" ht="16.5" customHeight="1" x14ac:dyDescent="0.25">
      <c r="C19" s="8">
        <f t="array" aca="1" ref="C19:D19" ca="1">DíasYSemanas+DATE(AñoNatural,12,1)-WEEKDAY(DATE(AñoNatural,12,1),(InicioDeSemana="LU")+1)+36</f>
        <v>44199</v>
      </c>
      <c r="D19" s="9">
        <f ca="1"/>
        <v>44200</v>
      </c>
      <c r="E19" s="13"/>
      <c r="F19" s="13"/>
      <c r="G19" s="13"/>
      <c r="H19" s="13"/>
      <c r="I19" s="13"/>
    </row>
    <row r="20" spans="3:9" ht="15" customHeight="1" x14ac:dyDescent="0.2">
      <c r="C20" s="6" t="str">
        <f ca="1">IF(WEEKDAY(CalendarDay)=ValorDeInicioDeSemana,CONCATENATE("Semana ",WEEKNUM(CalendarDay),"/Día ",CalendarDay-DATE(YEAR(CalendarDay),1,0)),CONCATENATE("Día ",CalendarDay-DATE(YEAR(CalendarDay),1,0)))</f>
        <v>Semana 2/Día 3</v>
      </c>
      <c r="D20" s="2" t="str">
        <f ca="1">IF(WEEKDAY(CalendarDay)=ValorDeInicioDeSemana,CONCATENATE("Semana ",WEEKNUM(CalendarDay),"/Día ",CalendarDay-DATE(YEAR(CalendarDay),1,0)),CONCATENATE("Día ",CalendarDay-DATE(YEAR(CalendarDay),1,0)))</f>
        <v>Día 4</v>
      </c>
      <c r="E20" s="13"/>
      <c r="F20" s="13"/>
      <c r="G20" s="13"/>
      <c r="H20" s="13"/>
      <c r="I20" s="13"/>
    </row>
  </sheetData>
  <mergeCells count="2">
    <mergeCell ref="E18:I20"/>
    <mergeCell ref="C17:C18"/>
  </mergeCells>
  <conditionalFormatting sqref="C15:I15 C19:D19">
    <cfRule type="expression" dxfId="3" priority="2">
      <formula>AND(DAY(C15)&gt;=1,DAY(C15)&lt;=15)</formula>
    </cfRule>
  </conditionalFormatting>
  <conditionalFormatting sqref="C3:H3">
    <cfRule type="expression" dxfId="2" priority="1">
      <formula>DAY(C3)&gt;8</formula>
    </cfRule>
  </conditionalFormatting>
  <conditionalFormatting sqref="C4:I4">
    <cfRule type="expression" dxfId="1" priority="3">
      <formula>DAY(C3)&gt;8</formula>
    </cfRule>
  </conditionalFormatting>
  <conditionalFormatting sqref="C16:I16 C20:D20 C17:D17 F17:I17">
    <cfRule type="expression" dxfId="0" priority="4">
      <formula>AND(DAY(C15)&gt;=1,DAY(C15)&lt;=15)</formula>
    </cfRule>
  </conditionalFormatting>
  <dataValidations count="9">
    <dataValidation allowBlank="1" showInputMessage="1" showErrorMessage="1" prompt="Calendario del mes de diciembre" sqref="A1" xr:uid="{00000000-0002-0000-0B00-000000000000}"/>
    <dataValidation allowBlank="1" showInputMessage="1" showErrorMessage="1" prompt="Esta celda contiene el mes de la hoja de cálculo. El calendario empieza en la celda de la derecha y contiene las fechas del mes anterior, del actual y del siguiente. El año se indica en la celda inferior. Escriba las notas del mes en la celda E18." sqref="B1" xr:uid="{00000000-0002-0000-0B00-000001000000}"/>
    <dataValidation allowBlank="1" showInputMessage="1" showErrorMessage="1" prompt="El año de esta celda se actualiza automáticamente según el año especificado en la hoja de cálculo Enero." sqref="B2" xr:uid="{00000000-0002-0000-0B00-000002000000}"/>
    <dataValidation allowBlank="1" showInputMessage="1" showErrorMessage="1" prompt="Esta fila contiene los nombres de los días de la semana de este calendario. Esta celda contiene el primer día de la semana. Para cambiar el primer día de la semana, seleccione un nuevo día laborable en la celda C1 de la hoja de cálculo Enero." sqref="C1" xr:uid="{00000000-0002-0000-0B00-000003000000}"/>
    <dataValidation allowBlank="1" showInputMessage="1" showErrorMessage="1" prompt="Escriba las notas diarias basadas en el día del calendario que se encuentra en las celdas bajo esta fila y las filas 5, 8, 11, 14 y 17, de las columnas C a I." sqref="C2" xr:uid="{00000000-0002-0000-0B00-000004000000}"/>
    <dataValidation allowBlank="1" showInputMessage="1" showErrorMessage="1" prompt="El día del calendario de esta fila y de las filas 6, 9, 12, 15 y 19 se actualizan automáticamente. Si esta celda no contiene el número 1, ese día pertenece a un día del mes anterior." sqref="C3" xr:uid="{00000000-0002-0000-0B00-000005000000}"/>
    <dataValidation allowBlank="1" showInputMessage="1" showErrorMessage="1" prompt="El número de días y semanas de esta fila y de las filas 7, 10, 13, 16 y 20 se actualizan automáticamente." sqref="C4" xr:uid="{00000000-0002-0000-0B00-000006000000}"/>
    <dataValidation allowBlank="1" showInputMessage="1" showErrorMessage="1" prompt="Escriba las notas en la celda inferior." sqref="E17" xr:uid="{00000000-0002-0000-0B00-000007000000}"/>
    <dataValidation allowBlank="1" showInputMessage="1" showErrorMessage="1" prompt="Escriba notas en esta celda." sqref="E18:I20" xr:uid="{00000000-0002-0000-0B00-000008000000}"/>
  </dataValidations>
  <printOptions horizontalCentered="1" verticalCentered="1"/>
  <pageMargins left="0.25" right="0.25" top="0.75" bottom="0.75" header="0.3" footer="0.3"/>
  <pageSetup paperSize="9" scale="89"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38</vt:i4>
      </vt:variant>
    </vt:vector>
  </HeadingPairs>
  <TitlesOfParts>
    <vt:vector size="50" baseType="lpstr">
      <vt:lpstr>ENE</vt:lpstr>
      <vt:lpstr>FEB</vt:lpstr>
      <vt:lpstr>MAR</vt:lpstr>
      <vt:lpstr>ABR</vt:lpstr>
      <vt:lpstr>MAY</vt:lpstr>
      <vt:lpstr>JUN</vt:lpstr>
      <vt:lpstr>JUL</vt:lpstr>
      <vt:lpstr>AGO</vt:lpstr>
      <vt:lpstr>SEP</vt:lpstr>
      <vt:lpstr>OCT</vt:lpstr>
      <vt:lpstr>NOV</vt:lpstr>
      <vt:lpstr>DIC</vt:lpstr>
      <vt:lpstr>AñoNatural</vt:lpstr>
      <vt:lpstr>ABR!CalendarDay</vt:lpstr>
      <vt:lpstr>AGO!CalendarDay</vt:lpstr>
      <vt:lpstr>DIC!CalendarDay</vt:lpstr>
      <vt:lpstr>ENE!CalendarDay</vt:lpstr>
      <vt:lpstr>FEB!CalendarDay</vt:lpstr>
      <vt:lpstr>JUL!CalendarDay</vt:lpstr>
      <vt:lpstr>JUN!CalendarDay</vt:lpstr>
      <vt:lpstr>MAR!CalendarDay</vt:lpstr>
      <vt:lpstr>MAY!CalendarDay</vt:lpstr>
      <vt:lpstr>NOV!CalendarDay</vt:lpstr>
      <vt:lpstr>OCT!CalendarDay</vt:lpstr>
      <vt:lpstr>SEP!CalendarDay</vt:lpstr>
      <vt:lpstr>ColumnTitleRegion1..J16.1</vt:lpstr>
      <vt:lpstr>ColumnTitleRegion1..J16.10</vt:lpstr>
      <vt:lpstr>ColumnTitleRegion1..J16.11</vt:lpstr>
      <vt:lpstr>ColumnTitleRegion1..J16.12</vt:lpstr>
      <vt:lpstr>ColumnTitleRegion1..J16.2</vt:lpstr>
      <vt:lpstr>ColumnTitleRegion1..J16.3</vt:lpstr>
      <vt:lpstr>ColumnTitleRegion1..J16.4</vt:lpstr>
      <vt:lpstr>ColumnTitleRegion1..J16.5</vt:lpstr>
      <vt:lpstr>ColumnTitleRegion1..J16.6</vt:lpstr>
      <vt:lpstr>ColumnTitleRegion1..J16.7</vt:lpstr>
      <vt:lpstr>ColumnTitleRegion1..J16.8</vt:lpstr>
      <vt:lpstr>ColumnTitleRegion1..J16.9</vt:lpstr>
      <vt:lpstr>ColumnTitleRegion2..E20.1</vt:lpstr>
      <vt:lpstr>ColumnTitleRegion2..E20.10</vt:lpstr>
      <vt:lpstr>ColumnTitleRegion2..E20.11</vt:lpstr>
      <vt:lpstr>ColumnTitleRegion2..E20.12</vt:lpstr>
      <vt:lpstr>ColumnTitleRegion2..E20.2</vt:lpstr>
      <vt:lpstr>ColumnTitleRegion2..E20.3</vt:lpstr>
      <vt:lpstr>ColumnTitleRegion2..E20.4</vt:lpstr>
      <vt:lpstr>ColumnTitleRegion2..E20.5</vt:lpstr>
      <vt:lpstr>ColumnTitleRegion2..E20.6</vt:lpstr>
      <vt:lpstr>ColumnTitleRegion2..E20.7</vt:lpstr>
      <vt:lpstr>ColumnTitleRegion2..E20.8</vt:lpstr>
      <vt:lpstr>ColumnTitleRegion2..E20.9</vt:lpstr>
      <vt:lpstr>InicioDeSemana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2017-07-03T19:35:52Z</dcterms:created>
  <dcterms:modified xsi:type="dcterms:W3CDTF">2020-04-23T02:26:42Z</dcterms:modified>
</cp:coreProperties>
</file>