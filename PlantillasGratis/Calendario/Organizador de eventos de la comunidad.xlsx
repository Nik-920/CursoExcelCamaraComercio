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3EEF5ACD-DC9C-49AB-B5CE-C53698A932E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VENTOS" sheetId="1" r:id="rId1"/>
    <sheet name="CALENDARIO" sheetId="2" r:id="rId2"/>
    <sheet name="VERSIÓN DE IMPRESIÓN" sheetId="4" r:id="rId3"/>
    <sheet name="ADMINISTRADOR" sheetId="3" state="hidden" r:id="rId4"/>
  </sheets>
  <definedNames>
    <definedName name="DailyEvents" localSheetId="2">'VERSIÓN DE IMPRESIÓN'!$C$7:$U$10,'VERSIÓN DE IMPRESIÓN'!$C$12:$U$15,'VERSIÓN DE IMPRESIÓN'!$C$17:$U$20,'VERSIÓN DE IMPRESIÓN'!$C$22:$U$25,'VERSIÓN DE IMPRESIÓN'!$C$27:$U$30,'VERSIÓN DE IMPRESIÓN'!$C$32:$F$35</definedName>
    <definedName name="DailyEvents">CALENDARIO!$C$7:$U$10,CALENDARIO!$C$12:$U$15,CALENDARIO!$C$17:$U$20,CALENDARIO!$C$22:$U$25,CALENDARIO!$C$27:$U$30,CALENDARIO!$C$32:$F$35</definedName>
    <definedName name="Dates" localSheetId="2">tblEvents[FECHA]</definedName>
    <definedName name="Dates">tblEvents[FECHA]</definedName>
    <definedName name="Events" localSheetId="2">tblEvents[NOMBRE DEL EVENTO]</definedName>
    <definedName name="Events">tblEvents[NOMBRE DEL EVENTO]</definedName>
    <definedName name="MonthNum" localSheetId="2">'VERSIÓN DE IMPRESIÓN'!$C$3</definedName>
    <definedName name="MonthNum">CALENDARIO!$C$3</definedName>
    <definedName name="MonthView">CALENDARIO!$C$4:$U$35</definedName>
    <definedName name="SegmentaciónDeDatos_DÍA">#N/A</definedName>
    <definedName name="SegmentaciónDeDatos_MES">#N/A</definedName>
    <definedName name="StartDate" localSheetId="2">'VERSIÓN DE IMPRESIÓN'!$F$3</definedName>
    <definedName name="StartDate">CALENDARIO!$F$3</definedName>
    <definedName name="TableRowStart" localSheetId="2">ROW(tblEvents[[#Headers],[FECHA]])</definedName>
    <definedName name="TableRowStart">ROW(tblEvents[[#Headers],[FECHA]])</definedName>
    <definedName name="_xlnm.Print_Titles" localSheetId="0">EVENTOS!$8:$8</definedName>
    <definedName name="ViewMonth">CALENDARIO!$F$2</definedName>
    <definedName name="ViewYear">CALENDARIO!$C$2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31" i="4" l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9" i="1"/>
  <c r="C2" i="4" l="1"/>
  <c r="D30" i="4" l="1"/>
  <c r="E30" i="4"/>
  <c r="D31" i="4"/>
  <c r="E31" i="4"/>
  <c r="D32" i="4"/>
  <c r="E32" i="4"/>
  <c r="D33" i="4"/>
  <c r="E33" i="4"/>
  <c r="D34" i="4"/>
  <c r="E34" i="4"/>
  <c r="D35" i="4"/>
  <c r="E35" i="4"/>
  <c r="D6" i="4"/>
  <c r="E6" i="4"/>
  <c r="G6" i="4"/>
  <c r="H6" i="4"/>
  <c r="J6" i="4"/>
  <c r="K6" i="4"/>
  <c r="M6" i="4"/>
  <c r="N6" i="4"/>
  <c r="P6" i="4"/>
  <c r="Q6" i="4"/>
  <c r="S6" i="4"/>
  <c r="T6" i="4"/>
  <c r="D7" i="4"/>
  <c r="E7" i="4"/>
  <c r="G7" i="4"/>
  <c r="H7" i="4"/>
  <c r="J7" i="4"/>
  <c r="K7" i="4"/>
  <c r="M7" i="4"/>
  <c r="N7" i="4"/>
  <c r="P7" i="4"/>
  <c r="Q7" i="4"/>
  <c r="S7" i="4"/>
  <c r="T7" i="4"/>
  <c r="D8" i="4"/>
  <c r="E8" i="4"/>
  <c r="G8" i="4"/>
  <c r="H8" i="4"/>
  <c r="J8" i="4"/>
  <c r="K8" i="4"/>
  <c r="M8" i="4"/>
  <c r="N8" i="4"/>
  <c r="P8" i="4"/>
  <c r="Q8" i="4"/>
  <c r="S8" i="4"/>
  <c r="T8" i="4"/>
  <c r="D9" i="4"/>
  <c r="E9" i="4"/>
  <c r="G9" i="4"/>
  <c r="H9" i="4"/>
  <c r="J9" i="4"/>
  <c r="K9" i="4"/>
  <c r="M9" i="4"/>
  <c r="N9" i="4"/>
  <c r="P9" i="4"/>
  <c r="Q9" i="4"/>
  <c r="S9" i="4"/>
  <c r="T9" i="4"/>
  <c r="D10" i="4"/>
  <c r="E10" i="4"/>
  <c r="G10" i="4"/>
  <c r="H10" i="4"/>
  <c r="J10" i="4"/>
  <c r="K10" i="4"/>
  <c r="M10" i="4"/>
  <c r="N10" i="4"/>
  <c r="P10" i="4"/>
  <c r="Q10" i="4"/>
  <c r="S10" i="4"/>
  <c r="T10" i="4"/>
  <c r="D11" i="4"/>
  <c r="E11" i="4"/>
  <c r="G11" i="4"/>
  <c r="H11" i="4"/>
  <c r="J11" i="4"/>
  <c r="K11" i="4"/>
  <c r="M11" i="4"/>
  <c r="N11" i="4"/>
  <c r="P11" i="4"/>
  <c r="Q11" i="4"/>
  <c r="S11" i="4"/>
  <c r="T11" i="4"/>
  <c r="D12" i="4"/>
  <c r="E12" i="4"/>
  <c r="G12" i="4"/>
  <c r="H12" i="4"/>
  <c r="J12" i="4"/>
  <c r="K12" i="4"/>
  <c r="M12" i="4"/>
  <c r="N12" i="4"/>
  <c r="P12" i="4"/>
  <c r="Q12" i="4"/>
  <c r="S12" i="4"/>
  <c r="T12" i="4"/>
  <c r="D13" i="4"/>
  <c r="E13" i="4"/>
  <c r="G13" i="4"/>
  <c r="H13" i="4"/>
  <c r="J13" i="4"/>
  <c r="K13" i="4"/>
  <c r="M13" i="4"/>
  <c r="N13" i="4"/>
  <c r="P13" i="4"/>
  <c r="Q13" i="4"/>
  <c r="S13" i="4"/>
  <c r="T13" i="4"/>
  <c r="D14" i="4"/>
  <c r="E14" i="4"/>
  <c r="G14" i="4"/>
  <c r="H14" i="4"/>
  <c r="J14" i="4"/>
  <c r="K14" i="4"/>
  <c r="M14" i="4"/>
  <c r="N14" i="4"/>
  <c r="P14" i="4"/>
  <c r="Q14" i="4"/>
  <c r="S14" i="4"/>
  <c r="T14" i="4"/>
  <c r="D15" i="4"/>
  <c r="E15" i="4"/>
  <c r="G15" i="4"/>
  <c r="H15" i="4"/>
  <c r="J15" i="4"/>
  <c r="K15" i="4"/>
  <c r="M15" i="4"/>
  <c r="N15" i="4"/>
  <c r="P15" i="4"/>
  <c r="Q15" i="4"/>
  <c r="S15" i="4"/>
  <c r="T15" i="4"/>
  <c r="D16" i="4"/>
  <c r="E16" i="4"/>
  <c r="G16" i="4"/>
  <c r="H16" i="4"/>
  <c r="J16" i="4"/>
  <c r="K16" i="4"/>
  <c r="M16" i="4"/>
  <c r="N16" i="4"/>
  <c r="P16" i="4"/>
  <c r="Q16" i="4"/>
  <c r="S16" i="4"/>
  <c r="T16" i="4"/>
  <c r="D17" i="4"/>
  <c r="E17" i="4"/>
  <c r="G17" i="4"/>
  <c r="H17" i="4"/>
  <c r="J17" i="4"/>
  <c r="K17" i="4"/>
  <c r="M17" i="4"/>
  <c r="N17" i="4"/>
  <c r="P17" i="4"/>
  <c r="Q17" i="4"/>
  <c r="S17" i="4"/>
  <c r="T17" i="4"/>
  <c r="D18" i="4"/>
  <c r="E18" i="4"/>
  <c r="G18" i="4"/>
  <c r="H18" i="4"/>
  <c r="J18" i="4"/>
  <c r="K18" i="4"/>
  <c r="M18" i="4"/>
  <c r="N18" i="4"/>
  <c r="P18" i="4"/>
  <c r="Q18" i="4"/>
  <c r="S18" i="4"/>
  <c r="T18" i="4"/>
  <c r="D19" i="4"/>
  <c r="E19" i="4"/>
  <c r="G19" i="4"/>
  <c r="H19" i="4"/>
  <c r="J19" i="4"/>
  <c r="K19" i="4"/>
  <c r="M19" i="4"/>
  <c r="N19" i="4"/>
  <c r="P19" i="4"/>
  <c r="Q19" i="4"/>
  <c r="S19" i="4"/>
  <c r="T19" i="4"/>
  <c r="D20" i="4"/>
  <c r="E20" i="4"/>
  <c r="G20" i="4"/>
  <c r="H20" i="4"/>
  <c r="J20" i="4"/>
  <c r="K20" i="4"/>
  <c r="M20" i="4"/>
  <c r="N20" i="4"/>
  <c r="P20" i="4"/>
  <c r="Q20" i="4"/>
  <c r="S20" i="4"/>
  <c r="T20" i="4"/>
  <c r="D21" i="4"/>
  <c r="E21" i="4"/>
  <c r="G21" i="4"/>
  <c r="H21" i="4"/>
  <c r="J21" i="4"/>
  <c r="K21" i="4"/>
  <c r="M21" i="4"/>
  <c r="N21" i="4"/>
  <c r="P21" i="4"/>
  <c r="Q21" i="4"/>
  <c r="S21" i="4"/>
  <c r="T21" i="4"/>
  <c r="D22" i="4"/>
  <c r="E22" i="4"/>
  <c r="G22" i="4"/>
  <c r="H22" i="4"/>
  <c r="J22" i="4"/>
  <c r="K22" i="4"/>
  <c r="M22" i="4"/>
  <c r="N22" i="4"/>
  <c r="P22" i="4"/>
  <c r="Q22" i="4"/>
  <c r="S22" i="4"/>
  <c r="T22" i="4"/>
  <c r="D23" i="4"/>
  <c r="E23" i="4"/>
  <c r="G23" i="4"/>
  <c r="H23" i="4"/>
  <c r="J23" i="4"/>
  <c r="K23" i="4"/>
  <c r="M23" i="4"/>
  <c r="N23" i="4"/>
  <c r="P23" i="4"/>
  <c r="Q23" i="4"/>
  <c r="S23" i="4"/>
  <c r="T23" i="4"/>
  <c r="D24" i="4"/>
  <c r="E24" i="4"/>
  <c r="G24" i="4"/>
  <c r="H24" i="4"/>
  <c r="J24" i="4"/>
  <c r="K24" i="4"/>
  <c r="M24" i="4"/>
  <c r="N24" i="4"/>
  <c r="P24" i="4"/>
  <c r="Q24" i="4"/>
  <c r="S24" i="4"/>
  <c r="T24" i="4"/>
  <c r="D25" i="4"/>
  <c r="E25" i="4"/>
  <c r="G25" i="4"/>
  <c r="H25" i="4"/>
  <c r="J25" i="4"/>
  <c r="K25" i="4"/>
  <c r="M25" i="4"/>
  <c r="N25" i="4"/>
  <c r="P25" i="4"/>
  <c r="Q25" i="4"/>
  <c r="S25" i="4"/>
  <c r="T25" i="4"/>
  <c r="D26" i="4"/>
  <c r="E26" i="4"/>
  <c r="G26" i="4"/>
  <c r="H26" i="4"/>
  <c r="J26" i="4"/>
  <c r="K26" i="4"/>
  <c r="M26" i="4"/>
  <c r="N26" i="4"/>
  <c r="P26" i="4"/>
  <c r="Q26" i="4"/>
  <c r="S26" i="4"/>
  <c r="T26" i="4"/>
  <c r="D27" i="4"/>
  <c r="E27" i="4"/>
  <c r="G27" i="4"/>
  <c r="H27" i="4"/>
  <c r="J27" i="4"/>
  <c r="K27" i="4"/>
  <c r="M27" i="4"/>
  <c r="N27" i="4"/>
  <c r="P27" i="4"/>
  <c r="Q27" i="4"/>
  <c r="S27" i="4"/>
  <c r="T27" i="4"/>
  <c r="D28" i="4"/>
  <c r="E28" i="4"/>
  <c r="G28" i="4"/>
  <c r="H28" i="4"/>
  <c r="J28" i="4"/>
  <c r="K28" i="4"/>
  <c r="M28" i="4"/>
  <c r="N28" i="4"/>
  <c r="P28" i="4"/>
  <c r="Q28" i="4"/>
  <c r="S28" i="4"/>
  <c r="T28" i="4"/>
  <c r="D29" i="4"/>
  <c r="E29" i="4"/>
  <c r="G29" i="4"/>
  <c r="H29" i="4"/>
  <c r="J29" i="4"/>
  <c r="K29" i="4"/>
  <c r="M29" i="4"/>
  <c r="N29" i="4"/>
  <c r="P29" i="4"/>
  <c r="Q29" i="4"/>
  <c r="S29" i="4"/>
  <c r="T29" i="4"/>
  <c r="G30" i="4"/>
  <c r="H30" i="4"/>
  <c r="J30" i="4"/>
  <c r="K30" i="4"/>
  <c r="M30" i="4"/>
  <c r="N30" i="4"/>
  <c r="P30" i="4"/>
  <c r="Q30" i="4"/>
  <c r="S30" i="4"/>
  <c r="T30" i="4"/>
  <c r="L2" i="4"/>
  <c r="K2" i="4"/>
  <c r="J2" i="4"/>
  <c r="I2" i="4"/>
  <c r="H2" i="4"/>
  <c r="G2" i="4"/>
  <c r="F3" i="2" l="1"/>
  <c r="F2" i="2"/>
  <c r="F2" i="4" s="1"/>
  <c r="U6" i="2" l="1"/>
  <c r="U6" i="4" s="1"/>
  <c r="I6" i="2"/>
  <c r="I6" i="4" s="1"/>
  <c r="R6" i="2"/>
  <c r="R6" i="4" s="1"/>
  <c r="F6" i="2"/>
  <c r="F7" i="2" s="1" a="1"/>
  <c r="F7" i="2" s="1"/>
  <c r="F7" i="4" s="1"/>
  <c r="O6" i="2"/>
  <c r="O6" i="4" s="1"/>
  <c r="C6" i="2"/>
  <c r="C6" i="4" s="1"/>
  <c r="L6" i="2"/>
  <c r="L6" i="4" s="1"/>
  <c r="I3" i="2"/>
  <c r="F6" i="4" l="1"/>
  <c r="F10" i="2" a="1"/>
  <c r="F10" i="2" s="1"/>
  <c r="F10" i="4" s="1"/>
  <c r="R7" i="2" a="1"/>
  <c r="R7" i="2" s="1"/>
  <c r="R7" i="4" s="1"/>
  <c r="R8" i="2" a="1"/>
  <c r="R8" i="2" s="1"/>
  <c r="R8" i="4" s="1"/>
  <c r="R9" i="2" a="1"/>
  <c r="R9" i="2" s="1"/>
  <c r="R9" i="4" s="1"/>
  <c r="R10" i="2" a="1"/>
  <c r="R10" i="2" s="1"/>
  <c r="R10" i="4" s="1"/>
  <c r="O9" i="2" a="1"/>
  <c r="O9" i="2" s="1"/>
  <c r="O9" i="4" s="1"/>
  <c r="O10" i="2" a="1"/>
  <c r="O10" i="2" s="1"/>
  <c r="O10" i="4" s="1"/>
  <c r="O7" i="2" a="1"/>
  <c r="O7" i="2" s="1"/>
  <c r="O7" i="4" s="1"/>
  <c r="O8" i="2" a="1"/>
  <c r="O8" i="2" s="1"/>
  <c r="O8" i="4" s="1"/>
  <c r="F8" i="2" a="1"/>
  <c r="F8" i="2" s="1"/>
  <c r="F8" i="4" s="1"/>
  <c r="F9" i="2" a="1"/>
  <c r="F9" i="2" s="1"/>
  <c r="F9" i="4" s="1"/>
  <c r="L8" i="2" a="1"/>
  <c r="L8" i="2" s="1"/>
  <c r="L8" i="4" s="1"/>
  <c r="L7" i="2" a="1"/>
  <c r="L7" i="2" s="1"/>
  <c r="L7" i="4" s="1"/>
  <c r="L10" i="2" a="1"/>
  <c r="L10" i="2" s="1"/>
  <c r="L10" i="4" s="1"/>
  <c r="L9" i="2" a="1"/>
  <c r="L9" i="2" s="1"/>
  <c r="L9" i="4" s="1"/>
  <c r="I10" i="2" a="1"/>
  <c r="I10" i="2" s="1"/>
  <c r="I10" i="4" s="1"/>
  <c r="I8" i="2" a="1"/>
  <c r="I8" i="2" s="1"/>
  <c r="I8" i="4" s="1"/>
  <c r="I9" i="2" a="1"/>
  <c r="I9" i="2" s="1"/>
  <c r="I9" i="4" s="1"/>
  <c r="I7" i="2" a="1"/>
  <c r="I7" i="2" s="1"/>
  <c r="I7" i="4" s="1"/>
  <c r="C11" i="2"/>
  <c r="C11" i="4" s="1"/>
  <c r="U9" i="2" a="1"/>
  <c r="U9" i="2" s="1"/>
  <c r="U9" i="4" s="1"/>
  <c r="U10" i="2" a="1"/>
  <c r="U10" i="2" s="1"/>
  <c r="U10" i="4" s="1"/>
  <c r="U7" i="2" a="1"/>
  <c r="U7" i="2" s="1"/>
  <c r="U7" i="4" s="1"/>
  <c r="U8" i="2" a="1"/>
  <c r="U8" i="2" s="1"/>
  <c r="U8" i="4" s="1"/>
  <c r="C9" i="2" a="1"/>
  <c r="C9" i="2" s="1"/>
  <c r="C9" i="4" s="1"/>
  <c r="C10" i="2" a="1"/>
  <c r="C10" i="2" s="1"/>
  <c r="C10" i="4" s="1"/>
  <c r="C8" i="2" a="1"/>
  <c r="C8" i="2" s="1"/>
  <c r="C8" i="4" s="1"/>
  <c r="C7" i="2" a="1"/>
  <c r="C7" i="2" s="1"/>
  <c r="C7" i="4" s="1"/>
  <c r="F11" i="2" l="1"/>
  <c r="C14" i="2" a="1"/>
  <c r="C14" i="2" s="1"/>
  <c r="C14" i="4" s="1"/>
  <c r="C15" i="2" a="1"/>
  <c r="C15" i="2" s="1"/>
  <c r="C15" i="4" s="1"/>
  <c r="C13" i="2" a="1"/>
  <c r="C13" i="2" s="1"/>
  <c r="C13" i="4" s="1"/>
  <c r="C12" i="2" a="1"/>
  <c r="C12" i="2" s="1"/>
  <c r="C12" i="4" s="1"/>
  <c r="I11" i="2" l="1"/>
  <c r="F11" i="4"/>
  <c r="F13" i="2" a="1"/>
  <c r="F13" i="2" s="1"/>
  <c r="F13" i="4" s="1"/>
  <c r="F14" i="2" a="1"/>
  <c r="F14" i="2" s="1"/>
  <c r="F14" i="4" s="1"/>
  <c r="F15" i="2" a="1"/>
  <c r="F15" i="2" s="1"/>
  <c r="F15" i="4" s="1"/>
  <c r="F12" i="2" a="1"/>
  <c r="F12" i="2" s="1"/>
  <c r="F12" i="4" s="1"/>
  <c r="L11" i="2" l="1"/>
  <c r="I11" i="4"/>
  <c r="I12" i="2" a="1"/>
  <c r="I12" i="2" s="1"/>
  <c r="I12" i="4" s="1"/>
  <c r="I15" i="2" a="1"/>
  <c r="I15" i="2" s="1"/>
  <c r="I15" i="4" s="1"/>
  <c r="I13" i="2" a="1"/>
  <c r="I13" i="2" s="1"/>
  <c r="I13" i="4" s="1"/>
  <c r="I14" i="2" a="1"/>
  <c r="I14" i="2" s="1"/>
  <c r="I14" i="4" s="1"/>
  <c r="O11" i="2" l="1"/>
  <c r="L11" i="4"/>
  <c r="L12" i="2" a="1"/>
  <c r="L12" i="2" s="1"/>
  <c r="L12" i="4" s="1"/>
  <c r="L14" i="2" a="1"/>
  <c r="L14" i="2" s="1"/>
  <c r="L14" i="4" s="1"/>
  <c r="L15" i="2" a="1"/>
  <c r="L15" i="2" s="1"/>
  <c r="L15" i="4" s="1"/>
  <c r="L13" i="2" a="1"/>
  <c r="L13" i="2" s="1"/>
  <c r="L13" i="4" s="1"/>
  <c r="O11" i="4" l="1"/>
  <c r="O12" i="2" a="1"/>
  <c r="O12" i="2" s="1"/>
  <c r="O12" i="4" s="1"/>
  <c r="O14" i="2" a="1"/>
  <c r="O14" i="2" s="1"/>
  <c r="O14" i="4" s="1"/>
  <c r="R11" i="2"/>
  <c r="O15" i="2" a="1"/>
  <c r="O15" i="2" s="1"/>
  <c r="O15" i="4" s="1"/>
  <c r="O13" i="2" a="1"/>
  <c r="O13" i="2" s="1"/>
  <c r="O13" i="4" s="1"/>
  <c r="R11" i="4" l="1"/>
  <c r="R13" i="2" a="1"/>
  <c r="R13" i="2" s="1"/>
  <c r="R13" i="4" s="1"/>
  <c r="R14" i="2" a="1"/>
  <c r="R14" i="2" s="1"/>
  <c r="R14" i="4" s="1"/>
  <c r="R15" i="2" a="1"/>
  <c r="R15" i="2" s="1"/>
  <c r="R15" i="4" s="1"/>
  <c r="R12" i="2" a="1"/>
  <c r="R12" i="2" s="1"/>
  <c r="R12" i="4" s="1"/>
  <c r="U11" i="2"/>
  <c r="U11" i="4" s="1"/>
  <c r="U15" i="2" l="1" a="1"/>
  <c r="U15" i="2" s="1"/>
  <c r="U15" i="4" s="1"/>
  <c r="U13" i="2" a="1"/>
  <c r="U13" i="2" s="1"/>
  <c r="U13" i="4" s="1"/>
  <c r="U14" i="2" a="1"/>
  <c r="U14" i="2" s="1"/>
  <c r="U14" i="4" s="1"/>
  <c r="U12" i="2" a="1"/>
  <c r="U12" i="2" s="1"/>
  <c r="U12" i="4" s="1"/>
  <c r="C16" i="2"/>
  <c r="C19" i="2" s="1" a="1"/>
  <c r="C19" i="2" s="1"/>
  <c r="C19" i="4" s="1"/>
  <c r="C18" i="2" l="1" a="1"/>
  <c r="C18" i="2" s="1"/>
  <c r="C18" i="4" s="1"/>
  <c r="C17" i="2" a="1"/>
  <c r="C17" i="2" s="1"/>
  <c r="C17" i="4" s="1"/>
  <c r="C20" i="2" a="1"/>
  <c r="C20" i="2" s="1"/>
  <c r="C20" i="4" s="1"/>
  <c r="F16" i="2"/>
  <c r="F19" i="2" s="1" a="1"/>
  <c r="F19" i="2" s="1"/>
  <c r="F19" i="4" s="1"/>
  <c r="C16" i="4"/>
  <c r="F18" i="2" l="1" a="1"/>
  <c r="F18" i="2" s="1"/>
  <c r="F18" i="4" s="1"/>
  <c r="F17" i="2" a="1"/>
  <c r="F17" i="2" s="1"/>
  <c r="F17" i="4" s="1"/>
  <c r="F20" i="2" a="1"/>
  <c r="F20" i="2" s="1"/>
  <c r="F20" i="4" s="1"/>
  <c r="I16" i="2"/>
  <c r="I20" i="2" s="1" a="1"/>
  <c r="I20" i="2" s="1"/>
  <c r="I20" i="4" s="1"/>
  <c r="F16" i="4"/>
  <c r="I17" i="2" l="1" a="1"/>
  <c r="I17" i="2" s="1"/>
  <c r="I17" i="4" s="1"/>
  <c r="I18" i="2" a="1"/>
  <c r="I18" i="2" s="1"/>
  <c r="I18" i="4" s="1"/>
  <c r="I19" i="2" a="1"/>
  <c r="I19" i="2" s="1"/>
  <c r="I19" i="4" s="1"/>
  <c r="L16" i="2"/>
  <c r="L19" i="2" s="1" a="1"/>
  <c r="L19" i="2" s="1"/>
  <c r="L19" i="4" s="1"/>
  <c r="I16" i="4"/>
  <c r="L18" i="2" l="1" a="1"/>
  <c r="L18" i="2" s="1"/>
  <c r="L18" i="4" s="1"/>
  <c r="L20" i="2" a="1"/>
  <c r="L20" i="2" s="1"/>
  <c r="L20" i="4" s="1"/>
  <c r="L17" i="2" a="1"/>
  <c r="L17" i="2" s="1"/>
  <c r="L17" i="4" s="1"/>
  <c r="O16" i="2"/>
  <c r="L16" i="4"/>
  <c r="O16" i="4" l="1"/>
  <c r="O18" i="2" a="1"/>
  <c r="O18" i="2" s="1"/>
  <c r="O18" i="4" s="1"/>
  <c r="O17" i="2" a="1"/>
  <c r="O17" i="2" s="1"/>
  <c r="O17" i="4" s="1"/>
  <c r="R16" i="2"/>
  <c r="O20" i="2" a="1"/>
  <c r="O20" i="2" s="1"/>
  <c r="O20" i="4" s="1"/>
  <c r="O19" i="2" a="1"/>
  <c r="O19" i="2" s="1"/>
  <c r="O19" i="4" s="1"/>
  <c r="R16" i="4" l="1"/>
  <c r="R20" i="2" a="1"/>
  <c r="R20" i="2" s="1"/>
  <c r="R20" i="4" s="1"/>
  <c r="R19" i="2" a="1"/>
  <c r="R19" i="2" s="1"/>
  <c r="R19" i="4" s="1"/>
  <c r="R18" i="2" a="1"/>
  <c r="R18" i="2" s="1"/>
  <c r="R18" i="4" s="1"/>
  <c r="R17" i="2" a="1"/>
  <c r="R17" i="2" s="1"/>
  <c r="R17" i="4" s="1"/>
  <c r="U16" i="2"/>
  <c r="U16" i="4" l="1"/>
  <c r="C21" i="2"/>
  <c r="U17" i="2" a="1"/>
  <c r="U17" i="2" s="1"/>
  <c r="U17" i="4" s="1"/>
  <c r="U18" i="2" a="1"/>
  <c r="U18" i="2" s="1"/>
  <c r="U18" i="4" s="1"/>
  <c r="U20" i="2" a="1"/>
  <c r="U20" i="2" s="1"/>
  <c r="U20" i="4" s="1"/>
  <c r="U19" i="2" a="1"/>
  <c r="U19" i="2" s="1"/>
  <c r="U19" i="4" s="1"/>
  <c r="C21" i="4" l="1"/>
  <c r="F21" i="2"/>
  <c r="C23" i="2" a="1"/>
  <c r="C23" i="2" s="1"/>
  <c r="C23" i="4" s="1"/>
  <c r="C25" i="2" a="1"/>
  <c r="C25" i="2" s="1"/>
  <c r="C25" i="4" s="1"/>
  <c r="C22" i="2" a="1"/>
  <c r="C22" i="2" s="1"/>
  <c r="C22" i="4" s="1"/>
  <c r="C24" i="2" a="1"/>
  <c r="C24" i="2" s="1"/>
  <c r="C24" i="4" s="1"/>
  <c r="F21" i="4" l="1"/>
  <c r="I21" i="2"/>
  <c r="F22" i="2" a="1"/>
  <c r="F22" i="2" s="1"/>
  <c r="F22" i="4" s="1"/>
  <c r="F23" i="2" a="1"/>
  <c r="F23" i="2" s="1"/>
  <c r="F23" i="4" s="1"/>
  <c r="F24" i="2" a="1"/>
  <c r="F24" i="2" s="1"/>
  <c r="F24" i="4" s="1"/>
  <c r="F25" i="2" a="1"/>
  <c r="F25" i="2" s="1"/>
  <c r="F25" i="4" s="1"/>
  <c r="I21" i="4" l="1"/>
  <c r="L21" i="2"/>
  <c r="I23" i="2" a="1"/>
  <c r="I23" i="2" s="1"/>
  <c r="I23" i="4" s="1"/>
  <c r="I24" i="2" a="1"/>
  <c r="I24" i="2" s="1"/>
  <c r="I24" i="4" s="1"/>
  <c r="I22" i="2" a="1"/>
  <c r="I22" i="2" s="1"/>
  <c r="I22" i="4" s="1"/>
  <c r="I25" i="2" a="1"/>
  <c r="I25" i="2" s="1"/>
  <c r="I25" i="4" s="1"/>
  <c r="O21" i="2" l="1"/>
  <c r="L21" i="4"/>
  <c r="L25" i="2" a="1"/>
  <c r="L25" i="2" s="1"/>
  <c r="L25" i="4" s="1"/>
  <c r="L24" i="2" a="1"/>
  <c r="L24" i="2" s="1"/>
  <c r="L24" i="4" s="1"/>
  <c r="L22" i="2" a="1"/>
  <c r="L22" i="2" s="1"/>
  <c r="L22" i="4" s="1"/>
  <c r="L23" i="2" a="1"/>
  <c r="L23" i="2" s="1"/>
  <c r="L23" i="4" s="1"/>
  <c r="O21" i="4" l="1"/>
  <c r="O24" i="2" a="1"/>
  <c r="O24" i="2" s="1"/>
  <c r="O24" i="4" s="1"/>
  <c r="O23" i="2" a="1"/>
  <c r="O23" i="2" s="1"/>
  <c r="O23" i="4" s="1"/>
  <c r="O22" i="2" a="1"/>
  <c r="O22" i="2" s="1"/>
  <c r="O22" i="4" s="1"/>
  <c r="R21" i="2"/>
  <c r="O25" i="2" a="1"/>
  <c r="O25" i="2" s="1"/>
  <c r="O25" i="4" s="1"/>
  <c r="R21" i="4" l="1"/>
  <c r="R22" i="2" a="1"/>
  <c r="R22" i="2" s="1"/>
  <c r="R22" i="4" s="1"/>
  <c r="R25" i="2" a="1"/>
  <c r="R25" i="2" s="1"/>
  <c r="R25" i="4" s="1"/>
  <c r="R24" i="2" a="1"/>
  <c r="R24" i="2" s="1"/>
  <c r="R24" i="4" s="1"/>
  <c r="R23" i="2" a="1"/>
  <c r="R23" i="2" s="1"/>
  <c r="R23" i="4" s="1"/>
  <c r="U21" i="2"/>
  <c r="U21" i="4" l="1"/>
  <c r="C26" i="2"/>
  <c r="U25" i="2" a="1"/>
  <c r="U25" i="2" s="1"/>
  <c r="U25" i="4" s="1"/>
  <c r="U22" i="2" a="1"/>
  <c r="U22" i="2" s="1"/>
  <c r="U22" i="4" s="1"/>
  <c r="U24" i="2" a="1"/>
  <c r="U24" i="2" s="1"/>
  <c r="U24" i="4" s="1"/>
  <c r="U23" i="2" a="1"/>
  <c r="U23" i="2" s="1"/>
  <c r="U23" i="4" s="1"/>
  <c r="C26" i="4" l="1"/>
  <c r="F26" i="2"/>
  <c r="C30" i="2" a="1"/>
  <c r="C30" i="2" s="1"/>
  <c r="C30" i="4" s="1"/>
  <c r="C27" i="2" a="1"/>
  <c r="C27" i="2" s="1"/>
  <c r="C27" i="4" s="1"/>
  <c r="C29" i="2" a="1"/>
  <c r="C29" i="2" s="1"/>
  <c r="C29" i="4" s="1"/>
  <c r="C28" i="2" a="1"/>
  <c r="C28" i="2" s="1"/>
  <c r="C28" i="4" s="1"/>
  <c r="F26" i="4" l="1"/>
  <c r="I26" i="2"/>
  <c r="F30" i="2" a="1"/>
  <c r="F30" i="2" s="1"/>
  <c r="F30" i="4" s="1"/>
  <c r="F29" i="2" a="1"/>
  <c r="F29" i="2" s="1"/>
  <c r="F29" i="4" s="1"/>
  <c r="F28" i="2" a="1"/>
  <c r="F28" i="2" s="1"/>
  <c r="F28" i="4" s="1"/>
  <c r="F27" i="2" a="1"/>
  <c r="F27" i="2" s="1"/>
  <c r="F27" i="4" s="1"/>
  <c r="I26" i="4" l="1"/>
  <c r="L26" i="2"/>
  <c r="I27" i="2" a="1"/>
  <c r="I27" i="2" s="1"/>
  <c r="I27" i="4" s="1"/>
  <c r="I29" i="2" a="1"/>
  <c r="I29" i="2" s="1"/>
  <c r="I29" i="4" s="1"/>
  <c r="I28" i="2" a="1"/>
  <c r="I28" i="2" s="1"/>
  <c r="I28" i="4" s="1"/>
  <c r="I30" i="2" a="1"/>
  <c r="I30" i="2" s="1"/>
  <c r="I30" i="4" s="1"/>
  <c r="O26" i="2" l="1"/>
  <c r="L26" i="4"/>
  <c r="L30" i="2" a="1"/>
  <c r="L30" i="2" s="1"/>
  <c r="L30" i="4" s="1"/>
  <c r="L27" i="2" a="1"/>
  <c r="L27" i="2" s="1"/>
  <c r="L27" i="4" s="1"/>
  <c r="L29" i="2" a="1"/>
  <c r="L29" i="2" s="1"/>
  <c r="L29" i="4" s="1"/>
  <c r="L28" i="2" a="1"/>
  <c r="L28" i="2" s="1"/>
  <c r="L28" i="4" s="1"/>
  <c r="O26" i="4" l="1"/>
  <c r="O29" i="2" a="1"/>
  <c r="O29" i="2" s="1"/>
  <c r="O29" i="4" s="1"/>
  <c r="O28" i="2" a="1"/>
  <c r="O28" i="2" s="1"/>
  <c r="O28" i="4" s="1"/>
  <c r="R26" i="2"/>
  <c r="O27" i="2" a="1"/>
  <c r="O27" i="2" s="1"/>
  <c r="O27" i="4" s="1"/>
  <c r="O30" i="2" a="1"/>
  <c r="O30" i="2" s="1"/>
  <c r="O30" i="4" s="1"/>
  <c r="R26" i="4" l="1"/>
  <c r="R27" i="2" a="1"/>
  <c r="R27" i="2" s="1"/>
  <c r="R27" i="4" s="1"/>
  <c r="R30" i="2" a="1"/>
  <c r="R30" i="2" s="1"/>
  <c r="R30" i="4" s="1"/>
  <c r="R29" i="2" a="1"/>
  <c r="R29" i="2" s="1"/>
  <c r="R29" i="4" s="1"/>
  <c r="R28" i="2" a="1"/>
  <c r="R28" i="2" s="1"/>
  <c r="R28" i="4" s="1"/>
  <c r="U26" i="2"/>
  <c r="U26" i="4" l="1"/>
  <c r="C31" i="2"/>
  <c r="U27" i="2" a="1"/>
  <c r="U27" i="2" s="1"/>
  <c r="U27" i="4" s="1"/>
  <c r="U30" i="2" a="1"/>
  <c r="U30" i="2" s="1"/>
  <c r="U30" i="4" s="1"/>
  <c r="U29" i="2" a="1"/>
  <c r="U29" i="2" s="1"/>
  <c r="U29" i="4" s="1"/>
  <c r="U28" i="2" a="1"/>
  <c r="U28" i="2" s="1"/>
  <c r="U28" i="4" s="1"/>
  <c r="C31" i="4" l="1"/>
  <c r="F31" i="2"/>
  <c r="C32" i="2" a="1"/>
  <c r="C32" i="2" s="1"/>
  <c r="C32" i="4" s="1"/>
  <c r="C34" i="2" a="1"/>
  <c r="C34" i="2" s="1"/>
  <c r="C34" i="4" s="1"/>
  <c r="C35" i="2" a="1"/>
  <c r="C35" i="2" s="1"/>
  <c r="C35" i="4" s="1"/>
  <c r="C33" i="2" a="1"/>
  <c r="C33" i="2" s="1"/>
  <c r="C33" i="4" s="1"/>
  <c r="F31" i="4" l="1"/>
  <c r="F34" i="2" a="1"/>
  <c r="F34" i="2" s="1"/>
  <c r="F34" i="4" s="1"/>
  <c r="F32" i="2" a="1"/>
  <c r="F32" i="2" s="1"/>
  <c r="F32" i="4" s="1"/>
  <c r="F35" i="2" a="1"/>
  <c r="F35" i="2" s="1"/>
  <c r="F35" i="4" s="1"/>
  <c r="F33" i="2" a="1"/>
  <c r="F33" i="2" s="1"/>
  <c r="F33" i="4" s="1"/>
</calcChain>
</file>

<file path=xl/sharedStrings.xml><?xml version="1.0" encoding="utf-8"?>
<sst xmlns="http://schemas.openxmlformats.org/spreadsheetml/2006/main" count="65" uniqueCount="38">
  <si>
    <t>Ronda de bares</t>
  </si>
  <si>
    <t>NOTAS:</t>
  </si>
  <si>
    <t>Jardín comunitario</t>
  </si>
  <si>
    <t>Muestra de antigüedades</t>
  </si>
  <si>
    <t>Ayuntamiento</t>
  </si>
  <si>
    <t>PLANIFICADOR DE EVENTOS</t>
  </si>
  <si>
    <t>DE LA COMUNIDAD MENSUALES</t>
  </si>
  <si>
    <t>Comisión de presupuesto</t>
  </si>
  <si>
    <t>FECHA</t>
  </si>
  <si>
    <t>DÍA</t>
  </si>
  <si>
    <t>MES</t>
  </si>
  <si>
    <t>NOMBRE DEL EVENTO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</si>
  <si>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</si>
  <si>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</si>
  <si>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</si>
  <si>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</si>
  <si>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</si>
  <si>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</si>
  <si>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</si>
  <si>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</si>
  <si>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</si>
  <si>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</si>
  <si>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</si>
  <si>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</si>
  <si>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NÚMERO</t>
  </si>
  <si>
    <t>DOM.</t>
  </si>
  <si>
    <t>LUN.</t>
  </si>
  <si>
    <t>MAR.</t>
  </si>
  <si>
    <t>MIÉ.</t>
  </si>
  <si>
    <t>JUE.</t>
  </si>
  <si>
    <t>VIE.</t>
  </si>
  <si>
    <t>SÁB.</t>
  </si>
  <si>
    <t>Noche de cine en el parque</t>
  </si>
  <si>
    <t>Taller de Planificación estratégica</t>
  </si>
  <si>
    <t>Limpieza del parque</t>
  </si>
  <si>
    <t>Excursión a pie por el centro</t>
  </si>
  <si>
    <t>Taller comunitario</t>
  </si>
  <si>
    <t>Comida en la Cámara de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</si>
</sst>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"/>
    <numFmt numFmtId="165" formatCode="ddd"/>
  </numFmts>
  <fonts count="23" x14ac:knownFonts="1">
    <font>
      <sz val="11"/>
      <color theme="0"/>
      <name val="Century"/>
      <family val="1"/>
      <scheme val="minor"/>
    </font>
    <font>
      <sz val="11"/>
      <color theme="0"/>
      <name val="Century"/>
      <family val="1"/>
      <scheme val="major"/>
    </font>
    <font>
      <sz val="36"/>
      <color theme="9"/>
      <name val="Century"/>
      <family val="1"/>
      <scheme val="major"/>
    </font>
    <font>
      <sz val="36"/>
      <color theme="0"/>
      <name val="Century"/>
      <family val="1"/>
      <scheme val="major"/>
    </font>
    <font>
      <sz val="11"/>
      <color theme="4"/>
      <name val="Century"/>
      <family val="2"/>
      <scheme val="minor"/>
    </font>
    <font>
      <sz val="22"/>
      <color theme="0"/>
      <name val="Century"/>
      <family val="1"/>
      <scheme val="major"/>
    </font>
    <font>
      <sz val="11"/>
      <name val="Century"/>
      <family val="1"/>
      <scheme val="major"/>
    </font>
    <font>
      <sz val="8"/>
      <name val="Century"/>
      <family val="2"/>
      <scheme val="minor"/>
    </font>
    <font>
      <sz val="8"/>
      <color theme="0"/>
      <name val="Century"/>
      <family val="2"/>
      <scheme val="minor"/>
    </font>
    <font>
      <sz val="14"/>
      <color theme="0"/>
      <name val="Century"/>
      <family val="1"/>
      <scheme val="major"/>
    </font>
    <font>
      <sz val="11"/>
      <color theme="2"/>
      <name val="Century"/>
      <family val="2"/>
      <scheme val="minor"/>
    </font>
    <font>
      <sz val="22"/>
      <color theme="3"/>
      <name val="Century"/>
      <family val="1"/>
      <scheme val="major"/>
    </font>
    <font>
      <sz val="36"/>
      <color theme="3"/>
      <name val="Century"/>
      <family val="1"/>
      <scheme val="major"/>
    </font>
    <font>
      <sz val="36"/>
      <color theme="4"/>
      <name val="Century"/>
      <family val="1"/>
      <scheme val="major"/>
    </font>
    <font>
      <sz val="8"/>
      <color theme="3"/>
      <name val="Century"/>
      <family val="2"/>
      <scheme val="minor"/>
    </font>
    <font>
      <sz val="14"/>
      <color theme="3"/>
      <name val="Century"/>
      <family val="1"/>
      <scheme val="major"/>
    </font>
    <font>
      <sz val="14"/>
      <color theme="3"/>
      <name val="Century"/>
      <family val="2"/>
      <scheme val="minor"/>
    </font>
    <font>
      <sz val="11"/>
      <color theme="3"/>
      <name val="Century"/>
      <family val="1"/>
      <scheme val="major"/>
    </font>
    <font>
      <sz val="8"/>
      <color theme="3"/>
      <name val="Century"/>
      <family val="1"/>
      <scheme val="major"/>
    </font>
    <font>
      <sz val="11"/>
      <color theme="3"/>
      <name val="Century"/>
      <family val="2"/>
      <scheme val="minor"/>
    </font>
    <font>
      <sz val="8"/>
      <color theme="0"/>
      <name val="Century"/>
      <family val="1"/>
      <scheme val="minor"/>
    </font>
    <font>
      <sz val="14"/>
      <color theme="3"/>
      <name val="Century"/>
      <family val="1"/>
      <scheme val="minor"/>
    </font>
    <font>
      <sz val="14"/>
      <color theme="9"/>
      <name val="Century"/>
      <family val="1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0.3999450666829432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ck">
        <color theme="4"/>
      </left>
      <right style="thick">
        <color theme="4"/>
      </right>
      <top/>
      <bottom style="thick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2" borderId="0">
      <alignment vertical="center"/>
    </xf>
    <xf numFmtId="0" fontId="2" fillId="2" borderId="0" applyNumberFormat="0" applyProtection="0">
      <alignment horizontal="left" vertical="center"/>
    </xf>
    <xf numFmtId="0" fontId="3" fillId="2" borderId="0" applyNumberFormat="0" applyProtection="0">
      <alignment horizontal="left" vertical="center"/>
    </xf>
    <xf numFmtId="0" fontId="5" fillId="2" borderId="4" applyNumberFormat="0" applyProtection="0">
      <alignment horizontal="center" vertical="center"/>
    </xf>
  </cellStyleXfs>
  <cellXfs count="100">
    <xf numFmtId="0" fontId="0" fillId="2" borderId="0" xfId="0">
      <alignment vertical="center"/>
    </xf>
    <xf numFmtId="0" fontId="0" fillId="2" borderId="0" xfId="0" applyAlignment="1">
      <alignment vertical="center"/>
    </xf>
    <xf numFmtId="0" fontId="0" fillId="2" borderId="0" xfId="0" applyAlignment="1">
      <alignment horizontal="left" vertical="center"/>
    </xf>
    <xf numFmtId="14" fontId="0" fillId="2" borderId="0" xfId="0" applyNumberFormat="1" applyAlignment="1">
      <alignment horizontal="left" vertical="center"/>
    </xf>
    <xf numFmtId="0" fontId="2" fillId="2" borderId="0" xfId="1" applyFill="1">
      <alignment horizontal="left" vertical="center"/>
    </xf>
    <xf numFmtId="0" fontId="3" fillId="2" borderId="0" xfId="2" applyFill="1">
      <alignment horizontal="left" vertical="center"/>
    </xf>
    <xf numFmtId="14" fontId="0" fillId="2" borderId="0" xfId="0" applyNumberFormat="1" applyFont="1" applyFill="1" applyBorder="1" applyAlignment="1">
      <alignment horizontal="left" vertical="center"/>
    </xf>
    <xf numFmtId="14" fontId="0" fillId="2" borderId="0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left" vertical="center"/>
    </xf>
    <xf numFmtId="0" fontId="3" fillId="3" borderId="0" xfId="2" applyFill="1">
      <alignment horizontal="left" vertical="center"/>
    </xf>
    <xf numFmtId="0" fontId="2" fillId="3" borderId="0" xfId="1" applyFill="1" applyAlignment="1">
      <alignment vertical="center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164" fontId="1" fillId="5" borderId="0" xfId="0" applyNumberFormat="1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0" fillId="2" borderId="0" xfId="0" applyFill="1" applyBorder="1">
      <alignment vertical="center"/>
    </xf>
    <xf numFmtId="0" fontId="0" fillId="5" borderId="0" xfId="0" applyFill="1" applyBorder="1">
      <alignment vertical="center"/>
    </xf>
    <xf numFmtId="0" fontId="0" fillId="6" borderId="0" xfId="0" applyFill="1" applyBorder="1">
      <alignment vertical="center"/>
    </xf>
    <xf numFmtId="0" fontId="5" fillId="2" borderId="0" xfId="3" applyFont="1" applyFill="1" applyBorder="1">
      <alignment horizontal="center" vertical="center"/>
    </xf>
    <xf numFmtId="0" fontId="5" fillId="5" borderId="0" xfId="3" applyFont="1" applyFill="1" applyBorder="1">
      <alignment horizontal="center" vertical="center"/>
    </xf>
    <xf numFmtId="0" fontId="5" fillId="6" borderId="0" xfId="3" applyFont="1" applyFill="1" applyBorder="1">
      <alignment horizontal="center" vertical="center"/>
    </xf>
    <xf numFmtId="0" fontId="0" fillId="7" borderId="0" xfId="0" applyFill="1" applyBorder="1">
      <alignment vertical="center"/>
    </xf>
    <xf numFmtId="0" fontId="5" fillId="7" borderId="0" xfId="3" applyFont="1" applyFill="1" applyBorder="1">
      <alignment horizontal="center" vertical="center"/>
    </xf>
    <xf numFmtId="0" fontId="0" fillId="8" borderId="0" xfId="0" applyFill="1" applyBorder="1">
      <alignment vertical="center"/>
    </xf>
    <xf numFmtId="0" fontId="5" fillId="8" borderId="0" xfId="3" applyFont="1" applyFill="1" applyBorder="1">
      <alignment horizontal="center" vertical="center"/>
    </xf>
    <xf numFmtId="0" fontId="0" fillId="9" borderId="0" xfId="0" applyFill="1" applyBorder="1">
      <alignment vertical="center"/>
    </xf>
    <xf numFmtId="0" fontId="5" fillId="9" borderId="0" xfId="3" applyFont="1" applyFill="1" applyBorder="1">
      <alignment horizontal="center" vertical="center"/>
    </xf>
    <xf numFmtId="0" fontId="0" fillId="4" borderId="0" xfId="0" applyFill="1" applyBorder="1">
      <alignment vertical="center"/>
    </xf>
    <xf numFmtId="0" fontId="5" fillId="4" borderId="0" xfId="3" applyFont="1" applyFill="1" applyBorder="1">
      <alignment horizontal="center" vertical="center"/>
    </xf>
    <xf numFmtId="164" fontId="1" fillId="4" borderId="0" xfId="0" applyNumberFormat="1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164" fontId="9" fillId="2" borderId="0" xfId="0" applyNumberFormat="1" applyFont="1" applyFill="1" applyBorder="1" applyAlignment="1">
      <alignment horizontal="left" vertical="center"/>
    </xf>
    <xf numFmtId="164" fontId="9" fillId="5" borderId="0" xfId="0" applyNumberFormat="1" applyFont="1" applyFill="1" applyBorder="1" applyAlignment="1">
      <alignment horizontal="left" vertical="center"/>
    </xf>
    <xf numFmtId="164" fontId="9" fillId="6" borderId="0" xfId="0" applyNumberFormat="1" applyFont="1" applyFill="1" applyBorder="1" applyAlignment="1">
      <alignment horizontal="left" vertical="center"/>
    </xf>
    <xf numFmtId="164" fontId="9" fillId="7" borderId="0" xfId="0" applyNumberFormat="1" applyFont="1" applyFill="1" applyBorder="1" applyAlignment="1">
      <alignment horizontal="left" vertical="center"/>
    </xf>
    <xf numFmtId="164" fontId="9" fillId="8" borderId="0" xfId="0" applyNumberFormat="1" applyFont="1" applyFill="1" applyBorder="1" applyAlignment="1">
      <alignment horizontal="left" vertical="center"/>
    </xf>
    <xf numFmtId="164" fontId="9" fillId="9" borderId="0" xfId="0" applyNumberFormat="1" applyFont="1" applyFill="1" applyBorder="1" applyAlignment="1">
      <alignment horizontal="left" vertical="center"/>
    </xf>
    <xf numFmtId="164" fontId="9" fillId="4" borderId="0" xfId="0" applyNumberFormat="1" applyFont="1" applyFill="1" applyBorder="1" applyAlignment="1">
      <alignment horizontal="left" vertical="center"/>
    </xf>
    <xf numFmtId="164" fontId="9" fillId="2" borderId="5" xfId="0" applyNumberFormat="1" applyFont="1" applyFill="1" applyBorder="1" applyAlignment="1">
      <alignment horizontal="left" vertical="center"/>
    </xf>
    <xf numFmtId="164" fontId="9" fillId="5" borderId="5" xfId="0" applyNumberFormat="1" applyFont="1" applyFill="1" applyBorder="1" applyAlignment="1">
      <alignment horizontal="left" vertical="center"/>
    </xf>
    <xf numFmtId="164" fontId="9" fillId="6" borderId="5" xfId="0" applyNumberFormat="1" applyFont="1" applyFill="1" applyBorder="1" applyAlignment="1">
      <alignment horizontal="left" vertical="center"/>
    </xf>
    <xf numFmtId="164" fontId="9" fillId="7" borderId="5" xfId="0" applyNumberFormat="1" applyFont="1" applyFill="1" applyBorder="1" applyAlignment="1">
      <alignment horizontal="left" vertical="center"/>
    </xf>
    <xf numFmtId="164" fontId="9" fillId="8" borderId="5" xfId="0" applyNumberFormat="1" applyFont="1" applyFill="1" applyBorder="1" applyAlignment="1">
      <alignment horizontal="left" vertical="center"/>
    </xf>
    <xf numFmtId="164" fontId="9" fillId="9" borderId="5" xfId="0" applyNumberFormat="1" applyFont="1" applyFill="1" applyBorder="1" applyAlignment="1">
      <alignment horizontal="left" vertical="center"/>
    </xf>
    <xf numFmtId="164" fontId="9" fillId="4" borderId="5" xfId="0" applyNumberFormat="1" applyFont="1" applyFill="1" applyBorder="1" applyAlignment="1">
      <alignment horizontal="left" vertical="center"/>
    </xf>
    <xf numFmtId="164" fontId="1" fillId="10" borderId="0" xfId="0" applyNumberFormat="1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10" fillId="3" borderId="0" xfId="0" applyFont="1" applyFill="1">
      <alignment vertical="center"/>
    </xf>
    <xf numFmtId="14" fontId="10" fillId="3" borderId="0" xfId="0" applyNumberFormat="1" applyFont="1" applyFill="1">
      <alignment vertical="center"/>
    </xf>
    <xf numFmtId="0" fontId="3" fillId="0" borderId="0" xfId="2" applyFill="1">
      <alignment horizontal="left" vertical="center"/>
    </xf>
    <xf numFmtId="0" fontId="2" fillId="0" borderId="0" xfId="1" applyFill="1" applyAlignment="1">
      <alignment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0" fillId="0" borderId="0" xfId="0" applyFill="1" applyBorder="1">
      <alignment vertical="center"/>
    </xf>
    <xf numFmtId="0" fontId="5" fillId="0" borderId="0" xfId="3" applyFont="1" applyFill="1" applyBorder="1">
      <alignment horizontal="center" vertical="center"/>
    </xf>
    <xf numFmtId="0" fontId="11" fillId="0" borderId="0" xfId="3" applyFont="1" applyFill="1" applyBorder="1">
      <alignment horizontal="center" vertical="center"/>
    </xf>
    <xf numFmtId="0" fontId="12" fillId="0" borderId="0" xfId="2" applyFont="1" applyFill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>
      <alignment vertical="center"/>
    </xf>
    <xf numFmtId="0" fontId="6" fillId="0" borderId="0" xfId="0" applyFont="1" applyFill="1" applyBorder="1">
      <alignment vertical="center"/>
    </xf>
    <xf numFmtId="0" fontId="14" fillId="0" borderId="0" xfId="0" applyFont="1" applyFill="1" applyBorder="1" applyAlignment="1">
      <alignment horizontal="left" vertical="center"/>
    </xf>
    <xf numFmtId="164" fontId="15" fillId="0" borderId="0" xfId="0" applyNumberFormat="1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7" fillId="0" borderId="0" xfId="0" applyFont="1" applyFill="1">
      <alignment vertical="center"/>
    </xf>
    <xf numFmtId="0" fontId="14" fillId="0" borderId="6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6" fillId="0" borderId="3" xfId="0" applyFont="1" applyFill="1" applyBorder="1">
      <alignment vertical="center"/>
    </xf>
    <xf numFmtId="0" fontId="6" fillId="0" borderId="9" xfId="0" applyFont="1" applyFill="1" applyBorder="1">
      <alignment vertical="center"/>
    </xf>
    <xf numFmtId="164" fontId="15" fillId="0" borderId="7" xfId="0" applyNumberFormat="1" applyFont="1" applyFill="1" applyBorder="1" applyAlignment="1">
      <alignment horizontal="left" vertical="center"/>
    </xf>
    <xf numFmtId="0" fontId="18" fillId="0" borderId="0" xfId="0" applyFont="1" applyFill="1">
      <alignment vertical="center"/>
    </xf>
    <xf numFmtId="164" fontId="18" fillId="0" borderId="0" xfId="0" applyNumberFormat="1" applyFont="1" applyFill="1" applyBorder="1" applyAlignment="1">
      <alignment horizontal="left" vertical="center"/>
    </xf>
    <xf numFmtId="0" fontId="5" fillId="11" borderId="0" xfId="3" applyFont="1" applyFill="1" applyBorder="1">
      <alignment horizontal="center" vertical="center"/>
    </xf>
    <xf numFmtId="164" fontId="1" fillId="12" borderId="0" xfId="0" applyNumberFormat="1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/>
    </xf>
    <xf numFmtId="0" fontId="19" fillId="0" borderId="0" xfId="0" applyFont="1" applyFill="1">
      <alignment vertical="center"/>
    </xf>
    <xf numFmtId="14" fontId="19" fillId="0" borderId="0" xfId="0" applyNumberFormat="1" applyFont="1" applyFill="1">
      <alignment vertical="center"/>
    </xf>
    <xf numFmtId="0" fontId="0" fillId="2" borderId="11" xfId="0" applyBorder="1" applyAlignment="1">
      <alignment vertical="center"/>
    </xf>
    <xf numFmtId="0" fontId="20" fillId="2" borderId="0" xfId="0" applyFont="1" applyFill="1" applyBorder="1" applyAlignment="1">
      <alignment horizontal="left" vertical="center"/>
    </xf>
    <xf numFmtId="0" fontId="20" fillId="5" borderId="0" xfId="0" applyFont="1" applyFill="1" applyBorder="1" applyAlignment="1">
      <alignment horizontal="left" vertical="center"/>
    </xf>
    <xf numFmtId="0" fontId="20" fillId="6" borderId="0" xfId="0" applyFont="1" applyFill="1" applyBorder="1" applyAlignment="1">
      <alignment horizontal="left" vertical="center"/>
    </xf>
    <xf numFmtId="0" fontId="20" fillId="7" borderId="0" xfId="0" applyFont="1" applyFill="1" applyBorder="1" applyAlignment="1">
      <alignment horizontal="left" vertical="center"/>
    </xf>
    <xf numFmtId="0" fontId="20" fillId="8" borderId="0" xfId="0" applyFont="1" applyFill="1" applyBorder="1" applyAlignment="1">
      <alignment horizontal="left" vertical="center"/>
    </xf>
    <xf numFmtId="0" fontId="20" fillId="9" borderId="0" xfId="0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left" vertical="center"/>
    </xf>
    <xf numFmtId="164" fontId="14" fillId="0" borderId="0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165" fontId="0" fillId="3" borderId="0" xfId="0" applyNumberFormat="1" applyFill="1">
      <alignment vertical="center"/>
    </xf>
    <xf numFmtId="0" fontId="10" fillId="3" borderId="0" xfId="0" applyNumberFormat="1" applyFont="1" applyFill="1">
      <alignment vertical="center"/>
    </xf>
    <xf numFmtId="14" fontId="22" fillId="12" borderId="0" xfId="0" applyNumberFormat="1" applyFont="1" applyFill="1" applyBorder="1" applyAlignment="1">
      <alignment horizontal="left" vertical="top" wrapText="1"/>
    </xf>
    <xf numFmtId="0" fontId="2" fillId="3" borderId="0" xfId="1" applyFill="1" applyAlignment="1">
      <alignment vertical="center"/>
    </xf>
    <xf numFmtId="0" fontId="13" fillId="0" borderId="0" xfId="1" applyFont="1" applyFill="1" applyAlignment="1">
      <alignment vertical="center"/>
    </xf>
    <xf numFmtId="14" fontId="21" fillId="0" borderId="7" xfId="0" applyNumberFormat="1" applyFont="1" applyFill="1" applyBorder="1" applyAlignment="1">
      <alignment horizontal="left" vertical="top" wrapText="1"/>
    </xf>
    <xf numFmtId="14" fontId="21" fillId="0" borderId="8" xfId="0" applyNumberFormat="1" applyFont="1" applyFill="1" applyBorder="1" applyAlignment="1">
      <alignment horizontal="left" vertical="top" wrapText="1"/>
    </xf>
    <xf numFmtId="14" fontId="21" fillId="0" borderId="0" xfId="0" applyNumberFormat="1" applyFont="1" applyFill="1" applyBorder="1" applyAlignment="1">
      <alignment horizontal="left" vertical="top" wrapText="1"/>
    </xf>
    <xf numFmtId="14" fontId="21" fillId="0" borderId="2" xfId="0" applyNumberFormat="1" applyFont="1" applyFill="1" applyBorder="1" applyAlignment="1">
      <alignment horizontal="left" vertical="top" wrapText="1"/>
    </xf>
    <xf numFmtId="14" fontId="21" fillId="0" borderId="1" xfId="0" applyNumberFormat="1" applyFont="1" applyFill="1" applyBorder="1" applyAlignment="1">
      <alignment horizontal="left" vertical="top" wrapText="1"/>
    </xf>
    <xf numFmtId="14" fontId="21" fillId="0" borderId="10" xfId="0" applyNumberFormat="1" applyFont="1" applyFill="1" applyBorder="1" applyAlignment="1">
      <alignment horizontal="left" vertical="top" wrapText="1"/>
    </xf>
  </cellXfs>
  <cellStyles count="4">
    <cellStyle name="Encabezado 1" xfId="1" builtinId="16" customBuiltin="1"/>
    <cellStyle name="Normal" xfId="0" builtinId="0" customBuiltin="1"/>
    <cellStyle name="Título 2" xfId="2" builtinId="17" customBuiltin="1"/>
    <cellStyle name="Título 3" xfId="3" builtinId="18" customBuiltin="1"/>
  </cellStyles>
  <dxfs count="7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"/>
        <scheme val="major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</dxf>
    <dxf>
      <font>
        <b val="0"/>
        <i val="0"/>
        <color theme="0"/>
      </font>
      <fill>
        <patternFill>
          <bgColor theme="4"/>
        </patternFill>
      </fill>
      <border diagonalUp="0" diagonalDown="0">
        <left/>
        <right/>
        <top style="thin">
          <color theme="9"/>
        </top>
        <bottom style="thin">
          <color theme="9"/>
        </bottom>
        <vertical style="thin">
          <color theme="4"/>
        </vertical>
        <horizontal/>
      </border>
    </dxf>
    <dxf>
      <font>
        <b val="0"/>
        <i val="0"/>
        <color theme="9"/>
      </font>
      <fill>
        <patternFill>
          <bgColor theme="4"/>
        </patternFill>
      </fill>
      <border diagonalUp="0" diagonalDown="0">
        <left/>
        <right/>
        <top/>
        <bottom style="thick">
          <color theme="9"/>
        </bottom>
        <vertical style="thick">
          <color theme="4"/>
        </vertical>
        <horizontal/>
      </border>
    </dxf>
    <dxf>
      <font>
        <b val="0"/>
        <i val="0"/>
        <color theme="0"/>
      </font>
      <fill>
        <patternFill>
          <bgColor theme="4"/>
        </patternFill>
      </fill>
      <border diagonalUp="0" diagonalDown="0">
        <left style="thick">
          <color theme="4"/>
        </left>
        <right style="thick">
          <color theme="4"/>
        </right>
        <top style="thin">
          <color theme="9"/>
        </top>
        <bottom style="thin">
          <color theme="9"/>
        </bottom>
        <vertical style="thick">
          <color theme="4"/>
        </vertical>
        <horizontal style="thin">
          <color theme="9"/>
        </horizontal>
      </border>
    </dxf>
    <dxf>
      <font>
        <b val="0"/>
        <i val="0"/>
        <sz val="13"/>
        <color theme="9"/>
        <name val="Century"/>
        <scheme val="major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1"/>
        <color theme="9"/>
        <name val="Century"/>
        <scheme val="minor"/>
      </font>
      <fill>
        <patternFill>
          <bgColor theme="4"/>
        </patternFill>
      </fill>
      <border diagonalUp="0" diagonalDown="1">
        <left/>
        <right/>
        <top style="thin">
          <color theme="9"/>
        </top>
        <bottom/>
        <diagonal style="thin">
          <color auto="1"/>
        </diagonal>
        <vertical/>
        <horizontal/>
      </border>
    </dxf>
  </dxfs>
  <tableStyles count="2" defaultPivotStyle="PivotStyleLight16">
    <tableStyle name="Segmentación de datos del organizador de eventos de la comunidad mensuales" pivot="0" table="0" count="10" xr9:uid="{00000000-0011-0000-FFFF-FFFF00000000}">
      <tableStyleElement type="wholeTable" dxfId="6"/>
      <tableStyleElement type="headerRow" dxfId="5"/>
    </tableStyle>
    <tableStyle name="Tabla del organizador de eventos de la comunidad mensuales" pivot="0" count="3" xr9:uid="{00000000-0011-0000-FFFF-FFFF01000000}">
      <tableStyleElement type="wholeTable" dxfId="4"/>
      <tableStyleElement type="headerRow" dxfId="3"/>
      <tableStyleElement type="totalRow" dxfId="2"/>
    </tableStyle>
  </tableStyles>
  <extLst>
    <ext xmlns:x14="http://schemas.microsoft.com/office/spreadsheetml/2009/9/main" uri="{46F421CA-312F-682f-3DD2-61675219B42D}">
      <x14:dxfs count="8">
        <dxf>
          <font>
            <color theme="0" tint="-0.14996795556505021"/>
          </font>
        </dxf>
        <dxf>
          <font>
            <color theme="0" tint="-0.14996795556505021"/>
          </font>
        </dxf>
        <dxf>
          <font>
            <b/>
            <i val="0"/>
            <color theme="0"/>
            <name val="Century"/>
            <scheme val="minor"/>
          </font>
        </dxf>
        <dxf>
          <font>
            <b/>
            <i val="0"/>
          </font>
        </dxf>
        <dxf>
          <font>
            <b val="0"/>
            <i val="0"/>
            <sz val="11"/>
            <color theme="0" tint="-0.14993743705557422"/>
            <name val="Century"/>
            <scheme val="minor"/>
          </font>
          <fill>
            <patternFill patternType="solid">
              <fgColor theme="4" tint="0.79995117038483843"/>
              <bgColor theme="4"/>
            </patternFill>
          </fill>
          <border diagonalUp="0" diagonalDown="0">
            <left/>
            <right/>
            <top style="thin">
              <color theme="9"/>
            </top>
            <bottom/>
            <vertical/>
            <horizontal/>
          </border>
        </dxf>
        <dxf>
          <font>
            <b val="0"/>
            <i val="0"/>
            <sz val="11"/>
            <color theme="0"/>
            <name val="Century"/>
            <scheme val="minor"/>
          </font>
          <fill>
            <patternFill patternType="solid">
              <fgColor theme="4" tint="0.59999389629810485"/>
              <bgColor theme="4"/>
            </patternFill>
          </fill>
          <border diagonalUp="0" diagonalDown="0">
            <left/>
            <right/>
            <top style="thin">
              <color theme="9"/>
            </top>
            <bottom/>
            <vertical/>
            <horizontal/>
          </border>
        </dxf>
        <dxf>
          <font>
            <b val="0"/>
            <i val="0"/>
            <sz val="11"/>
            <color theme="0" tint="-0.14993743705557422"/>
            <name val="Century"/>
            <scheme val="minor"/>
          </font>
          <fill>
            <patternFill patternType="solid">
              <fgColor rgb="FFFFFFFF"/>
              <bgColor theme="4"/>
            </patternFill>
          </fill>
          <border diagonalUp="0" diagonalDown="0">
            <left/>
            <right/>
            <top style="thin">
              <color theme="9"/>
            </top>
            <bottom/>
            <vertical/>
            <horizontal/>
          </border>
        </dxf>
        <dxf>
          <font>
            <b val="0"/>
            <i val="0"/>
            <sz val="11"/>
            <color theme="9"/>
            <name val="Century"/>
            <scheme val="minor"/>
          </font>
          <fill>
            <patternFill patternType="solid">
              <fgColor rgb="FFFFFFFF"/>
              <bgColor theme="4"/>
            </patternFill>
          </fill>
          <border diagonalUp="0" diagonalDown="0">
            <left/>
            <right/>
            <top style="thin">
              <color theme="9"/>
            </top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ción de datos del organizador de eventos de la comunidad mensuale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C$2" max="3000" min="1900" page="10" val="2016"/>
</file>

<file path=xl/ctrlProps/ctrlProp2.xml><?xml version="1.0" encoding="utf-8"?>
<formControlPr xmlns="http://schemas.microsoft.com/office/spreadsheetml/2009/9/main" objectType="Spin" dx="22" fmlaLink="$C$3" max="12" min="1" page="10" val="7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ALENDARIO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VERSI&#211;N DE IMPRESI&#211;N'!A1"/><Relationship Id="rId1" Type="http://schemas.openxmlformats.org/officeDocument/2006/relationships/hyperlink" Target="#EVENTOS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ALENDARIO!A1"/><Relationship Id="rId1" Type="http://schemas.openxmlformats.org/officeDocument/2006/relationships/hyperlink" Target="#CALEND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4514851</xdr:colOff>
      <xdr:row>1</xdr:row>
      <xdr:rowOff>123825</xdr:rowOff>
    </xdr:from>
    <xdr:to>
      <xdr:col>5</xdr:col>
      <xdr:colOff>66675</xdr:colOff>
      <xdr:row>1</xdr:row>
      <xdr:rowOff>466725</xdr:rowOff>
    </xdr:to>
    <xdr:grpSp>
      <xdr:nvGrpSpPr>
        <xdr:cNvPr id="14" name="Calendario" descr="&quot;&quot;" title="Botón de navegación del calendari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8553451" y="304800"/>
          <a:ext cx="1685924" cy="342900"/>
          <a:chOff x="5981701" y="304800"/>
          <a:chExt cx="1685924" cy="342900"/>
        </a:xfrm>
      </xdr:grpSpPr>
      <xdr:sp macro="" textlink="">
        <xdr:nvSpPr>
          <xdr:cNvPr id="8" name="Rectángulo 7" title="Botón de navegación del calendario">
            <a:hlinkClick xmlns:r="http://schemas.openxmlformats.org/officeDocument/2006/relationships" r:id="rId1" tooltip="Haga clic para ver el calendario"/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5981701" y="304800"/>
            <a:ext cx="1628774" cy="342900"/>
          </a:xfrm>
          <a:prstGeom prst="rect">
            <a:avLst/>
          </a:prstGeom>
          <a:noFill/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0">
                <a:latin typeface="+mj-lt"/>
              </a:rPr>
              <a:t>CALENDARIO</a:t>
            </a:r>
          </a:p>
        </xdr:txBody>
      </xdr:sp>
      <xdr:sp macro="" textlink="">
        <xdr:nvSpPr>
          <xdr:cNvPr id="13" name="Comillas angulares 12" title="Botón de navegación del calendario">
            <a:hlinkClick xmlns:r="http://schemas.openxmlformats.org/officeDocument/2006/relationships" r:id="rId1" tooltip="IR AL CALENDARIO"/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534267" y="400049"/>
            <a:ext cx="133358" cy="142876"/>
          </a:xfrm>
          <a:prstGeom prst="chevron">
            <a:avLst>
              <a:gd name="adj" fmla="val 25000"/>
            </a:avLst>
          </a:prstGeom>
          <a:solidFill>
            <a:schemeClr val="accent6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endParaRPr lang="en-US" sz="1200" b="1"/>
          </a:p>
        </xdr:txBody>
      </xdr:sp>
    </xdr:grpSp>
    <xdr:clientData fPrintsWithSheet="0"/>
  </xdr:twoCellAnchor>
  <xdr:twoCellAnchor>
    <xdr:from>
      <xdr:col>6</xdr:col>
      <xdr:colOff>219075</xdr:colOff>
      <xdr:row>4</xdr:row>
      <xdr:rowOff>209550</xdr:rowOff>
    </xdr:from>
    <xdr:to>
      <xdr:col>9</xdr:col>
      <xdr:colOff>619125</xdr:colOff>
      <xdr:row>9</xdr:row>
      <xdr:rowOff>152400</xdr:rowOff>
    </xdr:to>
    <xdr:sp macro="" textlink="">
      <xdr:nvSpPr>
        <xdr:cNvPr id="7" name="Sugerencia" descr="Use las segmentaciones de datos a la izquierda de esta sugerencia para filtrar la lista de eventos por su selección. Para seleccionar varios elementos, mantenga presionada la tecla Ctrl. Para volver a mostrar toda la lista, haga clic en el icono de filtro en la esquina superior derecha de la segmentación de datos." title="Organizador de eventos de la comunidad mensuale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5850" y="1695450"/>
          <a:ext cx="2171700" cy="2343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2"/>
              </a:solidFill>
              <a:latin typeface="+mj-lt"/>
            </a:rPr>
            <a:t>EVENTO DE LA COMUNIDAD MENSUAL</a:t>
          </a:r>
          <a:r>
            <a:rPr lang="en-US" sz="1200" baseline="0">
              <a:solidFill>
                <a:schemeClr val="tx2"/>
              </a:solidFill>
              <a:latin typeface="+mj-lt"/>
            </a:rPr>
            <a:t> PLANIFICADOR</a:t>
          </a:r>
          <a:endParaRPr lang="en-US" sz="1200">
            <a:solidFill>
              <a:schemeClr val="tx2"/>
            </a:solidFill>
            <a:latin typeface="+mj-lt"/>
          </a:endParaRPr>
        </a:p>
        <a:p>
          <a:endParaRPr lang="en-US" sz="1100"/>
        </a:p>
        <a:p>
          <a:r>
            <a:rPr lang="en-US" sz="900">
              <a:solidFill>
                <a:schemeClr val="accent4"/>
              </a:solidFill>
              <a:latin typeface="+mj-lt"/>
            </a:rPr>
            <a:t>Use las segmentaciones de datos</a:t>
          </a:r>
          <a:r>
            <a:rPr lang="en-US" sz="900" baseline="0">
              <a:solidFill>
                <a:schemeClr val="accent4"/>
              </a:solidFill>
              <a:latin typeface="+mj-lt"/>
            </a:rPr>
            <a:t> a la izquierda de esta sugerencia para filtrar la lista de eventos por su selección. Para seleccionar varios elementos, mantenga presionada la tecla Ctrl. Para volver a mostrar toda la lista, haga clic en el icono de filtro en la esquina superior derecha de la segmentación de datos.</a:t>
          </a:r>
          <a:endParaRPr lang="en-US" sz="900">
            <a:solidFill>
              <a:schemeClr val="accent4"/>
            </a:solidFill>
            <a:latin typeface="+mj-lt"/>
          </a:endParaRPr>
        </a:p>
      </xdr:txBody>
    </xdr:sp>
    <xdr:clientData fPrintsWithSheet="0"/>
  </xdr:twoCellAnchor>
  <xdr:twoCellAnchor editAs="absolute">
    <xdr:from>
      <xdr:col>0</xdr:col>
      <xdr:colOff>104775</xdr:colOff>
      <xdr:row>4</xdr:row>
      <xdr:rowOff>9525</xdr:rowOff>
    </xdr:from>
    <xdr:to>
      <xdr:col>4</xdr:col>
      <xdr:colOff>1419225</xdr:colOff>
      <xdr:row>4</xdr:row>
      <xdr:rowOff>647700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ÍA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495425"/>
              <a:ext cx="5353050" cy="638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 de tabla. La segmentación de datos de tabla se admite en Excel 2013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114299</xdr:colOff>
      <xdr:row>4</xdr:row>
      <xdr:rowOff>876299</xdr:rowOff>
    </xdr:from>
    <xdr:to>
      <xdr:col>4</xdr:col>
      <xdr:colOff>5972175</xdr:colOff>
      <xdr:row>5</xdr:row>
      <xdr:rowOff>809624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99" y="2362199"/>
              <a:ext cx="8277225" cy="809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 de tabla. La segmentación de datos de tabla se admite en Excel 2013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1362075</xdr:colOff>
          <xdr:row>1</xdr:row>
          <xdr:rowOff>200025</xdr:rowOff>
        </xdr:from>
        <xdr:to>
          <xdr:col>2</xdr:col>
          <xdr:colOff>1514475</xdr:colOff>
          <xdr:row>1</xdr:row>
          <xdr:rowOff>457200</xdr:rowOff>
        </xdr:to>
        <xdr:sp macro="" textlink="">
          <xdr:nvSpPr>
            <xdr:cNvPr id="2051" name="Control numérico de año" descr="Changes year in cell C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1</xdr:row>
          <xdr:rowOff>200025</xdr:rowOff>
        </xdr:from>
        <xdr:to>
          <xdr:col>11</xdr:col>
          <xdr:colOff>762000</xdr:colOff>
          <xdr:row>1</xdr:row>
          <xdr:rowOff>457200</xdr:rowOff>
        </xdr:to>
        <xdr:sp macro="" textlink="">
          <xdr:nvSpPr>
            <xdr:cNvPr id="2052" name="Control numérico de mes" descr="Changes month incell F2.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 editAs="oneCell">
    <xdr:from>
      <xdr:col>14</xdr:col>
      <xdr:colOff>1543050</xdr:colOff>
      <xdr:row>1</xdr:row>
      <xdr:rowOff>219074</xdr:rowOff>
    </xdr:from>
    <xdr:to>
      <xdr:col>17</xdr:col>
      <xdr:colOff>895358</xdr:colOff>
      <xdr:row>1</xdr:row>
      <xdr:rowOff>561974</xdr:rowOff>
    </xdr:to>
    <xdr:grpSp>
      <xdr:nvGrpSpPr>
        <xdr:cNvPr id="9" name="Eventos" descr="&quot;&quot;" title="Botón de navegación de los eventos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9896475" y="400049"/>
          <a:ext cx="1400183" cy="342900"/>
          <a:chOff x="7620000" y="314324"/>
          <a:chExt cx="1400183" cy="342900"/>
        </a:xfrm>
      </xdr:grpSpPr>
      <xdr:sp macro="" textlink="">
        <xdr:nvSpPr>
          <xdr:cNvPr id="4" name="Rectángulo 3" title="Botón de navegación de los eventos">
            <a:hlinkClick xmlns:r="http://schemas.openxmlformats.org/officeDocument/2006/relationships" r:id="rId1" tooltip="Haga clic en para ver los eventos"/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7620000" y="314324"/>
            <a:ext cx="1371600" cy="342900"/>
          </a:xfrm>
          <a:prstGeom prst="rect">
            <a:avLst/>
          </a:prstGeom>
          <a:noFill/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0">
                <a:solidFill>
                  <a:schemeClr val="bg1"/>
                </a:solidFill>
                <a:latin typeface="+mj-lt"/>
              </a:rPr>
              <a:t>EVENTOS</a:t>
            </a:r>
          </a:p>
        </xdr:txBody>
      </xdr:sp>
      <xdr:sp macro="" textlink="">
        <xdr:nvSpPr>
          <xdr:cNvPr id="6" name="Comillas angulares 5" title="Botón de navegación del calendario">
            <a:hlinkClick xmlns:r="http://schemas.openxmlformats.org/officeDocument/2006/relationships" r:id="rId1" tooltip="IR A EVENTOS"/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 flipH="1">
            <a:off x="8886825" y="419100"/>
            <a:ext cx="133358" cy="142876"/>
          </a:xfrm>
          <a:prstGeom prst="chevron">
            <a:avLst>
              <a:gd name="adj" fmla="val 25000"/>
            </a:avLst>
          </a:prstGeom>
          <a:solidFill>
            <a:schemeClr val="accent6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endParaRPr lang="en-US" sz="1200" b="1"/>
          </a:p>
        </xdr:txBody>
      </xdr:sp>
    </xdr:grpSp>
    <xdr:clientData fPrintsWithSheet="0"/>
  </xdr:twoCellAnchor>
  <xdr:twoCellAnchor editAs="oneCell">
    <xdr:from>
      <xdr:col>17</xdr:col>
      <xdr:colOff>1200151</xdr:colOff>
      <xdr:row>1</xdr:row>
      <xdr:rowOff>219074</xdr:rowOff>
    </xdr:from>
    <xdr:to>
      <xdr:col>20</xdr:col>
      <xdr:colOff>1826685</xdr:colOff>
      <xdr:row>1</xdr:row>
      <xdr:rowOff>561974</xdr:rowOff>
    </xdr:to>
    <xdr:grpSp>
      <xdr:nvGrpSpPr>
        <xdr:cNvPr id="3" name="Versión de impresión" descr="&quot;&quot;" title="Botón de navegación de la versión de impresió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1601451" y="400049"/>
          <a:ext cx="2674409" cy="342900"/>
          <a:chOff x="6218154" y="695324"/>
          <a:chExt cx="2763929" cy="342900"/>
        </a:xfrm>
      </xdr:grpSpPr>
      <xdr:sp macro="" textlink="">
        <xdr:nvSpPr>
          <xdr:cNvPr id="8" name="Rectángulo 7" title="Botón de navegación de los eventos">
            <a:hlinkClick xmlns:r="http://schemas.openxmlformats.org/officeDocument/2006/relationships" r:id="rId2" tooltip="Haga clic para ver la versión de impresión del calendario"/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6218154" y="695324"/>
            <a:ext cx="2638145" cy="342900"/>
          </a:xfrm>
          <a:prstGeom prst="rect">
            <a:avLst/>
          </a:prstGeom>
          <a:noFill/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0">
                <a:solidFill>
                  <a:schemeClr val="bg1"/>
                </a:solidFill>
                <a:latin typeface="+mj-lt"/>
              </a:rPr>
              <a:t>VERSIÓN DE IMPRESIÓN</a:t>
            </a:r>
          </a:p>
        </xdr:txBody>
      </xdr:sp>
      <xdr:sp macro="" textlink="">
        <xdr:nvSpPr>
          <xdr:cNvPr id="7" name="Comillas angulares 6" title="Botón de navegación del calendario">
            <a:hlinkClick xmlns:r="http://schemas.openxmlformats.org/officeDocument/2006/relationships" r:id="rId2" tooltip="IR A LA VERSIÓN DE IMPRESIÓN"/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8848725" y="800100"/>
            <a:ext cx="133358" cy="142876"/>
          </a:xfrm>
          <a:prstGeom prst="chevron">
            <a:avLst>
              <a:gd name="adj" fmla="val 25000"/>
            </a:avLst>
          </a:prstGeom>
          <a:solidFill>
            <a:schemeClr val="accent6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endParaRPr lang="en-US" sz="1200" b="1"/>
          </a:p>
        </xdr:txBody>
      </xdr:sp>
    </xdr:grpSp>
    <xdr:clientData fPrintsWithSheet="0"/>
  </xdr:twoCellAnchor>
  <xdr:twoCellAnchor>
    <xdr:from>
      <xdr:col>23</xdr:col>
      <xdr:colOff>104775</xdr:colOff>
      <xdr:row>3</xdr:row>
      <xdr:rowOff>1815</xdr:rowOff>
    </xdr:from>
    <xdr:to>
      <xdr:col>26</xdr:col>
      <xdr:colOff>95250</xdr:colOff>
      <xdr:row>10</xdr:row>
      <xdr:rowOff>28575</xdr:rowOff>
    </xdr:to>
    <xdr:sp macro="" textlink="">
      <xdr:nvSpPr>
        <xdr:cNvPr id="11" name="Sugerencia" descr="Los eventos introducidos en la hoja de eventos se muestran en el calendario y se limitan a cuatro entradas por día. Los días del calendario se actualizan automáticamente en función del año y el mes seleccionados en las celdas C2 y F2." title="Eventos de la comunidad mensuales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4678025" y="925740"/>
          <a:ext cx="2047875" cy="1969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2"/>
              </a:solidFill>
              <a:latin typeface="+mj-lt"/>
            </a:rPr>
            <a:t>EVENTOS DE LA COMUNIDAD MENSUALES</a:t>
          </a:r>
        </a:p>
        <a:p>
          <a:endParaRPr lang="en-US" sz="1100"/>
        </a:p>
        <a:p>
          <a:r>
            <a:rPr lang="en-US" sz="900">
              <a:solidFill>
                <a:schemeClr val="accent4"/>
              </a:solidFill>
              <a:latin typeface="+mn-lt"/>
            </a:rPr>
            <a:t>Los eventos</a:t>
          </a:r>
          <a:r>
            <a:rPr lang="en-US" sz="900" baseline="0">
              <a:solidFill>
                <a:schemeClr val="accent4"/>
              </a:solidFill>
              <a:latin typeface="+mn-lt"/>
            </a:rPr>
            <a:t> introducidos en la hoja de eventos se muestran en el calendario y se limitan a cuatro entradas por día. Los días del calendario se actualizan automáticamente en función del año y el mes seleccionados en las celdas C2 y F2.</a:t>
          </a:r>
          <a:endParaRPr lang="en-US" sz="900">
            <a:solidFill>
              <a:schemeClr val="accent4"/>
            </a:solidFill>
            <a:latin typeface="+mn-lt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1743075</xdr:colOff>
      <xdr:row>1</xdr:row>
      <xdr:rowOff>219074</xdr:rowOff>
    </xdr:from>
    <xdr:to>
      <xdr:col>20</xdr:col>
      <xdr:colOff>1883232</xdr:colOff>
      <xdr:row>1</xdr:row>
      <xdr:rowOff>561974</xdr:rowOff>
    </xdr:to>
    <xdr:grpSp>
      <xdr:nvGrpSpPr>
        <xdr:cNvPr id="3" name="Versión en línea" title="Botón de navegación de la versión en línea">
          <a:hlinkClick xmlns:r="http://schemas.openxmlformats.org/officeDocument/2006/relationships" r:id="rId1" tooltip="VERSIÓN EN LÍNEA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2144375" y="400049"/>
          <a:ext cx="2188032" cy="342900"/>
          <a:chOff x="6726985" y="695324"/>
          <a:chExt cx="2255098" cy="342900"/>
        </a:xfrm>
      </xdr:grpSpPr>
      <xdr:sp macro="" textlink="">
        <xdr:nvSpPr>
          <xdr:cNvPr id="7" name="Rectángulo 6" title="Botón de navegación de los eventos">
            <a:hlinkClick xmlns:r="http://schemas.openxmlformats.org/officeDocument/2006/relationships" r:id="rId2" tooltip="Haga clic para ver la versión en línea del calendario"/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6726985" y="695324"/>
            <a:ext cx="2169548" cy="342900"/>
          </a:xfrm>
          <a:prstGeom prst="rect">
            <a:avLst/>
          </a:prstGeom>
          <a:noFill/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0">
                <a:solidFill>
                  <a:schemeClr val="accent1"/>
                </a:solidFill>
                <a:latin typeface="+mj-lt"/>
              </a:rPr>
              <a:t>VERSIÓN EN LÍNEA</a:t>
            </a:r>
          </a:p>
        </xdr:txBody>
      </xdr:sp>
      <xdr:sp macro="" textlink="">
        <xdr:nvSpPr>
          <xdr:cNvPr id="6" name="Comillas angulares 5" title="Botón de navegación del calendario">
            <a:hlinkClick xmlns:r="http://schemas.openxmlformats.org/officeDocument/2006/relationships" r:id="rId2" tooltip="IR A LA VERSIÓN EN LÍNEA"/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 flipH="1">
            <a:off x="8848725" y="800100"/>
            <a:ext cx="133358" cy="142876"/>
          </a:xfrm>
          <a:prstGeom prst="chevron">
            <a:avLst>
              <a:gd name="adj" fmla="val 25000"/>
            </a:avLst>
          </a:prstGeom>
          <a:solidFill>
            <a:schemeClr val="accent6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endParaRPr lang="en-US" sz="1200" b="1"/>
          </a:p>
        </xdr:txBody>
      </xdr:sp>
    </xdr:grpSp>
    <xdr:clientData fPrintsWithSheet="0"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ÍA" xr10:uid="{00000000-0013-0000-FFFF-FFFF01000000}" sourceName="DÍA">
  <extLst>
    <x:ext xmlns:x15="http://schemas.microsoft.com/office/spreadsheetml/2010/11/main" uri="{2F2917AC-EB37-4324-AD4E-5DD8C200BD13}">
      <x15:tableSlicerCache tableId="1" column="2" crossFilter="showItemsWithNoData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0000000-0013-0000-FFFF-FFFF02000000}" sourceName="MES">
  <extLst>
    <x:ext xmlns:x15="http://schemas.microsoft.com/office/spreadsheetml/2010/11/main" uri="{2F2917AC-EB37-4324-AD4E-5DD8C200BD13}">
      <x15:tableSlicerCache tableId="1" column="4" crossFilter="showItemsWithNoData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ÍA" xr10:uid="{00000000-0014-0000-FFFF-FFFF01000000}" cache="SegmentaciónDeDatos_DÍA" caption="DÍA" columnCount="7" style="Segmentación de datos del organizador de eventos de la comunidad mensuales" rowHeight="257175"/>
  <slicer name="MES" xr10:uid="{00000000-0014-0000-FFFF-FFFF02000000}" cache="SegmentaciónDeDatos_MES" caption="MES" columnCount="12" style="Segmentación de datos del organizador de eventos de la comunidad mensuales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vents" displayName="tblEvents" ref="B8:E38" totalsRowShown="0" headerRowDxfId="1">
  <autoFilter ref="B8:E38" xr:uid="{00000000-0009-0000-0100-000001000000}">
    <filterColumn colId="0" hiddenButton="1"/>
    <filterColumn colId="1" hiddenButton="1"/>
    <filterColumn colId="2" hiddenButton="1"/>
    <filterColumn colId="3" hiddenButton="1"/>
  </autoFilter>
  <sortState ref="B7:E25">
    <sortCondition ref="B6:B25"/>
  </sortState>
  <tableColumns count="4">
    <tableColumn id="1" xr3:uid="{00000000-0010-0000-0000-000001000000}" name="FECHA" dataDxfId="0"/>
    <tableColumn id="2" xr3:uid="{00000000-0010-0000-0000-000002000000}" name="DÍA">
      <calculatedColumnFormula>IF(ISBLANK(tblEvents[[#This Row],[FECHA]]),"",UPPER(TEXT(tblEvents[[#This Row],[FECHA]],"ddd")))</calculatedColumnFormula>
    </tableColumn>
    <tableColumn id="4" xr3:uid="{00000000-0010-0000-0000-000004000000}" name="MES">
      <calculatedColumnFormula>IF(ISBLANK(tblEvents[[#This Row],[FECHA]]),"",UPPER(TEXT(tblEvents[[#This Row],[FECHA]],"mmm")))</calculatedColumnFormula>
    </tableColumn>
    <tableColumn id="3" xr3:uid="{00000000-0010-0000-0000-000003000000}" name="NOMBRE DEL EVENTO"/>
  </tableColumns>
  <tableStyleInfo name="Tabla del organizador de eventos de la comunidad mensuales" showFirstColumn="0" showLastColumn="0" showRowStripes="0" showColumnStripes="0"/>
  <extLst>
    <ext xmlns:x14="http://schemas.microsoft.com/office/spreadsheetml/2009/9/main" uri="{504A1905-F514-4f6f-8877-14C23A59335A}">
      <x14:table altText="Indicar información del evento" altTextSummary="Para agregar eventos a esta tabla, indique la fecha y el nombre del evento (el día y el mes se calculan automáticamente)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onths" displayName="tblMonths" ref="B2:C14" totalsRowShown="0">
  <autoFilter ref="B2:C14" xr:uid="{00000000-0009-0000-0100-000002000000}"/>
  <tableColumns count="2">
    <tableColumn id="1" xr3:uid="{00000000-0010-0000-0100-000001000000}" name="MES"/>
    <tableColumn id="2" xr3:uid="{00000000-0010-0000-0100-000002000000}" name="NÚMER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onthly community event planner">
      <a:dk1>
        <a:srgbClr val="000000"/>
      </a:dk1>
      <a:lt1>
        <a:srgbClr val="FFFFFF"/>
      </a:lt1>
      <a:dk2>
        <a:srgbClr val="165359"/>
      </a:dk2>
      <a:lt2>
        <a:srgbClr val="49E0E5"/>
      </a:lt2>
      <a:accent1>
        <a:srgbClr val="24C1CC"/>
      </a:accent1>
      <a:accent2>
        <a:srgbClr val="26B8C1"/>
      </a:accent2>
      <a:accent3>
        <a:srgbClr val="15B2BC"/>
      </a:accent3>
      <a:accent4>
        <a:srgbClr val="1EA3AD"/>
      </a:accent4>
      <a:accent5>
        <a:srgbClr val="1E949E"/>
      </a:accent5>
      <a:accent6>
        <a:srgbClr val="1E6F77"/>
      </a:accent6>
      <a:hlink>
        <a:srgbClr val="49E0E5"/>
      </a:hlink>
      <a:folHlink>
        <a:srgbClr val="AD639E"/>
      </a:folHlink>
    </a:clrScheme>
    <a:fontScheme name="Community Even Planner">
      <a:majorFont>
        <a:latin typeface="Century"/>
        <a:ea typeface=""/>
        <a:cs typeface=""/>
      </a:majorFont>
      <a:minorFont>
        <a:latin typeface="Century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E38"/>
  <sheetViews>
    <sheetView showGridLines="0" tabSelected="1" workbookViewId="0"/>
  </sheetViews>
  <sheetFormatPr baseColWidth="10" defaultColWidth="9" defaultRowHeight="18" customHeight="1" x14ac:dyDescent="0.2"/>
  <cols>
    <col min="1" max="1" width="1.625" style="1" customWidth="1"/>
    <col min="2" max="2" width="17.125" style="2" customWidth="1"/>
    <col min="3" max="4" width="17.125" style="1" customWidth="1"/>
    <col min="5" max="5" width="80.5" style="1" customWidth="1"/>
    <col min="6" max="6" width="1.625" style="1" customWidth="1"/>
    <col min="7" max="7" width="5.25" style="1" customWidth="1"/>
    <col min="8" max="16384" width="9" style="1"/>
  </cols>
  <sheetData>
    <row r="1" spans="2:5" ht="14.25" x14ac:dyDescent="0.2"/>
    <row r="2" spans="2:5" ht="44.25" x14ac:dyDescent="0.2">
      <c r="B2" s="4" t="s">
        <v>5</v>
      </c>
      <c r="C2" s="4"/>
      <c r="D2" s="4"/>
      <c r="E2" s="4"/>
    </row>
    <row r="3" spans="2:5" ht="44.25" x14ac:dyDescent="0.2">
      <c r="B3" s="5" t="s">
        <v>6</v>
      </c>
      <c r="C3" s="5"/>
      <c r="D3" s="5"/>
      <c r="E3" s="5"/>
    </row>
    <row r="4" spans="2:5" ht="14.25" x14ac:dyDescent="0.2"/>
    <row r="5" spans="2:5" ht="69" customHeight="1" x14ac:dyDescent="0.2"/>
    <row r="6" spans="2:5" ht="69" customHeight="1" x14ac:dyDescent="0.2"/>
    <row r="7" spans="2:5" ht="15" thickBot="1" x14ac:dyDescent="0.25"/>
    <row r="8" spans="2:5" s="78" customFormat="1" ht="18" customHeight="1" thickTop="1" x14ac:dyDescent="0.2">
      <c r="B8" s="87" t="s">
        <v>8</v>
      </c>
      <c r="C8" s="88" t="s">
        <v>9</v>
      </c>
      <c r="D8" s="88" t="s">
        <v>10</v>
      </c>
      <c r="E8" s="88" t="s">
        <v>11</v>
      </c>
    </row>
    <row r="9" spans="2:5" ht="18" customHeight="1" x14ac:dyDescent="0.2">
      <c r="B9" s="6">
        <v>42552</v>
      </c>
      <c r="C9" s="7" t="str">
        <f>IF(ISBLANK(tblEvents[[#This Row],[FECHA]]),"",UPPER(TEXT(tblEvents[[#This Row],[FECHA]],"ddd")))</f>
        <v>VIE</v>
      </c>
      <c r="D9" s="7" t="str">
        <f>IF(ISBLANK(tblEvents[[#This Row],[FECHA]]),"",UPPER(TEXT(tblEvents[[#This Row],[FECHA]],"mmm")))</f>
        <v>JUL</v>
      </c>
      <c r="E9" s="8" t="s">
        <v>2</v>
      </c>
    </row>
    <row r="10" spans="2:5" ht="18" customHeight="1" x14ac:dyDescent="0.2">
      <c r="B10" s="6">
        <v>42552</v>
      </c>
      <c r="C10" s="7" t="str">
        <f>IF(ISBLANK(tblEvents[[#This Row],[FECHA]]),"",UPPER(TEXT(tblEvents[[#This Row],[FECHA]],"ddd")))</f>
        <v>VIE</v>
      </c>
      <c r="D10" s="7" t="str">
        <f>IF(ISBLANK(tblEvents[[#This Row],[FECHA]]),"",UPPER(TEXT(tblEvents[[#This Row],[FECHA]],"mmm")))</f>
        <v>JUL</v>
      </c>
      <c r="E10" s="8" t="s">
        <v>4</v>
      </c>
    </row>
    <row r="11" spans="2:5" ht="18" customHeight="1" x14ac:dyDescent="0.2">
      <c r="B11" s="6">
        <v>42553</v>
      </c>
      <c r="C11" s="7" t="str">
        <f>IF(ISBLANK(tblEvents[[#This Row],[FECHA]]),"",UPPER(TEXT(tblEvents[[#This Row],[FECHA]],"ddd")))</f>
        <v>SÁB</v>
      </c>
      <c r="D11" s="7" t="str">
        <f>IF(ISBLANK(tblEvents[[#This Row],[FECHA]]),"",UPPER(TEXT(tblEvents[[#This Row],[FECHA]],"mmm")))</f>
        <v>JUL</v>
      </c>
      <c r="E11" s="8" t="s">
        <v>2</v>
      </c>
    </row>
    <row r="12" spans="2:5" ht="18" customHeight="1" x14ac:dyDescent="0.2">
      <c r="B12" s="6">
        <v>42554</v>
      </c>
      <c r="C12" s="7" t="str">
        <f>IF(ISBLANK(tblEvents[[#This Row],[FECHA]]),"",UPPER(TEXT(tblEvents[[#This Row],[FECHA]],"ddd")))</f>
        <v>DOM</v>
      </c>
      <c r="D12" s="7" t="str">
        <f>IF(ISBLANK(tblEvents[[#This Row],[FECHA]]),"",UPPER(TEXT(tblEvents[[#This Row],[FECHA]],"mmm")))</f>
        <v>JUL</v>
      </c>
      <c r="E12" s="8" t="s">
        <v>32</v>
      </c>
    </row>
    <row r="13" spans="2:5" ht="18" customHeight="1" x14ac:dyDescent="0.2">
      <c r="B13" s="6">
        <v>42559</v>
      </c>
      <c r="C13" s="7" t="str">
        <f>IF(ISBLANK(tblEvents[[#This Row],[FECHA]]),"",UPPER(TEXT(tblEvents[[#This Row],[FECHA]],"ddd")))</f>
        <v>VIE</v>
      </c>
      <c r="D13" s="7" t="str">
        <f>IF(ISBLANK(tblEvents[[#This Row],[FECHA]]),"",UPPER(TEXT(tblEvents[[#This Row],[FECHA]],"mmm")))</f>
        <v>JUL</v>
      </c>
      <c r="E13" s="8" t="s">
        <v>4</v>
      </c>
    </row>
    <row r="14" spans="2:5" ht="18" customHeight="1" x14ac:dyDescent="0.2">
      <c r="B14" s="6">
        <v>42562</v>
      </c>
      <c r="C14" s="7" t="str">
        <f>IF(ISBLANK(tblEvents[[#This Row],[FECHA]]),"",UPPER(TEXT(tblEvents[[#This Row],[FECHA]],"ddd")))</f>
        <v>LUN</v>
      </c>
      <c r="D14" s="7" t="str">
        <f>IF(ISBLANK(tblEvents[[#This Row],[FECHA]]),"",UPPER(TEXT(tblEvents[[#This Row],[FECHA]],"mmm")))</f>
        <v>JUL</v>
      </c>
      <c r="E14" s="8" t="s">
        <v>37</v>
      </c>
    </row>
    <row r="15" spans="2:5" ht="18" customHeight="1" x14ac:dyDescent="0.2">
      <c r="B15" s="6">
        <v>42563</v>
      </c>
      <c r="C15" s="7" t="str">
        <f>IF(ISBLANK(tblEvents[[#This Row],[FECHA]]),"",UPPER(TEXT(tblEvents[[#This Row],[FECHA]],"ddd")))</f>
        <v>MAR</v>
      </c>
      <c r="D15" s="7" t="str">
        <f>IF(ISBLANK(tblEvents[[#This Row],[FECHA]]),"",UPPER(TEXT(tblEvents[[#This Row],[FECHA]],"mmm")))</f>
        <v>JUL</v>
      </c>
      <c r="E15" s="8" t="s">
        <v>3</v>
      </c>
    </row>
    <row r="16" spans="2:5" ht="18" customHeight="1" x14ac:dyDescent="0.2">
      <c r="B16" s="6">
        <v>42565</v>
      </c>
      <c r="C16" s="7" t="str">
        <f>IF(ISBLANK(tblEvents[[#This Row],[FECHA]]),"",UPPER(TEXT(tblEvents[[#This Row],[FECHA]],"ddd")))</f>
        <v>JUE</v>
      </c>
      <c r="D16" s="7" t="str">
        <f>IF(ISBLANK(tblEvents[[#This Row],[FECHA]]),"",UPPER(TEXT(tblEvents[[#This Row],[FECHA]],"mmm")))</f>
        <v>JUL</v>
      </c>
      <c r="E16" s="8" t="s">
        <v>36</v>
      </c>
    </row>
    <row r="17" spans="2:5" ht="18" customHeight="1" x14ac:dyDescent="0.2">
      <c r="B17" s="6">
        <v>42566</v>
      </c>
      <c r="C17" s="7" t="str">
        <f>IF(ISBLANK(tblEvents[[#This Row],[FECHA]]),"",UPPER(TEXT(tblEvents[[#This Row],[FECHA]],"ddd")))</f>
        <v>VIE</v>
      </c>
      <c r="D17" s="7" t="str">
        <f>IF(ISBLANK(tblEvents[[#This Row],[FECHA]]),"",UPPER(TEXT(tblEvents[[#This Row],[FECHA]],"mmm")))</f>
        <v>JUL</v>
      </c>
      <c r="E17" s="8" t="s">
        <v>4</v>
      </c>
    </row>
    <row r="18" spans="2:5" ht="18" customHeight="1" x14ac:dyDescent="0.2">
      <c r="B18" s="6">
        <v>42570</v>
      </c>
      <c r="C18" s="7" t="str">
        <f>IF(ISBLANK(tblEvents[[#This Row],[FECHA]]),"",UPPER(TEXT(tblEvents[[#This Row],[FECHA]],"ddd")))</f>
        <v>MAR</v>
      </c>
      <c r="D18" s="7" t="str">
        <f>IF(ISBLANK(tblEvents[[#This Row],[FECHA]]),"",UPPER(TEXT(tblEvents[[#This Row],[FECHA]],"mmm")))</f>
        <v>JUL</v>
      </c>
      <c r="E18" s="8" t="s">
        <v>33</v>
      </c>
    </row>
    <row r="19" spans="2:5" ht="18" customHeight="1" x14ac:dyDescent="0.2">
      <c r="B19" s="6">
        <v>42571</v>
      </c>
      <c r="C19" s="7" t="str">
        <f>IF(ISBLANK(tblEvents[[#This Row],[FECHA]]),"",UPPER(TEXT(tblEvents[[#This Row],[FECHA]],"ddd")))</f>
        <v>MIÉ</v>
      </c>
      <c r="D19" s="7" t="str">
        <f>IF(ISBLANK(tblEvents[[#This Row],[FECHA]]),"",UPPER(TEXT(tblEvents[[#This Row],[FECHA]],"mmm")))</f>
        <v>JUL</v>
      </c>
      <c r="E19" s="8" t="s">
        <v>34</v>
      </c>
    </row>
    <row r="20" spans="2:5" ht="18" customHeight="1" x14ac:dyDescent="0.2">
      <c r="B20" s="6">
        <v>42573</v>
      </c>
      <c r="C20" s="7" t="str">
        <f>IF(ISBLANK(tblEvents[[#This Row],[FECHA]]),"",UPPER(TEXT(tblEvents[[#This Row],[FECHA]],"ddd")))</f>
        <v>VIE</v>
      </c>
      <c r="D20" s="7" t="str">
        <f>IF(ISBLANK(tblEvents[[#This Row],[FECHA]]),"",UPPER(TEXT(tblEvents[[#This Row],[FECHA]],"mmm")))</f>
        <v>JUL</v>
      </c>
      <c r="E20" s="8" t="s">
        <v>4</v>
      </c>
    </row>
    <row r="21" spans="2:5" ht="18" customHeight="1" x14ac:dyDescent="0.2">
      <c r="B21" s="6">
        <v>42577</v>
      </c>
      <c r="C21" s="7" t="str">
        <f>IF(ISBLANK(tblEvents[[#This Row],[FECHA]]),"",UPPER(TEXT(tblEvents[[#This Row],[FECHA]],"ddd")))</f>
        <v>MAR</v>
      </c>
      <c r="D21" s="7" t="str">
        <f>IF(ISBLANK(tblEvents[[#This Row],[FECHA]]),"",UPPER(TEXT(tblEvents[[#This Row],[FECHA]],"mmm")))</f>
        <v>JUL</v>
      </c>
      <c r="E21" s="8" t="s">
        <v>35</v>
      </c>
    </row>
    <row r="22" spans="2:5" ht="18" customHeight="1" x14ac:dyDescent="0.2">
      <c r="B22" s="6">
        <v>42577</v>
      </c>
      <c r="C22" s="7" t="str">
        <f>IF(ISBLANK(tblEvents[[#This Row],[FECHA]]),"",UPPER(TEXT(tblEvents[[#This Row],[FECHA]],"ddd")))</f>
        <v>MAR</v>
      </c>
      <c r="D22" s="7" t="str">
        <f>IF(ISBLANK(tblEvents[[#This Row],[FECHA]]),"",UPPER(TEXT(tblEvents[[#This Row],[FECHA]],"mmm")))</f>
        <v>JUL</v>
      </c>
      <c r="E22" s="8" t="s">
        <v>0</v>
      </c>
    </row>
    <row r="23" spans="2:5" ht="18" customHeight="1" x14ac:dyDescent="0.2">
      <c r="B23" s="6">
        <v>42580</v>
      </c>
      <c r="C23" s="7" t="str">
        <f>IF(ISBLANK(tblEvents[[#This Row],[FECHA]]),"",UPPER(TEXT(tblEvents[[#This Row],[FECHA]],"ddd")))</f>
        <v>VIE</v>
      </c>
      <c r="D23" s="7" t="str">
        <f>IF(ISBLANK(tblEvents[[#This Row],[FECHA]]),"",UPPER(TEXT(tblEvents[[#This Row],[FECHA]],"mmm")))</f>
        <v>JUL</v>
      </c>
      <c r="E23" s="8" t="s">
        <v>4</v>
      </c>
    </row>
    <row r="24" spans="2:5" ht="18" customHeight="1" x14ac:dyDescent="0.2">
      <c r="B24" s="6">
        <v>42587</v>
      </c>
      <c r="C24" s="7" t="str">
        <f>IF(ISBLANK(tblEvents[[#This Row],[FECHA]]),"",UPPER(TEXT(tblEvents[[#This Row],[FECHA]],"ddd")))</f>
        <v>VIE</v>
      </c>
      <c r="D24" s="7" t="str">
        <f>IF(ISBLANK(tblEvents[[#This Row],[FECHA]]),"",UPPER(TEXT(tblEvents[[#This Row],[FECHA]],"mmm")))</f>
        <v>AGO</v>
      </c>
      <c r="E24" s="8" t="s">
        <v>4</v>
      </c>
    </row>
    <row r="25" spans="2:5" ht="18" customHeight="1" x14ac:dyDescent="0.2">
      <c r="B25" s="6">
        <v>42592</v>
      </c>
      <c r="C25" s="7" t="str">
        <f>IF(ISBLANK(tblEvents[[#This Row],[FECHA]]),"",UPPER(TEXT(tblEvents[[#This Row],[FECHA]],"ddd")))</f>
        <v>MIÉ</v>
      </c>
      <c r="D25" s="7" t="str">
        <f>IF(ISBLANK(tblEvents[[#This Row],[FECHA]]),"",UPPER(TEXT(tblEvents[[#This Row],[FECHA]],"mmm")))</f>
        <v>AGO</v>
      </c>
      <c r="E25" s="8" t="s">
        <v>34</v>
      </c>
    </row>
    <row r="26" spans="2:5" ht="18" customHeight="1" x14ac:dyDescent="0.2">
      <c r="B26" s="6">
        <v>42594</v>
      </c>
      <c r="C26" s="7" t="str">
        <f>IF(ISBLANK(tblEvents[[#This Row],[FECHA]]),"",UPPER(TEXT(tblEvents[[#This Row],[FECHA]],"ddd")))</f>
        <v>VIE</v>
      </c>
      <c r="D26" s="7" t="str">
        <f>IF(ISBLANK(tblEvents[[#This Row],[FECHA]]),"",UPPER(TEXT(tblEvents[[#This Row],[FECHA]],"mmm")))</f>
        <v>AGO</v>
      </c>
      <c r="E26" s="8" t="s">
        <v>4</v>
      </c>
    </row>
    <row r="27" spans="2:5" ht="18" customHeight="1" x14ac:dyDescent="0.2">
      <c r="B27" s="6">
        <v>42595</v>
      </c>
      <c r="C27" s="7" t="str">
        <f>IF(ISBLANK(tblEvents[[#This Row],[FECHA]]),"",UPPER(TEXT(tblEvents[[#This Row],[FECHA]],"ddd")))</f>
        <v>SÁB</v>
      </c>
      <c r="D27" s="7" t="str">
        <f>IF(ISBLANK(tblEvents[[#This Row],[FECHA]]),"",UPPER(TEXT(tblEvents[[#This Row],[FECHA]],"mmm")))</f>
        <v>AGO</v>
      </c>
      <c r="E27" s="8" t="s">
        <v>2</v>
      </c>
    </row>
    <row r="28" spans="2:5" ht="18" customHeight="1" x14ac:dyDescent="0.2">
      <c r="B28" s="6">
        <v>42614</v>
      </c>
      <c r="C28" s="7" t="str">
        <f>IF(ISBLANK(tblEvents[[#This Row],[FECHA]]),"",UPPER(TEXT(tblEvents[[#This Row],[FECHA]],"ddd")))</f>
        <v>JUE</v>
      </c>
      <c r="D28" s="7" t="str">
        <f>IF(ISBLANK(tblEvents[[#This Row],[FECHA]]),"",UPPER(TEXT(tblEvents[[#This Row],[FECHA]],"mmm")))</f>
        <v>SEP</v>
      </c>
      <c r="E28" s="8" t="s">
        <v>7</v>
      </c>
    </row>
    <row r="29" spans="2:5" ht="18" customHeight="1" x14ac:dyDescent="0.2">
      <c r="B29" s="6">
        <v>42644</v>
      </c>
      <c r="C29" s="7" t="str">
        <f>IF(ISBLANK(tblEvents[[#This Row],[FECHA]]),"",UPPER(TEXT(tblEvents[[#This Row],[FECHA]],"ddd")))</f>
        <v>SÁB</v>
      </c>
      <c r="D29" s="7" t="str">
        <f>IF(ISBLANK(tblEvents[[#This Row],[FECHA]]),"",UPPER(TEXT(tblEvents[[#This Row],[FECHA]],"mmm")))</f>
        <v>OCT</v>
      </c>
      <c r="E29" s="8" t="s">
        <v>7</v>
      </c>
    </row>
    <row r="30" spans="2:5" ht="18" customHeight="1" x14ac:dyDescent="0.2">
      <c r="B30" s="6">
        <v>42677</v>
      </c>
      <c r="C30" s="7" t="str">
        <f>IF(ISBLANK(tblEvents[[#This Row],[FECHA]]),"",UPPER(TEXT(tblEvents[[#This Row],[FECHA]],"ddd")))</f>
        <v>JUE</v>
      </c>
      <c r="D30" s="7" t="str">
        <f>IF(ISBLANK(tblEvents[[#This Row],[FECHA]]),"",UPPER(TEXT(tblEvents[[#This Row],[FECHA]],"mmm")))</f>
        <v>NOV</v>
      </c>
      <c r="E30" s="8" t="s">
        <v>7</v>
      </c>
    </row>
    <row r="31" spans="2:5" ht="18" customHeight="1" x14ac:dyDescent="0.2">
      <c r="B31" s="6">
        <v>42705</v>
      </c>
      <c r="C31" s="7" t="str">
        <f>IF(ISBLANK(tblEvents[[#This Row],[FECHA]]),"",UPPER(TEXT(tblEvents[[#This Row],[FECHA]],"ddd")))</f>
        <v>JUE</v>
      </c>
      <c r="D31" s="7" t="str">
        <f>IF(ISBLANK(tblEvents[[#This Row],[FECHA]]),"",UPPER(TEXT(tblEvents[[#This Row],[FECHA]],"mmm")))</f>
        <v>DIC</v>
      </c>
      <c r="E31" s="8" t="s">
        <v>7</v>
      </c>
    </row>
    <row r="32" spans="2:5" ht="18" customHeight="1" x14ac:dyDescent="0.2">
      <c r="B32" s="6">
        <v>42736</v>
      </c>
      <c r="C32" s="7" t="str">
        <f>IF(ISBLANK(tblEvents[[#This Row],[FECHA]]),"",UPPER(TEXT(tblEvents[[#This Row],[FECHA]],"ddd")))</f>
        <v>DOM</v>
      </c>
      <c r="D32" s="7" t="str">
        <f>IF(ISBLANK(tblEvents[[#This Row],[FECHA]]),"",UPPER(TEXT(tblEvents[[#This Row],[FECHA]],"mmm")))</f>
        <v>ENE</v>
      </c>
      <c r="E32" s="8" t="s">
        <v>7</v>
      </c>
    </row>
    <row r="33" spans="2:5" ht="18" customHeight="1" x14ac:dyDescent="0.2">
      <c r="B33" s="6">
        <v>42768</v>
      </c>
      <c r="C33" s="7" t="str">
        <f>IF(ISBLANK(tblEvents[[#This Row],[FECHA]]),"",UPPER(TEXT(tblEvents[[#This Row],[FECHA]],"ddd")))</f>
        <v>JUE</v>
      </c>
      <c r="D33" s="7" t="str">
        <f>IF(ISBLANK(tblEvents[[#This Row],[FECHA]]),"",UPPER(TEXT(tblEvents[[#This Row],[FECHA]],"mmm")))</f>
        <v>FEB</v>
      </c>
      <c r="E33" s="8" t="s">
        <v>7</v>
      </c>
    </row>
    <row r="34" spans="2:5" ht="18" customHeight="1" x14ac:dyDescent="0.2">
      <c r="B34" s="6">
        <v>42796</v>
      </c>
      <c r="C34" s="7" t="str">
        <f>IF(ISBLANK(tblEvents[[#This Row],[FECHA]]),"",UPPER(TEXT(tblEvents[[#This Row],[FECHA]],"ddd")))</f>
        <v>JUE</v>
      </c>
      <c r="D34" s="7" t="str">
        <f>IF(ISBLANK(tblEvents[[#This Row],[FECHA]]),"",UPPER(TEXT(tblEvents[[#This Row],[FECHA]],"mmm")))</f>
        <v>MAR</v>
      </c>
      <c r="E34" s="8" t="s">
        <v>7</v>
      </c>
    </row>
    <row r="35" spans="2:5" ht="18" customHeight="1" x14ac:dyDescent="0.2">
      <c r="B35" s="6">
        <v>42826</v>
      </c>
      <c r="C35" s="7" t="str">
        <f>IF(ISBLANK(tblEvents[[#This Row],[FECHA]]),"",UPPER(TEXT(tblEvents[[#This Row],[FECHA]],"ddd")))</f>
        <v>SÁB</v>
      </c>
      <c r="D35" s="7" t="str">
        <f>IF(ISBLANK(tblEvents[[#This Row],[FECHA]]),"",UPPER(TEXT(tblEvents[[#This Row],[FECHA]],"mmm")))</f>
        <v>ABR</v>
      </c>
      <c r="E35" s="8" t="s">
        <v>7</v>
      </c>
    </row>
    <row r="36" spans="2:5" ht="18" customHeight="1" x14ac:dyDescent="0.2">
      <c r="B36" s="6">
        <v>42856</v>
      </c>
      <c r="C36" s="7" t="str">
        <f>IF(ISBLANK(tblEvents[[#This Row],[FECHA]]),"",UPPER(TEXT(tblEvents[[#This Row],[FECHA]],"ddd")))</f>
        <v>LUN</v>
      </c>
      <c r="D36" s="7" t="str">
        <f>IF(ISBLANK(tblEvents[[#This Row],[FECHA]]),"",UPPER(TEXT(tblEvents[[#This Row],[FECHA]],"mmm")))</f>
        <v>MAY</v>
      </c>
      <c r="E36" s="8" t="s">
        <v>7</v>
      </c>
    </row>
    <row r="37" spans="2:5" ht="18" customHeight="1" x14ac:dyDescent="0.2">
      <c r="B37" s="6">
        <v>42887</v>
      </c>
      <c r="C37" s="7" t="str">
        <f>IF(ISBLANK(tblEvents[[#This Row],[FECHA]]),"",UPPER(TEXT(tblEvents[[#This Row],[FECHA]],"ddd")))</f>
        <v>JUE</v>
      </c>
      <c r="D37" s="7" t="str">
        <f>IF(ISBLANK(tblEvents[[#This Row],[FECHA]]),"",UPPER(TEXT(tblEvents[[#This Row],[FECHA]],"mmm")))</f>
        <v>JUN</v>
      </c>
      <c r="E37" s="8" t="s">
        <v>7</v>
      </c>
    </row>
    <row r="38" spans="2:5" ht="18" customHeight="1" x14ac:dyDescent="0.2">
      <c r="B38" s="3">
        <v>42888</v>
      </c>
      <c r="C38" s="7" t="str">
        <f>IF(ISBLANK(tblEvents[[#This Row],[FECHA]]),"",UPPER(TEXT(tblEvents[[#This Row],[FECHA]],"ddd")))</f>
        <v>VIE</v>
      </c>
      <c r="D38" s="7" t="str">
        <f>IF(ISBLANK(tblEvents[[#This Row],[FECHA]]),"",UPPER(TEXT(tblEvents[[#This Row],[FECHA]],"mmm")))</f>
        <v>JUN</v>
      </c>
      <c r="E38" s="1" t="s">
        <v>4</v>
      </c>
    </row>
  </sheetData>
  <printOptions horizontalCentered="1"/>
  <pageMargins left="0.4" right="0.4" top="0.4" bottom="0.6" header="0.3" footer="0.3"/>
  <pageSetup paperSize="9" fitToHeight="0" orientation="portrait" r:id="rId1"/>
  <headerFooter differentFirst="1">
    <oddFooter>Page &amp;P of &amp;N</oddFooter>
  </headerFooter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7"/>
    <pageSetUpPr autoPageBreaks="0" fitToPage="1"/>
  </sheetPr>
  <dimension ref="B2:AC35"/>
  <sheetViews>
    <sheetView showGridLines="0" zoomScaleNormal="100" workbookViewId="0"/>
  </sheetViews>
  <sheetFormatPr baseColWidth="10" defaultColWidth="9" defaultRowHeight="14.25" x14ac:dyDescent="0.2"/>
  <cols>
    <col min="1" max="1" width="1.5" style="13" customWidth="1"/>
    <col min="2" max="2" width="0.625" style="13" customWidth="1"/>
    <col min="3" max="3" width="25.625" style="13" customWidth="1"/>
    <col min="4" max="5" width="0.625" style="13" customWidth="1"/>
    <col min="6" max="6" width="25.625" style="13" customWidth="1"/>
    <col min="7" max="8" width="0.625" style="13" customWidth="1"/>
    <col min="9" max="9" width="25.625" style="13" customWidth="1"/>
    <col min="10" max="11" width="0.625" style="13" customWidth="1"/>
    <col min="12" max="12" width="25.625" style="13" customWidth="1"/>
    <col min="13" max="14" width="0.625" style="13" customWidth="1"/>
    <col min="15" max="15" width="25.625" style="13" customWidth="1"/>
    <col min="16" max="17" width="0.625" style="13" customWidth="1"/>
    <col min="18" max="18" width="25.625" style="13" customWidth="1"/>
    <col min="19" max="20" width="0.625" style="13" customWidth="1"/>
    <col min="21" max="21" width="25.625" style="13" customWidth="1"/>
    <col min="22" max="22" width="0.625" style="13" customWidth="1"/>
    <col min="23" max="23" width="1.625" style="13" customWidth="1"/>
    <col min="24" max="16384" width="9" style="13"/>
  </cols>
  <sheetData>
    <row r="2" spans="2:29" ht="44.25" x14ac:dyDescent="0.2">
      <c r="B2" s="11"/>
      <c r="C2" s="11">
        <v>2016</v>
      </c>
      <c r="D2" s="11"/>
      <c r="E2" s="11"/>
      <c r="F2" s="92" t="str">
        <f>LOOKUP(MonthNum,tblMonths[NÚMERO],tblMonths[MES])</f>
        <v>JULIO</v>
      </c>
      <c r="G2" s="92"/>
      <c r="H2" s="92"/>
      <c r="I2" s="92"/>
      <c r="J2" s="92"/>
      <c r="K2" s="92"/>
      <c r="L2" s="92"/>
      <c r="M2" s="12"/>
      <c r="N2" s="12"/>
      <c r="O2" s="12"/>
      <c r="P2" s="12"/>
      <c r="Q2" s="12"/>
      <c r="R2" s="12"/>
      <c r="S2" s="12"/>
      <c r="T2" s="12"/>
      <c r="U2" s="12"/>
      <c r="V2" s="11"/>
    </row>
    <row r="3" spans="2:29" x14ac:dyDescent="0.2">
      <c r="B3" s="14"/>
      <c r="C3" s="49">
        <v>7</v>
      </c>
      <c r="D3" s="49"/>
      <c r="E3" s="49"/>
      <c r="F3" s="50">
        <f>DATE(ViewYear,MonthNum,1)</f>
        <v>42552</v>
      </c>
      <c r="G3" s="49"/>
      <c r="H3" s="49"/>
      <c r="I3" s="90">
        <f>WEEKDAY(StartDate)</f>
        <v>6</v>
      </c>
      <c r="J3" s="14"/>
      <c r="K3" s="14"/>
      <c r="L3" s="50"/>
      <c r="M3" s="14"/>
      <c r="N3" s="14"/>
      <c r="P3" s="14"/>
      <c r="Q3" s="14"/>
      <c r="S3" s="14"/>
      <c r="T3" s="14"/>
      <c r="V3" s="14"/>
    </row>
    <row r="4" spans="2:29" ht="69" customHeight="1" x14ac:dyDescent="0.2">
      <c r="B4" s="17"/>
      <c r="C4" s="20" t="s">
        <v>26</v>
      </c>
      <c r="D4" s="17"/>
      <c r="E4" s="18"/>
      <c r="F4" s="21" t="s">
        <v>27</v>
      </c>
      <c r="G4" s="18"/>
      <c r="H4" s="19"/>
      <c r="I4" s="22" t="s">
        <v>28</v>
      </c>
      <c r="J4" s="19"/>
      <c r="K4" s="23"/>
      <c r="L4" s="24" t="s">
        <v>29</v>
      </c>
      <c r="M4" s="23"/>
      <c r="N4" s="25"/>
      <c r="O4" s="26" t="s">
        <v>30</v>
      </c>
      <c r="P4" s="25"/>
      <c r="Q4" s="27"/>
      <c r="R4" s="28" t="s">
        <v>31</v>
      </c>
      <c r="S4" s="27"/>
      <c r="T4" s="29"/>
      <c r="U4" s="30" t="s">
        <v>25</v>
      </c>
      <c r="V4" s="29"/>
      <c r="AC4" s="89"/>
    </row>
    <row r="5" spans="2:29" ht="6" customHeight="1" x14ac:dyDescent="0.2">
      <c r="B5" s="17"/>
      <c r="C5" s="73"/>
      <c r="D5" s="17"/>
      <c r="E5" s="18"/>
      <c r="F5" s="73"/>
      <c r="G5" s="18"/>
      <c r="H5" s="19"/>
      <c r="I5" s="73"/>
      <c r="J5" s="19"/>
      <c r="K5" s="23"/>
      <c r="L5" s="73"/>
      <c r="M5" s="23"/>
      <c r="N5" s="25"/>
      <c r="O5" s="73"/>
      <c r="P5" s="25"/>
      <c r="Q5" s="27"/>
      <c r="R5" s="73"/>
      <c r="S5" s="27"/>
      <c r="T5" s="29"/>
      <c r="U5" s="73"/>
      <c r="V5" s="29"/>
    </row>
    <row r="6" spans="2:29" ht="21" customHeight="1" x14ac:dyDescent="0.2">
      <c r="B6" s="10"/>
      <c r="C6" s="33">
        <f>StartDate-(WEEKDAY(StartDate,2))+{0;1;2;3;4;5}*7 +{2,3,4,5,6,7,1}-3+COLUMN(B1)</f>
        <v>42548</v>
      </c>
      <c r="D6" s="33"/>
      <c r="E6" s="34"/>
      <c r="F6" s="34">
        <f>StartDate-(WEEKDAY(StartDate,2))+{0;1;2;3;4;5}*7 +{2,3,4,5,6,7,1}-3+COLUMN(C1)</f>
        <v>42549</v>
      </c>
      <c r="G6" s="34"/>
      <c r="H6" s="35"/>
      <c r="I6" s="35">
        <f>StartDate-(WEEKDAY(StartDate,2))+{0;1;2;3;4;5}*7 +{2,3,4,5,6,7,1}-3+COLUMN(D1)</f>
        <v>42550</v>
      </c>
      <c r="J6" s="35"/>
      <c r="K6" s="36"/>
      <c r="L6" s="36">
        <f>StartDate-(WEEKDAY(StartDate,2))+{0;1;2;3;4;5}*7 +{2,3,4,5,6,7,1}-3+COLUMN(E1)</f>
        <v>42551</v>
      </c>
      <c r="M6" s="36"/>
      <c r="N6" s="37"/>
      <c r="O6" s="37">
        <f>StartDate-(WEEKDAY(StartDate,2))+{0;1;2;3;4;5}*7 +{2,3,4,5,6,7,1}-3+COLUMN(F1)</f>
        <v>42552</v>
      </c>
      <c r="P6" s="37"/>
      <c r="Q6" s="38"/>
      <c r="R6" s="38">
        <f>StartDate-(WEEKDAY(StartDate,2))+{0;1;2;3;4;5}*7 +{2,3,4,5,6,7,1}-3+COLUMN(G1)</f>
        <v>42553</v>
      </c>
      <c r="S6" s="38"/>
      <c r="T6" s="39"/>
      <c r="U6" s="39">
        <f>StartDate-(WEEKDAY(StartDate,2))+{0;1;2;3;4;5}*7 +{2,3,4,5,6,7,1}-3+COLUMN(H1)</f>
        <v>42554</v>
      </c>
      <c r="V6" s="31"/>
    </row>
    <row r="7" spans="2:29" x14ac:dyDescent="0.2">
      <c r="B7" s="9"/>
      <c r="C7" s="79" t="str">
        <f t="array" ref="C7">IFERROR(INDEX(tblEvents[],SMALL(IF(Dates=C$6,ROW(Dates)),ROW(1:1))-TableRowStart,4),"")</f>
        <v/>
      </c>
      <c r="D7" s="79"/>
      <c r="E7" s="80"/>
      <c r="F7" s="80" t="str">
        <f t="array" ref="F7">IFERROR(INDEX(tblEvents[],SMALL(IF(Dates=F$6,ROW(Dates)),ROW(1:1))-TableRowStart,4),"")</f>
        <v/>
      </c>
      <c r="G7" s="80"/>
      <c r="H7" s="81"/>
      <c r="I7" s="81" t="str">
        <f t="array" ref="I7">IFERROR(INDEX(tblEvents[],SMALL(IF(Dates=I$6,ROW(Dates)),ROW(1:1))-TableRowStart,4),"")</f>
        <v/>
      </c>
      <c r="J7" s="81"/>
      <c r="K7" s="82"/>
      <c r="L7" s="82" t="str">
        <f t="array" ref="L7">IFERROR(INDEX(tblEvents[],SMALL(IF(Dates=L$6,ROW(Dates)),ROW(1:1))-TableRowStart,4),"")</f>
        <v/>
      </c>
      <c r="M7" s="82"/>
      <c r="N7" s="83"/>
      <c r="O7" s="83" t="str">
        <f t="array" ref="O7">IFERROR(INDEX(tblEvents[],SMALL(IF(Dates=O$6,ROW(Dates)),ROW(1:1))-TableRowStart,4),"")</f>
        <v>Jardín comunitario</v>
      </c>
      <c r="P7" s="83"/>
      <c r="Q7" s="84"/>
      <c r="R7" s="84" t="str">
        <f t="array" ref="R7">IFERROR(INDEX(tblEvents[],SMALL(IF(Dates=R$6,ROW(Dates)),ROW(1:1))-TableRowStart,4),"")</f>
        <v>Jardín comunitario</v>
      </c>
      <c r="S7" s="84"/>
      <c r="T7" s="85"/>
      <c r="U7" s="85" t="str">
        <f t="array" ref="U7">IFERROR(INDEX(tblEvents[],SMALL(IF(Dates=U$6,ROW(Dates)),ROW(1:1))-TableRowStart,4),"")</f>
        <v>Noche de cine en el parque</v>
      </c>
      <c r="V7" s="32"/>
    </row>
    <row r="8" spans="2:29" x14ac:dyDescent="0.2">
      <c r="B8" s="9"/>
      <c r="C8" s="79" t="str">
        <f t="array" ref="C8">IFERROR(INDEX(tblEvents[],SMALL(IF(Dates=C$6,ROW(Dates)),ROW(2:2))-TableRowStart,4),"")</f>
        <v/>
      </c>
      <c r="D8" s="79"/>
      <c r="E8" s="80"/>
      <c r="F8" s="80" t="str">
        <f t="array" ref="F8">IFERROR(INDEX(tblEvents[],SMALL(IF(Dates=F$6,ROW(Dates)),ROW(2:2))-TableRowStart,4),"")</f>
        <v/>
      </c>
      <c r="G8" s="80"/>
      <c r="H8" s="81"/>
      <c r="I8" s="81" t="str">
        <f t="array" ref="I8">IFERROR(INDEX(tblEvents[],SMALL(IF(Dates=I$6,ROW(Dates)),ROW(2:2))-TableRowStart,4),"")</f>
        <v/>
      </c>
      <c r="J8" s="81"/>
      <c r="K8" s="82"/>
      <c r="L8" s="82" t="str">
        <f t="array" ref="L8">IFERROR(INDEX(tblEvents[],SMALL(IF(Dates=L$6,ROW(Dates)),ROW(2:2))-TableRowStart,4),"")</f>
        <v/>
      </c>
      <c r="M8" s="82"/>
      <c r="N8" s="83"/>
      <c r="O8" s="83" t="str">
        <f t="array" ref="O8">IFERROR(INDEX(tblEvents[],SMALL(IF(Dates=O$6,ROW(Dates)),ROW(2:2))-TableRowStart,4),"")</f>
        <v>Ayuntamiento</v>
      </c>
      <c r="P8" s="83"/>
      <c r="Q8" s="84"/>
      <c r="R8" s="84" t="str">
        <f t="array" ref="R8">IFERROR(INDEX(tblEvents[],SMALL(IF(Dates=R$6,ROW(Dates)),ROW(2:2))-TableRowStart,4),"")</f>
        <v/>
      </c>
      <c r="S8" s="84"/>
      <c r="T8" s="85"/>
      <c r="U8" s="85" t="str">
        <f t="array" ref="U8">IFERROR(INDEX(tblEvents[],SMALL(IF(Dates=U$6,ROW(Dates)),ROW(2:2))-TableRowStart,4),"")</f>
        <v/>
      </c>
      <c r="V8" s="32"/>
    </row>
    <row r="9" spans="2:29" x14ac:dyDescent="0.2">
      <c r="B9" s="9"/>
      <c r="C9" s="79" t="str">
        <f t="array" ref="C9">IFERROR(INDEX(tblEvents[],SMALL(IF(Dates=C$6,ROW(Dates)),ROW(3:3))-TableRowStart,4),"")</f>
        <v/>
      </c>
      <c r="D9" s="79"/>
      <c r="E9" s="80"/>
      <c r="F9" s="80" t="str">
        <f t="array" ref="F9">IFERROR(INDEX(tblEvents[],SMALL(IF(Dates=F$6,ROW(Dates)),ROW(3:3))-TableRowStart,4),"")</f>
        <v/>
      </c>
      <c r="G9" s="80"/>
      <c r="H9" s="81"/>
      <c r="I9" s="81" t="str">
        <f t="array" ref="I9">IFERROR(INDEX(tblEvents[],SMALL(IF(Dates=I$6,ROW(Dates)),ROW(3:3))-TableRowStart,4),"")</f>
        <v/>
      </c>
      <c r="J9" s="81"/>
      <c r="K9" s="82"/>
      <c r="L9" s="82" t="str">
        <f t="array" ref="L9">IFERROR(INDEX(tblEvents[],SMALL(IF(Dates=L$6,ROW(Dates)),ROW(3:3))-TableRowStart,4),"")</f>
        <v/>
      </c>
      <c r="M9" s="82"/>
      <c r="N9" s="83"/>
      <c r="O9" s="83" t="str">
        <f t="array" ref="O9">IFERROR(INDEX(tblEvents[],SMALL(IF(Dates=O$6,ROW(Dates)),ROW(3:3))-TableRowStart,4),"")</f>
        <v/>
      </c>
      <c r="P9" s="83"/>
      <c r="Q9" s="84"/>
      <c r="R9" s="84" t="str">
        <f t="array" ref="R9">IFERROR(INDEX(tblEvents[],SMALL(IF(Dates=R$6,ROW(Dates)),ROW(3:3))-TableRowStart,4),"")</f>
        <v/>
      </c>
      <c r="S9" s="84"/>
      <c r="T9" s="85"/>
      <c r="U9" s="85" t="str">
        <f t="array" ref="U9">IFERROR(INDEX(tblEvents[],SMALL(IF(Dates=U$6,ROW(Dates)),ROW(3:3))-TableRowStart,4),"")</f>
        <v/>
      </c>
      <c r="V9" s="32"/>
    </row>
    <row r="10" spans="2:29" x14ac:dyDescent="0.2">
      <c r="B10" s="9"/>
      <c r="C10" s="79" t="str">
        <f t="array" ref="C10">IFERROR(INDEX(tblEvents[],SMALL(IF(Dates=C$6,ROW(Dates)),ROW(#REF!))-TableRowStart,4),"")</f>
        <v/>
      </c>
      <c r="D10" s="79"/>
      <c r="E10" s="80"/>
      <c r="F10" s="80" t="str">
        <f t="array" ref="F10">IFERROR(INDEX(tblEvents[],SMALL(IF(Dates=F$6,ROW(Dates)),ROW(#REF!))-TableRowStart,4),"")</f>
        <v/>
      </c>
      <c r="G10" s="80"/>
      <c r="H10" s="81"/>
      <c r="I10" s="81" t="str">
        <f t="array" ref="I10">IFERROR(INDEX(tblEvents[],SMALL(IF(Dates=I$6,ROW(Dates)),ROW(#REF!))-TableRowStart,4),"")</f>
        <v/>
      </c>
      <c r="J10" s="81"/>
      <c r="K10" s="82"/>
      <c r="L10" s="82" t="str">
        <f t="array" ref="L10">IFERROR(INDEX(tblEvents[],SMALL(IF(Dates=L$6,ROW(Dates)),ROW(#REF!))-TableRowStart,4),"")</f>
        <v/>
      </c>
      <c r="M10" s="82"/>
      <c r="N10" s="83"/>
      <c r="O10" s="83" t="str">
        <f t="array" ref="O10">IFERROR(INDEX(tblEvents[],SMALL(IF(Dates=O$6,ROW(Dates)),ROW(#REF!))-TableRowStart,4),"")</f>
        <v/>
      </c>
      <c r="P10" s="83"/>
      <c r="Q10" s="84"/>
      <c r="R10" s="84" t="str">
        <f t="array" ref="R10">IFERROR(INDEX(tblEvents[],SMALL(IF(Dates=R$6,ROW(Dates)),ROW(#REF!))-TableRowStart,4),"")</f>
        <v/>
      </c>
      <c r="S10" s="84"/>
      <c r="T10" s="85"/>
      <c r="U10" s="85" t="str">
        <f t="array" ref="U10">IFERROR(INDEX(tblEvents[],SMALL(IF(Dates=U$6,ROW(Dates)),ROW(#REF!))-TableRowStart,4),"")</f>
        <v/>
      </c>
      <c r="V10" s="32"/>
    </row>
    <row r="11" spans="2:29" ht="21" customHeight="1" x14ac:dyDescent="0.2">
      <c r="B11" s="10"/>
      <c r="C11" s="40">
        <f>U6+1</f>
        <v>42555</v>
      </c>
      <c r="D11" s="33"/>
      <c r="E11" s="34"/>
      <c r="F11" s="41">
        <f>C11+1</f>
        <v>42556</v>
      </c>
      <c r="G11" s="34"/>
      <c r="H11" s="35"/>
      <c r="I11" s="42">
        <f>F11+1</f>
        <v>42557</v>
      </c>
      <c r="J11" s="35"/>
      <c r="K11" s="36"/>
      <c r="L11" s="43">
        <f>I11+1</f>
        <v>42558</v>
      </c>
      <c r="M11" s="36"/>
      <c r="N11" s="37"/>
      <c r="O11" s="44">
        <f>L11+1</f>
        <v>42559</v>
      </c>
      <c r="P11" s="37"/>
      <c r="Q11" s="38"/>
      <c r="R11" s="45">
        <f>O11+1</f>
        <v>42560</v>
      </c>
      <c r="S11" s="38"/>
      <c r="T11" s="39"/>
      <c r="U11" s="46">
        <f>R11+1</f>
        <v>42561</v>
      </c>
      <c r="V11" s="31"/>
    </row>
    <row r="12" spans="2:29" x14ac:dyDescent="0.2">
      <c r="B12" s="9"/>
      <c r="C12" s="79" t="str">
        <f t="array" ref="C12">IFERROR(INDEX(tblEvents[],SMALL(IF(Dates=C$11,ROW(Dates)),ROW(1:1))-TableRowStart,4),"")</f>
        <v/>
      </c>
      <c r="D12" s="79"/>
      <c r="E12" s="80"/>
      <c r="F12" s="80" t="str">
        <f t="array" ref="F12">IFERROR(INDEX(tblEvents[],SMALL(IF(Dates=F$11,ROW(Dates)),ROW(1:1))-TableRowStart,4),"")</f>
        <v/>
      </c>
      <c r="G12" s="80"/>
      <c r="H12" s="81"/>
      <c r="I12" s="81" t="str">
        <f t="array" ref="I12">IFERROR(INDEX(tblEvents[],SMALL(IF(Dates=I$11,ROW(Dates)),ROW(1:1))-TableRowStart,4),"")</f>
        <v/>
      </c>
      <c r="J12" s="81"/>
      <c r="K12" s="82"/>
      <c r="L12" s="82" t="str">
        <f t="array" ref="L12">IFERROR(INDEX(tblEvents[],SMALL(IF(Dates=L$11,ROW(Dates)),ROW(1:1))-TableRowStart,4),"")</f>
        <v/>
      </c>
      <c r="M12" s="82"/>
      <c r="N12" s="83"/>
      <c r="O12" s="83" t="str">
        <f t="array" ref="O12">IFERROR(INDEX(tblEvents[],SMALL(IF(Dates=O$11,ROW(Dates)),ROW(1:1))-TableRowStart,4),"")</f>
        <v>Ayuntamiento</v>
      </c>
      <c r="P12" s="83"/>
      <c r="Q12" s="84"/>
      <c r="R12" s="84" t="str">
        <f t="array" ref="R12">IFERROR(INDEX(tblEvents[],SMALL(IF(Dates=R$11,ROW(Dates)),ROW(1:1))-TableRowStart,4),"")</f>
        <v/>
      </c>
      <c r="S12" s="84"/>
      <c r="T12" s="85"/>
      <c r="U12" s="85" t="str">
        <f t="array" ref="U12">IFERROR(INDEX(tblEvents[],SMALL(IF(Dates=U$11,ROW(Dates)),ROW(1:1))-TableRowStart,4),"")</f>
        <v/>
      </c>
      <c r="V12" s="32"/>
    </row>
    <row r="13" spans="2:29" x14ac:dyDescent="0.2">
      <c r="B13" s="9"/>
      <c r="C13" s="79" t="str">
        <f t="array" ref="C13">IFERROR(INDEX(tblEvents[],SMALL(IF(Dates=C$11,ROW(Dates)),ROW(2:2))-TableRowStart,4),"")</f>
        <v/>
      </c>
      <c r="D13" s="79"/>
      <c r="E13" s="80"/>
      <c r="F13" s="80" t="str">
        <f t="array" ref="F13">IFERROR(INDEX(tblEvents[],SMALL(IF(Dates=F$11,ROW(Dates)),ROW(2:2))-TableRowStart,4),"")</f>
        <v/>
      </c>
      <c r="G13" s="80"/>
      <c r="H13" s="81"/>
      <c r="I13" s="81" t="str">
        <f t="array" ref="I13">IFERROR(INDEX(tblEvents[],SMALL(IF(Dates=I$11,ROW(Dates)),ROW(2:2))-TableRowStart,4),"")</f>
        <v/>
      </c>
      <c r="J13" s="81"/>
      <c r="K13" s="82"/>
      <c r="L13" s="82" t="str">
        <f t="array" ref="L13">IFERROR(INDEX(tblEvents[],SMALL(IF(Dates=L$11,ROW(Dates)),ROW(2:2))-TableRowStart,4),"")</f>
        <v/>
      </c>
      <c r="M13" s="82"/>
      <c r="N13" s="83"/>
      <c r="O13" s="83" t="str">
        <f t="array" ref="O13">IFERROR(INDEX(tblEvents[],SMALL(IF(Dates=O$11,ROW(Dates)),ROW(2:2))-TableRowStart,4),"")</f>
        <v/>
      </c>
      <c r="P13" s="83"/>
      <c r="Q13" s="84"/>
      <c r="R13" s="84" t="str">
        <f t="array" ref="R13">IFERROR(INDEX(tblEvents[],SMALL(IF(Dates=R$11,ROW(Dates)),ROW(2:2))-TableRowStart,4),"")</f>
        <v/>
      </c>
      <c r="S13" s="84"/>
      <c r="T13" s="85"/>
      <c r="U13" s="85" t="str">
        <f t="array" ref="U13">IFERROR(INDEX(tblEvents[],SMALL(IF(Dates=U$11,ROW(Dates)),ROW(2:2))-TableRowStart,4),"")</f>
        <v/>
      </c>
      <c r="V13" s="32"/>
    </row>
    <row r="14" spans="2:29" x14ac:dyDescent="0.2">
      <c r="B14" s="9"/>
      <c r="C14" s="79" t="str">
        <f t="array" ref="C14">IFERROR(INDEX(tblEvents[],SMALL(IF(Dates=C$11,ROW(Dates)),ROW(3:3))-TableRowStart,4),"")</f>
        <v/>
      </c>
      <c r="D14" s="79"/>
      <c r="E14" s="80"/>
      <c r="F14" s="80" t="str">
        <f t="array" ref="F14">IFERROR(INDEX(tblEvents[],SMALL(IF(Dates=F$11,ROW(Dates)),ROW(3:3))-TableRowStart,4),"")</f>
        <v/>
      </c>
      <c r="G14" s="80"/>
      <c r="H14" s="81"/>
      <c r="I14" s="81" t="str">
        <f t="array" ref="I14">IFERROR(INDEX(tblEvents[],SMALL(IF(Dates=I$11,ROW(Dates)),ROW(3:3))-TableRowStart,4),"")</f>
        <v/>
      </c>
      <c r="J14" s="81"/>
      <c r="K14" s="82"/>
      <c r="L14" s="82" t="str">
        <f t="array" ref="L14">IFERROR(INDEX(tblEvents[],SMALL(IF(Dates=L$11,ROW(Dates)),ROW(3:3))-TableRowStart,4),"")</f>
        <v/>
      </c>
      <c r="M14" s="82"/>
      <c r="N14" s="83"/>
      <c r="O14" s="83" t="str">
        <f t="array" ref="O14">IFERROR(INDEX(tblEvents[],SMALL(IF(Dates=O$11,ROW(Dates)),ROW(3:3))-TableRowStart,4),"")</f>
        <v/>
      </c>
      <c r="P14" s="83"/>
      <c r="Q14" s="84"/>
      <c r="R14" s="84" t="str">
        <f t="array" ref="R14">IFERROR(INDEX(tblEvents[],SMALL(IF(Dates=R$11,ROW(Dates)),ROW(3:3))-TableRowStart,4),"")</f>
        <v/>
      </c>
      <c r="S14" s="84"/>
      <c r="T14" s="85"/>
      <c r="U14" s="85" t="str">
        <f t="array" ref="U14">IFERROR(INDEX(tblEvents[],SMALL(IF(Dates=U$11,ROW(Dates)),ROW(3:3))-TableRowStart,4),"")</f>
        <v/>
      </c>
      <c r="V14" s="32"/>
    </row>
    <row r="15" spans="2:29" x14ac:dyDescent="0.2">
      <c r="B15" s="9"/>
      <c r="C15" s="79" t="str">
        <f t="array" ref="C15">IFERROR(INDEX(tblEvents[],SMALL(IF(Dates=C$11,ROW(Dates)),ROW(#REF!))-TableRowStart,4),"")</f>
        <v/>
      </c>
      <c r="D15" s="79"/>
      <c r="E15" s="80"/>
      <c r="F15" s="80" t="str">
        <f t="array" ref="F15">IFERROR(INDEX(tblEvents[],SMALL(IF(Dates=F$11,ROW(Dates)),ROW(#REF!))-TableRowStart,4),"")</f>
        <v/>
      </c>
      <c r="G15" s="80"/>
      <c r="H15" s="81"/>
      <c r="I15" s="81" t="str">
        <f t="array" ref="I15">IFERROR(INDEX(tblEvents[],SMALL(IF(Dates=I$11,ROW(Dates)),ROW(#REF!))-TableRowStart,4),"")</f>
        <v/>
      </c>
      <c r="J15" s="81"/>
      <c r="K15" s="82"/>
      <c r="L15" s="82" t="str">
        <f t="array" ref="L15">IFERROR(INDEX(tblEvents[],SMALL(IF(Dates=L$11,ROW(Dates)),ROW(#REF!))-TableRowStart,4),"")</f>
        <v/>
      </c>
      <c r="M15" s="82"/>
      <c r="N15" s="83"/>
      <c r="O15" s="83" t="str">
        <f t="array" ref="O15">IFERROR(INDEX(tblEvents[],SMALL(IF(Dates=O$11,ROW(Dates)),ROW(#REF!))-TableRowStart,4),"")</f>
        <v/>
      </c>
      <c r="P15" s="83"/>
      <c r="Q15" s="84"/>
      <c r="R15" s="84" t="str">
        <f t="array" ref="R15">IFERROR(INDEX(tblEvents[],SMALL(IF(Dates=R$11,ROW(Dates)),ROW(#REF!))-TableRowStart,4),"")</f>
        <v/>
      </c>
      <c r="S15" s="84"/>
      <c r="T15" s="85"/>
      <c r="U15" s="85" t="str">
        <f t="array" ref="U15">IFERROR(INDEX(tblEvents[],SMALL(IF(Dates=U$11,ROW(Dates)),ROW(#REF!))-TableRowStart,4),"")</f>
        <v/>
      </c>
      <c r="V15" s="32"/>
    </row>
    <row r="16" spans="2:29" ht="21" customHeight="1" x14ac:dyDescent="0.2">
      <c r="B16" s="10"/>
      <c r="C16" s="40">
        <f>U11+1</f>
        <v>42562</v>
      </c>
      <c r="D16" s="33"/>
      <c r="E16" s="34"/>
      <c r="F16" s="41">
        <f>C16+1</f>
        <v>42563</v>
      </c>
      <c r="G16" s="34"/>
      <c r="H16" s="35"/>
      <c r="I16" s="42">
        <f>F16+1</f>
        <v>42564</v>
      </c>
      <c r="J16" s="35"/>
      <c r="K16" s="36"/>
      <c r="L16" s="43">
        <f>I16+1</f>
        <v>42565</v>
      </c>
      <c r="M16" s="36"/>
      <c r="N16" s="37"/>
      <c r="O16" s="44">
        <f>L16+1</f>
        <v>42566</v>
      </c>
      <c r="P16" s="37"/>
      <c r="Q16" s="38"/>
      <c r="R16" s="45">
        <f>O16+1</f>
        <v>42567</v>
      </c>
      <c r="S16" s="38"/>
      <c r="T16" s="39"/>
      <c r="U16" s="46">
        <f>R16+1</f>
        <v>42568</v>
      </c>
      <c r="V16" s="31"/>
    </row>
    <row r="17" spans="2:22" x14ac:dyDescent="0.2">
      <c r="B17" s="9"/>
      <c r="C17" s="79" t="str">
        <f t="array" ref="C17">IFERROR(INDEX(tblEvents[],SMALL(IF(Dates=C$16,ROW(Dates)),ROW(1:1))-TableRowStart,4),"")</f>
        <v>Comida en la Cámara de Comercio</v>
      </c>
      <c r="D17" s="79"/>
      <c r="E17" s="80"/>
      <c r="F17" s="80" t="str">
        <f t="array" ref="F17">IFERROR(INDEX(tblEvents[],SMALL(IF(Dates=F$16,ROW(Dates)),ROW(1:1))-TableRowStart,4),"")</f>
        <v>Muestra de antigüedades</v>
      </c>
      <c r="G17" s="80"/>
      <c r="H17" s="81"/>
      <c r="I17" s="81" t="str">
        <f t="array" ref="I17">IFERROR(INDEX(tblEvents[],SMALL(IF(Dates=I$16,ROW(Dates)),ROW(1:1))-TableRowStart,4),"")</f>
        <v/>
      </c>
      <c r="J17" s="81"/>
      <c r="K17" s="82"/>
      <c r="L17" s="82" t="str">
        <f t="array" ref="L17">IFERROR(INDEX(tblEvents[],SMALL(IF(Dates=L$16,ROW(Dates)),ROW(1:1))-TableRowStart,4),"")</f>
        <v>Taller comunitario</v>
      </c>
      <c r="M17" s="82"/>
      <c r="N17" s="83"/>
      <c r="O17" s="83" t="str">
        <f t="array" ref="O17">IFERROR(INDEX(tblEvents[],SMALL(IF(Dates=O$16,ROW(Dates)),ROW(1:1))-TableRowStart,4),"")</f>
        <v>Ayuntamiento</v>
      </c>
      <c r="P17" s="83"/>
      <c r="Q17" s="84"/>
      <c r="R17" s="84" t="str">
        <f t="array" ref="R17">IFERROR(INDEX(tblEvents[],SMALL(IF(Dates=R$16,ROW(Dates)),ROW(1:1))-TableRowStart,4),"")</f>
        <v/>
      </c>
      <c r="S17" s="84"/>
      <c r="T17" s="85"/>
      <c r="U17" s="85" t="str">
        <f t="array" ref="U17">IFERROR(INDEX(tblEvents[],SMALL(IF(Dates=U$16,ROW(Dates)),ROW(1:1))-TableRowStart,4),"")</f>
        <v/>
      </c>
      <c r="V17" s="32"/>
    </row>
    <row r="18" spans="2:22" x14ac:dyDescent="0.2">
      <c r="B18" s="9"/>
      <c r="C18" s="79" t="str">
        <f t="array" ref="C18">IFERROR(INDEX(tblEvents[],SMALL(IF(Dates=C$16,ROW(Dates)),ROW(2:2))-TableRowStart,4),"")</f>
        <v/>
      </c>
      <c r="D18" s="79"/>
      <c r="E18" s="80"/>
      <c r="F18" s="80" t="str">
        <f t="array" ref="F18">IFERROR(INDEX(tblEvents[],SMALL(IF(Dates=F$16,ROW(Dates)),ROW(2:2))-TableRowStart,4),"")</f>
        <v/>
      </c>
      <c r="G18" s="80"/>
      <c r="H18" s="81"/>
      <c r="I18" s="81" t="str">
        <f t="array" ref="I18">IFERROR(INDEX(tblEvents[],SMALL(IF(Dates=I$16,ROW(Dates)),ROW(2:2))-TableRowStart,4),"")</f>
        <v/>
      </c>
      <c r="J18" s="81"/>
      <c r="K18" s="82"/>
      <c r="L18" s="82" t="str">
        <f t="array" ref="L18">IFERROR(INDEX(tblEvents[],SMALL(IF(Dates=L$16,ROW(Dates)),ROW(2:2))-TableRowStart,4),"")</f>
        <v/>
      </c>
      <c r="M18" s="82"/>
      <c r="N18" s="83"/>
      <c r="O18" s="83" t="str">
        <f t="array" ref="O18">IFERROR(INDEX(tblEvents[],SMALL(IF(Dates=O$16,ROW(Dates)),ROW(2:2))-TableRowStart,4),"")</f>
        <v/>
      </c>
      <c r="P18" s="83"/>
      <c r="Q18" s="84"/>
      <c r="R18" s="84" t="str">
        <f t="array" ref="R18">IFERROR(INDEX(tblEvents[],SMALL(IF(Dates=R$16,ROW(Dates)),ROW(2:2))-TableRowStart,4),"")</f>
        <v/>
      </c>
      <c r="S18" s="84"/>
      <c r="T18" s="85"/>
      <c r="U18" s="85" t="str">
        <f t="array" ref="U18">IFERROR(INDEX(tblEvents[],SMALL(IF(Dates=U$16,ROW(Dates)),ROW(2:2))-TableRowStart,4),"")</f>
        <v/>
      </c>
      <c r="V18" s="32"/>
    </row>
    <row r="19" spans="2:22" x14ac:dyDescent="0.2">
      <c r="B19" s="9"/>
      <c r="C19" s="79" t="str">
        <f t="array" ref="C19">IFERROR(INDEX(tblEvents[],SMALL(IF(Dates=C$16,ROW(Dates)),ROW(3:3))-TableRowStart,4),"")</f>
        <v/>
      </c>
      <c r="D19" s="79"/>
      <c r="E19" s="80"/>
      <c r="F19" s="80" t="str">
        <f t="array" ref="F19">IFERROR(INDEX(tblEvents[],SMALL(IF(Dates=F$16,ROW(Dates)),ROW(3:3))-TableRowStart,4),"")</f>
        <v/>
      </c>
      <c r="G19" s="80"/>
      <c r="H19" s="81"/>
      <c r="I19" s="81" t="str">
        <f t="array" ref="I19">IFERROR(INDEX(tblEvents[],SMALL(IF(Dates=I$16,ROW(Dates)),ROW(3:3))-TableRowStart,4),"")</f>
        <v/>
      </c>
      <c r="J19" s="81"/>
      <c r="K19" s="82"/>
      <c r="L19" s="82" t="str">
        <f t="array" ref="L19">IFERROR(INDEX(tblEvents[],SMALL(IF(Dates=L$16,ROW(Dates)),ROW(3:3))-TableRowStart,4),"")</f>
        <v/>
      </c>
      <c r="M19" s="82"/>
      <c r="N19" s="83"/>
      <c r="O19" s="83" t="str">
        <f t="array" ref="O19">IFERROR(INDEX(tblEvents[],SMALL(IF(Dates=O$16,ROW(Dates)),ROW(3:3))-TableRowStart,4),"")</f>
        <v/>
      </c>
      <c r="P19" s="83"/>
      <c r="Q19" s="84"/>
      <c r="R19" s="84" t="str">
        <f t="array" ref="R19">IFERROR(INDEX(tblEvents[],SMALL(IF(Dates=R$16,ROW(Dates)),ROW(3:3))-TableRowStart,4),"")</f>
        <v/>
      </c>
      <c r="S19" s="84"/>
      <c r="T19" s="85"/>
      <c r="U19" s="85" t="str">
        <f t="array" ref="U19">IFERROR(INDEX(tblEvents[],SMALL(IF(Dates=U$16,ROW(Dates)),ROW(3:3))-TableRowStart,4),"")</f>
        <v/>
      </c>
      <c r="V19" s="32"/>
    </row>
    <row r="20" spans="2:22" x14ac:dyDescent="0.2">
      <c r="B20" s="9"/>
      <c r="C20" s="79" t="str">
        <f t="array" ref="C20">IFERROR(INDEX(tblEvents[],SMALL(IF(Dates=C$16,ROW(Dates)),ROW(#REF!))-TableRowStart,4),"")</f>
        <v/>
      </c>
      <c r="D20" s="79"/>
      <c r="E20" s="80"/>
      <c r="F20" s="80" t="str">
        <f t="array" ref="F20">IFERROR(INDEX(tblEvents[],SMALL(IF(Dates=F$16,ROW(Dates)),ROW(#REF!))-TableRowStart,4),"")</f>
        <v/>
      </c>
      <c r="G20" s="80"/>
      <c r="H20" s="81"/>
      <c r="I20" s="81" t="str">
        <f t="array" ref="I20">IFERROR(INDEX(tblEvents[],SMALL(IF(Dates=I$16,ROW(Dates)),ROW(#REF!))-TableRowStart,4),"")</f>
        <v/>
      </c>
      <c r="J20" s="81"/>
      <c r="K20" s="82"/>
      <c r="L20" s="82" t="str">
        <f t="array" ref="L20">IFERROR(INDEX(tblEvents[],SMALL(IF(Dates=L$16,ROW(Dates)),ROW(#REF!))-TableRowStart,4),"")</f>
        <v/>
      </c>
      <c r="M20" s="82"/>
      <c r="N20" s="83"/>
      <c r="O20" s="83" t="str">
        <f t="array" ref="O20">IFERROR(INDEX(tblEvents[],SMALL(IF(Dates=O$16,ROW(Dates)),ROW(#REF!))-TableRowStart,4),"")</f>
        <v/>
      </c>
      <c r="P20" s="83"/>
      <c r="Q20" s="84"/>
      <c r="R20" s="84" t="str">
        <f t="array" ref="R20">IFERROR(INDEX(tblEvents[],SMALL(IF(Dates=R$16,ROW(Dates)),ROW(#REF!))-TableRowStart,4),"")</f>
        <v/>
      </c>
      <c r="S20" s="84"/>
      <c r="T20" s="85"/>
      <c r="U20" s="85" t="str">
        <f t="array" ref="U20">IFERROR(INDEX(tblEvents[],SMALL(IF(Dates=U$16,ROW(Dates)),ROW(#REF!))-TableRowStart,4),"")</f>
        <v/>
      </c>
      <c r="V20" s="32"/>
    </row>
    <row r="21" spans="2:22" ht="21" customHeight="1" x14ac:dyDescent="0.2">
      <c r="B21" s="10"/>
      <c r="C21" s="40">
        <f>U16+1</f>
        <v>42569</v>
      </c>
      <c r="D21" s="33"/>
      <c r="E21" s="34"/>
      <c r="F21" s="41">
        <f>C21+1</f>
        <v>42570</v>
      </c>
      <c r="G21" s="34"/>
      <c r="H21" s="35"/>
      <c r="I21" s="42">
        <f>F21+1</f>
        <v>42571</v>
      </c>
      <c r="J21" s="35"/>
      <c r="K21" s="36"/>
      <c r="L21" s="43">
        <f>I21+1</f>
        <v>42572</v>
      </c>
      <c r="M21" s="36"/>
      <c r="N21" s="37"/>
      <c r="O21" s="44">
        <f>L21+1</f>
        <v>42573</v>
      </c>
      <c r="P21" s="37"/>
      <c r="Q21" s="38"/>
      <c r="R21" s="45">
        <f>O21+1</f>
        <v>42574</v>
      </c>
      <c r="S21" s="38"/>
      <c r="T21" s="39"/>
      <c r="U21" s="46">
        <f t="shared" ref="U21" si="0">R21+1</f>
        <v>42575</v>
      </c>
      <c r="V21" s="31"/>
    </row>
    <row r="22" spans="2:22" x14ac:dyDescent="0.2">
      <c r="B22" s="9"/>
      <c r="C22" s="79" t="str">
        <f t="array" ref="C22">IFERROR(INDEX(tblEvents[],SMALL(IF(Dates=C$21,ROW(Dates)),ROW(1:1))-TableRowStart,4),"")</f>
        <v/>
      </c>
      <c r="D22" s="79"/>
      <c r="E22" s="80"/>
      <c r="F22" s="80" t="str">
        <f t="array" ref="F22">IFERROR(INDEX(tblEvents[],SMALL(IF(Dates=F$21,ROW(Dates)),ROW(1:1))-TableRowStart,4),"")</f>
        <v>Taller de Planificación estratégica</v>
      </c>
      <c r="G22" s="80"/>
      <c r="H22" s="81"/>
      <c r="I22" s="81" t="str">
        <f t="array" ref="I22">IFERROR(INDEX(tblEvents[],SMALL(IF(Dates=I$21,ROW(Dates)),ROW(1:1))-TableRowStart,4),"")</f>
        <v>Limpieza del parque</v>
      </c>
      <c r="J22" s="81"/>
      <c r="K22" s="82"/>
      <c r="L22" s="82" t="str">
        <f t="array" ref="L22">IFERROR(INDEX(tblEvents[],SMALL(IF(Dates=L$21,ROW(Dates)),ROW(1:1))-TableRowStart,4),"")</f>
        <v/>
      </c>
      <c r="M22" s="82"/>
      <c r="N22" s="83"/>
      <c r="O22" s="83" t="str">
        <f t="array" ref="O22">IFERROR(INDEX(tblEvents[],SMALL(IF(Dates=O$21,ROW(Dates)),ROW(1:1))-TableRowStart,4),"")</f>
        <v>Ayuntamiento</v>
      </c>
      <c r="P22" s="83"/>
      <c r="Q22" s="84"/>
      <c r="R22" s="84" t="str">
        <f t="array" ref="R22">IFERROR(INDEX(tblEvents[],SMALL(IF(Dates=R$21,ROW(Dates)),ROW(1:1))-TableRowStart,4),"")</f>
        <v/>
      </c>
      <c r="S22" s="84"/>
      <c r="T22" s="85"/>
      <c r="U22" s="85" t="str">
        <f t="array" ref="U22">IFERROR(INDEX(tblEvents[],SMALL(IF(Dates=U$21,ROW(Dates)),ROW(1:1))-TableRowStart,4),"")</f>
        <v/>
      </c>
      <c r="V22" s="32"/>
    </row>
    <row r="23" spans="2:22" x14ac:dyDescent="0.2">
      <c r="B23" s="9"/>
      <c r="C23" s="79" t="str">
        <f t="array" ref="C23">IFERROR(INDEX(tblEvents[],SMALL(IF(Dates=C$21,ROW(Dates)),ROW(2:2))-TableRowStart,4),"")</f>
        <v/>
      </c>
      <c r="D23" s="79"/>
      <c r="E23" s="80"/>
      <c r="F23" s="80" t="str">
        <f t="array" ref="F23">IFERROR(INDEX(tblEvents[],SMALL(IF(Dates=F$21,ROW(Dates)),ROW(2:2))-TableRowStart,4),"")</f>
        <v/>
      </c>
      <c r="G23" s="80"/>
      <c r="H23" s="81"/>
      <c r="I23" s="81" t="str">
        <f t="array" ref="I23">IFERROR(INDEX(tblEvents[],SMALL(IF(Dates=I$21,ROW(Dates)),ROW(2:2))-TableRowStart,4),"")</f>
        <v/>
      </c>
      <c r="J23" s="81"/>
      <c r="K23" s="82"/>
      <c r="L23" s="82" t="str">
        <f t="array" ref="L23">IFERROR(INDEX(tblEvents[],SMALL(IF(Dates=L$21,ROW(Dates)),ROW(2:2))-TableRowStart,4),"")</f>
        <v/>
      </c>
      <c r="M23" s="82"/>
      <c r="N23" s="83"/>
      <c r="O23" s="83" t="str">
        <f t="array" ref="O23">IFERROR(INDEX(tblEvents[],SMALL(IF(Dates=O$21,ROW(Dates)),ROW(2:2))-TableRowStart,4),"")</f>
        <v/>
      </c>
      <c r="P23" s="83"/>
      <c r="Q23" s="84"/>
      <c r="R23" s="84" t="str">
        <f t="array" ref="R23">IFERROR(INDEX(tblEvents[],SMALL(IF(Dates=R$21,ROW(Dates)),ROW(2:2))-TableRowStart,4),"")</f>
        <v/>
      </c>
      <c r="S23" s="84"/>
      <c r="T23" s="85"/>
      <c r="U23" s="85" t="str">
        <f t="array" ref="U23">IFERROR(INDEX(tblEvents[],SMALL(IF(Dates=U$21,ROW(Dates)),ROW(2:2))-TableRowStart,4),"")</f>
        <v/>
      </c>
      <c r="V23" s="32"/>
    </row>
    <row r="24" spans="2:22" x14ac:dyDescent="0.2">
      <c r="B24" s="9"/>
      <c r="C24" s="79" t="str">
        <f t="array" ref="C24">IFERROR(INDEX(tblEvents[],SMALL(IF(Dates=C$21,ROW(Dates)),ROW(3:3))-TableRowStart,4),"")</f>
        <v/>
      </c>
      <c r="D24" s="79"/>
      <c r="E24" s="80"/>
      <c r="F24" s="80" t="str">
        <f t="array" ref="F24">IFERROR(INDEX(tblEvents[],SMALL(IF(Dates=F$21,ROW(Dates)),ROW(3:3))-TableRowStart,4),"")</f>
        <v/>
      </c>
      <c r="G24" s="80"/>
      <c r="H24" s="81"/>
      <c r="I24" s="81" t="str">
        <f t="array" ref="I24">IFERROR(INDEX(tblEvents[],SMALL(IF(Dates=I$21,ROW(Dates)),ROW(3:3))-TableRowStart,4),"")</f>
        <v/>
      </c>
      <c r="J24" s="81"/>
      <c r="K24" s="82"/>
      <c r="L24" s="82" t="str">
        <f t="array" ref="L24">IFERROR(INDEX(tblEvents[],SMALL(IF(Dates=L$21,ROW(Dates)),ROW(3:3))-TableRowStart,4),"")</f>
        <v/>
      </c>
      <c r="M24" s="82"/>
      <c r="N24" s="83"/>
      <c r="O24" s="83" t="str">
        <f t="array" ref="O24">IFERROR(INDEX(tblEvents[],SMALL(IF(Dates=O$21,ROW(Dates)),ROW(3:3))-TableRowStart,4),"")</f>
        <v/>
      </c>
      <c r="P24" s="83"/>
      <c r="Q24" s="84"/>
      <c r="R24" s="84" t="str">
        <f t="array" ref="R24">IFERROR(INDEX(tblEvents[],SMALL(IF(Dates=R$21,ROW(Dates)),ROW(3:3))-TableRowStart,4),"")</f>
        <v/>
      </c>
      <c r="S24" s="84"/>
      <c r="T24" s="85"/>
      <c r="U24" s="85" t="str">
        <f t="array" ref="U24">IFERROR(INDEX(tblEvents[],SMALL(IF(Dates=U$21,ROW(Dates)),ROW(3:3))-TableRowStart,4),"")</f>
        <v/>
      </c>
      <c r="V24" s="32"/>
    </row>
    <row r="25" spans="2:22" x14ac:dyDescent="0.2">
      <c r="B25" s="9"/>
      <c r="C25" s="79" t="str">
        <f t="array" ref="C25">IFERROR(INDEX(tblEvents[],SMALL(IF(Dates=C$21,ROW(Dates)),ROW(#REF!))-TableRowStart,4),"")</f>
        <v/>
      </c>
      <c r="D25" s="79"/>
      <c r="E25" s="80"/>
      <c r="F25" s="80" t="str">
        <f t="array" ref="F25">IFERROR(INDEX(tblEvents[],SMALL(IF(Dates=F$21,ROW(Dates)),ROW(#REF!))-TableRowStart,4),"")</f>
        <v/>
      </c>
      <c r="G25" s="80"/>
      <c r="H25" s="81"/>
      <c r="I25" s="81" t="str">
        <f t="array" ref="I25">IFERROR(INDEX(tblEvents[],SMALL(IF(Dates=I$21,ROW(Dates)),ROW(#REF!))-TableRowStart,4),"")</f>
        <v/>
      </c>
      <c r="J25" s="81"/>
      <c r="K25" s="82"/>
      <c r="L25" s="82" t="str">
        <f t="array" ref="L25">IFERROR(INDEX(tblEvents[],SMALL(IF(Dates=L$21,ROW(Dates)),ROW(#REF!))-TableRowStart,4),"")</f>
        <v/>
      </c>
      <c r="M25" s="82"/>
      <c r="N25" s="83"/>
      <c r="O25" s="83" t="str">
        <f t="array" ref="O25">IFERROR(INDEX(tblEvents[],SMALL(IF(Dates=O$21,ROW(Dates)),ROW(#REF!))-TableRowStart,4),"")</f>
        <v/>
      </c>
      <c r="P25" s="83"/>
      <c r="Q25" s="84"/>
      <c r="R25" s="84" t="str">
        <f t="array" ref="R25">IFERROR(INDEX(tblEvents[],SMALL(IF(Dates=R$21,ROW(Dates)),ROW(#REF!))-TableRowStart,4),"")</f>
        <v/>
      </c>
      <c r="S25" s="84"/>
      <c r="T25" s="85"/>
      <c r="U25" s="85" t="str">
        <f t="array" ref="U25">IFERROR(INDEX(tblEvents[],SMALL(IF(Dates=U$21,ROW(Dates)),ROW(#REF!))-TableRowStart,4),"")</f>
        <v/>
      </c>
      <c r="V25" s="32"/>
    </row>
    <row r="26" spans="2:22" ht="21" customHeight="1" x14ac:dyDescent="0.2">
      <c r="B26" s="10"/>
      <c r="C26" s="40">
        <f>U21+1</f>
        <v>42576</v>
      </c>
      <c r="D26" s="33"/>
      <c r="E26" s="34"/>
      <c r="F26" s="41">
        <f>C26+1</f>
        <v>42577</v>
      </c>
      <c r="G26" s="34"/>
      <c r="H26" s="35"/>
      <c r="I26" s="42">
        <f>F26+1</f>
        <v>42578</v>
      </c>
      <c r="J26" s="35"/>
      <c r="K26" s="36"/>
      <c r="L26" s="43">
        <f>I26+1</f>
        <v>42579</v>
      </c>
      <c r="M26" s="36"/>
      <c r="N26" s="37"/>
      <c r="O26" s="44">
        <f>L26+1</f>
        <v>42580</v>
      </c>
      <c r="P26" s="37"/>
      <c r="Q26" s="38"/>
      <c r="R26" s="45">
        <f>O26+1</f>
        <v>42581</v>
      </c>
      <c r="S26" s="38"/>
      <c r="T26" s="39"/>
      <c r="U26" s="46">
        <f t="shared" ref="U26" si="1">R26+1</f>
        <v>42582</v>
      </c>
      <c r="V26" s="31"/>
    </row>
    <row r="27" spans="2:22" x14ac:dyDescent="0.2">
      <c r="B27" s="9"/>
      <c r="C27" s="79" t="str">
        <f t="array" ref="C27">IFERROR(INDEX(tblEvents[],SMALL(IF(Dates=C$26,ROW(Dates)),ROW(1:1))-TableRowStart,4),"")</f>
        <v/>
      </c>
      <c r="D27" s="79"/>
      <c r="E27" s="80"/>
      <c r="F27" s="80" t="str">
        <f t="array" ref="F27">IFERROR(INDEX(tblEvents[],SMALL(IF(Dates=F$26,ROW(Dates)),ROW(1:1))-TableRowStart,4),"")</f>
        <v>Excursión a pie por el centro</v>
      </c>
      <c r="G27" s="80"/>
      <c r="H27" s="81"/>
      <c r="I27" s="81" t="str">
        <f t="array" ref="I27">IFERROR(INDEX(tblEvents[],SMALL(IF(Dates=I$26,ROW(Dates)),ROW(1:1))-TableRowStart,4),"")</f>
        <v/>
      </c>
      <c r="J27" s="81"/>
      <c r="K27" s="82"/>
      <c r="L27" s="82" t="str">
        <f t="array" ref="L27">IFERROR(INDEX(tblEvents[],SMALL(IF(Dates=L$26,ROW(Dates)),ROW(1:1))-TableRowStart,4),"")</f>
        <v/>
      </c>
      <c r="M27" s="82"/>
      <c r="N27" s="83"/>
      <c r="O27" s="83" t="str">
        <f t="array" ref="O27">IFERROR(INDEX(tblEvents[],SMALL(IF(Dates=O$26,ROW(Dates)),ROW(1:1))-TableRowStart,4),"")</f>
        <v>Ayuntamiento</v>
      </c>
      <c r="P27" s="83"/>
      <c r="Q27" s="84"/>
      <c r="R27" s="84" t="str">
        <f t="array" ref="R27">IFERROR(INDEX(tblEvents[],SMALL(IF(Dates=R$26,ROW(Dates)),ROW(1:1))-TableRowStart,4),"")</f>
        <v/>
      </c>
      <c r="S27" s="84"/>
      <c r="T27" s="85"/>
      <c r="U27" s="85" t="str">
        <f t="array" ref="U27">IFERROR(INDEX(tblEvents[],SMALL(IF(Dates=U$26,ROW(Dates)),ROW(1:1))-TableRowStart,4),"")</f>
        <v/>
      </c>
      <c r="V27" s="32"/>
    </row>
    <row r="28" spans="2:22" x14ac:dyDescent="0.2">
      <c r="B28" s="9"/>
      <c r="C28" s="79" t="str">
        <f t="array" ref="C28">IFERROR(INDEX(tblEvents[],SMALL(IF(Dates=C$26,ROW(Dates)),ROW(2:2))-TableRowStart,4),"")</f>
        <v/>
      </c>
      <c r="D28" s="79"/>
      <c r="E28" s="80"/>
      <c r="F28" s="80" t="str">
        <f t="array" ref="F28">IFERROR(INDEX(tblEvents[],SMALL(IF(Dates=F$26,ROW(Dates)),ROW(2:2))-TableRowStart,4),"")</f>
        <v>Ronda de bares</v>
      </c>
      <c r="G28" s="80"/>
      <c r="H28" s="81"/>
      <c r="I28" s="81" t="str">
        <f t="array" ref="I28">IFERROR(INDEX(tblEvents[],SMALL(IF(Dates=I$26,ROW(Dates)),ROW(2:2))-TableRowStart,4),"")</f>
        <v/>
      </c>
      <c r="J28" s="81"/>
      <c r="K28" s="82"/>
      <c r="L28" s="82" t="str">
        <f t="array" ref="L28">IFERROR(INDEX(tblEvents[],SMALL(IF(Dates=L$26,ROW(Dates)),ROW(2:2))-TableRowStart,4),"")</f>
        <v/>
      </c>
      <c r="M28" s="82"/>
      <c r="N28" s="83"/>
      <c r="O28" s="83" t="str">
        <f t="array" ref="O28">IFERROR(INDEX(tblEvents[],SMALL(IF(Dates=O$26,ROW(Dates)),ROW(2:2))-TableRowStart,4),"")</f>
        <v/>
      </c>
      <c r="P28" s="83"/>
      <c r="Q28" s="84"/>
      <c r="R28" s="84" t="str">
        <f t="array" ref="R28">IFERROR(INDEX(tblEvents[],SMALL(IF(Dates=R$26,ROW(Dates)),ROW(2:2))-TableRowStart,4),"")</f>
        <v/>
      </c>
      <c r="S28" s="84"/>
      <c r="T28" s="85"/>
      <c r="U28" s="85" t="str">
        <f t="array" ref="U28">IFERROR(INDEX(tblEvents[],SMALL(IF(Dates=U$26,ROW(Dates)),ROW(2:2))-TableRowStart,4),"")</f>
        <v/>
      </c>
      <c r="V28" s="32"/>
    </row>
    <row r="29" spans="2:22" x14ac:dyDescent="0.2">
      <c r="B29" s="9"/>
      <c r="C29" s="79" t="str">
        <f t="array" ref="C29">IFERROR(INDEX(tblEvents[],SMALL(IF(Dates=C$26,ROW(Dates)),ROW(3:3))-TableRowStart,4),"")</f>
        <v/>
      </c>
      <c r="D29" s="79"/>
      <c r="E29" s="80"/>
      <c r="F29" s="80" t="str">
        <f t="array" ref="F29">IFERROR(INDEX(tblEvents[],SMALL(IF(Dates=F$26,ROW(Dates)),ROW(3:3))-TableRowStart,4),"")</f>
        <v/>
      </c>
      <c r="G29" s="80"/>
      <c r="H29" s="81"/>
      <c r="I29" s="81" t="str">
        <f t="array" ref="I29">IFERROR(INDEX(tblEvents[],SMALL(IF(Dates=I$26,ROW(Dates)),ROW(3:3))-TableRowStart,4),"")</f>
        <v/>
      </c>
      <c r="J29" s="81"/>
      <c r="K29" s="82"/>
      <c r="L29" s="82" t="str">
        <f t="array" ref="L29">IFERROR(INDEX(tblEvents[],SMALL(IF(Dates=L$26,ROW(Dates)),ROW(3:3))-TableRowStart,4),"")</f>
        <v/>
      </c>
      <c r="M29" s="82"/>
      <c r="N29" s="83"/>
      <c r="O29" s="83" t="str">
        <f t="array" ref="O29">IFERROR(INDEX(tblEvents[],SMALL(IF(Dates=O$26,ROW(Dates)),ROW(3:3))-TableRowStart,4),"")</f>
        <v/>
      </c>
      <c r="P29" s="83"/>
      <c r="Q29" s="84"/>
      <c r="R29" s="84" t="str">
        <f t="array" ref="R29">IFERROR(INDEX(tblEvents[],SMALL(IF(Dates=R$26,ROW(Dates)),ROW(3:3))-TableRowStart,4),"")</f>
        <v/>
      </c>
      <c r="S29" s="84"/>
      <c r="T29" s="85"/>
      <c r="U29" s="85" t="str">
        <f t="array" ref="U29">IFERROR(INDEX(tblEvents[],SMALL(IF(Dates=U$26,ROW(Dates)),ROW(3:3))-TableRowStart,4),"")</f>
        <v/>
      </c>
      <c r="V29" s="32"/>
    </row>
    <row r="30" spans="2:22" x14ac:dyDescent="0.2">
      <c r="B30" s="9"/>
      <c r="C30" s="79" t="str">
        <f t="array" ref="C30">IFERROR(INDEX(tblEvents[],SMALL(IF(Dates=C$26,ROW(Dates)),ROW(#REF!))-TableRowStart,4),"")</f>
        <v/>
      </c>
      <c r="D30" s="79"/>
      <c r="E30" s="80"/>
      <c r="F30" s="80" t="str">
        <f t="array" ref="F30">IFERROR(INDEX(tblEvents[],SMALL(IF(Dates=F$26,ROW(Dates)),ROW(#REF!))-TableRowStart,4),"")</f>
        <v/>
      </c>
      <c r="G30" s="80"/>
      <c r="H30" s="81"/>
      <c r="I30" s="81" t="str">
        <f t="array" ref="I30">IFERROR(INDEX(tblEvents[],SMALL(IF(Dates=I$26,ROW(Dates)),ROW(#REF!))-TableRowStart,4),"")</f>
        <v/>
      </c>
      <c r="J30" s="81"/>
      <c r="K30" s="82"/>
      <c r="L30" s="82" t="str">
        <f t="array" ref="L30">IFERROR(INDEX(tblEvents[],SMALL(IF(Dates=L$26,ROW(Dates)),ROW(#REF!))-TableRowStart,4),"")</f>
        <v/>
      </c>
      <c r="M30" s="82"/>
      <c r="N30" s="83"/>
      <c r="O30" s="83" t="str">
        <f t="array" ref="O30">IFERROR(INDEX(tblEvents[],SMALL(IF(Dates=O$26,ROW(Dates)),ROW(#REF!))-TableRowStart,4),"")</f>
        <v/>
      </c>
      <c r="P30" s="83"/>
      <c r="Q30" s="84"/>
      <c r="R30" s="84" t="str">
        <f t="array" ref="R30">IFERROR(INDEX(tblEvents[],SMALL(IF(Dates=R$26,ROW(Dates)),ROW(#REF!))-TableRowStart,4),"")</f>
        <v/>
      </c>
      <c r="S30" s="84"/>
      <c r="T30" s="85"/>
      <c r="U30" s="85" t="str">
        <f t="array" ref="U30">IFERROR(INDEX(tblEvents[],SMALL(IF(Dates=U$26,ROW(Dates)),ROW(#REF!))-TableRowStart,4),"")</f>
        <v/>
      </c>
      <c r="V30" s="32"/>
    </row>
    <row r="31" spans="2:22" ht="21" customHeight="1" x14ac:dyDescent="0.2">
      <c r="B31" s="10"/>
      <c r="C31" s="40">
        <f>U26+1</f>
        <v>42583</v>
      </c>
      <c r="D31" s="33"/>
      <c r="E31" s="34"/>
      <c r="F31" s="41">
        <f>C31+1</f>
        <v>42584</v>
      </c>
      <c r="G31" s="15"/>
      <c r="H31" s="47"/>
      <c r="I31" s="91" t="s">
        <v>1</v>
      </c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74"/>
    </row>
    <row r="32" spans="2:22" x14ac:dyDescent="0.2">
      <c r="B32" s="9"/>
      <c r="C32" s="79" t="str">
        <f t="array" ref="C32">IFERROR(INDEX(tblEvents[],SMALL(IF(Dates=C$31,ROW(Dates)),ROW(1:1))-TableRowStart,4),"")</f>
        <v/>
      </c>
      <c r="D32" s="79"/>
      <c r="E32" s="80"/>
      <c r="F32" s="80" t="str">
        <f t="array" ref="F32">IFERROR(INDEX(tblEvents[],SMALL(IF(Dates=F$31,ROW(Dates)),ROW(1:1))-TableRowStart,4),"")</f>
        <v/>
      </c>
      <c r="G32" s="16"/>
      <c r="H32" s="48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75"/>
    </row>
    <row r="33" spans="2:22" x14ac:dyDescent="0.2">
      <c r="B33" s="9"/>
      <c r="C33" s="79" t="str">
        <f t="array" ref="C33">IFERROR(INDEX(tblEvents[],SMALL(IF(Dates=C$31,ROW(Dates)),ROW(2:2))-TableRowStart,4),"")</f>
        <v/>
      </c>
      <c r="D33" s="79"/>
      <c r="E33" s="80"/>
      <c r="F33" s="80" t="str">
        <f t="array" ref="F33">IFERROR(INDEX(tblEvents[],SMALL(IF(Dates=F$31,ROW(Dates)),ROW(2:2))-TableRowStart,4),"")</f>
        <v/>
      </c>
      <c r="G33" s="16"/>
      <c r="H33" s="48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75"/>
    </row>
    <row r="34" spans="2:22" x14ac:dyDescent="0.2">
      <c r="B34" s="9"/>
      <c r="C34" s="79" t="str">
        <f t="array" ref="C34">IFERROR(INDEX(tblEvents[],SMALL(IF(Dates=C$31,ROW(Dates)),ROW(3:3))-TableRowStart,4),"")</f>
        <v/>
      </c>
      <c r="D34" s="79"/>
      <c r="E34" s="80"/>
      <c r="F34" s="80" t="str">
        <f t="array" ref="F34">IFERROR(INDEX(tblEvents[],SMALL(IF(Dates=F$31,ROW(Dates)),ROW(3:3))-TableRowStart,4),"")</f>
        <v/>
      </c>
      <c r="G34" s="16"/>
      <c r="H34" s="48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75"/>
    </row>
    <row r="35" spans="2:22" x14ac:dyDescent="0.2">
      <c r="B35" s="9"/>
      <c r="C35" s="79" t="str">
        <f t="array" ref="C35">IFERROR(INDEX(tblEvents[],SMALL(IF(Dates=C$31,ROW(Dates)),ROW(#REF!))-TableRowStart,4),"")</f>
        <v/>
      </c>
      <c r="D35" s="79"/>
      <c r="E35" s="80"/>
      <c r="F35" s="80" t="str">
        <f t="array" ref="F35">IFERROR(INDEX(tblEvents[],SMALL(IF(Dates=F$31,ROW(Dates)),ROW(#REF!))-TableRowStart,4),"")</f>
        <v/>
      </c>
      <c r="G35" s="16"/>
      <c r="H35" s="48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75"/>
    </row>
  </sheetData>
  <mergeCells count="2">
    <mergeCell ref="I31:U35"/>
    <mergeCell ref="F2:L2"/>
  </mergeCells>
  <printOptions horizontalCentered="1"/>
  <pageMargins left="0.4" right="0.4" top="0.4" bottom="0.4" header="0.3" footer="0.3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Control numérico de año">
              <controlPr defaultSize="0" print="0" autoPict="0" altText="Changes year in cell C2">
                <anchor moveWithCells="1">
                  <from>
                    <xdr:col>2</xdr:col>
                    <xdr:colOff>1362075</xdr:colOff>
                    <xdr:row>1</xdr:row>
                    <xdr:rowOff>200025</xdr:rowOff>
                  </from>
                  <to>
                    <xdr:col>2</xdr:col>
                    <xdr:colOff>1514475</xdr:colOff>
                    <xdr:row>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ontrol numérico de mes">
              <controlPr defaultSize="0" print="0" autoPict="0" altText="Changes month incell F2.">
                <anchor moveWithCells="1">
                  <from>
                    <xdr:col>11</xdr:col>
                    <xdr:colOff>609600</xdr:colOff>
                    <xdr:row>1</xdr:row>
                    <xdr:rowOff>200025</xdr:rowOff>
                  </from>
                  <to>
                    <xdr:col>11</xdr:col>
                    <xdr:colOff>762000</xdr:colOff>
                    <xdr:row>1</xdr:row>
                    <xdr:rowOff>457200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9"/>
    <pageSetUpPr autoPageBreaks="0" fitToPage="1"/>
  </sheetPr>
  <dimension ref="B1:V35"/>
  <sheetViews>
    <sheetView showGridLines="0" zoomScaleNormal="100" workbookViewId="0"/>
  </sheetViews>
  <sheetFormatPr baseColWidth="10" defaultColWidth="9" defaultRowHeight="14.25" x14ac:dyDescent="0.2"/>
  <cols>
    <col min="1" max="1" width="1.5" style="60" customWidth="1"/>
    <col min="2" max="2" width="0.625" style="60" customWidth="1"/>
    <col min="3" max="3" width="25.625" style="60" customWidth="1"/>
    <col min="4" max="5" width="0.625" style="60" customWidth="1"/>
    <col min="6" max="6" width="25.625" style="60" customWidth="1"/>
    <col min="7" max="8" width="0.625" style="60" customWidth="1"/>
    <col min="9" max="9" width="25.625" style="60" customWidth="1"/>
    <col min="10" max="11" width="0.625" style="60" customWidth="1"/>
    <col min="12" max="12" width="25.625" style="60" customWidth="1"/>
    <col min="13" max="14" width="0.625" style="60" customWidth="1"/>
    <col min="15" max="15" width="25.625" style="60" customWidth="1"/>
    <col min="16" max="17" width="0.625" style="60" customWidth="1"/>
    <col min="18" max="18" width="25.625" style="60" customWidth="1"/>
    <col min="19" max="20" width="0.625" style="60" customWidth="1"/>
    <col min="21" max="21" width="25.625" style="60" customWidth="1"/>
    <col min="22" max="22" width="0.625" style="60" customWidth="1"/>
    <col min="23" max="23" width="1.625" style="60" customWidth="1"/>
    <col min="24" max="16384" width="9" style="60"/>
  </cols>
  <sheetData>
    <row r="1" spans="2:22" s="53" customFormat="1" x14ac:dyDescent="0.2"/>
    <row r="2" spans="2:22" s="53" customFormat="1" ht="44.25" x14ac:dyDescent="0.2">
      <c r="B2" s="51"/>
      <c r="C2" s="58">
        <f>ViewYear</f>
        <v>2016</v>
      </c>
      <c r="D2" s="51"/>
      <c r="E2" s="51"/>
      <c r="F2" s="93" t="str">
        <f>ViewMonth</f>
        <v>JULIO</v>
      </c>
      <c r="G2" s="93">
        <f>CALENDARIO!G2</f>
        <v>0</v>
      </c>
      <c r="H2" s="93">
        <f>CALENDARIO!H2</f>
        <v>0</v>
      </c>
      <c r="I2" s="93">
        <f>CALENDARIO!I2</f>
        <v>0</v>
      </c>
      <c r="J2" s="93">
        <f>CALENDARIO!J2</f>
        <v>0</v>
      </c>
      <c r="K2" s="93">
        <f>CALENDARIO!K2</f>
        <v>0</v>
      </c>
      <c r="L2" s="93">
        <f>CALENDARIO!L2</f>
        <v>0</v>
      </c>
      <c r="M2" s="52"/>
      <c r="N2" s="52"/>
      <c r="O2" s="52"/>
      <c r="P2" s="52"/>
      <c r="Q2" s="52"/>
      <c r="R2" s="52"/>
      <c r="S2" s="52"/>
      <c r="T2" s="52"/>
      <c r="U2" s="52"/>
      <c r="V2" s="51"/>
    </row>
    <row r="3" spans="2:22" s="53" customFormat="1" x14ac:dyDescent="0.2">
      <c r="B3" s="54"/>
      <c r="C3" s="76"/>
      <c r="D3" s="76"/>
      <c r="E3" s="76"/>
      <c r="F3" s="77"/>
      <c r="G3" s="76"/>
      <c r="H3" s="76"/>
      <c r="I3" s="76"/>
      <c r="J3" s="54"/>
      <c r="K3" s="54"/>
      <c r="M3" s="54"/>
      <c r="N3" s="54"/>
      <c r="P3" s="54"/>
      <c r="Q3" s="54"/>
      <c r="S3" s="54"/>
      <c r="T3" s="54"/>
      <c r="V3" s="54"/>
    </row>
    <row r="4" spans="2:22" s="55" customFormat="1" ht="69" customHeight="1" x14ac:dyDescent="0.2">
      <c r="B4" s="56"/>
      <c r="C4" s="57" t="s">
        <v>26</v>
      </c>
      <c r="D4" s="56"/>
      <c r="E4" s="56"/>
      <c r="F4" s="57" t="s">
        <v>27</v>
      </c>
      <c r="G4" s="56"/>
      <c r="H4" s="56"/>
      <c r="I4" s="57" t="s">
        <v>28</v>
      </c>
      <c r="J4" s="56"/>
      <c r="K4" s="56"/>
      <c r="L4" s="57" t="s">
        <v>29</v>
      </c>
      <c r="M4" s="56"/>
      <c r="N4" s="56"/>
      <c r="O4" s="57" t="s">
        <v>30</v>
      </c>
      <c r="P4" s="56"/>
      <c r="Q4" s="56"/>
      <c r="R4" s="57" t="s">
        <v>31</v>
      </c>
      <c r="S4" s="56"/>
      <c r="T4" s="56"/>
      <c r="U4" s="57" t="s">
        <v>25</v>
      </c>
      <c r="V4" s="56"/>
    </row>
    <row r="5" spans="2:22" s="55" customFormat="1" ht="6" customHeight="1" x14ac:dyDescent="0.2">
      <c r="C5" s="20"/>
      <c r="F5" s="20"/>
      <c r="I5" s="20"/>
      <c r="L5" s="20"/>
      <c r="O5" s="20"/>
      <c r="R5" s="20"/>
      <c r="U5" s="20"/>
    </row>
    <row r="6" spans="2:22" s="65" customFormat="1" ht="21" customHeight="1" x14ac:dyDescent="0.2">
      <c r="B6" s="62"/>
      <c r="C6" s="63">
        <f>CALENDARIO!C6</f>
        <v>42548</v>
      </c>
      <c r="D6" s="64">
        <f>CALENDARIO!D6</f>
        <v>0</v>
      </c>
      <c r="E6" s="64">
        <f>CALENDARIO!E6</f>
        <v>0</v>
      </c>
      <c r="F6" s="63">
        <f>CALENDARIO!F6</f>
        <v>42549</v>
      </c>
      <c r="G6" s="64">
        <f>CALENDARIO!G6</f>
        <v>0</v>
      </c>
      <c r="H6" s="64">
        <f>CALENDARIO!H6</f>
        <v>0</v>
      </c>
      <c r="I6" s="63">
        <f>CALENDARIO!I6</f>
        <v>42550</v>
      </c>
      <c r="J6" s="64">
        <f>CALENDARIO!J6</f>
        <v>0</v>
      </c>
      <c r="K6" s="64">
        <f>CALENDARIO!K6</f>
        <v>0</v>
      </c>
      <c r="L6" s="63">
        <f>CALENDARIO!L6</f>
        <v>42551</v>
      </c>
      <c r="M6" s="64">
        <f>CALENDARIO!M6</f>
        <v>0</v>
      </c>
      <c r="N6" s="64">
        <f>CALENDARIO!N6</f>
        <v>0</v>
      </c>
      <c r="O6" s="63">
        <f>CALENDARIO!O6</f>
        <v>42552</v>
      </c>
      <c r="P6" s="64">
        <f>CALENDARIO!P6</f>
        <v>0</v>
      </c>
      <c r="Q6" s="64">
        <f>CALENDARIO!Q6</f>
        <v>0</v>
      </c>
      <c r="R6" s="63">
        <f>CALENDARIO!R6</f>
        <v>42553</v>
      </c>
      <c r="S6" s="64">
        <f>CALENDARIO!S6</f>
        <v>0</v>
      </c>
      <c r="T6" s="64">
        <f>CALENDARIO!T6</f>
        <v>0</v>
      </c>
      <c r="U6" s="63">
        <f>CALENDARIO!U6</f>
        <v>42554</v>
      </c>
      <c r="V6" s="62"/>
    </row>
    <row r="7" spans="2:22" s="71" customFormat="1" ht="14.25" customHeight="1" x14ac:dyDescent="0.2">
      <c r="B7" s="62"/>
      <c r="C7" s="62" t="str">
        <f>CALENDARIO!C7</f>
        <v/>
      </c>
      <c r="D7" s="62">
        <f>CALENDARIO!D7</f>
        <v>0</v>
      </c>
      <c r="E7" s="62">
        <f>CALENDARIO!E7</f>
        <v>0</v>
      </c>
      <c r="F7" s="62" t="str">
        <f>CALENDARIO!F7</f>
        <v/>
      </c>
      <c r="G7" s="62">
        <f>CALENDARIO!G7</f>
        <v>0</v>
      </c>
      <c r="H7" s="62">
        <f>CALENDARIO!H7</f>
        <v>0</v>
      </c>
      <c r="I7" s="62" t="str">
        <f>CALENDARIO!I7</f>
        <v/>
      </c>
      <c r="J7" s="62">
        <f>CALENDARIO!J7</f>
        <v>0</v>
      </c>
      <c r="K7" s="62">
        <f>CALENDARIO!K7</f>
        <v>0</v>
      </c>
      <c r="L7" s="62" t="str">
        <f>CALENDARIO!L7</f>
        <v/>
      </c>
      <c r="M7" s="62">
        <f>CALENDARIO!M7</f>
        <v>0</v>
      </c>
      <c r="N7" s="62">
        <f>CALENDARIO!N7</f>
        <v>0</v>
      </c>
      <c r="O7" s="62" t="str">
        <f>CALENDARIO!O7</f>
        <v>Jardín comunitario</v>
      </c>
      <c r="P7" s="62">
        <f>CALENDARIO!P7</f>
        <v>0</v>
      </c>
      <c r="Q7" s="62">
        <f>CALENDARIO!Q7</f>
        <v>0</v>
      </c>
      <c r="R7" s="62" t="str">
        <f>CALENDARIO!R7</f>
        <v>Jardín comunitario</v>
      </c>
      <c r="S7" s="62">
        <f>CALENDARIO!S7</f>
        <v>0</v>
      </c>
      <c r="T7" s="62">
        <f>CALENDARIO!T7</f>
        <v>0</v>
      </c>
      <c r="U7" s="62" t="str">
        <f>CALENDARIO!U7</f>
        <v>Noche de cine en el parque</v>
      </c>
      <c r="V7" s="62"/>
    </row>
    <row r="8" spans="2:22" s="71" customFormat="1" ht="14.25" customHeight="1" x14ac:dyDescent="0.2">
      <c r="B8" s="72"/>
      <c r="C8" s="62" t="str">
        <f>CALENDARIO!C8</f>
        <v/>
      </c>
      <c r="D8" s="86">
        <f>CALENDARIO!D8</f>
        <v>0</v>
      </c>
      <c r="E8" s="86">
        <f>CALENDARIO!E8</f>
        <v>0</v>
      </c>
      <c r="F8" s="62" t="str">
        <f>CALENDARIO!F8</f>
        <v/>
      </c>
      <c r="G8" s="86">
        <f>CALENDARIO!G8</f>
        <v>0</v>
      </c>
      <c r="H8" s="86">
        <f>CALENDARIO!H8</f>
        <v>0</v>
      </c>
      <c r="I8" s="62" t="str">
        <f>CALENDARIO!I8</f>
        <v/>
      </c>
      <c r="J8" s="86">
        <f>CALENDARIO!J8</f>
        <v>0</v>
      </c>
      <c r="K8" s="86">
        <f>CALENDARIO!K8</f>
        <v>0</v>
      </c>
      <c r="L8" s="62" t="str">
        <f>CALENDARIO!L8</f>
        <v/>
      </c>
      <c r="M8" s="86">
        <f>CALENDARIO!M8</f>
        <v>0</v>
      </c>
      <c r="N8" s="86">
        <f>CALENDARIO!N8</f>
        <v>0</v>
      </c>
      <c r="O8" s="62" t="str">
        <f>CALENDARIO!O8</f>
        <v>Ayuntamiento</v>
      </c>
      <c r="P8" s="86">
        <f>CALENDARIO!P8</f>
        <v>0</v>
      </c>
      <c r="Q8" s="86">
        <f>CALENDARIO!Q8</f>
        <v>0</v>
      </c>
      <c r="R8" s="62" t="str">
        <f>CALENDARIO!R8</f>
        <v/>
      </c>
      <c r="S8" s="86">
        <f>CALENDARIO!S8</f>
        <v>0</v>
      </c>
      <c r="T8" s="86">
        <f>CALENDARIO!T8</f>
        <v>0</v>
      </c>
      <c r="U8" s="62" t="str">
        <f>CALENDARIO!U8</f>
        <v/>
      </c>
      <c r="V8" s="72"/>
    </row>
    <row r="9" spans="2:22" s="71" customFormat="1" ht="14.25" customHeight="1" x14ac:dyDescent="0.2">
      <c r="B9" s="62"/>
      <c r="C9" s="62" t="str">
        <f>CALENDARIO!C9</f>
        <v/>
      </c>
      <c r="D9" s="62">
        <f>CALENDARIO!D9</f>
        <v>0</v>
      </c>
      <c r="E9" s="62">
        <f>CALENDARIO!E9</f>
        <v>0</v>
      </c>
      <c r="F9" s="62" t="str">
        <f>CALENDARIO!F9</f>
        <v/>
      </c>
      <c r="G9" s="62">
        <f>CALENDARIO!G9</f>
        <v>0</v>
      </c>
      <c r="H9" s="62">
        <f>CALENDARIO!H9</f>
        <v>0</v>
      </c>
      <c r="I9" s="62" t="str">
        <f>CALENDARIO!I9</f>
        <v/>
      </c>
      <c r="J9" s="62">
        <f>CALENDARIO!J9</f>
        <v>0</v>
      </c>
      <c r="K9" s="62">
        <f>CALENDARIO!K9</f>
        <v>0</v>
      </c>
      <c r="L9" s="62" t="str">
        <f>CALENDARIO!L9</f>
        <v/>
      </c>
      <c r="M9" s="62">
        <f>CALENDARIO!M9</f>
        <v>0</v>
      </c>
      <c r="N9" s="62">
        <f>CALENDARIO!N9</f>
        <v>0</v>
      </c>
      <c r="O9" s="62" t="str">
        <f>CALENDARIO!O9</f>
        <v/>
      </c>
      <c r="P9" s="62">
        <f>CALENDARIO!P9</f>
        <v>0</v>
      </c>
      <c r="Q9" s="62">
        <f>CALENDARIO!Q9</f>
        <v>0</v>
      </c>
      <c r="R9" s="62" t="str">
        <f>CALENDARIO!R9</f>
        <v/>
      </c>
      <c r="S9" s="62">
        <f>CALENDARIO!S9</f>
        <v>0</v>
      </c>
      <c r="T9" s="62">
        <f>CALENDARIO!T9</f>
        <v>0</v>
      </c>
      <c r="U9" s="62" t="str">
        <f>CALENDARIO!U9</f>
        <v/>
      </c>
      <c r="V9" s="62"/>
    </row>
    <row r="10" spans="2:22" s="71" customFormat="1" ht="14.25" customHeight="1" x14ac:dyDescent="0.2">
      <c r="B10" s="62"/>
      <c r="C10" s="62" t="str">
        <f>CALENDARIO!C10</f>
        <v/>
      </c>
      <c r="D10" s="62">
        <f>CALENDARIO!D10</f>
        <v>0</v>
      </c>
      <c r="E10" s="62">
        <f>CALENDARIO!E10</f>
        <v>0</v>
      </c>
      <c r="F10" s="62" t="str">
        <f>CALENDARIO!F10</f>
        <v/>
      </c>
      <c r="G10" s="62">
        <f>CALENDARIO!G10</f>
        <v>0</v>
      </c>
      <c r="H10" s="62">
        <f>CALENDARIO!H10</f>
        <v>0</v>
      </c>
      <c r="I10" s="62" t="str">
        <f>CALENDARIO!I10</f>
        <v/>
      </c>
      <c r="J10" s="62">
        <f>CALENDARIO!J10</f>
        <v>0</v>
      </c>
      <c r="K10" s="62">
        <f>CALENDARIO!K10</f>
        <v>0</v>
      </c>
      <c r="L10" s="62" t="str">
        <f>CALENDARIO!L10</f>
        <v/>
      </c>
      <c r="M10" s="62">
        <f>CALENDARIO!M10</f>
        <v>0</v>
      </c>
      <c r="N10" s="62">
        <f>CALENDARIO!N10</f>
        <v>0</v>
      </c>
      <c r="O10" s="62" t="str">
        <f>CALENDARIO!O10</f>
        <v/>
      </c>
      <c r="P10" s="62">
        <f>CALENDARIO!P10</f>
        <v>0</v>
      </c>
      <c r="Q10" s="62">
        <f>CALENDARIO!Q10</f>
        <v>0</v>
      </c>
      <c r="R10" s="62" t="str">
        <f>CALENDARIO!R10</f>
        <v/>
      </c>
      <c r="S10" s="62">
        <f>CALENDARIO!S10</f>
        <v>0</v>
      </c>
      <c r="T10" s="62">
        <f>CALENDARIO!T10</f>
        <v>0</v>
      </c>
      <c r="U10" s="62" t="str">
        <f>CALENDARIO!U10</f>
        <v/>
      </c>
      <c r="V10" s="62"/>
    </row>
    <row r="11" spans="2:22" s="65" customFormat="1" ht="21" customHeight="1" x14ac:dyDescent="0.2">
      <c r="B11" s="62"/>
      <c r="C11" s="70">
        <f>CALENDARIO!C11</f>
        <v>42555</v>
      </c>
      <c r="D11" s="64">
        <f>CALENDARIO!D11</f>
        <v>0</v>
      </c>
      <c r="E11" s="64">
        <f>CALENDARIO!E11</f>
        <v>0</v>
      </c>
      <c r="F11" s="70">
        <f>CALENDARIO!F11</f>
        <v>42556</v>
      </c>
      <c r="G11" s="64">
        <f>CALENDARIO!G11</f>
        <v>0</v>
      </c>
      <c r="H11" s="64">
        <f>CALENDARIO!H11</f>
        <v>0</v>
      </c>
      <c r="I11" s="70">
        <f>CALENDARIO!I11</f>
        <v>42557</v>
      </c>
      <c r="J11" s="64">
        <f>CALENDARIO!J11</f>
        <v>0</v>
      </c>
      <c r="K11" s="64">
        <f>CALENDARIO!K11</f>
        <v>0</v>
      </c>
      <c r="L11" s="70">
        <f>CALENDARIO!L11</f>
        <v>42558</v>
      </c>
      <c r="M11" s="64">
        <f>CALENDARIO!M11</f>
        <v>0</v>
      </c>
      <c r="N11" s="64">
        <f>CALENDARIO!N11</f>
        <v>0</v>
      </c>
      <c r="O11" s="70">
        <f>CALENDARIO!O11</f>
        <v>42559</v>
      </c>
      <c r="P11" s="64">
        <f>CALENDARIO!P11</f>
        <v>0</v>
      </c>
      <c r="Q11" s="64">
        <f>CALENDARIO!Q11</f>
        <v>0</v>
      </c>
      <c r="R11" s="70">
        <f>CALENDARIO!R11</f>
        <v>42560</v>
      </c>
      <c r="S11" s="64">
        <f>CALENDARIO!S11</f>
        <v>0</v>
      </c>
      <c r="T11" s="64">
        <f>CALENDARIO!T11</f>
        <v>0</v>
      </c>
      <c r="U11" s="70">
        <f>CALENDARIO!U11</f>
        <v>42561</v>
      </c>
      <c r="V11" s="62"/>
    </row>
    <row r="12" spans="2:22" s="71" customFormat="1" ht="14.25" customHeight="1" x14ac:dyDescent="0.2">
      <c r="B12" s="62"/>
      <c r="C12" s="62" t="str">
        <f>CALENDARIO!C12</f>
        <v/>
      </c>
      <c r="D12" s="62">
        <f>CALENDARIO!D12</f>
        <v>0</v>
      </c>
      <c r="E12" s="62">
        <f>CALENDARIO!E12</f>
        <v>0</v>
      </c>
      <c r="F12" s="62" t="str">
        <f>CALENDARIO!F12</f>
        <v/>
      </c>
      <c r="G12" s="62">
        <f>CALENDARIO!G12</f>
        <v>0</v>
      </c>
      <c r="H12" s="62">
        <f>CALENDARIO!H12</f>
        <v>0</v>
      </c>
      <c r="I12" s="62" t="str">
        <f>CALENDARIO!I12</f>
        <v/>
      </c>
      <c r="J12" s="62">
        <f>CALENDARIO!J12</f>
        <v>0</v>
      </c>
      <c r="K12" s="62">
        <f>CALENDARIO!K12</f>
        <v>0</v>
      </c>
      <c r="L12" s="62" t="str">
        <f>CALENDARIO!L12</f>
        <v/>
      </c>
      <c r="M12" s="62">
        <f>CALENDARIO!M12</f>
        <v>0</v>
      </c>
      <c r="N12" s="62">
        <f>CALENDARIO!N12</f>
        <v>0</v>
      </c>
      <c r="O12" s="62" t="str">
        <f>CALENDARIO!O12</f>
        <v>Ayuntamiento</v>
      </c>
      <c r="P12" s="62">
        <f>CALENDARIO!P12</f>
        <v>0</v>
      </c>
      <c r="Q12" s="62">
        <f>CALENDARIO!Q12</f>
        <v>0</v>
      </c>
      <c r="R12" s="62" t="str">
        <f>CALENDARIO!R12</f>
        <v/>
      </c>
      <c r="S12" s="62">
        <f>CALENDARIO!S12</f>
        <v>0</v>
      </c>
      <c r="T12" s="62">
        <f>CALENDARIO!T12</f>
        <v>0</v>
      </c>
      <c r="U12" s="62" t="str">
        <f>CALENDARIO!U12</f>
        <v/>
      </c>
      <c r="V12" s="62"/>
    </row>
    <row r="13" spans="2:22" s="71" customFormat="1" ht="14.25" customHeight="1" x14ac:dyDescent="0.2">
      <c r="B13" s="62"/>
      <c r="C13" s="62" t="str">
        <f>CALENDARIO!C13</f>
        <v/>
      </c>
      <c r="D13" s="62">
        <f>CALENDARIO!D13</f>
        <v>0</v>
      </c>
      <c r="E13" s="62">
        <f>CALENDARIO!E13</f>
        <v>0</v>
      </c>
      <c r="F13" s="62" t="str">
        <f>CALENDARIO!F13</f>
        <v/>
      </c>
      <c r="G13" s="62">
        <f>CALENDARIO!G13</f>
        <v>0</v>
      </c>
      <c r="H13" s="62">
        <f>CALENDARIO!H13</f>
        <v>0</v>
      </c>
      <c r="I13" s="62" t="str">
        <f>CALENDARIO!I13</f>
        <v/>
      </c>
      <c r="J13" s="62">
        <f>CALENDARIO!J13</f>
        <v>0</v>
      </c>
      <c r="K13" s="62">
        <f>CALENDARIO!K13</f>
        <v>0</v>
      </c>
      <c r="L13" s="62" t="str">
        <f>CALENDARIO!L13</f>
        <v/>
      </c>
      <c r="M13" s="62">
        <f>CALENDARIO!M13</f>
        <v>0</v>
      </c>
      <c r="N13" s="62">
        <f>CALENDARIO!N13</f>
        <v>0</v>
      </c>
      <c r="O13" s="62" t="str">
        <f>CALENDARIO!O13</f>
        <v/>
      </c>
      <c r="P13" s="62">
        <f>CALENDARIO!P13</f>
        <v>0</v>
      </c>
      <c r="Q13" s="62">
        <f>CALENDARIO!Q13</f>
        <v>0</v>
      </c>
      <c r="R13" s="62" t="str">
        <f>CALENDARIO!R13</f>
        <v/>
      </c>
      <c r="S13" s="62">
        <f>CALENDARIO!S13</f>
        <v>0</v>
      </c>
      <c r="T13" s="62">
        <f>CALENDARIO!T13</f>
        <v>0</v>
      </c>
      <c r="U13" s="62" t="str">
        <f>CALENDARIO!U13</f>
        <v/>
      </c>
      <c r="V13" s="62"/>
    </row>
    <row r="14" spans="2:22" s="71" customFormat="1" ht="14.25" customHeight="1" x14ac:dyDescent="0.2">
      <c r="B14" s="62"/>
      <c r="C14" s="62" t="str">
        <f>CALENDARIO!C14</f>
        <v/>
      </c>
      <c r="D14" s="62">
        <f>CALENDARIO!D14</f>
        <v>0</v>
      </c>
      <c r="E14" s="62">
        <f>CALENDARIO!E14</f>
        <v>0</v>
      </c>
      <c r="F14" s="62" t="str">
        <f>CALENDARIO!F14</f>
        <v/>
      </c>
      <c r="G14" s="62">
        <f>CALENDARIO!G14</f>
        <v>0</v>
      </c>
      <c r="H14" s="62">
        <f>CALENDARIO!H14</f>
        <v>0</v>
      </c>
      <c r="I14" s="62" t="str">
        <f>CALENDARIO!I14</f>
        <v/>
      </c>
      <c r="J14" s="62">
        <f>CALENDARIO!J14</f>
        <v>0</v>
      </c>
      <c r="K14" s="62">
        <f>CALENDARIO!K14</f>
        <v>0</v>
      </c>
      <c r="L14" s="62" t="str">
        <f>CALENDARIO!L14</f>
        <v/>
      </c>
      <c r="M14" s="62">
        <f>CALENDARIO!M14</f>
        <v>0</v>
      </c>
      <c r="N14" s="62">
        <f>CALENDARIO!N14</f>
        <v>0</v>
      </c>
      <c r="O14" s="62" t="str">
        <f>CALENDARIO!O14</f>
        <v/>
      </c>
      <c r="P14" s="62">
        <f>CALENDARIO!P14</f>
        <v>0</v>
      </c>
      <c r="Q14" s="62">
        <f>CALENDARIO!Q14</f>
        <v>0</v>
      </c>
      <c r="R14" s="62" t="str">
        <f>CALENDARIO!R14</f>
        <v/>
      </c>
      <c r="S14" s="62">
        <f>CALENDARIO!S14</f>
        <v>0</v>
      </c>
      <c r="T14" s="62">
        <f>CALENDARIO!T14</f>
        <v>0</v>
      </c>
      <c r="U14" s="62" t="str">
        <f>CALENDARIO!U14</f>
        <v/>
      </c>
      <c r="V14" s="62"/>
    </row>
    <row r="15" spans="2:22" s="71" customFormat="1" ht="14.25" customHeight="1" x14ac:dyDescent="0.2">
      <c r="B15" s="62"/>
      <c r="C15" s="62" t="str">
        <f>CALENDARIO!C15</f>
        <v/>
      </c>
      <c r="D15" s="62">
        <f>CALENDARIO!D15</f>
        <v>0</v>
      </c>
      <c r="E15" s="62">
        <f>CALENDARIO!E15</f>
        <v>0</v>
      </c>
      <c r="F15" s="62" t="str">
        <f>CALENDARIO!F15</f>
        <v/>
      </c>
      <c r="G15" s="62">
        <f>CALENDARIO!G15</f>
        <v>0</v>
      </c>
      <c r="H15" s="62">
        <f>CALENDARIO!H15</f>
        <v>0</v>
      </c>
      <c r="I15" s="62" t="str">
        <f>CALENDARIO!I15</f>
        <v/>
      </c>
      <c r="J15" s="62">
        <f>CALENDARIO!J15</f>
        <v>0</v>
      </c>
      <c r="K15" s="62">
        <f>CALENDARIO!K15</f>
        <v>0</v>
      </c>
      <c r="L15" s="62" t="str">
        <f>CALENDARIO!L15</f>
        <v/>
      </c>
      <c r="M15" s="62">
        <f>CALENDARIO!M15</f>
        <v>0</v>
      </c>
      <c r="N15" s="62">
        <f>CALENDARIO!N15</f>
        <v>0</v>
      </c>
      <c r="O15" s="62" t="str">
        <f>CALENDARIO!O15</f>
        <v/>
      </c>
      <c r="P15" s="62">
        <f>CALENDARIO!P15</f>
        <v>0</v>
      </c>
      <c r="Q15" s="62">
        <f>CALENDARIO!Q15</f>
        <v>0</v>
      </c>
      <c r="R15" s="62" t="str">
        <f>CALENDARIO!R15</f>
        <v/>
      </c>
      <c r="S15" s="62">
        <f>CALENDARIO!S15</f>
        <v>0</v>
      </c>
      <c r="T15" s="62">
        <f>CALENDARIO!T15</f>
        <v>0</v>
      </c>
      <c r="U15" s="62" t="str">
        <f>CALENDARIO!U15</f>
        <v/>
      </c>
      <c r="V15" s="62"/>
    </row>
    <row r="16" spans="2:22" s="65" customFormat="1" ht="21" customHeight="1" x14ac:dyDescent="0.2">
      <c r="B16" s="62"/>
      <c r="C16" s="70">
        <f>CALENDARIO!C16</f>
        <v>42562</v>
      </c>
      <c r="D16" s="64">
        <f>CALENDARIO!D16</f>
        <v>0</v>
      </c>
      <c r="E16" s="64">
        <f>CALENDARIO!E16</f>
        <v>0</v>
      </c>
      <c r="F16" s="70">
        <f>CALENDARIO!F16</f>
        <v>42563</v>
      </c>
      <c r="G16" s="64">
        <f>CALENDARIO!G16</f>
        <v>0</v>
      </c>
      <c r="H16" s="64">
        <f>CALENDARIO!H16</f>
        <v>0</v>
      </c>
      <c r="I16" s="70">
        <f>CALENDARIO!I16</f>
        <v>42564</v>
      </c>
      <c r="J16" s="64">
        <f>CALENDARIO!J16</f>
        <v>0</v>
      </c>
      <c r="K16" s="64">
        <f>CALENDARIO!K16</f>
        <v>0</v>
      </c>
      <c r="L16" s="70">
        <f>CALENDARIO!L16</f>
        <v>42565</v>
      </c>
      <c r="M16" s="64">
        <f>CALENDARIO!M16</f>
        <v>0</v>
      </c>
      <c r="N16" s="64">
        <f>CALENDARIO!N16</f>
        <v>0</v>
      </c>
      <c r="O16" s="70">
        <f>CALENDARIO!O16</f>
        <v>42566</v>
      </c>
      <c r="P16" s="64">
        <f>CALENDARIO!P16</f>
        <v>0</v>
      </c>
      <c r="Q16" s="64">
        <f>CALENDARIO!Q16</f>
        <v>0</v>
      </c>
      <c r="R16" s="70">
        <f>CALENDARIO!R16</f>
        <v>42567</v>
      </c>
      <c r="S16" s="64">
        <f>CALENDARIO!S16</f>
        <v>0</v>
      </c>
      <c r="T16" s="64">
        <f>CALENDARIO!T16</f>
        <v>0</v>
      </c>
      <c r="U16" s="70">
        <f>CALENDARIO!U16</f>
        <v>42568</v>
      </c>
      <c r="V16" s="62"/>
    </row>
    <row r="17" spans="2:22" s="71" customFormat="1" ht="14.25" customHeight="1" x14ac:dyDescent="0.2">
      <c r="B17" s="62"/>
      <c r="C17" s="62" t="str">
        <f>CALENDARIO!C17</f>
        <v>Comida en la Cámara de Comercio</v>
      </c>
      <c r="D17" s="62">
        <f>CALENDARIO!D17</f>
        <v>0</v>
      </c>
      <c r="E17" s="62">
        <f>CALENDARIO!E17</f>
        <v>0</v>
      </c>
      <c r="F17" s="62" t="str">
        <f>CALENDARIO!F17</f>
        <v>Muestra de antigüedades</v>
      </c>
      <c r="G17" s="62">
        <f>CALENDARIO!G17</f>
        <v>0</v>
      </c>
      <c r="H17" s="62">
        <f>CALENDARIO!H17</f>
        <v>0</v>
      </c>
      <c r="I17" s="62" t="str">
        <f>CALENDARIO!I17</f>
        <v/>
      </c>
      <c r="J17" s="62">
        <f>CALENDARIO!J17</f>
        <v>0</v>
      </c>
      <c r="K17" s="62">
        <f>CALENDARIO!K17</f>
        <v>0</v>
      </c>
      <c r="L17" s="62" t="str">
        <f>CALENDARIO!L17</f>
        <v>Taller comunitario</v>
      </c>
      <c r="M17" s="62">
        <f>CALENDARIO!M17</f>
        <v>0</v>
      </c>
      <c r="N17" s="62">
        <f>CALENDARIO!N17</f>
        <v>0</v>
      </c>
      <c r="O17" s="62" t="str">
        <f>CALENDARIO!O17</f>
        <v>Ayuntamiento</v>
      </c>
      <c r="P17" s="62">
        <f>CALENDARIO!P17</f>
        <v>0</v>
      </c>
      <c r="Q17" s="62">
        <f>CALENDARIO!Q17</f>
        <v>0</v>
      </c>
      <c r="R17" s="62" t="str">
        <f>CALENDARIO!R17</f>
        <v/>
      </c>
      <c r="S17" s="62">
        <f>CALENDARIO!S17</f>
        <v>0</v>
      </c>
      <c r="T17" s="62">
        <f>CALENDARIO!T17</f>
        <v>0</v>
      </c>
      <c r="U17" s="62" t="str">
        <f>CALENDARIO!U17</f>
        <v/>
      </c>
      <c r="V17" s="62"/>
    </row>
    <row r="18" spans="2:22" s="71" customFormat="1" ht="14.25" customHeight="1" x14ac:dyDescent="0.2">
      <c r="B18" s="62"/>
      <c r="C18" s="62" t="str">
        <f>CALENDARIO!C18</f>
        <v/>
      </c>
      <c r="D18" s="62">
        <f>CALENDARIO!D18</f>
        <v>0</v>
      </c>
      <c r="E18" s="62">
        <f>CALENDARIO!E18</f>
        <v>0</v>
      </c>
      <c r="F18" s="62" t="str">
        <f>CALENDARIO!F18</f>
        <v/>
      </c>
      <c r="G18" s="62">
        <f>CALENDARIO!G18</f>
        <v>0</v>
      </c>
      <c r="H18" s="62">
        <f>CALENDARIO!H18</f>
        <v>0</v>
      </c>
      <c r="I18" s="62" t="str">
        <f>CALENDARIO!I18</f>
        <v/>
      </c>
      <c r="J18" s="62">
        <f>CALENDARIO!J18</f>
        <v>0</v>
      </c>
      <c r="K18" s="62">
        <f>CALENDARIO!K18</f>
        <v>0</v>
      </c>
      <c r="L18" s="62" t="str">
        <f>CALENDARIO!L18</f>
        <v/>
      </c>
      <c r="M18" s="62">
        <f>CALENDARIO!M18</f>
        <v>0</v>
      </c>
      <c r="N18" s="62">
        <f>CALENDARIO!N18</f>
        <v>0</v>
      </c>
      <c r="O18" s="62" t="str">
        <f>CALENDARIO!O18</f>
        <v/>
      </c>
      <c r="P18" s="62">
        <f>CALENDARIO!P18</f>
        <v>0</v>
      </c>
      <c r="Q18" s="62">
        <f>CALENDARIO!Q18</f>
        <v>0</v>
      </c>
      <c r="R18" s="62" t="str">
        <f>CALENDARIO!R18</f>
        <v/>
      </c>
      <c r="S18" s="62">
        <f>CALENDARIO!S18</f>
        <v>0</v>
      </c>
      <c r="T18" s="62">
        <f>CALENDARIO!T18</f>
        <v>0</v>
      </c>
      <c r="U18" s="62" t="str">
        <f>CALENDARIO!U18</f>
        <v/>
      </c>
      <c r="V18" s="62"/>
    </row>
    <row r="19" spans="2:22" s="71" customFormat="1" ht="14.25" customHeight="1" x14ac:dyDescent="0.2">
      <c r="B19" s="62"/>
      <c r="C19" s="62" t="str">
        <f>CALENDARIO!C19</f>
        <v/>
      </c>
      <c r="D19" s="62">
        <f>CALENDARIO!D19</f>
        <v>0</v>
      </c>
      <c r="E19" s="62">
        <f>CALENDARIO!E19</f>
        <v>0</v>
      </c>
      <c r="F19" s="62" t="str">
        <f>CALENDARIO!F19</f>
        <v/>
      </c>
      <c r="G19" s="62">
        <f>CALENDARIO!G19</f>
        <v>0</v>
      </c>
      <c r="H19" s="62">
        <f>CALENDARIO!H19</f>
        <v>0</v>
      </c>
      <c r="I19" s="62" t="str">
        <f>CALENDARIO!I19</f>
        <v/>
      </c>
      <c r="J19" s="62">
        <f>CALENDARIO!J19</f>
        <v>0</v>
      </c>
      <c r="K19" s="62">
        <f>CALENDARIO!K19</f>
        <v>0</v>
      </c>
      <c r="L19" s="62" t="str">
        <f>CALENDARIO!L19</f>
        <v/>
      </c>
      <c r="M19" s="62">
        <f>CALENDARIO!M19</f>
        <v>0</v>
      </c>
      <c r="N19" s="62">
        <f>CALENDARIO!N19</f>
        <v>0</v>
      </c>
      <c r="O19" s="62" t="str">
        <f>CALENDARIO!O19</f>
        <v/>
      </c>
      <c r="P19" s="62">
        <f>CALENDARIO!P19</f>
        <v>0</v>
      </c>
      <c r="Q19" s="62">
        <f>CALENDARIO!Q19</f>
        <v>0</v>
      </c>
      <c r="R19" s="62" t="str">
        <f>CALENDARIO!R19</f>
        <v/>
      </c>
      <c r="S19" s="62">
        <f>CALENDARIO!S19</f>
        <v>0</v>
      </c>
      <c r="T19" s="62">
        <f>CALENDARIO!T19</f>
        <v>0</v>
      </c>
      <c r="U19" s="62" t="str">
        <f>CALENDARIO!U19</f>
        <v/>
      </c>
      <c r="V19" s="62"/>
    </row>
    <row r="20" spans="2:22" s="71" customFormat="1" ht="14.25" customHeight="1" x14ac:dyDescent="0.2">
      <c r="B20" s="62"/>
      <c r="C20" s="62" t="str">
        <f>CALENDARIO!C20</f>
        <v/>
      </c>
      <c r="D20" s="62">
        <f>CALENDARIO!D20</f>
        <v>0</v>
      </c>
      <c r="E20" s="62">
        <f>CALENDARIO!E20</f>
        <v>0</v>
      </c>
      <c r="F20" s="62" t="str">
        <f>CALENDARIO!F20</f>
        <v/>
      </c>
      <c r="G20" s="62">
        <f>CALENDARIO!G20</f>
        <v>0</v>
      </c>
      <c r="H20" s="62">
        <f>CALENDARIO!H20</f>
        <v>0</v>
      </c>
      <c r="I20" s="62" t="str">
        <f>CALENDARIO!I20</f>
        <v/>
      </c>
      <c r="J20" s="62">
        <f>CALENDARIO!J20</f>
        <v>0</v>
      </c>
      <c r="K20" s="62">
        <f>CALENDARIO!K20</f>
        <v>0</v>
      </c>
      <c r="L20" s="62" t="str">
        <f>CALENDARIO!L20</f>
        <v/>
      </c>
      <c r="M20" s="62">
        <f>CALENDARIO!M20</f>
        <v>0</v>
      </c>
      <c r="N20" s="62">
        <f>CALENDARIO!N20</f>
        <v>0</v>
      </c>
      <c r="O20" s="62" t="str">
        <f>CALENDARIO!O20</f>
        <v/>
      </c>
      <c r="P20" s="62">
        <f>CALENDARIO!P20</f>
        <v>0</v>
      </c>
      <c r="Q20" s="62">
        <f>CALENDARIO!Q20</f>
        <v>0</v>
      </c>
      <c r="R20" s="62" t="str">
        <f>CALENDARIO!R20</f>
        <v/>
      </c>
      <c r="S20" s="62">
        <f>CALENDARIO!S20</f>
        <v>0</v>
      </c>
      <c r="T20" s="62">
        <f>CALENDARIO!T20</f>
        <v>0</v>
      </c>
      <c r="U20" s="62" t="str">
        <f>CALENDARIO!U20</f>
        <v/>
      </c>
      <c r="V20" s="62"/>
    </row>
    <row r="21" spans="2:22" s="65" customFormat="1" ht="21" customHeight="1" x14ac:dyDescent="0.2">
      <c r="B21" s="62"/>
      <c r="C21" s="70">
        <f>CALENDARIO!C21</f>
        <v>42569</v>
      </c>
      <c r="D21" s="64">
        <f>CALENDARIO!D21</f>
        <v>0</v>
      </c>
      <c r="E21" s="64">
        <f>CALENDARIO!E21</f>
        <v>0</v>
      </c>
      <c r="F21" s="70">
        <f>CALENDARIO!F21</f>
        <v>42570</v>
      </c>
      <c r="G21" s="64">
        <f>CALENDARIO!G21</f>
        <v>0</v>
      </c>
      <c r="H21" s="64">
        <f>CALENDARIO!H21</f>
        <v>0</v>
      </c>
      <c r="I21" s="70">
        <f>CALENDARIO!I21</f>
        <v>42571</v>
      </c>
      <c r="J21" s="64">
        <f>CALENDARIO!J21</f>
        <v>0</v>
      </c>
      <c r="K21" s="64">
        <f>CALENDARIO!K21</f>
        <v>0</v>
      </c>
      <c r="L21" s="70">
        <f>CALENDARIO!L21</f>
        <v>42572</v>
      </c>
      <c r="M21" s="64">
        <f>CALENDARIO!M21</f>
        <v>0</v>
      </c>
      <c r="N21" s="64">
        <f>CALENDARIO!N21</f>
        <v>0</v>
      </c>
      <c r="O21" s="70">
        <f>CALENDARIO!O21</f>
        <v>42573</v>
      </c>
      <c r="P21" s="64">
        <f>CALENDARIO!P21</f>
        <v>0</v>
      </c>
      <c r="Q21" s="64">
        <f>CALENDARIO!Q21</f>
        <v>0</v>
      </c>
      <c r="R21" s="70">
        <f>CALENDARIO!R21</f>
        <v>42574</v>
      </c>
      <c r="S21" s="64">
        <f>CALENDARIO!S21</f>
        <v>0</v>
      </c>
      <c r="T21" s="64">
        <f>CALENDARIO!T21</f>
        <v>0</v>
      </c>
      <c r="U21" s="70">
        <f>CALENDARIO!U21</f>
        <v>42575</v>
      </c>
      <c r="V21" s="62"/>
    </row>
    <row r="22" spans="2:22" s="71" customFormat="1" ht="14.25" customHeight="1" x14ac:dyDescent="0.2">
      <c r="B22" s="62"/>
      <c r="C22" s="62" t="str">
        <f>CALENDARIO!C22</f>
        <v/>
      </c>
      <c r="D22" s="62">
        <f>CALENDARIO!D22</f>
        <v>0</v>
      </c>
      <c r="E22" s="62">
        <f>CALENDARIO!E22</f>
        <v>0</v>
      </c>
      <c r="F22" s="62" t="str">
        <f>CALENDARIO!F22</f>
        <v>Taller de Planificación estratégica</v>
      </c>
      <c r="G22" s="62">
        <f>CALENDARIO!G22</f>
        <v>0</v>
      </c>
      <c r="H22" s="62">
        <f>CALENDARIO!H22</f>
        <v>0</v>
      </c>
      <c r="I22" s="62" t="str">
        <f>CALENDARIO!I22</f>
        <v>Limpieza del parque</v>
      </c>
      <c r="J22" s="62">
        <f>CALENDARIO!J22</f>
        <v>0</v>
      </c>
      <c r="K22" s="62">
        <f>CALENDARIO!K22</f>
        <v>0</v>
      </c>
      <c r="L22" s="62" t="str">
        <f>CALENDARIO!L22</f>
        <v/>
      </c>
      <c r="M22" s="62">
        <f>CALENDARIO!M22</f>
        <v>0</v>
      </c>
      <c r="N22" s="62">
        <f>CALENDARIO!N22</f>
        <v>0</v>
      </c>
      <c r="O22" s="62" t="str">
        <f>CALENDARIO!O22</f>
        <v>Ayuntamiento</v>
      </c>
      <c r="P22" s="62">
        <f>CALENDARIO!P22</f>
        <v>0</v>
      </c>
      <c r="Q22" s="62">
        <f>CALENDARIO!Q22</f>
        <v>0</v>
      </c>
      <c r="R22" s="62" t="str">
        <f>CALENDARIO!R22</f>
        <v/>
      </c>
      <c r="S22" s="62">
        <f>CALENDARIO!S22</f>
        <v>0</v>
      </c>
      <c r="T22" s="62">
        <f>CALENDARIO!T22</f>
        <v>0</v>
      </c>
      <c r="U22" s="62" t="str">
        <f>CALENDARIO!U22</f>
        <v/>
      </c>
      <c r="V22" s="62"/>
    </row>
    <row r="23" spans="2:22" s="71" customFormat="1" ht="14.25" customHeight="1" x14ac:dyDescent="0.2">
      <c r="B23" s="62"/>
      <c r="C23" s="62" t="str">
        <f>CALENDARIO!C23</f>
        <v/>
      </c>
      <c r="D23" s="62">
        <f>CALENDARIO!D23</f>
        <v>0</v>
      </c>
      <c r="E23" s="62">
        <f>CALENDARIO!E23</f>
        <v>0</v>
      </c>
      <c r="F23" s="62" t="str">
        <f>CALENDARIO!F23</f>
        <v/>
      </c>
      <c r="G23" s="62">
        <f>CALENDARIO!G23</f>
        <v>0</v>
      </c>
      <c r="H23" s="62">
        <f>CALENDARIO!H23</f>
        <v>0</v>
      </c>
      <c r="I23" s="62" t="str">
        <f>CALENDARIO!I23</f>
        <v/>
      </c>
      <c r="J23" s="62">
        <f>CALENDARIO!J23</f>
        <v>0</v>
      </c>
      <c r="K23" s="62">
        <f>CALENDARIO!K23</f>
        <v>0</v>
      </c>
      <c r="L23" s="62" t="str">
        <f>CALENDARIO!L23</f>
        <v/>
      </c>
      <c r="M23" s="62">
        <f>CALENDARIO!M23</f>
        <v>0</v>
      </c>
      <c r="N23" s="62">
        <f>CALENDARIO!N23</f>
        <v>0</v>
      </c>
      <c r="O23" s="62" t="str">
        <f>CALENDARIO!O23</f>
        <v/>
      </c>
      <c r="P23" s="62">
        <f>CALENDARIO!P23</f>
        <v>0</v>
      </c>
      <c r="Q23" s="62">
        <f>CALENDARIO!Q23</f>
        <v>0</v>
      </c>
      <c r="R23" s="62" t="str">
        <f>CALENDARIO!R23</f>
        <v/>
      </c>
      <c r="S23" s="62">
        <f>CALENDARIO!S23</f>
        <v>0</v>
      </c>
      <c r="T23" s="62">
        <f>CALENDARIO!T23</f>
        <v>0</v>
      </c>
      <c r="U23" s="62" t="str">
        <f>CALENDARIO!U23</f>
        <v/>
      </c>
      <c r="V23" s="62"/>
    </row>
    <row r="24" spans="2:22" s="71" customFormat="1" ht="14.25" customHeight="1" x14ac:dyDescent="0.2">
      <c r="B24" s="62"/>
      <c r="C24" s="62" t="str">
        <f>CALENDARIO!C24</f>
        <v/>
      </c>
      <c r="D24" s="62">
        <f>CALENDARIO!D24</f>
        <v>0</v>
      </c>
      <c r="E24" s="62">
        <f>CALENDARIO!E24</f>
        <v>0</v>
      </c>
      <c r="F24" s="62" t="str">
        <f>CALENDARIO!F24</f>
        <v/>
      </c>
      <c r="G24" s="62">
        <f>CALENDARIO!G24</f>
        <v>0</v>
      </c>
      <c r="H24" s="62">
        <f>CALENDARIO!H24</f>
        <v>0</v>
      </c>
      <c r="I24" s="62" t="str">
        <f>CALENDARIO!I24</f>
        <v/>
      </c>
      <c r="J24" s="62">
        <f>CALENDARIO!J24</f>
        <v>0</v>
      </c>
      <c r="K24" s="62">
        <f>CALENDARIO!K24</f>
        <v>0</v>
      </c>
      <c r="L24" s="62" t="str">
        <f>CALENDARIO!L24</f>
        <v/>
      </c>
      <c r="M24" s="62">
        <f>CALENDARIO!M24</f>
        <v>0</v>
      </c>
      <c r="N24" s="62">
        <f>CALENDARIO!N24</f>
        <v>0</v>
      </c>
      <c r="O24" s="62" t="str">
        <f>CALENDARIO!O24</f>
        <v/>
      </c>
      <c r="P24" s="62">
        <f>CALENDARIO!P24</f>
        <v>0</v>
      </c>
      <c r="Q24" s="62">
        <f>CALENDARIO!Q24</f>
        <v>0</v>
      </c>
      <c r="R24" s="62" t="str">
        <f>CALENDARIO!R24</f>
        <v/>
      </c>
      <c r="S24" s="62">
        <f>CALENDARIO!S24</f>
        <v>0</v>
      </c>
      <c r="T24" s="62">
        <f>CALENDARIO!T24</f>
        <v>0</v>
      </c>
      <c r="U24" s="62" t="str">
        <f>CALENDARIO!U24</f>
        <v/>
      </c>
      <c r="V24" s="62"/>
    </row>
    <row r="25" spans="2:22" s="71" customFormat="1" ht="14.25" customHeight="1" x14ac:dyDescent="0.2">
      <c r="B25" s="62"/>
      <c r="C25" s="62" t="str">
        <f>CALENDARIO!C25</f>
        <v/>
      </c>
      <c r="D25" s="62">
        <f>CALENDARIO!D25</f>
        <v>0</v>
      </c>
      <c r="E25" s="62">
        <f>CALENDARIO!E25</f>
        <v>0</v>
      </c>
      <c r="F25" s="62" t="str">
        <f>CALENDARIO!F25</f>
        <v/>
      </c>
      <c r="G25" s="62">
        <f>CALENDARIO!G25</f>
        <v>0</v>
      </c>
      <c r="H25" s="62">
        <f>CALENDARIO!H25</f>
        <v>0</v>
      </c>
      <c r="I25" s="62" t="str">
        <f>CALENDARIO!I25</f>
        <v/>
      </c>
      <c r="J25" s="62">
        <f>CALENDARIO!J25</f>
        <v>0</v>
      </c>
      <c r="K25" s="62">
        <f>CALENDARIO!K25</f>
        <v>0</v>
      </c>
      <c r="L25" s="62" t="str">
        <f>CALENDARIO!L25</f>
        <v/>
      </c>
      <c r="M25" s="62">
        <f>CALENDARIO!M25</f>
        <v>0</v>
      </c>
      <c r="N25" s="62">
        <f>CALENDARIO!N25</f>
        <v>0</v>
      </c>
      <c r="O25" s="62" t="str">
        <f>CALENDARIO!O25</f>
        <v/>
      </c>
      <c r="P25" s="62">
        <f>CALENDARIO!P25</f>
        <v>0</v>
      </c>
      <c r="Q25" s="62">
        <f>CALENDARIO!Q25</f>
        <v>0</v>
      </c>
      <c r="R25" s="62" t="str">
        <f>CALENDARIO!R25</f>
        <v/>
      </c>
      <c r="S25" s="62">
        <f>CALENDARIO!S25</f>
        <v>0</v>
      </c>
      <c r="T25" s="62">
        <f>CALENDARIO!T25</f>
        <v>0</v>
      </c>
      <c r="U25" s="62" t="str">
        <f>CALENDARIO!U25</f>
        <v/>
      </c>
      <c r="V25" s="62"/>
    </row>
    <row r="26" spans="2:22" s="65" customFormat="1" ht="21" customHeight="1" x14ac:dyDescent="0.2">
      <c r="B26" s="62"/>
      <c r="C26" s="70">
        <f>CALENDARIO!C26</f>
        <v>42576</v>
      </c>
      <c r="D26" s="64">
        <f>CALENDARIO!D26</f>
        <v>0</v>
      </c>
      <c r="E26" s="64">
        <f>CALENDARIO!E26</f>
        <v>0</v>
      </c>
      <c r="F26" s="70">
        <f>CALENDARIO!F26</f>
        <v>42577</v>
      </c>
      <c r="G26" s="64">
        <f>CALENDARIO!G26</f>
        <v>0</v>
      </c>
      <c r="H26" s="64">
        <f>CALENDARIO!H26</f>
        <v>0</v>
      </c>
      <c r="I26" s="70">
        <f>CALENDARIO!I26</f>
        <v>42578</v>
      </c>
      <c r="J26" s="64">
        <f>CALENDARIO!J26</f>
        <v>0</v>
      </c>
      <c r="K26" s="64">
        <f>CALENDARIO!K26</f>
        <v>0</v>
      </c>
      <c r="L26" s="70">
        <f>CALENDARIO!L26</f>
        <v>42579</v>
      </c>
      <c r="M26" s="64">
        <f>CALENDARIO!M26</f>
        <v>0</v>
      </c>
      <c r="N26" s="64">
        <f>CALENDARIO!N26</f>
        <v>0</v>
      </c>
      <c r="O26" s="70">
        <f>CALENDARIO!O26</f>
        <v>42580</v>
      </c>
      <c r="P26" s="64">
        <f>CALENDARIO!P26</f>
        <v>0</v>
      </c>
      <c r="Q26" s="64">
        <f>CALENDARIO!Q26</f>
        <v>0</v>
      </c>
      <c r="R26" s="70">
        <f>CALENDARIO!R26</f>
        <v>42581</v>
      </c>
      <c r="S26" s="64">
        <f>CALENDARIO!S26</f>
        <v>0</v>
      </c>
      <c r="T26" s="64">
        <f>CALENDARIO!T26</f>
        <v>0</v>
      </c>
      <c r="U26" s="70">
        <f>CALENDARIO!U26</f>
        <v>42582</v>
      </c>
      <c r="V26" s="62"/>
    </row>
    <row r="27" spans="2:22" s="71" customFormat="1" ht="14.25" customHeight="1" x14ac:dyDescent="0.2">
      <c r="B27" s="62"/>
      <c r="C27" s="62" t="str">
        <f>CALENDARIO!C27</f>
        <v/>
      </c>
      <c r="D27" s="62">
        <f>CALENDARIO!D27</f>
        <v>0</v>
      </c>
      <c r="E27" s="62">
        <f>CALENDARIO!E27</f>
        <v>0</v>
      </c>
      <c r="F27" s="62" t="str">
        <f>CALENDARIO!F27</f>
        <v>Excursión a pie por el centro</v>
      </c>
      <c r="G27" s="62">
        <f>CALENDARIO!G27</f>
        <v>0</v>
      </c>
      <c r="H27" s="62">
        <f>CALENDARIO!H27</f>
        <v>0</v>
      </c>
      <c r="I27" s="62" t="str">
        <f>CALENDARIO!I27</f>
        <v/>
      </c>
      <c r="J27" s="62">
        <f>CALENDARIO!J27</f>
        <v>0</v>
      </c>
      <c r="K27" s="62">
        <f>CALENDARIO!K27</f>
        <v>0</v>
      </c>
      <c r="L27" s="62" t="str">
        <f>CALENDARIO!L27</f>
        <v/>
      </c>
      <c r="M27" s="62">
        <f>CALENDARIO!M27</f>
        <v>0</v>
      </c>
      <c r="N27" s="62">
        <f>CALENDARIO!N27</f>
        <v>0</v>
      </c>
      <c r="O27" s="62" t="str">
        <f>CALENDARIO!O27</f>
        <v>Ayuntamiento</v>
      </c>
      <c r="P27" s="62">
        <f>CALENDARIO!P27</f>
        <v>0</v>
      </c>
      <c r="Q27" s="62">
        <f>CALENDARIO!Q27</f>
        <v>0</v>
      </c>
      <c r="R27" s="62" t="str">
        <f>CALENDARIO!R27</f>
        <v/>
      </c>
      <c r="S27" s="62">
        <f>CALENDARIO!S27</f>
        <v>0</v>
      </c>
      <c r="T27" s="62">
        <f>CALENDARIO!T27</f>
        <v>0</v>
      </c>
      <c r="U27" s="62" t="str">
        <f>CALENDARIO!U27</f>
        <v/>
      </c>
      <c r="V27" s="62"/>
    </row>
    <row r="28" spans="2:22" s="71" customFormat="1" ht="14.25" customHeight="1" x14ac:dyDescent="0.2">
      <c r="B28" s="62"/>
      <c r="C28" s="62" t="str">
        <f>CALENDARIO!C28</f>
        <v/>
      </c>
      <c r="D28" s="62">
        <f>CALENDARIO!D28</f>
        <v>0</v>
      </c>
      <c r="E28" s="62">
        <f>CALENDARIO!E28</f>
        <v>0</v>
      </c>
      <c r="F28" s="62" t="str">
        <f>CALENDARIO!F28</f>
        <v>Ronda de bares</v>
      </c>
      <c r="G28" s="62">
        <f>CALENDARIO!G28</f>
        <v>0</v>
      </c>
      <c r="H28" s="62">
        <f>CALENDARIO!H28</f>
        <v>0</v>
      </c>
      <c r="I28" s="62" t="str">
        <f>CALENDARIO!I28</f>
        <v/>
      </c>
      <c r="J28" s="62">
        <f>CALENDARIO!J28</f>
        <v>0</v>
      </c>
      <c r="K28" s="62">
        <f>CALENDARIO!K28</f>
        <v>0</v>
      </c>
      <c r="L28" s="62" t="str">
        <f>CALENDARIO!L28</f>
        <v/>
      </c>
      <c r="M28" s="62">
        <f>CALENDARIO!M28</f>
        <v>0</v>
      </c>
      <c r="N28" s="62">
        <f>CALENDARIO!N28</f>
        <v>0</v>
      </c>
      <c r="O28" s="62" t="str">
        <f>CALENDARIO!O28</f>
        <v/>
      </c>
      <c r="P28" s="62">
        <f>CALENDARIO!P28</f>
        <v>0</v>
      </c>
      <c r="Q28" s="62">
        <f>CALENDARIO!Q28</f>
        <v>0</v>
      </c>
      <c r="R28" s="62" t="str">
        <f>CALENDARIO!R28</f>
        <v/>
      </c>
      <c r="S28" s="62">
        <f>CALENDARIO!S28</f>
        <v>0</v>
      </c>
      <c r="T28" s="62">
        <f>CALENDARIO!T28</f>
        <v>0</v>
      </c>
      <c r="U28" s="62" t="str">
        <f>CALENDARIO!U28</f>
        <v/>
      </c>
      <c r="V28" s="62"/>
    </row>
    <row r="29" spans="2:22" s="71" customFormat="1" ht="14.25" customHeight="1" x14ac:dyDescent="0.2">
      <c r="B29" s="62"/>
      <c r="C29" s="62" t="str">
        <f>CALENDARIO!C29</f>
        <v/>
      </c>
      <c r="D29" s="62">
        <f>CALENDARIO!D29</f>
        <v>0</v>
      </c>
      <c r="E29" s="62">
        <f>CALENDARIO!E29</f>
        <v>0</v>
      </c>
      <c r="F29" s="62" t="str">
        <f>CALENDARIO!F29</f>
        <v/>
      </c>
      <c r="G29" s="62">
        <f>CALENDARIO!G29</f>
        <v>0</v>
      </c>
      <c r="H29" s="62">
        <f>CALENDARIO!H29</f>
        <v>0</v>
      </c>
      <c r="I29" s="62" t="str">
        <f>CALENDARIO!I29</f>
        <v/>
      </c>
      <c r="J29" s="62">
        <f>CALENDARIO!J29</f>
        <v>0</v>
      </c>
      <c r="K29" s="62">
        <f>CALENDARIO!K29</f>
        <v>0</v>
      </c>
      <c r="L29" s="62" t="str">
        <f>CALENDARIO!L29</f>
        <v/>
      </c>
      <c r="M29" s="62">
        <f>CALENDARIO!M29</f>
        <v>0</v>
      </c>
      <c r="N29" s="62">
        <f>CALENDARIO!N29</f>
        <v>0</v>
      </c>
      <c r="O29" s="62" t="str">
        <f>CALENDARIO!O29</f>
        <v/>
      </c>
      <c r="P29" s="62">
        <f>CALENDARIO!P29</f>
        <v>0</v>
      </c>
      <c r="Q29" s="62">
        <f>CALENDARIO!Q29</f>
        <v>0</v>
      </c>
      <c r="R29" s="62" t="str">
        <f>CALENDARIO!R29</f>
        <v/>
      </c>
      <c r="S29" s="62">
        <f>CALENDARIO!S29</f>
        <v>0</v>
      </c>
      <c r="T29" s="62">
        <f>CALENDARIO!T29</f>
        <v>0</v>
      </c>
      <c r="U29" s="62" t="str">
        <f>CALENDARIO!U29</f>
        <v/>
      </c>
      <c r="V29" s="62"/>
    </row>
    <row r="30" spans="2:22" s="71" customFormat="1" ht="14.25" customHeight="1" x14ac:dyDescent="0.2">
      <c r="B30" s="62"/>
      <c r="C30" s="62" t="str">
        <f>CALENDARIO!C30</f>
        <v/>
      </c>
      <c r="D30" s="62">
        <f>CALENDARIO!D30</f>
        <v>0</v>
      </c>
      <c r="E30" s="62">
        <f>CALENDARIO!E30</f>
        <v>0</v>
      </c>
      <c r="F30" s="62" t="str">
        <f>CALENDARIO!F30</f>
        <v/>
      </c>
      <c r="G30" s="62">
        <f>CALENDARIO!G30</f>
        <v>0</v>
      </c>
      <c r="H30" s="62">
        <f>CALENDARIO!H30</f>
        <v>0</v>
      </c>
      <c r="I30" s="62" t="str">
        <f>CALENDARIO!I30</f>
        <v/>
      </c>
      <c r="J30" s="62">
        <f>CALENDARIO!J30</f>
        <v>0</v>
      </c>
      <c r="K30" s="62">
        <f>CALENDARIO!K30</f>
        <v>0</v>
      </c>
      <c r="L30" s="62" t="str">
        <f>CALENDARIO!L30</f>
        <v/>
      </c>
      <c r="M30" s="62">
        <f>CALENDARIO!M30</f>
        <v>0</v>
      </c>
      <c r="N30" s="62">
        <f>CALENDARIO!N30</f>
        <v>0</v>
      </c>
      <c r="O30" s="62" t="str">
        <f>CALENDARIO!O30</f>
        <v/>
      </c>
      <c r="P30" s="62">
        <f>CALENDARIO!P30</f>
        <v>0</v>
      </c>
      <c r="Q30" s="62">
        <f>CALENDARIO!Q30</f>
        <v>0</v>
      </c>
      <c r="R30" s="62" t="str">
        <f>CALENDARIO!R30</f>
        <v/>
      </c>
      <c r="S30" s="62">
        <f>CALENDARIO!S30</f>
        <v>0</v>
      </c>
      <c r="T30" s="62">
        <f>CALENDARIO!T30</f>
        <v>0</v>
      </c>
      <c r="U30" s="62" t="str">
        <f>CALENDARIO!U30</f>
        <v/>
      </c>
      <c r="V30" s="62"/>
    </row>
    <row r="31" spans="2:22" s="65" customFormat="1" ht="21" customHeight="1" x14ac:dyDescent="0.2">
      <c r="B31" s="62"/>
      <c r="C31" s="70">
        <f>CALENDARIO!C31</f>
        <v>42583</v>
      </c>
      <c r="D31" s="64">
        <f>CALENDARIO!D31</f>
        <v>0</v>
      </c>
      <c r="E31" s="64">
        <f>CALENDARIO!E31</f>
        <v>0</v>
      </c>
      <c r="F31" s="70">
        <f>CALENDARIO!F31</f>
        <v>42584</v>
      </c>
      <c r="G31" s="62"/>
      <c r="H31" s="66"/>
      <c r="I31" s="94" t="str">
        <f>CALENDARIO!I31</f>
        <v>NOTAS:</v>
      </c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5"/>
      <c r="V31" s="62"/>
    </row>
    <row r="32" spans="2:22" x14ac:dyDescent="0.2">
      <c r="B32" s="59"/>
      <c r="C32" s="62" t="str">
        <f>CALENDARIO!C32</f>
        <v/>
      </c>
      <c r="D32" s="62">
        <f>CALENDARIO!D32</f>
        <v>0</v>
      </c>
      <c r="E32" s="62">
        <f>CALENDARIO!E32</f>
        <v>0</v>
      </c>
      <c r="F32" s="62" t="str">
        <f>CALENDARIO!F32</f>
        <v/>
      </c>
      <c r="G32" s="59"/>
      <c r="H32" s="67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7"/>
      <c r="V32" s="59"/>
    </row>
    <row r="33" spans="2:22" x14ac:dyDescent="0.2">
      <c r="B33" s="61"/>
      <c r="C33" s="62" t="str">
        <f>CALENDARIO!C33</f>
        <v/>
      </c>
      <c r="D33" s="62">
        <f>CALENDARIO!D33</f>
        <v>0</v>
      </c>
      <c r="E33" s="62">
        <f>CALENDARIO!E33</f>
        <v>0</v>
      </c>
      <c r="F33" s="62" t="str">
        <f>CALENDARIO!F33</f>
        <v/>
      </c>
      <c r="G33" s="61"/>
      <c r="H33" s="68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7"/>
      <c r="V33" s="61"/>
    </row>
    <row r="34" spans="2:22" x14ac:dyDescent="0.2">
      <c r="B34" s="61"/>
      <c r="C34" s="62" t="str">
        <f>CALENDARIO!C34</f>
        <v/>
      </c>
      <c r="D34" s="62">
        <f>CALENDARIO!D34</f>
        <v>0</v>
      </c>
      <c r="E34" s="62">
        <f>CALENDARIO!E34</f>
        <v>0</v>
      </c>
      <c r="F34" s="62" t="str">
        <f>CALENDARIO!F34</f>
        <v/>
      </c>
      <c r="G34" s="61"/>
      <c r="H34" s="68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7"/>
      <c r="V34" s="61"/>
    </row>
    <row r="35" spans="2:22" x14ac:dyDescent="0.2">
      <c r="B35" s="61"/>
      <c r="C35" s="62" t="str">
        <f>CALENDARIO!C35</f>
        <v/>
      </c>
      <c r="D35" s="62">
        <f>CALENDARIO!D35</f>
        <v>0</v>
      </c>
      <c r="E35" s="62">
        <f>CALENDARIO!E35</f>
        <v>0</v>
      </c>
      <c r="F35" s="62" t="str">
        <f>CALENDARIO!F35</f>
        <v/>
      </c>
      <c r="G35" s="61"/>
      <c r="H35" s="69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9"/>
      <c r="V35" s="61"/>
    </row>
  </sheetData>
  <mergeCells count="2">
    <mergeCell ref="F2:L2"/>
    <mergeCell ref="I31:U35"/>
  </mergeCells>
  <printOptions horizontalCentered="1"/>
  <pageMargins left="0.4" right="0.4" top="0.4" bottom="0.4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2:C14"/>
  <sheetViews>
    <sheetView workbookViewId="0"/>
  </sheetViews>
  <sheetFormatPr baseColWidth="10" defaultColWidth="9" defaultRowHeight="14.25" x14ac:dyDescent="0.2"/>
  <cols>
    <col min="1" max="1" width="1.5" customWidth="1"/>
    <col min="2" max="2" width="17.75" customWidth="1"/>
    <col min="3" max="3" width="12.25" customWidth="1"/>
  </cols>
  <sheetData>
    <row r="2" spans="2:3" x14ac:dyDescent="0.2">
      <c r="B2" t="s">
        <v>10</v>
      </c>
      <c r="C2" t="s">
        <v>24</v>
      </c>
    </row>
    <row r="3" spans="2:3" x14ac:dyDescent="0.2">
      <c r="B3" t="s">
        <v>12</v>
      </c>
      <c r="C3">
        <v>1</v>
      </c>
    </row>
    <row r="4" spans="2:3" x14ac:dyDescent="0.2">
      <c r="B4" t="s">
        <v>13</v>
      </c>
      <c r="C4">
        <v>2</v>
      </c>
    </row>
    <row r="5" spans="2:3" x14ac:dyDescent="0.2">
      <c r="B5" t="s">
        <v>14</v>
      </c>
      <c r="C5">
        <v>3</v>
      </c>
    </row>
    <row r="6" spans="2:3" x14ac:dyDescent="0.2">
      <c r="B6" t="s">
        <v>15</v>
      </c>
      <c r="C6">
        <v>4</v>
      </c>
    </row>
    <row r="7" spans="2:3" x14ac:dyDescent="0.2">
      <c r="B7" t="s">
        <v>16</v>
      </c>
      <c r="C7">
        <v>5</v>
      </c>
    </row>
    <row r="8" spans="2:3" x14ac:dyDescent="0.2">
      <c r="B8" t="s">
        <v>17</v>
      </c>
      <c r="C8">
        <v>6</v>
      </c>
    </row>
    <row r="9" spans="2:3" x14ac:dyDescent="0.2">
      <c r="B9" t="s">
        <v>18</v>
      </c>
      <c r="C9">
        <v>7</v>
      </c>
    </row>
    <row r="10" spans="2:3" x14ac:dyDescent="0.2">
      <c r="B10" t="s">
        <v>19</v>
      </c>
      <c r="C10">
        <v>8</v>
      </c>
    </row>
    <row r="11" spans="2:3" x14ac:dyDescent="0.2">
      <c r="B11" t="s">
        <v>20</v>
      </c>
      <c r="C11">
        <v>9</v>
      </c>
    </row>
    <row r="12" spans="2:3" x14ac:dyDescent="0.2">
      <c r="B12" t="s">
        <v>21</v>
      </c>
      <c r="C12">
        <v>10</v>
      </c>
    </row>
    <row r="13" spans="2:3" x14ac:dyDescent="0.2">
      <c r="B13" t="s">
        <v>22</v>
      </c>
      <c r="C13">
        <v>11</v>
      </c>
    </row>
    <row r="14" spans="2:3" x14ac:dyDescent="0.2">
      <c r="B14" t="s">
        <v>23</v>
      </c>
      <c r="C14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A7EEDD2A-EBF0-45B4-B4DE-20C23B6C5B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14</vt:i4>
      </vt:variant>
    </vt:vector>
  </HeadingPairs>
  <TitlesOfParts>
    <vt:vector size="18" baseType="lpstr">
      <vt:lpstr>EVENTOS</vt:lpstr>
      <vt:lpstr>CALENDARIO</vt:lpstr>
      <vt:lpstr>VERSIÓN DE IMPRESIÓN</vt:lpstr>
      <vt:lpstr>ADMINISTRADOR</vt:lpstr>
      <vt:lpstr>'VERSIÓN DE IMPRESIÓN'!DailyEvents</vt:lpstr>
      <vt:lpstr>DailyEvents</vt:lpstr>
      <vt:lpstr>'VERSIÓN DE IMPRESIÓN'!Dates</vt:lpstr>
      <vt:lpstr>Dates</vt:lpstr>
      <vt:lpstr>'VERSIÓN DE IMPRESIÓN'!Events</vt:lpstr>
      <vt:lpstr>Events</vt:lpstr>
      <vt:lpstr>'VERSIÓN DE IMPRESIÓN'!MonthNum</vt:lpstr>
      <vt:lpstr>MonthNum</vt:lpstr>
      <vt:lpstr>MonthView</vt:lpstr>
      <vt:lpstr>'VERSIÓN DE IMPRESIÓN'!StartDate</vt:lpstr>
      <vt:lpstr>StartDate</vt:lpstr>
      <vt:lpstr>EVENTOS!Títulos_a_imprimir</vt:lpstr>
      <vt:lpstr>ViewMonth</vt:lpstr>
      <vt:lpstr>ViewYear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keywords/>
  <cp:lastModifiedBy>01</cp:lastModifiedBy>
  <dcterms:created xsi:type="dcterms:W3CDTF">2015-10-13T04:05:57Z</dcterms:created>
  <dcterms:modified xsi:type="dcterms:W3CDTF">2020-04-23T21:52:02Z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TC040368539991</vt:lpwstr>
  </property>
</Properties>
</file>