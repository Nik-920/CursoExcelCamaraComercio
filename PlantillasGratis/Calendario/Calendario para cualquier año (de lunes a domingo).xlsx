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026"/>
  <workbookPr/>
  <mc:AlternateContent xmlns:mc="http://schemas.openxmlformats.org/markup-compatibility/2006">
    <mc:Choice Requires="x15">
      <x15ac:absPath xmlns:x15ac="http://schemas.microsoft.com/office/spreadsheetml/2010/11/ac" url="C:\Users\01\Desktop\AILEEN PLANTILLAS\EXCEL\CALENDARIO\"/>
    </mc:Choice>
  </mc:AlternateContent>
  <xr:revisionPtr revIDLastSave="0" documentId="8_{A7143E0B-BE2A-4C50-B1B6-B685BB7EEFB9}" xr6:coauthVersionLast="45" xr6:coauthVersionMax="45" xr10:uidLastSave="{00000000-0000-0000-0000-000000000000}"/>
  <bookViews>
    <workbookView xWindow="-120" yWindow="-120" windowWidth="20730" windowHeight="11160" xr2:uid="{00000000-000D-0000-FFFF-FFFF00000000}"/>
  </bookViews>
  <sheets>
    <sheet name="CALENDARIO" sheetId="1" r:id="rId1"/>
  </sheets>
  <definedNames>
    <definedName name="Apl_Val">DATE(CalYear,4,1)</definedName>
    <definedName name="Aug_Val">DATE(CalYear,8,1)</definedName>
    <definedName name="CalYear">CALENDARIO!$B$1</definedName>
    <definedName name="ColumnTitleRegion1..H9.1">CALENDARIO!$B$3</definedName>
    <definedName name="ColumnTitleRegion10..P41.1">CALENDARIO!$J$35</definedName>
    <definedName name="ColumnTitleRegion11..H49.1">CALENDARIO!$B$43</definedName>
    <definedName name="ColumnTitleRegion12..P49.1">CALENDARIO!$J$43</definedName>
    <definedName name="ColumnTitleRegion2..P9.1">CALENDARIO!$J$3</definedName>
    <definedName name="ColumnTitleRegion3..H17.1">CALENDARIO!$B$11</definedName>
    <definedName name="ColumnTitleRegion4..P17.1">CALENDARIO!$J$11</definedName>
    <definedName name="ColumnTitleRegion5..H25.1">CALENDARIO!$B$19</definedName>
    <definedName name="ColumnTitleRegion6..P25.1">CALENDARIO!$J$19</definedName>
    <definedName name="ColumnTitleRegion7..H33.1">CALENDARIO!$B$27</definedName>
    <definedName name="ColumnTitleRegion8..P33.1">CALENDARIO!$J$27</definedName>
    <definedName name="ColumnTitleRegion9..H41.1">CALENDARIO!$B$35</definedName>
    <definedName name="Dec_Val">DATE(CalYear,12,1)</definedName>
    <definedName name="Días">{0,1,2,3,4,5,6} + {0;1;2;3;4;5}*7</definedName>
    <definedName name="Feb_Val">DATE(CalYear,2,1)</definedName>
    <definedName name="Jan_Val">DATE(CalYear,1,1)</definedName>
    <definedName name="July_Val">DATE(CalYear,7,1)</definedName>
    <definedName name="June_Val">DATE(CalYear,6,1)</definedName>
    <definedName name="Mar_Val">DATE(CalYear,3,1)</definedName>
    <definedName name="May_Val">DATE(CalYear,5,1)</definedName>
    <definedName name="Nov_Val">DATE(CalYear,11,1)</definedName>
    <definedName name="Oct_Val">DATE(CalYear,10,1)</definedName>
    <definedName name="Sep_Val">DATE(CalYear,9,1)</definedName>
    <definedName name="WeekStart">"Lunes"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P43" i="1" l="1"/>
  <c r="O43" i="1"/>
  <c r="N43" i="1"/>
  <c r="M43" i="1"/>
  <c r="L43" i="1"/>
  <c r="K43" i="1"/>
  <c r="J43" i="1"/>
  <c r="H43" i="1"/>
  <c r="G43" i="1"/>
  <c r="F43" i="1"/>
  <c r="E43" i="1"/>
  <c r="D43" i="1"/>
  <c r="C43" i="1"/>
  <c r="B43" i="1"/>
  <c r="P35" i="1"/>
  <c r="O35" i="1"/>
  <c r="N35" i="1"/>
  <c r="M35" i="1"/>
  <c r="L35" i="1"/>
  <c r="K35" i="1"/>
  <c r="J35" i="1"/>
  <c r="H35" i="1"/>
  <c r="G35" i="1"/>
  <c r="F35" i="1"/>
  <c r="E35" i="1"/>
  <c r="D35" i="1"/>
  <c r="C35" i="1"/>
  <c r="B35" i="1"/>
  <c r="P27" i="1"/>
  <c r="O27" i="1"/>
  <c r="N27" i="1"/>
  <c r="M27" i="1"/>
  <c r="L27" i="1"/>
  <c r="K27" i="1"/>
  <c r="J27" i="1"/>
  <c r="H27" i="1"/>
  <c r="G27" i="1"/>
  <c r="F27" i="1"/>
  <c r="E27" i="1"/>
  <c r="D27" i="1"/>
  <c r="C27" i="1"/>
  <c r="B27" i="1"/>
  <c r="P19" i="1"/>
  <c r="O19" i="1"/>
  <c r="N19" i="1"/>
  <c r="M19" i="1"/>
  <c r="L19" i="1"/>
  <c r="K19" i="1"/>
  <c r="J19" i="1"/>
  <c r="H19" i="1"/>
  <c r="G19" i="1"/>
  <c r="F19" i="1"/>
  <c r="E19" i="1"/>
  <c r="D19" i="1"/>
  <c r="C19" i="1"/>
  <c r="B19" i="1"/>
  <c r="P11" i="1"/>
  <c r="O11" i="1"/>
  <c r="N11" i="1"/>
  <c r="M11" i="1"/>
  <c r="L11" i="1"/>
  <c r="K11" i="1"/>
  <c r="J11" i="1"/>
  <c r="H11" i="1"/>
  <c r="G11" i="1"/>
  <c r="F11" i="1"/>
  <c r="E11" i="1"/>
  <c r="D11" i="1"/>
  <c r="C11" i="1"/>
  <c r="B11" i="1"/>
  <c r="P3" i="1"/>
  <c r="O3" i="1"/>
  <c r="N3" i="1"/>
  <c r="M3" i="1"/>
  <c r="L3" i="1"/>
  <c r="K3" i="1"/>
  <c r="J3" i="1"/>
  <c r="H3" i="1"/>
  <c r="G3" i="1"/>
  <c r="F3" i="1"/>
  <c r="E3" i="1"/>
  <c r="D3" i="1"/>
  <c r="C3" i="1"/>
  <c r="B3" i="1"/>
  <c r="B1" i="1" l="1"/>
  <c r="B37" i="1" l="1" a="1"/>
  <c r="J36" i="1" a="1"/>
  <c r="B36" i="1" a="1"/>
  <c r="J33" i="1" a="1"/>
  <c r="B33" i="1" a="1"/>
  <c r="J32" i="1" a="1"/>
  <c r="B32" i="1" a="1"/>
  <c r="J31" i="1" a="1"/>
  <c r="B31" i="1" a="1"/>
  <c r="J30" i="1" a="1"/>
  <c r="B30" i="1" a="1"/>
  <c r="J29" i="1" a="1"/>
  <c r="B29" i="1" a="1"/>
  <c r="J28" i="1" a="1"/>
  <c r="B28" i="1" a="1"/>
  <c r="J25" i="1" a="1"/>
  <c r="B25" i="1" a="1"/>
  <c r="J24" i="1" a="1"/>
  <c r="B24" i="1" a="1"/>
  <c r="J23" i="1" a="1"/>
  <c r="B23" i="1" a="1"/>
  <c r="J22" i="1" a="1"/>
  <c r="B22" i="1" a="1"/>
  <c r="J21" i="1" a="1"/>
  <c r="B21" i="1" a="1"/>
  <c r="J20" i="1" a="1"/>
  <c r="B20" i="1" a="1"/>
  <c r="J17" i="1" a="1"/>
  <c r="B17" i="1" a="1"/>
  <c r="J16" i="1" a="1"/>
  <c r="B16" i="1" a="1"/>
  <c r="J15" i="1" a="1"/>
  <c r="B15" i="1" a="1"/>
  <c r="J14" i="1" a="1"/>
  <c r="B14" i="1" a="1"/>
  <c r="J13" i="1" a="1"/>
  <c r="B13" i="1" a="1"/>
  <c r="J12" i="1" a="1"/>
  <c r="B12" i="1" a="1"/>
  <c r="J9" i="1" a="1"/>
  <c r="B9" i="1" a="1"/>
  <c r="J8" i="1" a="1"/>
  <c r="B8" i="1" a="1"/>
  <c r="J7" i="1" a="1"/>
  <c r="B7" i="1" a="1"/>
  <c r="J6" i="1" a="1"/>
  <c r="B6" i="1" a="1"/>
  <c r="J5" i="1" a="1"/>
  <c r="B5" i="1" a="1"/>
  <c r="J4" i="1" a="1"/>
  <c r="B4" i="1" a="1"/>
  <c r="J49" i="1" a="1"/>
  <c r="B49" i="1" a="1"/>
  <c r="J48" i="1" a="1"/>
  <c r="B48" i="1" a="1"/>
  <c r="J47" i="1" a="1"/>
  <c r="B47" i="1" a="1"/>
  <c r="J46" i="1" a="1"/>
  <c r="B46" i="1" a="1"/>
  <c r="J45" i="1" a="1"/>
  <c r="B45" i="1" a="1"/>
  <c r="J44" i="1" a="1"/>
  <c r="B44" i="1" a="1"/>
  <c r="J41" i="1" a="1"/>
  <c r="B41" i="1" a="1"/>
  <c r="J40" i="1" a="1"/>
  <c r="B40" i="1" a="1"/>
  <c r="J39" i="1" a="1"/>
  <c r="B39" i="1" a="1"/>
  <c r="J38" i="1" a="1"/>
  <c r="B38" i="1" a="1"/>
  <c r="J37" i="1" a="1"/>
  <c r="B2" i="1"/>
  <c r="B18" i="1"/>
  <c r="B34" i="1"/>
  <c r="J2" i="1"/>
  <c r="J18" i="1"/>
  <c r="J26" i="1"/>
  <c r="B10" i="1"/>
  <c r="B26" i="1"/>
  <c r="J42" i="1"/>
  <c r="J10" i="1"/>
  <c r="J34" i="1"/>
  <c r="B42" i="1"/>
  <c r="P37" i="1" l="1"/>
  <c r="N37" i="1"/>
  <c r="L37" i="1"/>
  <c r="J37" i="1"/>
  <c r="O37" i="1"/>
  <c r="K37" i="1"/>
  <c r="M37" i="1"/>
  <c r="P39" i="1"/>
  <c r="N39" i="1"/>
  <c r="L39" i="1"/>
  <c r="J39" i="1"/>
  <c r="O39" i="1"/>
  <c r="K39" i="1"/>
  <c r="M39" i="1"/>
  <c r="P41" i="1"/>
  <c r="N41" i="1"/>
  <c r="L41" i="1"/>
  <c r="J41" i="1"/>
  <c r="O41" i="1"/>
  <c r="K41" i="1"/>
  <c r="M41" i="1"/>
  <c r="P45" i="1"/>
  <c r="N45" i="1"/>
  <c r="L45" i="1"/>
  <c r="J45" i="1"/>
  <c r="O45" i="1"/>
  <c r="K45" i="1"/>
  <c r="M45" i="1"/>
  <c r="P46" i="1"/>
  <c r="N46" i="1"/>
  <c r="L46" i="1"/>
  <c r="J46" i="1"/>
  <c r="O46" i="1"/>
  <c r="K46" i="1"/>
  <c r="M46" i="1"/>
  <c r="P47" i="1"/>
  <c r="N47" i="1"/>
  <c r="L47" i="1"/>
  <c r="J47" i="1"/>
  <c r="O47" i="1"/>
  <c r="K47" i="1"/>
  <c r="M47" i="1"/>
  <c r="P48" i="1"/>
  <c r="N48" i="1"/>
  <c r="L48" i="1"/>
  <c r="J48" i="1"/>
  <c r="O48" i="1"/>
  <c r="K48" i="1"/>
  <c r="M48" i="1"/>
  <c r="P49" i="1"/>
  <c r="N49" i="1"/>
  <c r="L49" i="1"/>
  <c r="J49" i="1"/>
  <c r="O49" i="1"/>
  <c r="K49" i="1"/>
  <c r="M49" i="1"/>
  <c r="O4" i="1"/>
  <c r="M4" i="1"/>
  <c r="K4" i="1"/>
  <c r="P4" i="1"/>
  <c r="N4" i="1"/>
  <c r="L4" i="1"/>
  <c r="J4" i="1"/>
  <c r="O5" i="1"/>
  <c r="M5" i="1"/>
  <c r="K5" i="1"/>
  <c r="P5" i="1"/>
  <c r="N5" i="1"/>
  <c r="L5" i="1"/>
  <c r="J5" i="1"/>
  <c r="O6" i="1"/>
  <c r="M6" i="1"/>
  <c r="K6" i="1"/>
  <c r="P6" i="1"/>
  <c r="N6" i="1"/>
  <c r="L6" i="1"/>
  <c r="J6" i="1"/>
  <c r="O7" i="1"/>
  <c r="M7" i="1"/>
  <c r="K7" i="1"/>
  <c r="P7" i="1"/>
  <c r="N7" i="1"/>
  <c r="L7" i="1"/>
  <c r="J7" i="1"/>
  <c r="O8" i="1"/>
  <c r="M8" i="1"/>
  <c r="K8" i="1"/>
  <c r="P8" i="1"/>
  <c r="N8" i="1"/>
  <c r="L8" i="1"/>
  <c r="J8" i="1"/>
  <c r="O9" i="1"/>
  <c r="M9" i="1"/>
  <c r="K9" i="1"/>
  <c r="P9" i="1"/>
  <c r="N9" i="1"/>
  <c r="L9" i="1"/>
  <c r="J9" i="1"/>
  <c r="O12" i="1"/>
  <c r="M12" i="1"/>
  <c r="K12" i="1"/>
  <c r="P12" i="1"/>
  <c r="N12" i="1"/>
  <c r="L12" i="1"/>
  <c r="J12" i="1"/>
  <c r="O13" i="1"/>
  <c r="M13" i="1"/>
  <c r="K13" i="1"/>
  <c r="P13" i="1"/>
  <c r="N13" i="1"/>
  <c r="L13" i="1"/>
  <c r="J13" i="1"/>
  <c r="O14" i="1"/>
  <c r="M14" i="1"/>
  <c r="K14" i="1"/>
  <c r="P14" i="1"/>
  <c r="N14" i="1"/>
  <c r="L14" i="1"/>
  <c r="J14" i="1"/>
  <c r="O15" i="1"/>
  <c r="M15" i="1"/>
  <c r="K15" i="1"/>
  <c r="N15" i="1"/>
  <c r="J15" i="1"/>
  <c r="P15" i="1"/>
  <c r="L15" i="1"/>
  <c r="O16" i="1"/>
  <c r="M16" i="1"/>
  <c r="K16" i="1"/>
  <c r="N16" i="1"/>
  <c r="J16" i="1"/>
  <c r="P16" i="1"/>
  <c r="L16" i="1"/>
  <c r="O17" i="1"/>
  <c r="M17" i="1"/>
  <c r="K17" i="1"/>
  <c r="N17" i="1"/>
  <c r="J17" i="1"/>
  <c r="P17" i="1"/>
  <c r="L17" i="1"/>
  <c r="O20" i="1"/>
  <c r="M20" i="1"/>
  <c r="K20" i="1"/>
  <c r="N20" i="1"/>
  <c r="J20" i="1"/>
  <c r="P20" i="1"/>
  <c r="L20" i="1"/>
  <c r="O21" i="1"/>
  <c r="M21" i="1"/>
  <c r="K21" i="1"/>
  <c r="N21" i="1"/>
  <c r="J21" i="1"/>
  <c r="P21" i="1"/>
  <c r="L21" i="1"/>
  <c r="O22" i="1"/>
  <c r="M22" i="1"/>
  <c r="K22" i="1"/>
  <c r="N22" i="1"/>
  <c r="J22" i="1"/>
  <c r="P22" i="1"/>
  <c r="L22" i="1"/>
  <c r="O23" i="1"/>
  <c r="M23" i="1"/>
  <c r="K23" i="1"/>
  <c r="N23" i="1"/>
  <c r="J23" i="1"/>
  <c r="P23" i="1"/>
  <c r="L23" i="1"/>
  <c r="O24" i="1"/>
  <c r="M24" i="1"/>
  <c r="K24" i="1"/>
  <c r="N24" i="1"/>
  <c r="J24" i="1"/>
  <c r="P24" i="1"/>
  <c r="L24" i="1"/>
  <c r="O25" i="1"/>
  <c r="M25" i="1"/>
  <c r="K25" i="1"/>
  <c r="N25" i="1"/>
  <c r="J25" i="1"/>
  <c r="P25" i="1"/>
  <c r="L25" i="1"/>
  <c r="O28" i="1"/>
  <c r="M28" i="1"/>
  <c r="K28" i="1"/>
  <c r="N28" i="1"/>
  <c r="J28" i="1"/>
  <c r="P28" i="1"/>
  <c r="L28" i="1"/>
  <c r="O29" i="1"/>
  <c r="M29" i="1"/>
  <c r="K29" i="1"/>
  <c r="N29" i="1"/>
  <c r="J29" i="1"/>
  <c r="P29" i="1"/>
  <c r="L29" i="1"/>
  <c r="O30" i="1"/>
  <c r="M30" i="1"/>
  <c r="K30" i="1"/>
  <c r="N30" i="1"/>
  <c r="J30" i="1"/>
  <c r="P30" i="1"/>
  <c r="L30" i="1"/>
  <c r="O31" i="1"/>
  <c r="M31" i="1"/>
  <c r="K31" i="1"/>
  <c r="N31" i="1"/>
  <c r="J31" i="1"/>
  <c r="P31" i="1"/>
  <c r="L31" i="1"/>
  <c r="O32" i="1"/>
  <c r="M32" i="1"/>
  <c r="K32" i="1"/>
  <c r="N32" i="1"/>
  <c r="J32" i="1"/>
  <c r="P32" i="1"/>
  <c r="L32" i="1"/>
  <c r="O33" i="1"/>
  <c r="M33" i="1"/>
  <c r="K33" i="1"/>
  <c r="N33" i="1"/>
  <c r="J33" i="1"/>
  <c r="P33" i="1"/>
  <c r="L33" i="1"/>
  <c r="O36" i="1"/>
  <c r="M36" i="1"/>
  <c r="K36" i="1"/>
  <c r="N36" i="1"/>
  <c r="J36" i="1"/>
  <c r="P36" i="1"/>
  <c r="L36" i="1"/>
  <c r="P38" i="1"/>
  <c r="N38" i="1"/>
  <c r="L38" i="1"/>
  <c r="J38" i="1"/>
  <c r="O38" i="1"/>
  <c r="K38" i="1"/>
  <c r="M38" i="1"/>
  <c r="P40" i="1"/>
  <c r="N40" i="1"/>
  <c r="L40" i="1"/>
  <c r="J40" i="1"/>
  <c r="O40" i="1"/>
  <c r="K40" i="1"/>
  <c r="M40" i="1"/>
  <c r="P44" i="1"/>
  <c r="N44" i="1"/>
  <c r="L44" i="1"/>
  <c r="J44" i="1"/>
  <c r="O44" i="1"/>
  <c r="K44" i="1"/>
  <c r="M44" i="1"/>
  <c r="H38" i="1"/>
  <c r="F38" i="1"/>
  <c r="D38" i="1"/>
  <c r="B38" i="1"/>
  <c r="G38" i="1"/>
  <c r="C38" i="1"/>
  <c r="E38" i="1"/>
  <c r="H39" i="1"/>
  <c r="F39" i="1"/>
  <c r="D39" i="1"/>
  <c r="B39" i="1"/>
  <c r="G39" i="1"/>
  <c r="C39" i="1"/>
  <c r="E39" i="1"/>
  <c r="H40" i="1"/>
  <c r="F40" i="1"/>
  <c r="D40" i="1"/>
  <c r="B40" i="1"/>
  <c r="G40" i="1"/>
  <c r="C40" i="1"/>
  <c r="E40" i="1"/>
  <c r="H41" i="1"/>
  <c r="F41" i="1"/>
  <c r="D41" i="1"/>
  <c r="B41" i="1"/>
  <c r="G41" i="1"/>
  <c r="C41" i="1"/>
  <c r="E41" i="1"/>
  <c r="H44" i="1"/>
  <c r="F44" i="1"/>
  <c r="D44" i="1"/>
  <c r="B44" i="1"/>
  <c r="G44" i="1"/>
  <c r="C44" i="1"/>
  <c r="E44" i="1"/>
  <c r="H45" i="1"/>
  <c r="F45" i="1"/>
  <c r="D45" i="1"/>
  <c r="B45" i="1"/>
  <c r="G45" i="1"/>
  <c r="C45" i="1"/>
  <c r="E45" i="1"/>
  <c r="H46" i="1"/>
  <c r="F46" i="1"/>
  <c r="D46" i="1"/>
  <c r="B46" i="1"/>
  <c r="G46" i="1"/>
  <c r="C46" i="1"/>
  <c r="E46" i="1"/>
  <c r="H47" i="1"/>
  <c r="F47" i="1"/>
  <c r="D47" i="1"/>
  <c r="B47" i="1"/>
  <c r="G47" i="1"/>
  <c r="C47" i="1"/>
  <c r="E47" i="1"/>
  <c r="H48" i="1"/>
  <c r="F48" i="1"/>
  <c r="D48" i="1"/>
  <c r="B48" i="1"/>
  <c r="G48" i="1"/>
  <c r="C48" i="1"/>
  <c r="E48" i="1"/>
  <c r="H49" i="1"/>
  <c r="F49" i="1"/>
  <c r="D49" i="1"/>
  <c r="B49" i="1"/>
  <c r="G49" i="1"/>
  <c r="C49" i="1"/>
  <c r="E49" i="1"/>
  <c r="G4" i="1"/>
  <c r="E4" i="1"/>
  <c r="C4" i="1"/>
  <c r="H4" i="1"/>
  <c r="F4" i="1"/>
  <c r="D4" i="1"/>
  <c r="B4" i="1"/>
  <c r="G5" i="1"/>
  <c r="E5" i="1"/>
  <c r="C5" i="1"/>
  <c r="H5" i="1"/>
  <c r="F5" i="1"/>
  <c r="D5" i="1"/>
  <c r="B5" i="1"/>
  <c r="G6" i="1"/>
  <c r="E6" i="1"/>
  <c r="C6" i="1"/>
  <c r="H6" i="1"/>
  <c r="F6" i="1"/>
  <c r="D6" i="1"/>
  <c r="B6" i="1"/>
  <c r="G7" i="1"/>
  <c r="E7" i="1"/>
  <c r="C7" i="1"/>
  <c r="H7" i="1"/>
  <c r="F7" i="1"/>
  <c r="D7" i="1"/>
  <c r="B7" i="1"/>
  <c r="G8" i="1"/>
  <c r="E8" i="1"/>
  <c r="C8" i="1"/>
  <c r="H8" i="1"/>
  <c r="F8" i="1"/>
  <c r="D8" i="1"/>
  <c r="B8" i="1"/>
  <c r="G9" i="1"/>
  <c r="E9" i="1"/>
  <c r="C9" i="1"/>
  <c r="H9" i="1"/>
  <c r="F9" i="1"/>
  <c r="D9" i="1"/>
  <c r="B9" i="1"/>
  <c r="G12" i="1"/>
  <c r="E12" i="1"/>
  <c r="C12" i="1"/>
  <c r="H12" i="1"/>
  <c r="F12" i="1"/>
  <c r="D12" i="1"/>
  <c r="B12" i="1"/>
  <c r="G13" i="1"/>
  <c r="E13" i="1"/>
  <c r="C13" i="1"/>
  <c r="H13" i="1"/>
  <c r="F13" i="1"/>
  <c r="D13" i="1"/>
  <c r="B13" i="1"/>
  <c r="G14" i="1"/>
  <c r="E14" i="1"/>
  <c r="C14" i="1"/>
  <c r="H14" i="1"/>
  <c r="F14" i="1"/>
  <c r="D14" i="1"/>
  <c r="B14" i="1"/>
  <c r="G15" i="1"/>
  <c r="E15" i="1"/>
  <c r="C15" i="1"/>
  <c r="H15" i="1"/>
  <c r="F15" i="1"/>
  <c r="D15" i="1"/>
  <c r="B15" i="1"/>
  <c r="G16" i="1"/>
  <c r="E16" i="1"/>
  <c r="C16" i="1"/>
  <c r="F16" i="1"/>
  <c r="B16" i="1"/>
  <c r="H16" i="1"/>
  <c r="D16" i="1"/>
  <c r="G17" i="1"/>
  <c r="E17" i="1"/>
  <c r="C17" i="1"/>
  <c r="F17" i="1"/>
  <c r="B17" i="1"/>
  <c r="H17" i="1"/>
  <c r="D17" i="1"/>
  <c r="G20" i="1"/>
  <c r="E20" i="1"/>
  <c r="C20" i="1"/>
  <c r="F20" i="1"/>
  <c r="B20" i="1"/>
  <c r="H20" i="1"/>
  <c r="D20" i="1"/>
  <c r="G21" i="1"/>
  <c r="E21" i="1"/>
  <c r="C21" i="1"/>
  <c r="F21" i="1"/>
  <c r="B21" i="1"/>
  <c r="H21" i="1"/>
  <c r="D21" i="1"/>
  <c r="G22" i="1"/>
  <c r="E22" i="1"/>
  <c r="C22" i="1"/>
  <c r="F22" i="1"/>
  <c r="B22" i="1"/>
  <c r="H22" i="1"/>
  <c r="D22" i="1"/>
  <c r="G23" i="1"/>
  <c r="E23" i="1"/>
  <c r="C23" i="1"/>
  <c r="F23" i="1"/>
  <c r="B23" i="1"/>
  <c r="H23" i="1"/>
  <c r="D23" i="1"/>
  <c r="G24" i="1"/>
  <c r="E24" i="1"/>
  <c r="C24" i="1"/>
  <c r="F24" i="1"/>
  <c r="B24" i="1"/>
  <c r="H24" i="1"/>
  <c r="D24" i="1"/>
  <c r="G25" i="1"/>
  <c r="E25" i="1"/>
  <c r="C25" i="1"/>
  <c r="F25" i="1"/>
  <c r="B25" i="1"/>
  <c r="H25" i="1"/>
  <c r="D25" i="1"/>
  <c r="G28" i="1"/>
  <c r="E28" i="1"/>
  <c r="C28" i="1"/>
  <c r="F28" i="1"/>
  <c r="B28" i="1"/>
  <c r="H28" i="1"/>
  <c r="D28" i="1"/>
  <c r="G29" i="1"/>
  <c r="E29" i="1"/>
  <c r="C29" i="1"/>
  <c r="F29" i="1"/>
  <c r="B29" i="1"/>
  <c r="H29" i="1"/>
  <c r="D29" i="1"/>
  <c r="G30" i="1"/>
  <c r="E30" i="1"/>
  <c r="C30" i="1"/>
  <c r="F30" i="1"/>
  <c r="B30" i="1"/>
  <c r="H30" i="1"/>
  <c r="D30" i="1"/>
  <c r="G31" i="1"/>
  <c r="E31" i="1"/>
  <c r="C31" i="1"/>
  <c r="F31" i="1"/>
  <c r="B31" i="1"/>
  <c r="H31" i="1"/>
  <c r="D31" i="1"/>
  <c r="G32" i="1"/>
  <c r="E32" i="1"/>
  <c r="C32" i="1"/>
  <c r="F32" i="1"/>
  <c r="B32" i="1"/>
  <c r="H32" i="1"/>
  <c r="D32" i="1"/>
  <c r="G33" i="1"/>
  <c r="E33" i="1"/>
  <c r="C33" i="1"/>
  <c r="F33" i="1"/>
  <c r="B33" i="1"/>
  <c r="H33" i="1"/>
  <c r="D33" i="1"/>
  <c r="G36" i="1"/>
  <c r="E36" i="1"/>
  <c r="C36" i="1"/>
  <c r="F36" i="1"/>
  <c r="B36" i="1"/>
  <c r="H36" i="1"/>
  <c r="D36" i="1"/>
  <c r="H37" i="1"/>
  <c r="G37" i="1"/>
  <c r="E37" i="1"/>
  <c r="C37" i="1"/>
  <c r="F37" i="1"/>
  <c r="B37" i="1"/>
  <c r="D37" i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-* #,##0\ &quot;€&quot;_-;\-* #,##0\ &quot;€&quot;_-;_-* &quot;-&quot;\ &quot;€&quot;_-;_-@_-"/>
    <numFmt numFmtId="165" formatCode="_-* #,##0.00\ &quot;€&quot;_-;\-* #,##0.00\ &quot;€&quot;_-;_-* &quot;-&quot;??\ &quot;€&quot;_-;_-@_-"/>
    <numFmt numFmtId="166" formatCode="_(* #,##0_);_(* \(#,##0\);_(* &quot;-&quot;_);_(@_)"/>
    <numFmt numFmtId="167" formatCode="_(* #,##0.00_);_(* \(#,##0.00\);_(* &quot;-&quot;??_);_(@_)"/>
    <numFmt numFmtId="168" formatCode="mmmm"/>
    <numFmt numFmtId="169" formatCode="d"/>
  </numFmts>
  <fonts count="19" x14ac:knownFonts="1">
    <font>
      <sz val="11"/>
      <color theme="3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color theme="1" tint="0.34998626667073579"/>
      <name val="Calibri Light"/>
      <family val="2"/>
      <scheme val="major"/>
    </font>
    <font>
      <sz val="48"/>
      <color theme="1" tint="0.34998626667073579"/>
      <name val="Calibri Light"/>
      <family val="2"/>
      <scheme val="major"/>
    </font>
    <font>
      <b/>
      <sz val="11"/>
      <color theme="3"/>
      <name val="Calibri"/>
      <family val="2"/>
      <scheme val="minor"/>
    </font>
    <font>
      <sz val="11"/>
      <color theme="3"/>
      <name val="Calibri"/>
      <family val="2"/>
      <scheme val="minor"/>
    </font>
    <font>
      <sz val="11"/>
      <color theme="3"/>
      <name val="Calibri Light"/>
      <family val="2"/>
      <scheme val="maj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8">
    <border>
      <left/>
      <right/>
      <top/>
      <bottom/>
      <diagonal/>
    </border>
    <border>
      <left/>
      <right/>
      <top style="thin">
        <color theme="4"/>
      </top>
      <bottom style="thin">
        <color theme="4" tint="0.59996337778862885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horizontal="center" vertical="center"/>
    </xf>
    <xf numFmtId="0" fontId="7" fillId="0" borderId="0"/>
    <xf numFmtId="168" fontId="3" fillId="0" borderId="1">
      <alignment horizontal="center"/>
    </xf>
    <xf numFmtId="0" fontId="5" fillId="0" borderId="0">
      <alignment horizontal="center" vertical="center"/>
    </xf>
    <xf numFmtId="0" fontId="7" fillId="0" borderId="0">
      <alignment vertical="center"/>
    </xf>
    <xf numFmtId="0" fontId="4" fillId="0" borderId="0">
      <alignment horizontal="center" vertical="center"/>
    </xf>
    <xf numFmtId="169" fontId="6" fillId="0" borderId="0" applyFont="0" applyFill="0" applyBorder="0" applyAlignment="0">
      <alignment horizontal="center" vertical="center"/>
    </xf>
    <xf numFmtId="0" fontId="2" fillId="0" borderId="0" applyFill="0" applyBorder="0" applyAlignment="0">
      <alignment horizontal="center" vertical="center"/>
    </xf>
    <xf numFmtId="167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8" fillId="3" borderId="0" applyNumberFormat="0" applyBorder="0" applyAlignment="0" applyProtection="0"/>
    <xf numFmtId="0" fontId="9" fillId="4" borderId="0" applyNumberFormat="0" applyBorder="0" applyAlignment="0" applyProtection="0"/>
    <xf numFmtId="0" fontId="10" fillId="5" borderId="0" applyNumberFormat="0" applyBorder="0" applyAlignment="0" applyProtection="0"/>
    <xf numFmtId="0" fontId="11" fillId="6" borderId="2" applyNumberFormat="0" applyAlignment="0" applyProtection="0"/>
    <xf numFmtId="0" fontId="12" fillId="7" borderId="3" applyNumberFormat="0" applyAlignment="0" applyProtection="0"/>
    <xf numFmtId="0" fontId="13" fillId="7" borderId="2" applyNumberFormat="0" applyAlignment="0" applyProtection="0"/>
    <xf numFmtId="0" fontId="14" fillId="0" borderId="4" applyNumberFormat="0" applyFill="0" applyAlignment="0" applyProtection="0"/>
    <xf numFmtId="0" fontId="15" fillId="8" borderId="5" applyNumberFormat="0" applyAlignment="0" applyProtection="0"/>
    <xf numFmtId="0" fontId="16" fillId="0" borderId="0" applyNumberFormat="0" applyFill="0" applyBorder="0" applyAlignment="0" applyProtection="0"/>
    <xf numFmtId="0" fontId="6" fillId="9" borderId="6" applyNumberFormat="0" applyFont="0" applyAlignment="0" applyProtection="0"/>
    <xf numFmtId="0" fontId="17" fillId="0" borderId="0" applyNumberFormat="0" applyFill="0" applyBorder="0" applyAlignment="0" applyProtection="0"/>
    <xf numFmtId="0" fontId="18" fillId="0" borderId="7" applyNumberFormat="0" applyFill="0" applyAlignment="0" applyProtection="0"/>
    <xf numFmtId="0" fontId="2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2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2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2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2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2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3" borderId="0" applyNumberFormat="0" applyBorder="0" applyAlignment="0" applyProtection="0"/>
  </cellStyleXfs>
  <cellXfs count="8">
    <xf numFmtId="0" fontId="0" fillId="0" borderId="0" xfId="0">
      <alignment horizontal="center" vertical="center"/>
    </xf>
    <xf numFmtId="0" fontId="5" fillId="0" borderId="0" xfId="3">
      <alignment horizontal="center" vertical="center"/>
    </xf>
    <xf numFmtId="0" fontId="2" fillId="2" borderId="0" xfId="7" applyFill="1">
      <alignment horizontal="center" vertical="center"/>
    </xf>
    <xf numFmtId="0" fontId="2" fillId="0" borderId="0" xfId="7">
      <alignment horizontal="center" vertical="center"/>
    </xf>
    <xf numFmtId="169" fontId="6" fillId="0" borderId="0" xfId="6">
      <alignment horizontal="center" vertical="center"/>
    </xf>
    <xf numFmtId="169" fontId="0" fillId="0" borderId="0" xfId="6" applyFont="1">
      <alignment horizontal="center" vertical="center"/>
    </xf>
    <xf numFmtId="0" fontId="4" fillId="0" borderId="0" xfId="5">
      <alignment horizontal="center" vertical="center"/>
    </xf>
    <xf numFmtId="168" fontId="3" fillId="0" borderId="1" xfId="2">
      <alignment horizontal="center"/>
    </xf>
  </cellXfs>
  <cellStyles count="49">
    <cellStyle name="20% - Énfasis1" xfId="26" builtinId="30" customBuiltin="1"/>
    <cellStyle name="20% - Énfasis2" xfId="30" builtinId="34" customBuiltin="1"/>
    <cellStyle name="20% - Énfasis3" xfId="34" builtinId="38" customBuiltin="1"/>
    <cellStyle name="20% - Énfasis4" xfId="38" builtinId="42" customBuiltin="1"/>
    <cellStyle name="20% - Énfasis5" xfId="42" builtinId="46" customBuiltin="1"/>
    <cellStyle name="20% - Énfasis6" xfId="46" builtinId="50" customBuiltin="1"/>
    <cellStyle name="40% - Énfasis1" xfId="27" builtinId="31" customBuiltin="1"/>
    <cellStyle name="40% - Énfasis2" xfId="31" builtinId="35" customBuiltin="1"/>
    <cellStyle name="40% - Énfasis3" xfId="35" builtinId="39" customBuiltin="1"/>
    <cellStyle name="40% - Énfasis4" xfId="39" builtinId="43" customBuiltin="1"/>
    <cellStyle name="40% - Énfasis5" xfId="43" builtinId="47" customBuiltin="1"/>
    <cellStyle name="40% - Énfasis6" xfId="47" builtinId="51" customBuiltin="1"/>
    <cellStyle name="60% - Énfasis1" xfId="28" builtinId="32" customBuiltin="1"/>
    <cellStyle name="60% - Énfasis2" xfId="32" builtinId="36" customBuiltin="1"/>
    <cellStyle name="60% - Énfasis3" xfId="36" builtinId="40" customBuiltin="1"/>
    <cellStyle name="60% - Énfasis4" xfId="40" builtinId="44" customBuiltin="1"/>
    <cellStyle name="60% - Énfasis5" xfId="44" builtinId="48" customBuiltin="1"/>
    <cellStyle name="60% - Énfasis6" xfId="48" builtinId="52" customBuiltin="1"/>
    <cellStyle name="Bueno" xfId="13" builtinId="26" customBuiltin="1"/>
    <cellStyle name="Cálculo" xfId="18" builtinId="22" customBuiltin="1"/>
    <cellStyle name="Celda de comprobación" xfId="20" builtinId="23" customBuiltin="1"/>
    <cellStyle name="Celda vinculada" xfId="19" builtinId="24" customBuiltin="1"/>
    <cellStyle name="Día" xfId="6" xr:uid="{00000000-0005-0000-0000-000000000000}"/>
    <cellStyle name="Día Cal" xfId="7" xr:uid="{00000000-0005-0000-0000-000001000000}"/>
    <cellStyle name="Encabezado 1" xfId="2" builtinId="16" customBuiltin="1"/>
    <cellStyle name="Encabezado 4" xfId="1" builtinId="19" customBuiltin="1"/>
    <cellStyle name="Énfasis1" xfId="25" builtinId="29" customBuiltin="1"/>
    <cellStyle name="Énfasis2" xfId="29" builtinId="33" customBuiltin="1"/>
    <cellStyle name="Énfasis3" xfId="33" builtinId="37" customBuiltin="1"/>
    <cellStyle name="Énfasis4" xfId="37" builtinId="41" customBuiltin="1"/>
    <cellStyle name="Énfasis5" xfId="41" builtinId="45" customBuiltin="1"/>
    <cellStyle name="Énfasis6" xfId="45" builtinId="49" customBuiltin="1"/>
    <cellStyle name="Entrada" xfId="16" builtinId="20" customBuiltin="1"/>
    <cellStyle name="Incorrecto" xfId="14" builtinId="27" customBuiltin="1"/>
    <cellStyle name="Millares" xfId="8" builtinId="3" customBuiltin="1"/>
    <cellStyle name="Millares [0]" xfId="9" builtinId="6" customBuiltin="1"/>
    <cellStyle name="Moneda" xfId="10" builtinId="4" customBuiltin="1"/>
    <cellStyle name="Moneda [0]" xfId="11" builtinId="7" customBuiltin="1"/>
    <cellStyle name="Neutral" xfId="15" builtinId="28" customBuiltin="1"/>
    <cellStyle name="Normal" xfId="0" builtinId="0" customBuiltin="1"/>
    <cellStyle name="Notas" xfId="22" builtinId="10" customBuiltin="1"/>
    <cellStyle name="Porcentaje" xfId="12" builtinId="5" customBuiltin="1"/>
    <cellStyle name="Salida" xfId="17" builtinId="21" customBuiltin="1"/>
    <cellStyle name="Texto de advertencia" xfId="21" builtinId="11" customBuiltin="1"/>
    <cellStyle name="Texto explicativo" xfId="23" builtinId="53" customBuiltin="1"/>
    <cellStyle name="Título" xfId="5" builtinId="15" customBuiltin="1"/>
    <cellStyle name="Título 2" xfId="3" builtinId="17" customBuiltin="1"/>
    <cellStyle name="Título 3" xfId="4" builtinId="18" customBuiltin="1"/>
    <cellStyle name="Total" xfId="24" builtinId="25" customBuiltin="1"/>
  </cellStyles>
  <dxfs count="24">
    <dxf>
      <font>
        <color theme="3" tint="0.59996337778862885"/>
      </font>
    </dxf>
    <dxf>
      <font>
        <color theme="3" tint="0.59996337778862885"/>
      </font>
    </dxf>
    <dxf>
      <font>
        <color theme="3" tint="0.59996337778862885"/>
      </font>
    </dxf>
    <dxf>
      <font>
        <color theme="3" tint="0.59996337778862885"/>
      </font>
    </dxf>
    <dxf>
      <font>
        <color theme="3" tint="0.59996337778862885"/>
      </font>
    </dxf>
    <dxf>
      <font>
        <color theme="3" tint="0.59996337778862885"/>
      </font>
    </dxf>
    <dxf>
      <font>
        <color theme="3" tint="0.59996337778862885"/>
      </font>
    </dxf>
    <dxf>
      <font>
        <color theme="3" tint="0.59996337778862885"/>
      </font>
    </dxf>
    <dxf>
      <font>
        <color theme="3" tint="0.59996337778862885"/>
      </font>
    </dxf>
    <dxf>
      <font>
        <color theme="3" tint="0.59996337778862885"/>
      </font>
    </dxf>
    <dxf>
      <font>
        <color theme="3" tint="0.59996337778862885"/>
      </font>
    </dxf>
    <dxf>
      <font>
        <color theme="3" tint="0.59996337778862885"/>
      </font>
    </dxf>
    <dxf>
      <font>
        <color theme="3" tint="0.59996337778862885"/>
      </font>
    </dxf>
    <dxf>
      <font>
        <color theme="3" tint="0.59996337778862885"/>
      </font>
    </dxf>
    <dxf>
      <font>
        <color theme="3" tint="0.59996337778862885"/>
      </font>
    </dxf>
    <dxf>
      <font>
        <color theme="3" tint="0.59996337778862885"/>
      </font>
    </dxf>
    <dxf>
      <font>
        <color theme="3" tint="0.59996337778862885"/>
      </font>
    </dxf>
    <dxf>
      <font>
        <color theme="3" tint="0.59996337778862885"/>
      </font>
    </dxf>
    <dxf>
      <font>
        <color theme="3" tint="0.59996337778862885"/>
      </font>
    </dxf>
    <dxf>
      <font>
        <color theme="3" tint="0.59996337778862885"/>
      </font>
    </dxf>
    <dxf>
      <font>
        <color theme="3" tint="0.59996337778862885"/>
      </font>
    </dxf>
    <dxf>
      <font>
        <color theme="3" tint="0.59996337778862885"/>
      </font>
    </dxf>
    <dxf>
      <font>
        <color theme="3" tint="0.59996337778862885"/>
      </font>
    </dxf>
    <dxf>
      <font>
        <color theme="3" tint="0.59996337778862885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4"/>
    <pageSetUpPr autoPageBreaks="0" fitToPage="1"/>
  </sheetPr>
  <dimension ref="A1:P49"/>
  <sheetViews>
    <sheetView showGridLines="0" tabSelected="1" workbookViewId="0"/>
  </sheetViews>
  <sheetFormatPr baseColWidth="10" defaultColWidth="9.140625" defaultRowHeight="15" x14ac:dyDescent="0.25"/>
  <cols>
    <col min="1" max="1" width="2.7109375" customWidth="1"/>
    <col min="2" max="8" width="7.7109375" customWidth="1"/>
    <col min="9" max="9" width="5.7109375" customWidth="1"/>
    <col min="10" max="16" width="7.7109375" customWidth="1"/>
    <col min="17" max="17" width="2.7109375" customWidth="1"/>
  </cols>
  <sheetData>
    <row r="1" spans="1:16" ht="69.75" customHeight="1" x14ac:dyDescent="0.25">
      <c r="B1" s="6">
        <f ca="1">YEAR(TODAY())</f>
        <v>2020</v>
      </c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</row>
    <row r="2" spans="1:16" ht="21.75" customHeight="1" x14ac:dyDescent="0.25">
      <c r="A2" s="3"/>
      <c r="B2" s="7" t="str">
        <f ca="1">UPPER(TEXT(Jan_Val,"MMMM"))</f>
        <v>ENERO</v>
      </c>
      <c r="C2" s="7"/>
      <c r="D2" s="7"/>
      <c r="E2" s="7"/>
      <c r="F2" s="7"/>
      <c r="G2" s="7"/>
      <c r="H2" s="7"/>
      <c r="J2" s="7" t="str">
        <f ca="1">UPPER(TEXT(Feb_Val,"MMMM"))</f>
        <v>FEBRERO</v>
      </c>
      <c r="K2" s="7"/>
      <c r="L2" s="7"/>
      <c r="M2" s="7"/>
      <c r="N2" s="7"/>
      <c r="O2" s="7"/>
      <c r="P2" s="7"/>
    </row>
    <row r="3" spans="1:16" ht="21.75" customHeight="1" x14ac:dyDescent="0.25">
      <c r="A3" s="3"/>
      <c r="B3" s="1" t="str">
        <f>CHOOSE(1+(WeekStart="Lunes"),"Do","Lu","Ma","Mi","Ju","Vi","Sá","Do")</f>
        <v>Lu</v>
      </c>
      <c r="C3" s="1" t="str">
        <f>CHOOSE(2+(WeekStart="Lunes"),"Do","Lu","Ma","Mi","Ju","Vi","Sá","Do")</f>
        <v>Ma</v>
      </c>
      <c r="D3" s="1" t="str">
        <f>CHOOSE(3+(WeekStart="Lunes"),"Do","Lu","Ma","Mi","Ju","Vi","Sá","Do")</f>
        <v>Mi</v>
      </c>
      <c r="E3" s="1" t="str">
        <f>CHOOSE(4+(WeekStart="Lunes"),"Do","Lu","Ma","Mi","Ju","Vi","Sá","Do")</f>
        <v>Ju</v>
      </c>
      <c r="F3" s="1" t="str">
        <f>CHOOSE(5+(WeekStart="Lunes"),"Do","Lu","Ma","Mi","Ju","Vi","Sá","Do")</f>
        <v>Vi</v>
      </c>
      <c r="G3" s="1" t="str">
        <f>CHOOSE(6+(WeekStart="Lunes"),"Do","Lu","Ma","Mi","Ju","Vi","Sá","Do")</f>
        <v>Sá</v>
      </c>
      <c r="H3" s="1" t="str">
        <f>CHOOSE(7+(WeekStart="Lunes"),"Do","Lu","Ma","Mi","Ju","Vi","Sá","Do")</f>
        <v>Do</v>
      </c>
      <c r="J3" s="1" t="str">
        <f>CHOOSE(1+(WeekStart="Lunes"),"Do","Lu","Ma","Mi","Ju","Vi","Sá","Do")</f>
        <v>Lu</v>
      </c>
      <c r="K3" s="1" t="str">
        <f>CHOOSE(2+(WeekStart="Lunes"),"Do","Lu","Ma","Mi","Ju","Vi","Sá","Do")</f>
        <v>Ma</v>
      </c>
      <c r="L3" s="1" t="str">
        <f>CHOOSE(3+(WeekStart="Lunes"),"Do","Lu","Ma","Mi","Ju","Vi","Sá","Do")</f>
        <v>Mi</v>
      </c>
      <c r="M3" s="1" t="str">
        <f>CHOOSE(4+(WeekStart="Lunes"),"Do","Lu","Ma","Mi","Ju","Vi","Sá","Do")</f>
        <v>Ju</v>
      </c>
      <c r="N3" s="1" t="str">
        <f>CHOOSE(5+(WeekStart="Lunes"),"Do","Lu","Ma","Mi","Ju","Vi","Sá","Do")</f>
        <v>Vi</v>
      </c>
      <c r="O3" s="1" t="str">
        <f>CHOOSE(6+(WeekStart="Lunes"),"Do","Lu","Ma","Mi","Ju","Vi","Sá","Do")</f>
        <v>Sá</v>
      </c>
      <c r="P3" s="1" t="str">
        <f>CHOOSE(7+(WeekStart="Lunes"),"Do","Lu","Ma","Mi","Ju","Vi","Sá","Do")</f>
        <v>Do</v>
      </c>
    </row>
    <row r="4" spans="1:16" ht="15.95" customHeight="1" x14ac:dyDescent="0.25">
      <c r="A4" s="2">
        <v>1</v>
      </c>
      <c r="B4" s="4">
        <f t="array" aca="1" ref="B4:H4" ca="1">Días+DATE(CalYear,MONTH(Jan_Val),1)-WEEKDAY(DATE(CalYear,MONTH(Jan_Val),1),(WeekStart="Lunes")+1)+$A4*7-6</f>
        <v>43829</v>
      </c>
      <c r="C4" s="4">
        <f ca="1"/>
        <v>43830</v>
      </c>
      <c r="D4" s="4">
        <f ca="1"/>
        <v>43831</v>
      </c>
      <c r="E4" s="4">
        <f ca="1"/>
        <v>43832</v>
      </c>
      <c r="F4" s="4">
        <f ca="1"/>
        <v>43833</v>
      </c>
      <c r="G4" s="4">
        <f ca="1"/>
        <v>43834</v>
      </c>
      <c r="H4" s="4">
        <f ca="1"/>
        <v>43835</v>
      </c>
      <c r="J4" s="5">
        <f t="array" aca="1" ref="J4:P4" ca="1">Días+DATE(CalYear,MONTH(Feb_Val),1)-WEEKDAY(DATE(CalYear,MONTH(Feb_Val),1),(WeekStart="Lunes")+1)+$A4*7-6</f>
        <v>43857</v>
      </c>
      <c r="K4" s="5">
        <f ca="1"/>
        <v>43858</v>
      </c>
      <c r="L4" s="5">
        <f ca="1"/>
        <v>43859</v>
      </c>
      <c r="M4" s="5">
        <f ca="1"/>
        <v>43860</v>
      </c>
      <c r="N4" s="5">
        <f ca="1"/>
        <v>43861</v>
      </c>
      <c r="O4" s="5">
        <f ca="1"/>
        <v>43862</v>
      </c>
      <c r="P4" s="5">
        <f ca="1"/>
        <v>43863</v>
      </c>
    </row>
    <row r="5" spans="1:16" ht="15.95" customHeight="1" x14ac:dyDescent="0.25">
      <c r="A5" s="2">
        <v>2</v>
      </c>
      <c r="B5" s="4">
        <f t="array" aca="1" ref="B5:H5" ca="1">Días+DATE(CalYear,MONTH(Jan_Val),1)-WEEKDAY(DATE(CalYear,MONTH(Jan_Val),1),(WeekStart="Lunes")+1)+$A5*7-6</f>
        <v>43836</v>
      </c>
      <c r="C5" s="4">
        <f ca="1"/>
        <v>43837</v>
      </c>
      <c r="D5" s="4">
        <f ca="1"/>
        <v>43838</v>
      </c>
      <c r="E5" s="4">
        <f ca="1"/>
        <v>43839</v>
      </c>
      <c r="F5" s="4">
        <f ca="1"/>
        <v>43840</v>
      </c>
      <c r="G5" s="4">
        <f ca="1"/>
        <v>43841</v>
      </c>
      <c r="H5" s="4">
        <f ca="1"/>
        <v>43842</v>
      </c>
      <c r="J5" s="5">
        <f t="array" aca="1" ref="J5:P5" ca="1">Días+DATE(CalYear,MONTH(Feb_Val),1)-WEEKDAY(DATE(CalYear,MONTH(Feb_Val),1),(WeekStart="Lunes")+1)+$A5*7-6</f>
        <v>43864</v>
      </c>
      <c r="K5" s="5">
        <f ca="1"/>
        <v>43865</v>
      </c>
      <c r="L5" s="5">
        <f ca="1"/>
        <v>43866</v>
      </c>
      <c r="M5" s="5">
        <f ca="1"/>
        <v>43867</v>
      </c>
      <c r="N5" s="5">
        <f ca="1"/>
        <v>43868</v>
      </c>
      <c r="O5" s="5">
        <f ca="1"/>
        <v>43869</v>
      </c>
      <c r="P5" s="5">
        <f ca="1"/>
        <v>43870</v>
      </c>
    </row>
    <row r="6" spans="1:16" ht="15.95" customHeight="1" x14ac:dyDescent="0.25">
      <c r="A6" s="2">
        <v>3</v>
      </c>
      <c r="B6" s="4">
        <f t="array" aca="1" ref="B6:H6" ca="1">Días+DATE(CalYear,MONTH(Jan_Val),1)-WEEKDAY(DATE(CalYear,MONTH(Jan_Val),1),(WeekStart="Lunes")+1)+$A6*7-6</f>
        <v>43843</v>
      </c>
      <c r="C6" s="4">
        <f ca="1"/>
        <v>43844</v>
      </c>
      <c r="D6" s="4">
        <f ca="1"/>
        <v>43845</v>
      </c>
      <c r="E6" s="4">
        <f ca="1"/>
        <v>43846</v>
      </c>
      <c r="F6" s="4">
        <f ca="1"/>
        <v>43847</v>
      </c>
      <c r="G6" s="4">
        <f ca="1"/>
        <v>43848</v>
      </c>
      <c r="H6" s="4">
        <f ca="1"/>
        <v>43849</v>
      </c>
      <c r="J6" s="5">
        <f t="array" aca="1" ref="J6:P6" ca="1">Días+DATE(CalYear,MONTH(Feb_Val),1)-WEEKDAY(DATE(CalYear,MONTH(Feb_Val),1),(WeekStart="Lunes")+1)+$A6*7-6</f>
        <v>43871</v>
      </c>
      <c r="K6" s="5">
        <f ca="1"/>
        <v>43872</v>
      </c>
      <c r="L6" s="5">
        <f ca="1"/>
        <v>43873</v>
      </c>
      <c r="M6" s="5">
        <f ca="1"/>
        <v>43874</v>
      </c>
      <c r="N6" s="5">
        <f ca="1"/>
        <v>43875</v>
      </c>
      <c r="O6" s="5">
        <f ca="1"/>
        <v>43876</v>
      </c>
      <c r="P6" s="5">
        <f ca="1"/>
        <v>43877</v>
      </c>
    </row>
    <row r="7" spans="1:16" ht="15.95" customHeight="1" x14ac:dyDescent="0.25">
      <c r="A7" s="2">
        <v>4</v>
      </c>
      <c r="B7" s="4">
        <f t="array" aca="1" ref="B7:H7" ca="1">Días+DATE(CalYear,MONTH(Jan_Val),1)-WEEKDAY(DATE(CalYear,MONTH(Jan_Val),1),(WeekStart="Lunes")+1)+$A7*7-6</f>
        <v>43850</v>
      </c>
      <c r="C7" s="4">
        <f ca="1"/>
        <v>43851</v>
      </c>
      <c r="D7" s="4">
        <f ca="1"/>
        <v>43852</v>
      </c>
      <c r="E7" s="4">
        <f ca="1"/>
        <v>43853</v>
      </c>
      <c r="F7" s="4">
        <f ca="1"/>
        <v>43854</v>
      </c>
      <c r="G7" s="4">
        <f ca="1"/>
        <v>43855</v>
      </c>
      <c r="H7" s="4">
        <f ca="1"/>
        <v>43856</v>
      </c>
      <c r="J7" s="5">
        <f t="array" aca="1" ref="J7:P7" ca="1">Días+DATE(CalYear,MONTH(Feb_Val),1)-WEEKDAY(DATE(CalYear,MONTH(Feb_Val),1),(WeekStart="Lunes")+1)+$A7*7-6</f>
        <v>43878</v>
      </c>
      <c r="K7" s="5">
        <f ca="1"/>
        <v>43879</v>
      </c>
      <c r="L7" s="5">
        <f ca="1"/>
        <v>43880</v>
      </c>
      <c r="M7" s="5">
        <f ca="1"/>
        <v>43881</v>
      </c>
      <c r="N7" s="5">
        <f ca="1"/>
        <v>43882</v>
      </c>
      <c r="O7" s="5">
        <f ca="1"/>
        <v>43883</v>
      </c>
      <c r="P7" s="5">
        <f ca="1"/>
        <v>43884</v>
      </c>
    </row>
    <row r="8" spans="1:16" ht="15.95" customHeight="1" x14ac:dyDescent="0.25">
      <c r="A8" s="2">
        <v>5</v>
      </c>
      <c r="B8" s="4">
        <f t="array" aca="1" ref="B8:H8" ca="1">Días+DATE(CalYear,MONTH(Jan_Val),1)-WEEKDAY(DATE(CalYear,MONTH(Jan_Val),1),(WeekStart="Lunes")+1)+$A8*7-6</f>
        <v>43857</v>
      </c>
      <c r="C8" s="4">
        <f ca="1"/>
        <v>43858</v>
      </c>
      <c r="D8" s="4">
        <f ca="1"/>
        <v>43859</v>
      </c>
      <c r="E8" s="4">
        <f ca="1"/>
        <v>43860</v>
      </c>
      <c r="F8" s="4">
        <f ca="1"/>
        <v>43861</v>
      </c>
      <c r="G8" s="4">
        <f ca="1"/>
        <v>43862</v>
      </c>
      <c r="H8" s="4">
        <f ca="1"/>
        <v>43863</v>
      </c>
      <c r="J8" s="5">
        <f t="array" aca="1" ref="J8:P8" ca="1">Días+DATE(CalYear,MONTH(Feb_Val),1)-WEEKDAY(DATE(CalYear,MONTH(Feb_Val),1),(WeekStart="Lunes")+1)+$A8*7-6</f>
        <v>43885</v>
      </c>
      <c r="K8" s="5">
        <f ca="1"/>
        <v>43886</v>
      </c>
      <c r="L8" s="5">
        <f ca="1"/>
        <v>43887</v>
      </c>
      <c r="M8" s="5">
        <f ca="1"/>
        <v>43888</v>
      </c>
      <c r="N8" s="5">
        <f ca="1"/>
        <v>43889</v>
      </c>
      <c r="O8" s="5">
        <f ca="1"/>
        <v>43890</v>
      </c>
      <c r="P8" s="5">
        <f ca="1"/>
        <v>43891</v>
      </c>
    </row>
    <row r="9" spans="1:16" ht="21.75" customHeight="1" x14ac:dyDescent="0.25">
      <c r="A9" s="2">
        <v>6</v>
      </c>
      <c r="B9" s="4">
        <f t="array" aca="1" ref="B9:H9" ca="1">Días+DATE(CalYear,MONTH(Jan_Val),1)-WEEKDAY(DATE(CalYear,MONTH(Jan_Val),1),(WeekStart="Lunes")+1)+$A9*7-6</f>
        <v>43864</v>
      </c>
      <c r="C9" s="4">
        <f ca="1"/>
        <v>43865</v>
      </c>
      <c r="D9" s="4">
        <f ca="1"/>
        <v>43866</v>
      </c>
      <c r="E9" s="4">
        <f ca="1"/>
        <v>43867</v>
      </c>
      <c r="F9" s="4">
        <f ca="1"/>
        <v>43868</v>
      </c>
      <c r="G9" s="4">
        <f ca="1"/>
        <v>43869</v>
      </c>
      <c r="H9" s="4">
        <f ca="1"/>
        <v>43870</v>
      </c>
      <c r="J9" s="5">
        <f t="array" aca="1" ref="J9:P9" ca="1">Días+DATE(CalYear,MONTH(Feb_Val),1)-WEEKDAY(DATE(CalYear,MONTH(Feb_Val),1),(WeekStart="Lunes")+1)+$A9*7-6</f>
        <v>43892</v>
      </c>
      <c r="K9" s="5">
        <f ca="1"/>
        <v>43893</v>
      </c>
      <c r="L9" s="5">
        <f ca="1"/>
        <v>43894</v>
      </c>
      <c r="M9" s="5">
        <f ca="1"/>
        <v>43895</v>
      </c>
      <c r="N9" s="5">
        <f ca="1"/>
        <v>43896</v>
      </c>
      <c r="O9" s="5">
        <f ca="1"/>
        <v>43897</v>
      </c>
      <c r="P9" s="5">
        <f ca="1"/>
        <v>43898</v>
      </c>
    </row>
    <row r="10" spans="1:16" ht="21.75" customHeight="1" x14ac:dyDescent="0.25">
      <c r="A10" s="3"/>
      <c r="B10" s="7" t="str">
        <f ca="1">UPPER(TEXT(Mar_Val,"MMMM"))</f>
        <v>MARZO</v>
      </c>
      <c r="C10" s="7"/>
      <c r="D10" s="7"/>
      <c r="E10" s="7"/>
      <c r="F10" s="7"/>
      <c r="G10" s="7"/>
      <c r="H10" s="7"/>
      <c r="J10" s="7" t="str">
        <f ca="1">UPPER(TEXT(Apl_Val,"MMMM"))</f>
        <v>ABRIL</v>
      </c>
      <c r="K10" s="7"/>
      <c r="L10" s="7"/>
      <c r="M10" s="7"/>
      <c r="N10" s="7"/>
      <c r="O10" s="7"/>
      <c r="P10" s="7"/>
    </row>
    <row r="11" spans="1:16" ht="21.75" customHeight="1" x14ac:dyDescent="0.25">
      <c r="A11" s="3"/>
      <c r="B11" s="1" t="str">
        <f>CHOOSE(1+(WeekStart="Lunes"),"Do","Lu","Ma","Mi","Ju","Vi","Sá","Do")</f>
        <v>Lu</v>
      </c>
      <c r="C11" s="1" t="str">
        <f>CHOOSE(2+(WeekStart="Lunes"),"Do","Lu","Ma","Mi","Ju","Vi","Sá","Do")</f>
        <v>Ma</v>
      </c>
      <c r="D11" s="1" t="str">
        <f>CHOOSE(3+(WeekStart="Lunes"),"Do","Lu","Ma","Mi","Ju","Vi","Sá","Do")</f>
        <v>Mi</v>
      </c>
      <c r="E11" s="1" t="str">
        <f>CHOOSE(4+(WeekStart="Lunes"),"Do","Lu","Ma","Mi","Ju","Vi","Sá","Do")</f>
        <v>Ju</v>
      </c>
      <c r="F11" s="1" t="str">
        <f>CHOOSE(5+(WeekStart="Lunes"),"Do","Lu","Ma","Mi","Ju","Vi","Sá","Do")</f>
        <v>Vi</v>
      </c>
      <c r="G11" s="1" t="str">
        <f>CHOOSE(6+(WeekStart="Lunes"),"Do","Lu","Ma","Mi","Ju","Vi","Sá","Do")</f>
        <v>Sá</v>
      </c>
      <c r="H11" s="1" t="str">
        <f>CHOOSE(7+(WeekStart="Lunes"),"Do","Lu","Ma","Mi","Ju","Vi","Sá","Do")</f>
        <v>Do</v>
      </c>
      <c r="J11" s="1" t="str">
        <f>CHOOSE(1+(WeekStart="Lunes"),"Do","Lu","Ma","Mi","Ju","Vi","Sá","Do")</f>
        <v>Lu</v>
      </c>
      <c r="K11" s="1" t="str">
        <f>CHOOSE(2+(WeekStart="Lunes"),"Do","Lu","Ma","Mi","Ju","Vi","Sá","Do")</f>
        <v>Ma</v>
      </c>
      <c r="L11" s="1" t="str">
        <f>CHOOSE(3+(WeekStart="Lunes"),"Do","Lu","Ma","Mi","Ju","Vi","Sá","Do")</f>
        <v>Mi</v>
      </c>
      <c r="M11" s="1" t="str">
        <f>CHOOSE(4+(WeekStart="Lunes"),"Do","Lu","Ma","Mi","Ju","Vi","Sá","Do")</f>
        <v>Ju</v>
      </c>
      <c r="N11" s="1" t="str">
        <f>CHOOSE(5+(WeekStart="Lunes"),"Do","Lu","Ma","Mi","Ju","Vi","Sá","Do")</f>
        <v>Vi</v>
      </c>
      <c r="O11" s="1" t="str">
        <f>CHOOSE(6+(WeekStart="Lunes"),"Do","Lu","Ma","Mi","Ju","Vi","Sá","Do")</f>
        <v>Sá</v>
      </c>
      <c r="P11" s="1" t="str">
        <f>CHOOSE(7+(WeekStart="Lunes"),"Do","Lu","Ma","Mi","Ju","Vi","Sá","Do")</f>
        <v>Do</v>
      </c>
    </row>
    <row r="12" spans="1:16" ht="15.95" customHeight="1" x14ac:dyDescent="0.25">
      <c r="A12" s="3"/>
      <c r="B12" s="5">
        <f t="array" aca="1" ref="B12:H12" ca="1">Días+DATE(CalYear,MONTH(Mar_Val),1)-WEEKDAY(DATE(CalYear,MONTH(Mar_Val),1),(WeekStart="Lunes")+1)+$A4*7-6</f>
        <v>43885</v>
      </c>
      <c r="C12" s="5">
        <f ca="1"/>
        <v>43886</v>
      </c>
      <c r="D12" s="5">
        <f ca="1"/>
        <v>43887</v>
      </c>
      <c r="E12" s="5">
        <f ca="1"/>
        <v>43888</v>
      </c>
      <c r="F12" s="5">
        <f ca="1"/>
        <v>43889</v>
      </c>
      <c r="G12" s="5">
        <f ca="1"/>
        <v>43890</v>
      </c>
      <c r="H12" s="5">
        <f ca="1"/>
        <v>43891</v>
      </c>
      <c r="J12" s="5">
        <f t="array" aca="1" ref="J12:P12" ca="1">Días+DATE(CalYear,MONTH(Apl_Val),1)-WEEKDAY(DATE(CalYear,MONTH(Apl_Val),1),(WeekStart="Lunes")+1)+$A4*7-6</f>
        <v>43920</v>
      </c>
      <c r="K12" s="5">
        <f ca="1"/>
        <v>43921</v>
      </c>
      <c r="L12" s="5">
        <f ca="1"/>
        <v>43922</v>
      </c>
      <c r="M12" s="5">
        <f ca="1"/>
        <v>43923</v>
      </c>
      <c r="N12" s="5">
        <f ca="1"/>
        <v>43924</v>
      </c>
      <c r="O12" s="5">
        <f ca="1"/>
        <v>43925</v>
      </c>
      <c r="P12" s="5">
        <f ca="1"/>
        <v>43926</v>
      </c>
    </row>
    <row r="13" spans="1:16" ht="15.95" customHeight="1" x14ac:dyDescent="0.25">
      <c r="A13" s="3"/>
      <c r="B13" s="5">
        <f t="array" aca="1" ref="B13:H13" ca="1">Días+DATE(CalYear,MONTH(Mar_Val),1)-WEEKDAY(DATE(CalYear,MONTH(Mar_Val),1),(WeekStart="Lunes")+1)+$A5*7-6</f>
        <v>43892</v>
      </c>
      <c r="C13" s="5">
        <f ca="1"/>
        <v>43893</v>
      </c>
      <c r="D13" s="5">
        <f ca="1"/>
        <v>43894</v>
      </c>
      <c r="E13" s="5">
        <f ca="1"/>
        <v>43895</v>
      </c>
      <c r="F13" s="5">
        <f ca="1"/>
        <v>43896</v>
      </c>
      <c r="G13" s="5">
        <f ca="1"/>
        <v>43897</v>
      </c>
      <c r="H13" s="5">
        <f ca="1"/>
        <v>43898</v>
      </c>
      <c r="J13" s="5">
        <f t="array" aca="1" ref="J13:P13" ca="1">Días+DATE(CalYear,MONTH(Apl_Val),1)-WEEKDAY(DATE(CalYear,MONTH(Apl_Val),1),(WeekStart="Lunes")+1)+$A5*7-6</f>
        <v>43927</v>
      </c>
      <c r="K13" s="5">
        <f ca="1"/>
        <v>43928</v>
      </c>
      <c r="L13" s="5">
        <f ca="1"/>
        <v>43929</v>
      </c>
      <c r="M13" s="5">
        <f ca="1"/>
        <v>43930</v>
      </c>
      <c r="N13" s="5">
        <f ca="1"/>
        <v>43931</v>
      </c>
      <c r="O13" s="5">
        <f ca="1"/>
        <v>43932</v>
      </c>
      <c r="P13" s="5">
        <f ca="1"/>
        <v>43933</v>
      </c>
    </row>
    <row r="14" spans="1:16" ht="15.95" customHeight="1" x14ac:dyDescent="0.25">
      <c r="A14" s="3"/>
      <c r="B14" s="5">
        <f t="array" aca="1" ref="B14:H14" ca="1">Días+DATE(CalYear,MONTH(Mar_Val),1)-WEEKDAY(DATE(CalYear,MONTH(Mar_Val),1),(WeekStart="Lunes")+1)+$A6*7-6</f>
        <v>43899</v>
      </c>
      <c r="C14" s="5">
        <f ca="1"/>
        <v>43900</v>
      </c>
      <c r="D14" s="5">
        <f ca="1"/>
        <v>43901</v>
      </c>
      <c r="E14" s="5">
        <f ca="1"/>
        <v>43902</v>
      </c>
      <c r="F14" s="5">
        <f ca="1"/>
        <v>43903</v>
      </c>
      <c r="G14" s="5">
        <f ca="1"/>
        <v>43904</v>
      </c>
      <c r="H14" s="5">
        <f ca="1"/>
        <v>43905</v>
      </c>
      <c r="J14" s="5">
        <f t="array" aca="1" ref="J14:P14" ca="1">Días+DATE(CalYear,MONTH(Apl_Val),1)-WEEKDAY(DATE(CalYear,MONTH(Apl_Val),1),(WeekStart="Lunes")+1)+$A6*7-6</f>
        <v>43934</v>
      </c>
      <c r="K14" s="5">
        <f ca="1"/>
        <v>43935</v>
      </c>
      <c r="L14" s="5">
        <f ca="1"/>
        <v>43936</v>
      </c>
      <c r="M14" s="5">
        <f ca="1"/>
        <v>43937</v>
      </c>
      <c r="N14" s="5">
        <f ca="1"/>
        <v>43938</v>
      </c>
      <c r="O14" s="5">
        <f ca="1"/>
        <v>43939</v>
      </c>
      <c r="P14" s="5">
        <f ca="1"/>
        <v>43940</v>
      </c>
    </row>
    <row r="15" spans="1:16" ht="15.95" customHeight="1" x14ac:dyDescent="0.25">
      <c r="A15" s="3"/>
      <c r="B15" s="5">
        <f t="array" aca="1" ref="B15:H15" ca="1">Días+DATE(CalYear,MONTH(Mar_Val),1)-WEEKDAY(DATE(CalYear,MONTH(Mar_Val),1),(WeekStart="Lunes")+1)+$A7*7-6</f>
        <v>43906</v>
      </c>
      <c r="C15" s="5">
        <f ca="1"/>
        <v>43907</v>
      </c>
      <c r="D15" s="5">
        <f ca="1"/>
        <v>43908</v>
      </c>
      <c r="E15" s="5">
        <f ca="1"/>
        <v>43909</v>
      </c>
      <c r="F15" s="5">
        <f ca="1"/>
        <v>43910</v>
      </c>
      <c r="G15" s="5">
        <f ca="1"/>
        <v>43911</v>
      </c>
      <c r="H15" s="5">
        <f ca="1"/>
        <v>43912</v>
      </c>
      <c r="J15" s="5">
        <f t="array" aca="1" ref="J15:P15" ca="1">Días+DATE(CalYear,MONTH(Apl_Val),1)-WEEKDAY(DATE(CalYear,MONTH(Apl_Val),1),(WeekStart="Lunes")+1)+$A7*7-6</f>
        <v>43941</v>
      </c>
      <c r="K15" s="5">
        <f ca="1"/>
        <v>43942</v>
      </c>
      <c r="L15" s="5">
        <f ca="1"/>
        <v>43943</v>
      </c>
      <c r="M15" s="5">
        <f ca="1"/>
        <v>43944</v>
      </c>
      <c r="N15" s="5">
        <f ca="1"/>
        <v>43945</v>
      </c>
      <c r="O15" s="5">
        <f ca="1"/>
        <v>43946</v>
      </c>
      <c r="P15" s="5">
        <f ca="1"/>
        <v>43947</v>
      </c>
    </row>
    <row r="16" spans="1:16" ht="15.95" customHeight="1" x14ac:dyDescent="0.25">
      <c r="A16" s="3"/>
      <c r="B16" s="5">
        <f t="array" aca="1" ref="B16:H16" ca="1">Días+DATE(CalYear,MONTH(Mar_Val),1)-WEEKDAY(DATE(CalYear,MONTH(Mar_Val),1),(WeekStart="Lunes")+1)+$A8*7-6</f>
        <v>43913</v>
      </c>
      <c r="C16" s="5">
        <f ca="1"/>
        <v>43914</v>
      </c>
      <c r="D16" s="5">
        <f ca="1"/>
        <v>43915</v>
      </c>
      <c r="E16" s="5">
        <f ca="1"/>
        <v>43916</v>
      </c>
      <c r="F16" s="5">
        <f ca="1"/>
        <v>43917</v>
      </c>
      <c r="G16" s="5">
        <f ca="1"/>
        <v>43918</v>
      </c>
      <c r="H16" s="5">
        <f ca="1"/>
        <v>43919</v>
      </c>
      <c r="J16" s="5">
        <f t="array" aca="1" ref="J16:P16" ca="1">Días+DATE(CalYear,MONTH(Apl_Val),1)-WEEKDAY(DATE(CalYear,MONTH(Apl_Val),1),(WeekStart="Lunes")+1)+$A8*7-6</f>
        <v>43948</v>
      </c>
      <c r="K16" s="5">
        <f ca="1"/>
        <v>43949</v>
      </c>
      <c r="L16" s="5">
        <f ca="1"/>
        <v>43950</v>
      </c>
      <c r="M16" s="5">
        <f ca="1"/>
        <v>43951</v>
      </c>
      <c r="N16" s="5">
        <f ca="1"/>
        <v>43952</v>
      </c>
      <c r="O16" s="5">
        <f ca="1"/>
        <v>43953</v>
      </c>
      <c r="P16" s="5">
        <f ca="1"/>
        <v>43954</v>
      </c>
    </row>
    <row r="17" spans="1:16" ht="21.75" customHeight="1" x14ac:dyDescent="0.25">
      <c r="A17" s="3"/>
      <c r="B17" s="5">
        <f t="array" aca="1" ref="B17:H17" ca="1">Días+DATE(CalYear,MONTH(Mar_Val),1)-WEEKDAY(DATE(CalYear,MONTH(Mar_Val),1),(WeekStart="Lunes")+1)+$A9*7-6</f>
        <v>43920</v>
      </c>
      <c r="C17" s="5">
        <f ca="1"/>
        <v>43921</v>
      </c>
      <c r="D17" s="5">
        <f ca="1"/>
        <v>43922</v>
      </c>
      <c r="E17" s="5">
        <f ca="1"/>
        <v>43923</v>
      </c>
      <c r="F17" s="5">
        <f ca="1"/>
        <v>43924</v>
      </c>
      <c r="G17" s="5">
        <f ca="1"/>
        <v>43925</v>
      </c>
      <c r="H17" s="5">
        <f ca="1"/>
        <v>43926</v>
      </c>
      <c r="J17" s="5">
        <f t="array" aca="1" ref="J17:P17" ca="1">Días+DATE(CalYear,MONTH(Apl_Val),1)-WEEKDAY(DATE(CalYear,MONTH(Apl_Val),1),(WeekStart="Lunes")+1)+$A9*7-6</f>
        <v>43955</v>
      </c>
      <c r="K17" s="5">
        <f ca="1"/>
        <v>43956</v>
      </c>
      <c r="L17" s="5">
        <f ca="1"/>
        <v>43957</v>
      </c>
      <c r="M17" s="5">
        <f ca="1"/>
        <v>43958</v>
      </c>
      <c r="N17" s="5">
        <f ca="1"/>
        <v>43959</v>
      </c>
      <c r="O17" s="5">
        <f ca="1"/>
        <v>43960</v>
      </c>
      <c r="P17" s="5">
        <f ca="1"/>
        <v>43961</v>
      </c>
    </row>
    <row r="18" spans="1:16" ht="21.75" customHeight="1" x14ac:dyDescent="0.25">
      <c r="A18" s="3"/>
      <c r="B18" s="7" t="str">
        <f ca="1">UPPER(TEXT(May_Val,"MMMM"))</f>
        <v>MAYO</v>
      </c>
      <c r="C18" s="7"/>
      <c r="D18" s="7"/>
      <c r="E18" s="7"/>
      <c r="F18" s="7"/>
      <c r="G18" s="7"/>
      <c r="H18" s="7"/>
      <c r="J18" s="7" t="str">
        <f ca="1">UPPER(TEXT(June_Val,"MMMM"))</f>
        <v>JUNIO</v>
      </c>
      <c r="K18" s="7"/>
      <c r="L18" s="7"/>
      <c r="M18" s="7"/>
      <c r="N18" s="7"/>
      <c r="O18" s="7"/>
      <c r="P18" s="7"/>
    </row>
    <row r="19" spans="1:16" ht="21.75" customHeight="1" x14ac:dyDescent="0.25">
      <c r="A19" s="3"/>
      <c r="B19" s="1" t="str">
        <f>CHOOSE(1+(WeekStart="Lunes"),"Do","Lu","Ma","Mi","Ju","Vi","Sá","Do")</f>
        <v>Lu</v>
      </c>
      <c r="C19" s="1" t="str">
        <f>CHOOSE(2+(WeekStart="Lunes"),"Do","Lu","Ma","Mi","Ju","Vi","Sá","Do")</f>
        <v>Ma</v>
      </c>
      <c r="D19" s="1" t="str">
        <f>CHOOSE(3+(WeekStart="Lunes"),"Do","Lu","Ma","Mi","Ju","Vi","Sá","Do")</f>
        <v>Mi</v>
      </c>
      <c r="E19" s="1" t="str">
        <f>CHOOSE(4+(WeekStart="Lunes"),"Do","Lu","Ma","Mi","Ju","Vi","Sá","Do")</f>
        <v>Ju</v>
      </c>
      <c r="F19" s="1" t="str">
        <f>CHOOSE(5+(WeekStart="Lunes"),"Do","Lu","Ma","Mi","Ju","Vi","Sá","Do")</f>
        <v>Vi</v>
      </c>
      <c r="G19" s="1" t="str">
        <f>CHOOSE(6+(WeekStart="Lunes"),"Do","Lu","Ma","Mi","Ju","Vi","Sá","Do")</f>
        <v>Sá</v>
      </c>
      <c r="H19" s="1" t="str">
        <f>CHOOSE(7+(WeekStart="Lunes"),"Do","Lu","Ma","Mi","Ju","Vi","Sá","Do")</f>
        <v>Do</v>
      </c>
      <c r="J19" s="1" t="str">
        <f>CHOOSE(1+(WeekStart="Lunes"),"Do","Lu","Ma","Mi","Ju","Vi","Sá","Do")</f>
        <v>Lu</v>
      </c>
      <c r="K19" s="1" t="str">
        <f>CHOOSE(2+(WeekStart="Lunes"),"Do","Lu","Ma","Mi","Ju","Vi","Sá","Do")</f>
        <v>Ma</v>
      </c>
      <c r="L19" s="1" t="str">
        <f>CHOOSE(3+(WeekStart="Lunes"),"Do","Lu","Ma","Mi","Ju","Vi","Sá","Do")</f>
        <v>Mi</v>
      </c>
      <c r="M19" s="1" t="str">
        <f>CHOOSE(4+(WeekStart="Lunes"),"Do","Lu","Ma","Mi","Ju","Vi","Sá","Do")</f>
        <v>Ju</v>
      </c>
      <c r="N19" s="1" t="str">
        <f>CHOOSE(5+(WeekStart="Lunes"),"Do","Lu","Ma","Mi","Ju","Vi","Sá","Do")</f>
        <v>Vi</v>
      </c>
      <c r="O19" s="1" t="str">
        <f>CHOOSE(6+(WeekStart="Lunes"),"Do","Lu","Ma","Mi","Ju","Vi","Sá","Do")</f>
        <v>Sá</v>
      </c>
      <c r="P19" s="1" t="str">
        <f>CHOOSE(7+(WeekStart="Lunes"),"Do","Lu","Ma","Mi","Ju","Vi","Sá","Do")</f>
        <v>Do</v>
      </c>
    </row>
    <row r="20" spans="1:16" ht="15.95" customHeight="1" x14ac:dyDescent="0.25">
      <c r="A20" s="3">
        <v>1</v>
      </c>
      <c r="B20" s="5">
        <f t="array" aca="1" ref="B20:H20" ca="1">Días+DATE(CalYear,MONTH(May_Val),1)-WEEKDAY(DATE(CalYear,MONTH(May_Val),1),(WeekStart="Lunes")+1)+$A20*7-6</f>
        <v>43948</v>
      </c>
      <c r="C20" s="5">
        <f ca="1"/>
        <v>43949</v>
      </c>
      <c r="D20" s="5">
        <f ca="1"/>
        <v>43950</v>
      </c>
      <c r="E20" s="5">
        <f ca="1"/>
        <v>43951</v>
      </c>
      <c r="F20" s="5">
        <f ca="1"/>
        <v>43952</v>
      </c>
      <c r="G20" s="5">
        <f ca="1"/>
        <v>43953</v>
      </c>
      <c r="H20" s="5">
        <f ca="1"/>
        <v>43954</v>
      </c>
      <c r="J20" s="5">
        <f t="array" aca="1" ref="J20:P20" ca="1">Días+DATE(CalYear,MONTH(June_Val),1)-WEEKDAY(DATE(CalYear,MONTH(June_Val),1),(WeekStart="Lunes")+1)+$A20*7-6</f>
        <v>43983</v>
      </c>
      <c r="K20" s="5">
        <f ca="1"/>
        <v>43984</v>
      </c>
      <c r="L20" s="5">
        <f ca="1"/>
        <v>43985</v>
      </c>
      <c r="M20" s="5">
        <f ca="1"/>
        <v>43986</v>
      </c>
      <c r="N20" s="5">
        <f ca="1"/>
        <v>43987</v>
      </c>
      <c r="O20" s="5">
        <f ca="1"/>
        <v>43988</v>
      </c>
      <c r="P20" s="5">
        <f ca="1"/>
        <v>43989</v>
      </c>
    </row>
    <row r="21" spans="1:16" ht="15.95" customHeight="1" x14ac:dyDescent="0.25">
      <c r="A21" s="3">
        <v>2</v>
      </c>
      <c r="B21" s="5">
        <f t="array" aca="1" ref="B21:H21" ca="1">Días+DATE(CalYear,MONTH(May_Val),1)-WEEKDAY(DATE(CalYear,MONTH(May_Val),1),(WeekStart="Lunes")+1)+$A21*7-6</f>
        <v>43955</v>
      </c>
      <c r="C21" s="5">
        <f ca="1"/>
        <v>43956</v>
      </c>
      <c r="D21" s="5">
        <f ca="1"/>
        <v>43957</v>
      </c>
      <c r="E21" s="5">
        <f ca="1"/>
        <v>43958</v>
      </c>
      <c r="F21" s="5">
        <f ca="1"/>
        <v>43959</v>
      </c>
      <c r="G21" s="5">
        <f ca="1"/>
        <v>43960</v>
      </c>
      <c r="H21" s="5">
        <f ca="1"/>
        <v>43961</v>
      </c>
      <c r="J21" s="5">
        <f t="array" aca="1" ref="J21:P21" ca="1">Días+DATE(CalYear,MONTH(June_Val),1)-WEEKDAY(DATE(CalYear,MONTH(June_Val),1),(WeekStart="Lunes")+1)+$A21*7-6</f>
        <v>43990</v>
      </c>
      <c r="K21" s="5">
        <f ca="1"/>
        <v>43991</v>
      </c>
      <c r="L21" s="5">
        <f ca="1"/>
        <v>43992</v>
      </c>
      <c r="M21" s="5">
        <f ca="1"/>
        <v>43993</v>
      </c>
      <c r="N21" s="5">
        <f ca="1"/>
        <v>43994</v>
      </c>
      <c r="O21" s="5">
        <f ca="1"/>
        <v>43995</v>
      </c>
      <c r="P21" s="5">
        <f ca="1"/>
        <v>43996</v>
      </c>
    </row>
    <row r="22" spans="1:16" ht="15.95" customHeight="1" x14ac:dyDescent="0.25">
      <c r="A22" s="3">
        <v>3</v>
      </c>
      <c r="B22" s="5">
        <f t="array" aca="1" ref="B22:H22" ca="1">Días+DATE(CalYear,MONTH(May_Val),1)-WEEKDAY(DATE(CalYear,MONTH(May_Val),1),(WeekStart="Lunes")+1)+$A22*7-6</f>
        <v>43962</v>
      </c>
      <c r="C22" s="5">
        <f ca="1"/>
        <v>43963</v>
      </c>
      <c r="D22" s="5">
        <f ca="1"/>
        <v>43964</v>
      </c>
      <c r="E22" s="5">
        <f ca="1"/>
        <v>43965</v>
      </c>
      <c r="F22" s="5">
        <f ca="1"/>
        <v>43966</v>
      </c>
      <c r="G22" s="5">
        <f ca="1"/>
        <v>43967</v>
      </c>
      <c r="H22" s="5">
        <f ca="1"/>
        <v>43968</v>
      </c>
      <c r="J22" s="5">
        <f t="array" aca="1" ref="J22:P22" ca="1">Días+DATE(CalYear,MONTH(June_Val),1)-WEEKDAY(DATE(CalYear,MONTH(June_Val),1),(WeekStart="Lunes")+1)+$A22*7-6</f>
        <v>43997</v>
      </c>
      <c r="K22" s="5">
        <f ca="1"/>
        <v>43998</v>
      </c>
      <c r="L22" s="5">
        <f ca="1"/>
        <v>43999</v>
      </c>
      <c r="M22" s="5">
        <f ca="1"/>
        <v>44000</v>
      </c>
      <c r="N22" s="5">
        <f ca="1"/>
        <v>44001</v>
      </c>
      <c r="O22" s="5">
        <f ca="1"/>
        <v>44002</v>
      </c>
      <c r="P22" s="5">
        <f ca="1"/>
        <v>44003</v>
      </c>
    </row>
    <row r="23" spans="1:16" ht="15.95" customHeight="1" x14ac:dyDescent="0.25">
      <c r="A23" s="3">
        <v>4</v>
      </c>
      <c r="B23" s="5">
        <f t="array" aca="1" ref="B23:H23" ca="1">Días+DATE(CalYear,MONTH(May_Val),1)-WEEKDAY(DATE(CalYear,MONTH(May_Val),1),(WeekStart="Lunes")+1)+$A23*7-6</f>
        <v>43969</v>
      </c>
      <c r="C23" s="5">
        <f ca="1"/>
        <v>43970</v>
      </c>
      <c r="D23" s="5">
        <f ca="1"/>
        <v>43971</v>
      </c>
      <c r="E23" s="5">
        <f ca="1"/>
        <v>43972</v>
      </c>
      <c r="F23" s="5">
        <f ca="1"/>
        <v>43973</v>
      </c>
      <c r="G23" s="5">
        <f ca="1"/>
        <v>43974</v>
      </c>
      <c r="H23" s="5">
        <f ca="1"/>
        <v>43975</v>
      </c>
      <c r="J23" s="5">
        <f t="array" aca="1" ref="J23:P23" ca="1">Días+DATE(CalYear,MONTH(June_Val),1)-WEEKDAY(DATE(CalYear,MONTH(June_Val),1),(WeekStart="Lunes")+1)+$A23*7-6</f>
        <v>44004</v>
      </c>
      <c r="K23" s="5">
        <f ca="1"/>
        <v>44005</v>
      </c>
      <c r="L23" s="5">
        <f ca="1"/>
        <v>44006</v>
      </c>
      <c r="M23" s="5">
        <f ca="1"/>
        <v>44007</v>
      </c>
      <c r="N23" s="5">
        <f ca="1"/>
        <v>44008</v>
      </c>
      <c r="O23" s="5">
        <f ca="1"/>
        <v>44009</v>
      </c>
      <c r="P23" s="5">
        <f ca="1"/>
        <v>44010</v>
      </c>
    </row>
    <row r="24" spans="1:16" ht="15.95" customHeight="1" x14ac:dyDescent="0.25">
      <c r="A24" s="3">
        <v>5</v>
      </c>
      <c r="B24" s="5">
        <f t="array" aca="1" ref="B24:H24" ca="1">Días+DATE(CalYear,MONTH(May_Val),1)-WEEKDAY(DATE(CalYear,MONTH(May_Val),1),(WeekStart="Lunes")+1)+$A24*7-6</f>
        <v>43976</v>
      </c>
      <c r="C24" s="5">
        <f ca="1"/>
        <v>43977</v>
      </c>
      <c r="D24" s="5">
        <f ca="1"/>
        <v>43978</v>
      </c>
      <c r="E24" s="5">
        <f ca="1"/>
        <v>43979</v>
      </c>
      <c r="F24" s="5">
        <f ca="1"/>
        <v>43980</v>
      </c>
      <c r="G24" s="5">
        <f ca="1"/>
        <v>43981</v>
      </c>
      <c r="H24" s="5">
        <f ca="1"/>
        <v>43982</v>
      </c>
      <c r="J24" s="5">
        <f t="array" aca="1" ref="J24:P24" ca="1">Días+DATE(CalYear,MONTH(June_Val),1)-WEEKDAY(DATE(CalYear,MONTH(June_Val),1),(WeekStart="Lunes")+1)+$A24*7-6</f>
        <v>44011</v>
      </c>
      <c r="K24" s="5">
        <f ca="1"/>
        <v>44012</v>
      </c>
      <c r="L24" s="5">
        <f ca="1"/>
        <v>44013</v>
      </c>
      <c r="M24" s="5">
        <f ca="1"/>
        <v>44014</v>
      </c>
      <c r="N24" s="5">
        <f ca="1"/>
        <v>44015</v>
      </c>
      <c r="O24" s="5">
        <f ca="1"/>
        <v>44016</v>
      </c>
      <c r="P24" s="5">
        <f ca="1"/>
        <v>44017</v>
      </c>
    </row>
    <row r="25" spans="1:16" ht="21.75" customHeight="1" x14ac:dyDescent="0.25">
      <c r="A25" s="3">
        <v>6</v>
      </c>
      <c r="B25" s="5">
        <f t="array" aca="1" ref="B25:H25" ca="1">Días+DATE(CalYear,MONTH(May_Val),1)-WEEKDAY(DATE(CalYear,MONTH(May_Val),1),(WeekStart="Lunes")+1)+$A25*7-6</f>
        <v>43983</v>
      </c>
      <c r="C25" s="5">
        <f ca="1"/>
        <v>43984</v>
      </c>
      <c r="D25" s="5">
        <f ca="1"/>
        <v>43985</v>
      </c>
      <c r="E25" s="5">
        <f ca="1"/>
        <v>43986</v>
      </c>
      <c r="F25" s="5">
        <f ca="1"/>
        <v>43987</v>
      </c>
      <c r="G25" s="5">
        <f ca="1"/>
        <v>43988</v>
      </c>
      <c r="H25" s="5">
        <f ca="1"/>
        <v>43989</v>
      </c>
      <c r="J25" s="5">
        <f t="array" aca="1" ref="J25:P25" ca="1">Días+DATE(CalYear,MONTH(June_Val),1)-WEEKDAY(DATE(CalYear,MONTH(June_Val),1),(WeekStart="Lunes")+1)+$A25*7-6</f>
        <v>44018</v>
      </c>
      <c r="K25" s="5">
        <f ca="1"/>
        <v>44019</v>
      </c>
      <c r="L25" s="5">
        <f ca="1"/>
        <v>44020</v>
      </c>
      <c r="M25" s="5">
        <f ca="1"/>
        <v>44021</v>
      </c>
      <c r="N25" s="5">
        <f ca="1"/>
        <v>44022</v>
      </c>
      <c r="O25" s="5">
        <f ca="1"/>
        <v>44023</v>
      </c>
      <c r="P25" s="5">
        <f ca="1"/>
        <v>44024</v>
      </c>
    </row>
    <row r="26" spans="1:16" ht="21.75" customHeight="1" x14ac:dyDescent="0.25">
      <c r="A26" s="3"/>
      <c r="B26" s="7" t="str">
        <f ca="1">UPPER(TEXT(July_Val,"MMMM"))</f>
        <v>JULIO</v>
      </c>
      <c r="C26" s="7"/>
      <c r="D26" s="7"/>
      <c r="E26" s="7"/>
      <c r="F26" s="7"/>
      <c r="G26" s="7"/>
      <c r="H26" s="7"/>
      <c r="J26" s="7" t="str">
        <f ca="1">UPPER(TEXT(Aug_Val,"MMMM"))</f>
        <v>AGOSTO</v>
      </c>
      <c r="K26" s="7"/>
      <c r="L26" s="7"/>
      <c r="M26" s="7"/>
      <c r="N26" s="7"/>
      <c r="O26" s="7"/>
      <c r="P26" s="7"/>
    </row>
    <row r="27" spans="1:16" ht="21.75" customHeight="1" x14ac:dyDescent="0.25">
      <c r="A27" s="3"/>
      <c r="B27" s="1" t="str">
        <f>CHOOSE(1+(WeekStart="Lunes"),"Do","Lu","Ma","Mi","Ju","Vi","Sá","Do")</f>
        <v>Lu</v>
      </c>
      <c r="C27" s="1" t="str">
        <f>CHOOSE(2+(WeekStart="Lunes"),"Do","Lu","Ma","Mi","Ju","Vi","Sá","Do")</f>
        <v>Ma</v>
      </c>
      <c r="D27" s="1" t="str">
        <f>CHOOSE(3+(WeekStart="Lunes"),"Do","Lu","Ma","Mi","Ju","Vi","Sá","Do")</f>
        <v>Mi</v>
      </c>
      <c r="E27" s="1" t="str">
        <f>CHOOSE(4+(WeekStart="Lunes"),"Do","Lu","Ma","Mi","Ju","Vi","Sá","Do")</f>
        <v>Ju</v>
      </c>
      <c r="F27" s="1" t="str">
        <f>CHOOSE(5+(WeekStart="Lunes"),"Do","Lu","Ma","Mi","Ju","Vi","Sá","Do")</f>
        <v>Vi</v>
      </c>
      <c r="G27" s="1" t="str">
        <f>CHOOSE(6+(WeekStart="Lunes"),"Do","Lu","Ma","Mi","Ju","Vi","Sá","Do")</f>
        <v>Sá</v>
      </c>
      <c r="H27" s="1" t="str">
        <f>CHOOSE(7+(WeekStart="Lunes"),"Do","Lu","Ma","Mi","Ju","Vi","Sá","Do")</f>
        <v>Do</v>
      </c>
      <c r="J27" s="1" t="str">
        <f>CHOOSE(1+(WeekStart="Lunes"),"Do","Lu","Ma","Mi","Ju","Vi","Sá","Do")</f>
        <v>Lu</v>
      </c>
      <c r="K27" s="1" t="str">
        <f>CHOOSE(2+(WeekStart="Lunes"),"Do","Lu","Ma","Mi","Ju","Vi","Sá","Do")</f>
        <v>Ma</v>
      </c>
      <c r="L27" s="1" t="str">
        <f>CHOOSE(3+(WeekStart="Lunes"),"Do","Lu","Ma","Mi","Ju","Vi","Sá","Do")</f>
        <v>Mi</v>
      </c>
      <c r="M27" s="1" t="str">
        <f>CHOOSE(4+(WeekStart="Lunes"),"Do","Lu","Ma","Mi","Ju","Vi","Sá","Do")</f>
        <v>Ju</v>
      </c>
      <c r="N27" s="1" t="str">
        <f>CHOOSE(5+(WeekStart="Lunes"),"Do","Lu","Ma","Mi","Ju","Vi","Sá","Do")</f>
        <v>Vi</v>
      </c>
      <c r="O27" s="1" t="str">
        <f>CHOOSE(6+(WeekStart="Lunes"),"Do","Lu","Ma","Mi","Ju","Vi","Sá","Do")</f>
        <v>Sá</v>
      </c>
      <c r="P27" s="1" t="str">
        <f>CHOOSE(7+(WeekStart="Lunes"),"Do","Lu","Ma","Mi","Ju","Vi","Sá","Do")</f>
        <v>Do</v>
      </c>
    </row>
    <row r="28" spans="1:16" ht="15.95" customHeight="1" x14ac:dyDescent="0.25">
      <c r="A28" s="3"/>
      <c r="B28" s="5">
        <f t="array" aca="1" ref="B28:H28" ca="1">Días+DATE(CalYear,MONTH(July_Val),1)-WEEKDAY(DATE(CalYear,MONTH(July_Val),1),(WeekStart="Lunes")+1)+$A20*7-6</f>
        <v>44011</v>
      </c>
      <c r="C28" s="5">
        <f ca="1"/>
        <v>44012</v>
      </c>
      <c r="D28" s="5">
        <f ca="1"/>
        <v>44013</v>
      </c>
      <c r="E28" s="5">
        <f ca="1"/>
        <v>44014</v>
      </c>
      <c r="F28" s="5">
        <f ca="1"/>
        <v>44015</v>
      </c>
      <c r="G28" s="5">
        <f ca="1"/>
        <v>44016</v>
      </c>
      <c r="H28" s="5">
        <f ca="1"/>
        <v>44017</v>
      </c>
      <c r="J28" s="5">
        <f t="array" aca="1" ref="J28:P28" ca="1">Días+DATE(CalYear,MONTH(Aug_Val),1)-WEEKDAY(DATE(CalYear,MONTH(Aug_Val),1),(WeekStart="Lunes")+1)+$A20*7-6</f>
        <v>44039</v>
      </c>
      <c r="K28" s="5">
        <f ca="1"/>
        <v>44040</v>
      </c>
      <c r="L28" s="5">
        <f ca="1"/>
        <v>44041</v>
      </c>
      <c r="M28" s="5">
        <f ca="1"/>
        <v>44042</v>
      </c>
      <c r="N28" s="5">
        <f ca="1"/>
        <v>44043</v>
      </c>
      <c r="O28" s="5">
        <f ca="1"/>
        <v>44044</v>
      </c>
      <c r="P28" s="5">
        <f ca="1"/>
        <v>44045</v>
      </c>
    </row>
    <row r="29" spans="1:16" ht="15.95" customHeight="1" x14ac:dyDescent="0.25">
      <c r="A29" s="3"/>
      <c r="B29" s="5">
        <f t="array" aca="1" ref="B29:H29" ca="1">Días+DATE(CalYear,MONTH(July_Val),1)-WEEKDAY(DATE(CalYear,MONTH(July_Val),1),(WeekStart="Lunes")+1)+$A21*7-6</f>
        <v>44018</v>
      </c>
      <c r="C29" s="5">
        <f ca="1"/>
        <v>44019</v>
      </c>
      <c r="D29" s="5">
        <f ca="1"/>
        <v>44020</v>
      </c>
      <c r="E29" s="5">
        <f ca="1"/>
        <v>44021</v>
      </c>
      <c r="F29" s="5">
        <f ca="1"/>
        <v>44022</v>
      </c>
      <c r="G29" s="5">
        <f ca="1"/>
        <v>44023</v>
      </c>
      <c r="H29" s="5">
        <f ca="1"/>
        <v>44024</v>
      </c>
      <c r="J29" s="5">
        <f t="array" aca="1" ref="J29:P29" ca="1">Días+DATE(CalYear,MONTH(Aug_Val),1)-WEEKDAY(DATE(CalYear,MONTH(Aug_Val),1),(WeekStart="Lunes")+1)+$A21*7-6</f>
        <v>44046</v>
      </c>
      <c r="K29" s="5">
        <f ca="1"/>
        <v>44047</v>
      </c>
      <c r="L29" s="5">
        <f ca="1"/>
        <v>44048</v>
      </c>
      <c r="M29" s="5">
        <f ca="1"/>
        <v>44049</v>
      </c>
      <c r="N29" s="5">
        <f ca="1"/>
        <v>44050</v>
      </c>
      <c r="O29" s="5">
        <f ca="1"/>
        <v>44051</v>
      </c>
      <c r="P29" s="5">
        <f ca="1"/>
        <v>44052</v>
      </c>
    </row>
    <row r="30" spans="1:16" ht="15.95" customHeight="1" x14ac:dyDescent="0.25">
      <c r="A30" s="3"/>
      <c r="B30" s="5">
        <f t="array" aca="1" ref="B30:H30" ca="1">Días+DATE(CalYear,MONTH(July_Val),1)-WEEKDAY(DATE(CalYear,MONTH(July_Val),1),(WeekStart="Lunes")+1)+$A22*7-6</f>
        <v>44025</v>
      </c>
      <c r="C30" s="5">
        <f ca="1"/>
        <v>44026</v>
      </c>
      <c r="D30" s="5">
        <f ca="1"/>
        <v>44027</v>
      </c>
      <c r="E30" s="5">
        <f ca="1"/>
        <v>44028</v>
      </c>
      <c r="F30" s="5">
        <f ca="1"/>
        <v>44029</v>
      </c>
      <c r="G30" s="5">
        <f ca="1"/>
        <v>44030</v>
      </c>
      <c r="H30" s="5">
        <f ca="1"/>
        <v>44031</v>
      </c>
      <c r="J30" s="5">
        <f t="array" aca="1" ref="J30:P30" ca="1">Días+DATE(CalYear,MONTH(Aug_Val),1)-WEEKDAY(DATE(CalYear,MONTH(Aug_Val),1),(WeekStart="Lunes")+1)+$A22*7-6</f>
        <v>44053</v>
      </c>
      <c r="K30" s="5">
        <f ca="1"/>
        <v>44054</v>
      </c>
      <c r="L30" s="5">
        <f ca="1"/>
        <v>44055</v>
      </c>
      <c r="M30" s="5">
        <f ca="1"/>
        <v>44056</v>
      </c>
      <c r="N30" s="5">
        <f ca="1"/>
        <v>44057</v>
      </c>
      <c r="O30" s="5">
        <f ca="1"/>
        <v>44058</v>
      </c>
      <c r="P30" s="5">
        <f ca="1"/>
        <v>44059</v>
      </c>
    </row>
    <row r="31" spans="1:16" ht="15.95" customHeight="1" x14ac:dyDescent="0.25">
      <c r="A31" s="3"/>
      <c r="B31" s="5">
        <f t="array" aca="1" ref="B31:H31" ca="1">Días+DATE(CalYear,MONTH(July_Val),1)-WEEKDAY(DATE(CalYear,MONTH(July_Val),1),(WeekStart="Lunes")+1)+$A23*7-6</f>
        <v>44032</v>
      </c>
      <c r="C31" s="5">
        <f ca="1"/>
        <v>44033</v>
      </c>
      <c r="D31" s="5">
        <f ca="1"/>
        <v>44034</v>
      </c>
      <c r="E31" s="5">
        <f ca="1"/>
        <v>44035</v>
      </c>
      <c r="F31" s="5">
        <f ca="1"/>
        <v>44036</v>
      </c>
      <c r="G31" s="5">
        <f ca="1"/>
        <v>44037</v>
      </c>
      <c r="H31" s="5">
        <f ca="1"/>
        <v>44038</v>
      </c>
      <c r="J31" s="5">
        <f t="array" aca="1" ref="J31:P31" ca="1">Días+DATE(CalYear,MONTH(Aug_Val),1)-WEEKDAY(DATE(CalYear,MONTH(Aug_Val),1),(WeekStart="Lunes")+1)+$A23*7-6</f>
        <v>44060</v>
      </c>
      <c r="K31" s="5">
        <f ca="1"/>
        <v>44061</v>
      </c>
      <c r="L31" s="5">
        <f ca="1"/>
        <v>44062</v>
      </c>
      <c r="M31" s="5">
        <f ca="1"/>
        <v>44063</v>
      </c>
      <c r="N31" s="5">
        <f ca="1"/>
        <v>44064</v>
      </c>
      <c r="O31" s="5">
        <f ca="1"/>
        <v>44065</v>
      </c>
      <c r="P31" s="5">
        <f ca="1"/>
        <v>44066</v>
      </c>
    </row>
    <row r="32" spans="1:16" ht="15.95" customHeight="1" x14ac:dyDescent="0.25">
      <c r="A32" s="3"/>
      <c r="B32" s="5">
        <f t="array" aca="1" ref="B32:H32" ca="1">Días+DATE(CalYear,MONTH(July_Val),1)-WEEKDAY(DATE(CalYear,MONTH(July_Val),1),(WeekStart="Lunes")+1)+$A24*7-6</f>
        <v>44039</v>
      </c>
      <c r="C32" s="5">
        <f ca="1"/>
        <v>44040</v>
      </c>
      <c r="D32" s="5">
        <f ca="1"/>
        <v>44041</v>
      </c>
      <c r="E32" s="5">
        <f ca="1"/>
        <v>44042</v>
      </c>
      <c r="F32" s="5">
        <f ca="1"/>
        <v>44043</v>
      </c>
      <c r="G32" s="5">
        <f ca="1"/>
        <v>44044</v>
      </c>
      <c r="H32" s="5">
        <f ca="1"/>
        <v>44045</v>
      </c>
      <c r="J32" s="5">
        <f t="array" aca="1" ref="J32:P32" ca="1">Días+DATE(CalYear,MONTH(Aug_Val),1)-WEEKDAY(DATE(CalYear,MONTH(Aug_Val),1),(WeekStart="Lunes")+1)+$A24*7-6</f>
        <v>44067</v>
      </c>
      <c r="K32" s="5">
        <f ca="1"/>
        <v>44068</v>
      </c>
      <c r="L32" s="5">
        <f ca="1"/>
        <v>44069</v>
      </c>
      <c r="M32" s="5">
        <f ca="1"/>
        <v>44070</v>
      </c>
      <c r="N32" s="5">
        <f ca="1"/>
        <v>44071</v>
      </c>
      <c r="O32" s="5">
        <f ca="1"/>
        <v>44072</v>
      </c>
      <c r="P32" s="5">
        <f ca="1"/>
        <v>44073</v>
      </c>
    </row>
    <row r="33" spans="1:16" ht="21.75" customHeight="1" x14ac:dyDescent="0.25">
      <c r="A33" s="3"/>
      <c r="B33" s="5">
        <f t="array" aca="1" ref="B33:H33" ca="1">Días+DATE(CalYear,MONTH(July_Val),1)-WEEKDAY(DATE(CalYear,MONTH(July_Val),1),(WeekStart="Lunes")+1)+$A25*7-6</f>
        <v>44046</v>
      </c>
      <c r="C33" s="5">
        <f ca="1"/>
        <v>44047</v>
      </c>
      <c r="D33" s="5">
        <f ca="1"/>
        <v>44048</v>
      </c>
      <c r="E33" s="5">
        <f ca="1"/>
        <v>44049</v>
      </c>
      <c r="F33" s="5">
        <f ca="1"/>
        <v>44050</v>
      </c>
      <c r="G33" s="5">
        <f ca="1"/>
        <v>44051</v>
      </c>
      <c r="H33" s="5">
        <f ca="1"/>
        <v>44052</v>
      </c>
      <c r="J33" s="5">
        <f t="array" aca="1" ref="J33:P33" ca="1">Días+DATE(CalYear,MONTH(Aug_Val),1)-WEEKDAY(DATE(CalYear,MONTH(Aug_Val),1),(WeekStart="Lunes")+1)+$A25*7-6</f>
        <v>44074</v>
      </c>
      <c r="K33" s="5">
        <f ca="1"/>
        <v>44075</v>
      </c>
      <c r="L33" s="5">
        <f ca="1"/>
        <v>44076</v>
      </c>
      <c r="M33" s="5">
        <f ca="1"/>
        <v>44077</v>
      </c>
      <c r="N33" s="5">
        <f ca="1"/>
        <v>44078</v>
      </c>
      <c r="O33" s="5">
        <f ca="1"/>
        <v>44079</v>
      </c>
      <c r="P33" s="5">
        <f ca="1"/>
        <v>44080</v>
      </c>
    </row>
    <row r="34" spans="1:16" ht="21.75" customHeight="1" x14ac:dyDescent="0.25">
      <c r="A34" s="3"/>
      <c r="B34" s="7" t="str">
        <f ca="1">UPPER(TEXT(Sep_Val,"MMMM"))</f>
        <v>SEPTIEMBRE</v>
      </c>
      <c r="C34" s="7"/>
      <c r="D34" s="7"/>
      <c r="E34" s="7"/>
      <c r="F34" s="7"/>
      <c r="G34" s="7"/>
      <c r="H34" s="7"/>
      <c r="J34" s="7" t="str">
        <f ca="1">UPPER(TEXT(Oct_Val,"MMMM"))</f>
        <v>OCTUBRE</v>
      </c>
      <c r="K34" s="7"/>
      <c r="L34" s="7"/>
      <c r="M34" s="7"/>
      <c r="N34" s="7"/>
      <c r="O34" s="7"/>
      <c r="P34" s="7"/>
    </row>
    <row r="35" spans="1:16" ht="21.75" customHeight="1" x14ac:dyDescent="0.25">
      <c r="A35" s="3"/>
      <c r="B35" s="1" t="str">
        <f>CHOOSE(1+(WeekStart="Lunes"),"Do","Lu","Ma","Mi","Ju","Vi","Sá","Do")</f>
        <v>Lu</v>
      </c>
      <c r="C35" s="1" t="str">
        <f>CHOOSE(2+(WeekStart="Lunes"),"Do","Lu","Ma","Mi","Ju","Vi","Sá","Do")</f>
        <v>Ma</v>
      </c>
      <c r="D35" s="1" t="str">
        <f>CHOOSE(3+(WeekStart="Lunes"),"Do","Lu","Ma","Mi","Ju","Vi","Sá","Do")</f>
        <v>Mi</v>
      </c>
      <c r="E35" s="1" t="str">
        <f>CHOOSE(4+(WeekStart="Lunes"),"Do","Lu","Ma","Mi","Ju","Vi","Sá","Do")</f>
        <v>Ju</v>
      </c>
      <c r="F35" s="1" t="str">
        <f>CHOOSE(5+(WeekStart="Lunes"),"Do","Lu","Ma","Mi","Ju","Vi","Sá","Do")</f>
        <v>Vi</v>
      </c>
      <c r="G35" s="1" t="str">
        <f>CHOOSE(6+(WeekStart="Lunes"),"Do","Lu","Ma","Mi","Ju","Vi","Sá","Do")</f>
        <v>Sá</v>
      </c>
      <c r="H35" s="1" t="str">
        <f>CHOOSE(7+(WeekStart="Lunes"),"Do","Lu","Ma","Mi","Ju","Vi","Sá","Do")</f>
        <v>Do</v>
      </c>
      <c r="J35" s="1" t="str">
        <f>CHOOSE(1+(WeekStart="Lunes"),"Do","Lu","Ma","Mi","Ju","Vi","Sá","Do")</f>
        <v>Lu</v>
      </c>
      <c r="K35" s="1" t="str">
        <f>CHOOSE(2+(WeekStart="Lunes"),"Do","Lu","Ma","Mi","Ju","Vi","Sá","Do")</f>
        <v>Ma</v>
      </c>
      <c r="L35" s="1" t="str">
        <f>CHOOSE(3+(WeekStart="Lunes"),"Do","Lu","Ma","Mi","Ju","Vi","Sá","Do")</f>
        <v>Mi</v>
      </c>
      <c r="M35" s="1" t="str">
        <f>CHOOSE(4+(WeekStart="Lunes"),"Do","Lu","Ma","Mi","Ju","Vi","Sá","Do")</f>
        <v>Ju</v>
      </c>
      <c r="N35" s="1" t="str">
        <f>CHOOSE(5+(WeekStart="Lunes"),"Do","Lu","Ma","Mi","Ju","Vi","Sá","Do")</f>
        <v>Vi</v>
      </c>
      <c r="O35" s="1" t="str">
        <f>CHOOSE(6+(WeekStart="Lunes"),"Do","Lu","Ma","Mi","Ju","Vi","Sá","Do")</f>
        <v>Sá</v>
      </c>
      <c r="P35" s="1" t="str">
        <f>CHOOSE(7+(WeekStart="Lunes"),"Do","Lu","Ma","Mi","Ju","Vi","Sá","Do")</f>
        <v>Do</v>
      </c>
    </row>
    <row r="36" spans="1:16" ht="15.95" customHeight="1" x14ac:dyDescent="0.25">
      <c r="A36" s="3">
        <v>1</v>
      </c>
      <c r="B36" s="5">
        <f t="array" aca="1" ref="B36:H36" ca="1">Días+DATE(CalYear,MONTH(Sep_Val),1)-WEEKDAY(DATE(CalYear,MONTH(Sep_Val),1),(WeekStart="Lunes")+1)+$A36*7-6</f>
        <v>44074</v>
      </c>
      <c r="C36" s="5">
        <f ca="1"/>
        <v>44075</v>
      </c>
      <c r="D36" s="5">
        <f ca="1"/>
        <v>44076</v>
      </c>
      <c r="E36" s="5">
        <f ca="1"/>
        <v>44077</v>
      </c>
      <c r="F36" s="5">
        <f ca="1"/>
        <v>44078</v>
      </c>
      <c r="G36" s="5">
        <f ca="1"/>
        <v>44079</v>
      </c>
      <c r="H36" s="5">
        <f ca="1"/>
        <v>44080</v>
      </c>
      <c r="J36" s="5">
        <f t="array" aca="1" ref="J36:P36" ca="1">Días+DATE(CalYear,MONTH(Oct_Val),1)-WEEKDAY(DATE(CalYear,MONTH(Oct_Val),1),(WeekStart="Lunes")+1)+$A36*7-6</f>
        <v>44102</v>
      </c>
      <c r="K36" s="5">
        <f ca="1"/>
        <v>44103</v>
      </c>
      <c r="L36" s="5">
        <f ca="1"/>
        <v>44104</v>
      </c>
      <c r="M36" s="5">
        <f ca="1"/>
        <v>44105</v>
      </c>
      <c r="N36" s="5">
        <f ca="1"/>
        <v>44106</v>
      </c>
      <c r="O36" s="5">
        <f ca="1"/>
        <v>44107</v>
      </c>
      <c r="P36" s="5">
        <f ca="1"/>
        <v>44108</v>
      </c>
    </row>
    <row r="37" spans="1:16" ht="15.95" customHeight="1" x14ac:dyDescent="0.25">
      <c r="A37" s="3">
        <v>2</v>
      </c>
      <c r="B37" s="5">
        <f t="array" aca="1" ref="B37:H37" ca="1">Días+DATE(CalYear,MONTH(Sep_Val),1)-WEEKDAY(DATE(CalYear,MONTH(Sep_Val),1),(WeekStart="Lunes")+1)+$A37*7-6</f>
        <v>44081</v>
      </c>
      <c r="C37" s="5">
        <f ca="1"/>
        <v>44082</v>
      </c>
      <c r="D37" s="5">
        <f ca="1"/>
        <v>44083</v>
      </c>
      <c r="E37" s="5">
        <f ca="1"/>
        <v>44084</v>
      </c>
      <c r="F37" s="5">
        <f ca="1"/>
        <v>44085</v>
      </c>
      <c r="G37" s="5">
        <f ca="1"/>
        <v>44086</v>
      </c>
      <c r="H37" s="5">
        <f ca="1"/>
        <v>44087</v>
      </c>
      <c r="J37" s="5">
        <f t="array" aca="1" ref="J37:P37" ca="1">Días+DATE(CalYear,MONTH(Oct_Val),1)-WEEKDAY(DATE(CalYear,MONTH(Oct_Val),1),(WeekStart="Lunes")+1)+$A37*7-6</f>
        <v>44109</v>
      </c>
      <c r="K37" s="5">
        <f ca="1"/>
        <v>44110</v>
      </c>
      <c r="L37" s="5">
        <f ca="1"/>
        <v>44111</v>
      </c>
      <c r="M37" s="5">
        <f ca="1"/>
        <v>44112</v>
      </c>
      <c r="N37" s="5">
        <f ca="1"/>
        <v>44113</v>
      </c>
      <c r="O37" s="5">
        <f ca="1"/>
        <v>44114</v>
      </c>
      <c r="P37" s="5">
        <f ca="1"/>
        <v>44115</v>
      </c>
    </row>
    <row r="38" spans="1:16" ht="15.95" customHeight="1" x14ac:dyDescent="0.25">
      <c r="A38" s="3">
        <v>3</v>
      </c>
      <c r="B38" s="5">
        <f t="array" aca="1" ref="B38:H38" ca="1">Días+DATE(CalYear,MONTH(Sep_Val),1)-WEEKDAY(DATE(CalYear,MONTH(Sep_Val),1),(WeekStart="Lunes")+1)+$A38*7-6</f>
        <v>44088</v>
      </c>
      <c r="C38" s="5">
        <f ca="1"/>
        <v>44089</v>
      </c>
      <c r="D38" s="5">
        <f ca="1"/>
        <v>44090</v>
      </c>
      <c r="E38" s="5">
        <f ca="1"/>
        <v>44091</v>
      </c>
      <c r="F38" s="5">
        <f ca="1"/>
        <v>44092</v>
      </c>
      <c r="G38" s="5">
        <f ca="1"/>
        <v>44093</v>
      </c>
      <c r="H38" s="5">
        <f ca="1"/>
        <v>44094</v>
      </c>
      <c r="J38" s="5">
        <f t="array" aca="1" ref="J38:P38" ca="1">Días+DATE(CalYear,MONTH(Oct_Val),1)-WEEKDAY(DATE(CalYear,MONTH(Oct_Val),1),(WeekStart="Lunes")+1)+$A38*7-6</f>
        <v>44116</v>
      </c>
      <c r="K38" s="5">
        <f ca="1"/>
        <v>44117</v>
      </c>
      <c r="L38" s="5">
        <f ca="1"/>
        <v>44118</v>
      </c>
      <c r="M38" s="5">
        <f ca="1"/>
        <v>44119</v>
      </c>
      <c r="N38" s="5">
        <f ca="1"/>
        <v>44120</v>
      </c>
      <c r="O38" s="5">
        <f ca="1"/>
        <v>44121</v>
      </c>
      <c r="P38" s="5">
        <f ca="1"/>
        <v>44122</v>
      </c>
    </row>
    <row r="39" spans="1:16" ht="15.95" customHeight="1" x14ac:dyDescent="0.25">
      <c r="A39" s="3">
        <v>4</v>
      </c>
      <c r="B39" s="5">
        <f t="array" aca="1" ref="B39:H39" ca="1">Días+DATE(CalYear,MONTH(Sep_Val),1)-WEEKDAY(DATE(CalYear,MONTH(Sep_Val),1),(WeekStart="Lunes")+1)+$A39*7-6</f>
        <v>44095</v>
      </c>
      <c r="C39" s="5">
        <f ca="1"/>
        <v>44096</v>
      </c>
      <c r="D39" s="5">
        <f ca="1"/>
        <v>44097</v>
      </c>
      <c r="E39" s="5">
        <f ca="1"/>
        <v>44098</v>
      </c>
      <c r="F39" s="5">
        <f ca="1"/>
        <v>44099</v>
      </c>
      <c r="G39" s="5">
        <f ca="1"/>
        <v>44100</v>
      </c>
      <c r="H39" s="5">
        <f ca="1"/>
        <v>44101</v>
      </c>
      <c r="J39" s="5">
        <f t="array" aca="1" ref="J39:P39" ca="1">Días+DATE(CalYear,MONTH(Oct_Val),1)-WEEKDAY(DATE(CalYear,MONTH(Oct_Val),1),(WeekStart="Lunes")+1)+$A39*7-6</f>
        <v>44123</v>
      </c>
      <c r="K39" s="5">
        <f ca="1"/>
        <v>44124</v>
      </c>
      <c r="L39" s="5">
        <f ca="1"/>
        <v>44125</v>
      </c>
      <c r="M39" s="5">
        <f ca="1"/>
        <v>44126</v>
      </c>
      <c r="N39" s="5">
        <f ca="1"/>
        <v>44127</v>
      </c>
      <c r="O39" s="5">
        <f ca="1"/>
        <v>44128</v>
      </c>
      <c r="P39" s="5">
        <f ca="1"/>
        <v>44129</v>
      </c>
    </row>
    <row r="40" spans="1:16" ht="15.95" customHeight="1" x14ac:dyDescent="0.25">
      <c r="A40" s="3">
        <v>5</v>
      </c>
      <c r="B40" s="5">
        <f t="array" aca="1" ref="B40:H40" ca="1">Días+DATE(CalYear,MONTH(Sep_Val),1)-WEEKDAY(DATE(CalYear,MONTH(Sep_Val),1),(WeekStart="Lunes")+1)+$A40*7-6</f>
        <v>44102</v>
      </c>
      <c r="C40" s="5">
        <f ca="1"/>
        <v>44103</v>
      </c>
      <c r="D40" s="5">
        <f ca="1"/>
        <v>44104</v>
      </c>
      <c r="E40" s="5">
        <f ca="1"/>
        <v>44105</v>
      </c>
      <c r="F40" s="5">
        <f ca="1"/>
        <v>44106</v>
      </c>
      <c r="G40" s="5">
        <f ca="1"/>
        <v>44107</v>
      </c>
      <c r="H40" s="5">
        <f ca="1"/>
        <v>44108</v>
      </c>
      <c r="J40" s="5">
        <f t="array" aca="1" ref="J40:P40" ca="1">Días+DATE(CalYear,MONTH(Oct_Val),1)-WEEKDAY(DATE(CalYear,MONTH(Oct_Val),1),(WeekStart="Lunes")+1)+$A40*7-6</f>
        <v>44130</v>
      </c>
      <c r="K40" s="5">
        <f ca="1"/>
        <v>44131</v>
      </c>
      <c r="L40" s="5">
        <f ca="1"/>
        <v>44132</v>
      </c>
      <c r="M40" s="5">
        <f ca="1"/>
        <v>44133</v>
      </c>
      <c r="N40" s="5">
        <f ca="1"/>
        <v>44134</v>
      </c>
      <c r="O40" s="5">
        <f ca="1"/>
        <v>44135</v>
      </c>
      <c r="P40" s="5">
        <f ca="1"/>
        <v>44136</v>
      </c>
    </row>
    <row r="41" spans="1:16" ht="21.75" customHeight="1" x14ac:dyDescent="0.25">
      <c r="A41" s="3">
        <v>6</v>
      </c>
      <c r="B41" s="5">
        <f t="array" aca="1" ref="B41:H41" ca="1">Días+DATE(CalYear,MONTH(Sep_Val),1)-WEEKDAY(DATE(CalYear,MONTH(Sep_Val),1),(WeekStart="Lunes")+1)+$A41*7-6</f>
        <v>44109</v>
      </c>
      <c r="C41" s="5">
        <f ca="1"/>
        <v>44110</v>
      </c>
      <c r="D41" s="5">
        <f ca="1"/>
        <v>44111</v>
      </c>
      <c r="E41" s="5">
        <f ca="1"/>
        <v>44112</v>
      </c>
      <c r="F41" s="5">
        <f ca="1"/>
        <v>44113</v>
      </c>
      <c r="G41" s="5">
        <f ca="1"/>
        <v>44114</v>
      </c>
      <c r="H41" s="5">
        <f ca="1"/>
        <v>44115</v>
      </c>
      <c r="J41" s="5">
        <f t="array" aca="1" ref="J41:P41" ca="1">Días+DATE(CalYear,MONTH(Oct_Val),1)-WEEKDAY(DATE(CalYear,MONTH(Oct_Val),1),(WeekStart="Lunes")+1)+$A41*7-6</f>
        <v>44137</v>
      </c>
      <c r="K41" s="5">
        <f ca="1"/>
        <v>44138</v>
      </c>
      <c r="L41" s="5">
        <f ca="1"/>
        <v>44139</v>
      </c>
      <c r="M41" s="5">
        <f ca="1"/>
        <v>44140</v>
      </c>
      <c r="N41" s="5">
        <f ca="1"/>
        <v>44141</v>
      </c>
      <c r="O41" s="5">
        <f ca="1"/>
        <v>44142</v>
      </c>
      <c r="P41" s="5">
        <f ca="1"/>
        <v>44143</v>
      </c>
    </row>
    <row r="42" spans="1:16" ht="21.75" customHeight="1" x14ac:dyDescent="0.25">
      <c r="A42" s="3"/>
      <c r="B42" s="7" t="str">
        <f ca="1">UPPER(TEXT(Nov_Val,"MMMM"))</f>
        <v>NOVIEMBRE</v>
      </c>
      <c r="C42" s="7"/>
      <c r="D42" s="7"/>
      <c r="E42" s="7"/>
      <c r="F42" s="7"/>
      <c r="G42" s="7"/>
      <c r="H42" s="7"/>
      <c r="J42" s="7" t="str">
        <f ca="1">UPPER(TEXT(Dec_Val,"MMMM"))</f>
        <v>DICIEMBRE</v>
      </c>
      <c r="K42" s="7"/>
      <c r="L42" s="7"/>
      <c r="M42" s="7"/>
      <c r="N42" s="7"/>
      <c r="O42" s="7"/>
      <c r="P42" s="7"/>
    </row>
    <row r="43" spans="1:16" ht="21.75" customHeight="1" x14ac:dyDescent="0.25">
      <c r="A43" s="3"/>
      <c r="B43" s="1" t="str">
        <f>CHOOSE(1+(WeekStart="Lunes"),"Do","Lu","Ma","Mi","Ju","Vi","Sá","Do")</f>
        <v>Lu</v>
      </c>
      <c r="C43" s="1" t="str">
        <f>CHOOSE(2+(WeekStart="Lunes"),"Do","Lu","Ma","Mi","Ju","Vi","Sá","Do")</f>
        <v>Ma</v>
      </c>
      <c r="D43" s="1" t="str">
        <f>CHOOSE(3+(WeekStart="Lunes"),"Do","Lu","Ma","Mi","Ju","Vi","Sá","Do")</f>
        <v>Mi</v>
      </c>
      <c r="E43" s="1" t="str">
        <f>CHOOSE(4+(WeekStart="Lunes"),"Do","Lu","Ma","Mi","Ju","Vi","Sá","Do")</f>
        <v>Ju</v>
      </c>
      <c r="F43" s="1" t="str">
        <f>CHOOSE(5+(WeekStart="Lunes"),"Do","Lu","Ma","Mi","Ju","Vi","Sá","Do")</f>
        <v>Vi</v>
      </c>
      <c r="G43" s="1" t="str">
        <f>CHOOSE(6+(WeekStart="Lunes"),"Do","Lu","Ma","Mi","Ju","Vi","Sá","Do")</f>
        <v>Sá</v>
      </c>
      <c r="H43" s="1" t="str">
        <f>CHOOSE(7+(WeekStart="Lunes"),"Do","Lu","Ma","Mi","Ju","Vi","Sá","Do")</f>
        <v>Do</v>
      </c>
      <c r="J43" s="1" t="str">
        <f>CHOOSE(1+(WeekStart="Lunes"),"Do","Lu","Ma","Mi","Ju","Vi","Sá","Do")</f>
        <v>Lu</v>
      </c>
      <c r="K43" s="1" t="str">
        <f>CHOOSE(2+(WeekStart="Lunes"),"Do","Lu","Ma","Mi","Ju","Vi","Sá","Do")</f>
        <v>Ma</v>
      </c>
      <c r="L43" s="1" t="str">
        <f>CHOOSE(3+(WeekStart="Lunes"),"Do","Lu","Ma","Mi","Ju","Vi","Sá","Do")</f>
        <v>Mi</v>
      </c>
      <c r="M43" s="1" t="str">
        <f>CHOOSE(4+(WeekStart="Lunes"),"Do","Lu","Ma","Mi","Ju","Vi","Sá","Do")</f>
        <v>Ju</v>
      </c>
      <c r="N43" s="1" t="str">
        <f>CHOOSE(5+(WeekStart="Lunes"),"Do","Lu","Ma","Mi","Ju","Vi","Sá","Do")</f>
        <v>Vi</v>
      </c>
      <c r="O43" s="1" t="str">
        <f>CHOOSE(6+(WeekStart="Lunes"),"Do","Lu","Ma","Mi","Ju","Vi","Sá","Do")</f>
        <v>Sá</v>
      </c>
      <c r="P43" s="1" t="str">
        <f>CHOOSE(7+(WeekStart="Lunes"),"Do","Lu","Ma","Mi","Ju","Vi","Sá","Do")</f>
        <v>Do</v>
      </c>
    </row>
    <row r="44" spans="1:16" ht="15.95" customHeight="1" x14ac:dyDescent="0.25">
      <c r="A44" s="3"/>
      <c r="B44" s="5">
        <f t="array" aca="1" ref="B44:H44" ca="1">Días+DATE(CalYear,MONTH(Nov_Val),1)-WEEKDAY(DATE(CalYear,MONTH(Nov_Val),1),(WeekStart="Lunes")+1)+$A36*7-6</f>
        <v>44130</v>
      </c>
      <c r="C44" s="5">
        <f ca="1"/>
        <v>44131</v>
      </c>
      <c r="D44" s="5">
        <f ca="1"/>
        <v>44132</v>
      </c>
      <c r="E44" s="5">
        <f ca="1"/>
        <v>44133</v>
      </c>
      <c r="F44" s="5">
        <f ca="1"/>
        <v>44134</v>
      </c>
      <c r="G44" s="5">
        <f ca="1"/>
        <v>44135</v>
      </c>
      <c r="H44" s="5">
        <f ca="1"/>
        <v>44136</v>
      </c>
      <c r="J44" s="5">
        <f t="array" aca="1" ref="J44:P44" ca="1">Días+DATE(CalYear,MONTH(Dec_Val),1)-WEEKDAY(DATE(CalYear,MONTH(Dec_Val),1),(WeekStart="Lunes")+1)+$A36*7-6</f>
        <v>44165</v>
      </c>
      <c r="K44" s="5">
        <f ca="1"/>
        <v>44166</v>
      </c>
      <c r="L44" s="5">
        <f ca="1"/>
        <v>44167</v>
      </c>
      <c r="M44" s="5">
        <f ca="1"/>
        <v>44168</v>
      </c>
      <c r="N44" s="5">
        <f ca="1"/>
        <v>44169</v>
      </c>
      <c r="O44" s="5">
        <f ca="1"/>
        <v>44170</v>
      </c>
      <c r="P44" s="5">
        <f ca="1"/>
        <v>44171</v>
      </c>
    </row>
    <row r="45" spans="1:16" ht="15.95" customHeight="1" x14ac:dyDescent="0.25">
      <c r="A45" s="3"/>
      <c r="B45" s="5">
        <f t="array" aca="1" ref="B45:H45" ca="1">Días+DATE(CalYear,MONTH(Nov_Val),1)-WEEKDAY(DATE(CalYear,MONTH(Nov_Val),1),(WeekStart="Lunes")+1)+$A37*7-6</f>
        <v>44137</v>
      </c>
      <c r="C45" s="5">
        <f ca="1"/>
        <v>44138</v>
      </c>
      <c r="D45" s="5">
        <f ca="1"/>
        <v>44139</v>
      </c>
      <c r="E45" s="5">
        <f ca="1"/>
        <v>44140</v>
      </c>
      <c r="F45" s="5">
        <f ca="1"/>
        <v>44141</v>
      </c>
      <c r="G45" s="5">
        <f ca="1"/>
        <v>44142</v>
      </c>
      <c r="H45" s="5">
        <f ca="1"/>
        <v>44143</v>
      </c>
      <c r="J45" s="5">
        <f t="array" aca="1" ref="J45:P45" ca="1">Días+DATE(CalYear,MONTH(Dec_Val),1)-WEEKDAY(DATE(CalYear,MONTH(Dec_Val),1),(WeekStart="Lunes")+1)+$A37*7-6</f>
        <v>44172</v>
      </c>
      <c r="K45" s="5">
        <f ca="1"/>
        <v>44173</v>
      </c>
      <c r="L45" s="5">
        <f ca="1"/>
        <v>44174</v>
      </c>
      <c r="M45" s="5">
        <f ca="1"/>
        <v>44175</v>
      </c>
      <c r="N45" s="5">
        <f ca="1"/>
        <v>44176</v>
      </c>
      <c r="O45" s="5">
        <f ca="1"/>
        <v>44177</v>
      </c>
      <c r="P45" s="5">
        <f ca="1"/>
        <v>44178</v>
      </c>
    </row>
    <row r="46" spans="1:16" ht="15.95" customHeight="1" x14ac:dyDescent="0.25">
      <c r="A46" s="3"/>
      <c r="B46" s="5">
        <f t="array" aca="1" ref="B46:H46" ca="1">Días+DATE(CalYear,MONTH(Nov_Val),1)-WEEKDAY(DATE(CalYear,MONTH(Nov_Val),1),(WeekStart="Lunes")+1)+$A38*7-6</f>
        <v>44144</v>
      </c>
      <c r="C46" s="5">
        <f ca="1"/>
        <v>44145</v>
      </c>
      <c r="D46" s="5">
        <f ca="1"/>
        <v>44146</v>
      </c>
      <c r="E46" s="5">
        <f ca="1"/>
        <v>44147</v>
      </c>
      <c r="F46" s="5">
        <f ca="1"/>
        <v>44148</v>
      </c>
      <c r="G46" s="5">
        <f ca="1"/>
        <v>44149</v>
      </c>
      <c r="H46" s="5">
        <f ca="1"/>
        <v>44150</v>
      </c>
      <c r="J46" s="5">
        <f t="array" aca="1" ref="J46:P46" ca="1">Días+DATE(CalYear,MONTH(Dec_Val),1)-WEEKDAY(DATE(CalYear,MONTH(Dec_Val),1),(WeekStart="Lunes")+1)+$A38*7-6</f>
        <v>44179</v>
      </c>
      <c r="K46" s="5">
        <f ca="1"/>
        <v>44180</v>
      </c>
      <c r="L46" s="5">
        <f ca="1"/>
        <v>44181</v>
      </c>
      <c r="M46" s="5">
        <f ca="1"/>
        <v>44182</v>
      </c>
      <c r="N46" s="5">
        <f ca="1"/>
        <v>44183</v>
      </c>
      <c r="O46" s="5">
        <f ca="1"/>
        <v>44184</v>
      </c>
      <c r="P46" s="5">
        <f ca="1"/>
        <v>44185</v>
      </c>
    </row>
    <row r="47" spans="1:16" ht="15.95" customHeight="1" x14ac:dyDescent="0.25">
      <c r="A47" s="3"/>
      <c r="B47" s="5">
        <f t="array" aca="1" ref="B47:H47" ca="1">Días+DATE(CalYear,MONTH(Nov_Val),1)-WEEKDAY(DATE(CalYear,MONTH(Nov_Val),1),(WeekStart="Lunes")+1)+$A39*7-6</f>
        <v>44151</v>
      </c>
      <c r="C47" s="5">
        <f ca="1"/>
        <v>44152</v>
      </c>
      <c r="D47" s="5">
        <f ca="1"/>
        <v>44153</v>
      </c>
      <c r="E47" s="5">
        <f ca="1"/>
        <v>44154</v>
      </c>
      <c r="F47" s="5">
        <f ca="1"/>
        <v>44155</v>
      </c>
      <c r="G47" s="5">
        <f ca="1"/>
        <v>44156</v>
      </c>
      <c r="H47" s="5">
        <f ca="1"/>
        <v>44157</v>
      </c>
      <c r="J47" s="5">
        <f t="array" aca="1" ref="J47:P47" ca="1">Días+DATE(CalYear,MONTH(Dec_Val),1)-WEEKDAY(DATE(CalYear,MONTH(Dec_Val),1),(WeekStart="Lunes")+1)+$A39*7-6</f>
        <v>44186</v>
      </c>
      <c r="K47" s="5">
        <f ca="1"/>
        <v>44187</v>
      </c>
      <c r="L47" s="5">
        <f ca="1"/>
        <v>44188</v>
      </c>
      <c r="M47" s="5">
        <f ca="1"/>
        <v>44189</v>
      </c>
      <c r="N47" s="5">
        <f ca="1"/>
        <v>44190</v>
      </c>
      <c r="O47" s="5">
        <f ca="1"/>
        <v>44191</v>
      </c>
      <c r="P47" s="5">
        <f ca="1"/>
        <v>44192</v>
      </c>
    </row>
    <row r="48" spans="1:16" ht="15.95" customHeight="1" x14ac:dyDescent="0.25">
      <c r="A48" s="3"/>
      <c r="B48" s="5">
        <f t="array" aca="1" ref="B48:H48" ca="1">Días+DATE(CalYear,MONTH(Nov_Val),1)-WEEKDAY(DATE(CalYear,MONTH(Nov_Val),1),(WeekStart="Lunes")+1)+$A40*7-6</f>
        <v>44158</v>
      </c>
      <c r="C48" s="5">
        <f ca="1"/>
        <v>44159</v>
      </c>
      <c r="D48" s="5">
        <f ca="1"/>
        <v>44160</v>
      </c>
      <c r="E48" s="5">
        <f ca="1"/>
        <v>44161</v>
      </c>
      <c r="F48" s="5">
        <f ca="1"/>
        <v>44162</v>
      </c>
      <c r="G48" s="5">
        <f ca="1"/>
        <v>44163</v>
      </c>
      <c r="H48" s="5">
        <f ca="1"/>
        <v>44164</v>
      </c>
      <c r="J48" s="5">
        <f t="array" aca="1" ref="J48:P48" ca="1">Días+DATE(CalYear,MONTH(Dec_Val),1)-WEEKDAY(DATE(CalYear,MONTH(Dec_Val),1),(WeekStart="Lunes")+1)+$A40*7-6</f>
        <v>44193</v>
      </c>
      <c r="K48" s="5">
        <f ca="1"/>
        <v>44194</v>
      </c>
      <c r="L48" s="5">
        <f ca="1"/>
        <v>44195</v>
      </c>
      <c r="M48" s="5">
        <f ca="1"/>
        <v>44196</v>
      </c>
      <c r="N48" s="5">
        <f ca="1"/>
        <v>44197</v>
      </c>
      <c r="O48" s="5">
        <f ca="1"/>
        <v>44198</v>
      </c>
      <c r="P48" s="5">
        <f ca="1"/>
        <v>44199</v>
      </c>
    </row>
    <row r="49" spans="1:16" ht="21.75" customHeight="1" x14ac:dyDescent="0.25">
      <c r="A49" s="3"/>
      <c r="B49" s="5">
        <f t="array" aca="1" ref="B49:H49" ca="1">Días+DATE(CalYear,MONTH(Nov_Val),1)-WEEKDAY(DATE(CalYear,MONTH(Nov_Val),1),(WeekStart="Lunes")+1)+$A41*7-6</f>
        <v>44165</v>
      </c>
      <c r="C49" s="5">
        <f ca="1"/>
        <v>44166</v>
      </c>
      <c r="D49" s="5">
        <f ca="1"/>
        <v>44167</v>
      </c>
      <c r="E49" s="5">
        <f ca="1"/>
        <v>44168</v>
      </c>
      <c r="F49" s="5">
        <f ca="1"/>
        <v>44169</v>
      </c>
      <c r="G49" s="5">
        <f ca="1"/>
        <v>44170</v>
      </c>
      <c r="H49" s="5">
        <f ca="1"/>
        <v>44171</v>
      </c>
      <c r="J49" s="5">
        <f t="array" aca="1" ref="J49:P49" ca="1">Días+DATE(CalYear,MONTH(Dec_Val),1)-WEEKDAY(DATE(CalYear,MONTH(Dec_Val),1),(WeekStart="Lunes")+1)+$A41*7-6</f>
        <v>44200</v>
      </c>
      <c r="K49" s="5">
        <f ca="1"/>
        <v>44201</v>
      </c>
      <c r="L49" s="5">
        <f ca="1"/>
        <v>44202</v>
      </c>
      <c r="M49" s="5">
        <f ca="1"/>
        <v>44203</v>
      </c>
      <c r="N49" s="5">
        <f ca="1"/>
        <v>44204</v>
      </c>
      <c r="O49" s="5">
        <f ca="1"/>
        <v>44205</v>
      </c>
      <c r="P49" s="5">
        <f ca="1"/>
        <v>44206</v>
      </c>
    </row>
  </sheetData>
  <mergeCells count="13">
    <mergeCell ref="B1:P1"/>
    <mergeCell ref="B34:H34"/>
    <mergeCell ref="J34:P34"/>
    <mergeCell ref="B42:H42"/>
    <mergeCell ref="J42:P42"/>
    <mergeCell ref="B18:H18"/>
    <mergeCell ref="J18:P18"/>
    <mergeCell ref="B26:H26"/>
    <mergeCell ref="J26:P26"/>
    <mergeCell ref="B2:H2"/>
    <mergeCell ref="J2:P2"/>
    <mergeCell ref="B10:H10"/>
    <mergeCell ref="J10:P10"/>
  </mergeCells>
  <conditionalFormatting sqref="B4:H4">
    <cfRule type="expression" dxfId="23" priority="24">
      <formula>DAY(B4)&gt;7</formula>
    </cfRule>
  </conditionalFormatting>
  <conditionalFormatting sqref="J4:P4">
    <cfRule type="expression" dxfId="22" priority="23">
      <formula>DAY(J4)&gt;7</formula>
    </cfRule>
  </conditionalFormatting>
  <conditionalFormatting sqref="B12:H12">
    <cfRule type="expression" dxfId="21" priority="22">
      <formula>DAY(B12)&gt;7</formula>
    </cfRule>
  </conditionalFormatting>
  <conditionalFormatting sqref="J12:P12">
    <cfRule type="expression" dxfId="20" priority="21">
      <formula>DAY(J12)&gt;7</formula>
    </cfRule>
  </conditionalFormatting>
  <conditionalFormatting sqref="J28:P28">
    <cfRule type="expression" dxfId="19" priority="20">
      <formula>DAY(J28)&gt;7</formula>
    </cfRule>
  </conditionalFormatting>
  <conditionalFormatting sqref="B28:H28">
    <cfRule type="expression" dxfId="18" priority="19">
      <formula>DAY(B28)&gt;7</formula>
    </cfRule>
  </conditionalFormatting>
  <conditionalFormatting sqref="J20:P20">
    <cfRule type="expression" dxfId="17" priority="18">
      <formula>DAY(J20)&gt;7</formula>
    </cfRule>
  </conditionalFormatting>
  <conditionalFormatting sqref="B20:H20">
    <cfRule type="expression" dxfId="16" priority="17">
      <formula>DAY(B20)&gt;7</formula>
    </cfRule>
  </conditionalFormatting>
  <conditionalFormatting sqref="B36:H36">
    <cfRule type="expression" dxfId="15" priority="16">
      <formula>DAY(B36)&gt;7</formula>
    </cfRule>
  </conditionalFormatting>
  <conditionalFormatting sqref="J36:P36">
    <cfRule type="expression" dxfId="14" priority="15">
      <formula>DAY(J36)&gt;7</formula>
    </cfRule>
  </conditionalFormatting>
  <conditionalFormatting sqref="B44:H44">
    <cfRule type="expression" dxfId="13" priority="14">
      <formula>DAY(B44)&gt;7</formula>
    </cfRule>
  </conditionalFormatting>
  <conditionalFormatting sqref="J44:P44">
    <cfRule type="expression" dxfId="12" priority="13">
      <formula>DAY(J44)&gt;7</formula>
    </cfRule>
  </conditionalFormatting>
  <conditionalFormatting sqref="B8:H9">
    <cfRule type="expression" dxfId="11" priority="12">
      <formula>DAY(B8)&lt;15</formula>
    </cfRule>
  </conditionalFormatting>
  <conditionalFormatting sqref="J8:P9">
    <cfRule type="expression" dxfId="10" priority="11">
      <formula>DAY(J8)&lt;15</formula>
    </cfRule>
  </conditionalFormatting>
  <conditionalFormatting sqref="B16:H17">
    <cfRule type="expression" dxfId="9" priority="10">
      <formula>DAY(B16)&lt;15</formula>
    </cfRule>
  </conditionalFormatting>
  <conditionalFormatting sqref="J16:P17">
    <cfRule type="expression" dxfId="8" priority="9">
      <formula>DAY(J16)&lt;15</formula>
    </cfRule>
  </conditionalFormatting>
  <conditionalFormatting sqref="J32:P33">
    <cfRule type="expression" dxfId="7" priority="8">
      <formula>DAY(J32)&lt;15</formula>
    </cfRule>
  </conditionalFormatting>
  <conditionalFormatting sqref="B32:H33">
    <cfRule type="expression" dxfId="6" priority="7">
      <formula>DAY(B32)&lt;15</formula>
    </cfRule>
  </conditionalFormatting>
  <conditionalFormatting sqref="J24:P25">
    <cfRule type="expression" dxfId="5" priority="6">
      <formula>DAY(J24)&lt;15</formula>
    </cfRule>
  </conditionalFormatting>
  <conditionalFormatting sqref="B24:H25">
    <cfRule type="expression" dxfId="4" priority="5">
      <formula>DAY(B24)&lt;15</formula>
    </cfRule>
  </conditionalFormatting>
  <conditionalFormatting sqref="B40:H41">
    <cfRule type="expression" dxfId="3" priority="4">
      <formula>DAY(B40)&lt;15</formula>
    </cfRule>
  </conditionalFormatting>
  <conditionalFormatting sqref="J40:P41">
    <cfRule type="expression" dxfId="2" priority="3">
      <formula>DAY(J40)&lt;15</formula>
    </cfRule>
  </conditionalFormatting>
  <conditionalFormatting sqref="B48:H49">
    <cfRule type="expression" dxfId="1" priority="2">
      <formula>DAY(B48)&lt;15</formula>
    </cfRule>
  </conditionalFormatting>
  <conditionalFormatting sqref="J48:P49">
    <cfRule type="expression" dxfId="0" priority="1">
      <formula>DAY(J48)&lt;15</formula>
    </cfRule>
  </conditionalFormatting>
  <dataValidations count="38">
    <dataValidation allowBlank="1" showInputMessage="1" showErrorMessage="1" prompt="Crear un calendario para cualquier año con esta hoja de cálculo de cualquier año calendario (de lunes a domingo). Escriba el año en la celda a la derecha para actualizar automáticamente el calendario para cada mes" sqref="A1" xr:uid="{00000000-0002-0000-0000-000000000000}"/>
    <dataValidation allowBlank="1" showInputMessage="1" showErrorMessage="1" prompt="Escriba el año en esta celda para actualizar automáticamente el calendario para cada mes en las celdas B2 a P49" sqref="B1:P1" xr:uid="{00000000-0002-0000-0000-000001000000}"/>
    <dataValidation allowBlank="1" showInputMessage="1" showErrorMessage="1" prompt="El calendario para este mes está en esta celda. Se actualiza automáticamente en las celdas J43 a P49 y contiene fechas de los meses anterior, actual y siguiente." sqref="J42:P42" xr:uid="{00000000-0002-0000-0000-000002000000}"/>
    <dataValidation allowBlank="1" showInputMessage="1" showErrorMessage="1" prompt="El calendario para este mes está en esta celda. Se actualiza automáticamente en las celdas J3 a P9 y contiene fechas de los meses anterior, actual y siguiente." sqref="J2:P2" xr:uid="{00000000-0002-0000-0000-000003000000}"/>
    <dataValidation allowBlank="1" showInputMessage="1" showErrorMessage="1" prompt="El calendario para este mes está en esta celda. Se actualiza automáticamente en las celdas B11 a H17 y contiene fechas de los meses anterior, actual y siguiente." sqref="B10:H10" xr:uid="{00000000-0002-0000-0000-000004000000}"/>
    <dataValidation allowBlank="1" showInputMessage="1" showErrorMessage="1" prompt="El calendario para este mes está en esta celda. Se actualiza automáticamente en las celdas B3 a H9 y contiene fechas de los meses anterior, actual y siguiente." sqref="B2:H2" xr:uid="{00000000-0002-0000-0000-000005000000}"/>
    <dataValidation allowBlank="1" showInputMessage="1" showErrorMessage="1" prompt="El calendario para este mes está en esta celda. Se actualiza automáticamente en las celdas J11 a P17 y contiene fechas de los meses anterior, actual y siguiente." sqref="J10:P10" xr:uid="{00000000-0002-0000-0000-000006000000}"/>
    <dataValidation allowBlank="1" showInputMessage="1" showErrorMessage="1" prompt="El calendario para este mes está en esta celda. Se actualiza automáticamente en las celdas B19 a H25 y contiene fechas de los meses anterior, actual y siguiente." sqref="B18:H18" xr:uid="{00000000-0002-0000-0000-000007000000}"/>
    <dataValidation allowBlank="1" showInputMessage="1" showErrorMessage="1" prompt="El calendario para este mes está en esta celda. Se actualiza automáticamente en las celdas J19 a P25 y contiene fechas de los meses anterior, actual y siguiente." sqref="J18:P18" xr:uid="{00000000-0002-0000-0000-000008000000}"/>
    <dataValidation allowBlank="1" showInputMessage="1" showErrorMessage="1" prompt="El calendario para este mes está en esta celda. Se actualiza automáticamente en las celdas B27 a H33 y contiene fechas de los meses anterior, actual y siguiente." sqref="B26:H26" xr:uid="{00000000-0002-0000-0000-000009000000}"/>
    <dataValidation allowBlank="1" showInputMessage="1" showErrorMessage="1" prompt="El calendario para este mes está en esta celda. Se actualiza automáticamente en las celdas J27 a P33 y contiene fechas de los meses anterior, actual y siguiente." sqref="J26:P26" xr:uid="{00000000-0002-0000-0000-00000A000000}"/>
    <dataValidation allowBlank="1" showInputMessage="1" showErrorMessage="1" prompt="El calendario para este mes está en esta celda. Se actualiza automáticamente en las celdas B35 a H41 y contiene fechas de los meses anterior, actual y siguiente." sqref="B34:H34" xr:uid="{00000000-0002-0000-0000-00000B000000}"/>
    <dataValidation allowBlank="1" showInputMessage="1" showErrorMessage="1" prompt="El calendario para este mes está en esta celda. Se actualiza automáticamente en las celdas J35 a P41 y contiene fechas de los meses anterior, actual y siguiente." sqref="J34:P34" xr:uid="{00000000-0002-0000-0000-00000C000000}"/>
    <dataValidation allowBlank="1" showInputMessage="1" showErrorMessage="1" prompt="El calendario para este mes está en esta celda. Se actualiza automáticamente en las celdas B43 a H49 y contiene fechas de los meses anterior, actual y siguiente." sqref="B42:H42" xr:uid="{00000000-0002-0000-0000-00000D000000}"/>
    <dataValidation allowBlank="1" showInputMessage="1" showErrorMessage="1" prompt="Los días laborables para el mes de la celda superior se encuentran en las celdas B3 a H3." sqref="B3" xr:uid="{00000000-0002-0000-0000-00000E000000}"/>
    <dataValidation allowBlank="1" showInputMessage="1" showErrorMessage="1" prompt="Los días hábiles para el mes en la celda superior se encuentran en las celdas B11 a H11." sqref="B11" xr:uid="{00000000-0002-0000-0000-00000F000000}"/>
    <dataValidation allowBlank="1" showInputMessage="1" showErrorMessage="1" prompt="Los días hábiles para el mes en la celda superior se encuentran en las celdas B19 a H19." sqref="B19" xr:uid="{00000000-0002-0000-0000-000010000000}"/>
    <dataValidation allowBlank="1" showInputMessage="1" showErrorMessage="1" prompt="Los días hábiles para el mes en la celda superior se encuentran en las celdas B27 a H27." sqref="B27" xr:uid="{00000000-0002-0000-0000-000011000000}"/>
    <dataValidation allowBlank="1" showInputMessage="1" showErrorMessage="1" prompt="Los días hábiles para el mes en la celda superior se encuentran en las celdas B35 a H35." sqref="B35" xr:uid="{00000000-0002-0000-0000-000012000000}"/>
    <dataValidation allowBlank="1" showInputMessage="1" showErrorMessage="1" prompt="Los días hábiles para el mes en la celda superior se encuentran en las celdas B43 a H43." sqref="B43" xr:uid="{00000000-0002-0000-0000-000013000000}"/>
    <dataValidation allowBlank="1" showInputMessage="1" showErrorMessage="1" prompt="Los días hábiles para el mes en la celda superior se encuentran en las celdas J3 a P3." sqref="J3" xr:uid="{00000000-0002-0000-0000-000014000000}"/>
    <dataValidation allowBlank="1" showInputMessage="1" showErrorMessage="1" prompt="Los días hábiles para el mes en la celda superior se encuentran en las celdas J11 a P11." sqref="J11" xr:uid="{00000000-0002-0000-0000-000015000000}"/>
    <dataValidation allowBlank="1" showInputMessage="1" showErrorMessage="1" prompt="Los días hábiles para el mes en la celda superior se encuentran en las celdas J19 a P19." sqref="J19" xr:uid="{00000000-0002-0000-0000-000016000000}"/>
    <dataValidation allowBlank="1" showInputMessage="1" showErrorMessage="1" prompt="Los días hábiles para el mes en la celda superior se encuentran en las celdas J27 a P27." sqref="J27" xr:uid="{00000000-0002-0000-0000-000017000000}"/>
    <dataValidation allowBlank="1" showInputMessage="1" showErrorMessage="1" prompt="Los días hábiles para el mes en la celda superior se encuentran en las celdas J35 a P35." sqref="J35" xr:uid="{00000000-0002-0000-0000-000018000000}"/>
    <dataValidation allowBlank="1" showInputMessage="1" showErrorMessage="1" prompt="Los días hábiles para el mes en la celda superior se encuentran en las celdas J43 a P43." sqref="J43" xr:uid="{00000000-0002-0000-0000-000019000000}"/>
    <dataValidation allowBlank="1" showInputMessage="1" showErrorMessage="1" prompt="Los días del calendario para este mes se actualizan automáticamente en las celdas B4 a H9. Si esta celda no contiene el número 1, entonces es un día del mes anterior." sqref="B4" xr:uid="{00000000-0002-0000-0000-00001A000000}"/>
    <dataValidation allowBlank="1" showInputMessage="1" showErrorMessage="1" prompt="Los días del calendario para este mes se actualizan automáticamente en las celdas J4 a P9. Si esta celda no contiene el número 1, entonces es un día del mes anterior." sqref="J4" xr:uid="{00000000-0002-0000-0000-00001B000000}"/>
    <dataValidation allowBlank="1" showInputMessage="1" showErrorMessage="1" prompt="Los días del calendario para este mes se actualizan automáticamente en las celdas B12 a H17. Si esta celda no contiene el número 1, entonces es un día del mes anterior." sqref="B12" xr:uid="{00000000-0002-0000-0000-00001C000000}"/>
    <dataValidation allowBlank="1" showInputMessage="1" showErrorMessage="1" prompt="Los días del calendario para este mes se actualizan automáticamente en las celdas B20 a H25. Si esta celda no contiene el número 1, entonces es un día del mes anterior." sqref="B20" xr:uid="{00000000-0002-0000-0000-00001D000000}"/>
    <dataValidation allowBlank="1" showInputMessage="1" showErrorMessage="1" prompt="Los días del calendario para este mes se actualizan automáticamente en las celdas B28 a H33. Si esta celda no contiene el número 1, entonces es un día del mes anterior." sqref="B28" xr:uid="{00000000-0002-0000-0000-00001E000000}"/>
    <dataValidation allowBlank="1" showInputMessage="1" showErrorMessage="1" prompt="Los días del calendario para este mes se actualizan automáticamente en las celdas B36 a H41. Si esta celda no contiene el número 1, entonces es un día del mes anterior." sqref="B36" xr:uid="{00000000-0002-0000-0000-00001F000000}"/>
    <dataValidation allowBlank="1" showInputMessage="1" showErrorMessage="1" prompt="Los días del calendario para este mes se actualizan automáticamente en las celdas J36 a P41. Si esta celda no contiene el número 1, entonces es un día del mes anterior." sqref="J36" xr:uid="{00000000-0002-0000-0000-000020000000}"/>
    <dataValidation allowBlank="1" showInputMessage="1" showErrorMessage="1" prompt="Los días del calendario para este mes se actualizan automáticamente en las celdas J28 a P33. Si esta celda no contiene el número 1, entonces es un día del mes anterior." sqref="J28" xr:uid="{00000000-0002-0000-0000-000021000000}"/>
    <dataValidation allowBlank="1" showInputMessage="1" showErrorMessage="1" prompt="Los días del calendario para este mes se actualizan automáticamente en las celdas J20 a P25. Si esta celda no contiene el número 1, entonces es un día del mes anterior." sqref="J20" xr:uid="{00000000-0002-0000-0000-000022000000}"/>
    <dataValidation allowBlank="1" showInputMessage="1" showErrorMessage="1" prompt="Los días del calendario para este mes se actualizan automáticamente en las celdas J12 a P17. Si esta celda no contiene el número 1, entonces es un día del mes anterior." sqref="J12" xr:uid="{00000000-0002-0000-0000-000023000000}"/>
    <dataValidation allowBlank="1" showInputMessage="1" showErrorMessage="1" prompt="Los días del calendario para este mes se actualizan automáticamente en las celdas B44 a H49. Si esta celda no contiene el número 1, entonces es un día del mes anterior." sqref="B44" xr:uid="{00000000-0002-0000-0000-000024000000}"/>
    <dataValidation allowBlank="1" showInputMessage="1" showErrorMessage="1" prompt="Los días del calendario para este mes se actualizan automáticamente en las celdas J44 a P49. Si esta celda no contiene el número 1, entonces es un día del mes anterior." sqref="J44" xr:uid="{00000000-0002-0000-0000-000025000000}"/>
  </dataValidations>
  <printOptions horizontalCentered="1"/>
  <pageMargins left="0.4" right="0.4" top="0.4" bottom="0.6" header="0.3" footer="0.3"/>
  <pageSetup paperSize="9" orientation="portrait" r:id="rId1"/>
  <headerFooter differentFirst="1">
    <oddFooter>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13</vt:i4>
      </vt:variant>
    </vt:vector>
  </HeadingPairs>
  <TitlesOfParts>
    <vt:vector size="14" baseType="lpstr">
      <vt:lpstr>CALENDARIO</vt:lpstr>
      <vt:lpstr>CalYear</vt:lpstr>
      <vt:lpstr>ColumnTitleRegion1..H9.1</vt:lpstr>
      <vt:lpstr>ColumnTitleRegion10..P41.1</vt:lpstr>
      <vt:lpstr>ColumnTitleRegion11..H49.1</vt:lpstr>
      <vt:lpstr>ColumnTitleRegion12..P49.1</vt:lpstr>
      <vt:lpstr>ColumnTitleRegion2..P9.1</vt:lpstr>
      <vt:lpstr>ColumnTitleRegion3..H17.1</vt:lpstr>
      <vt:lpstr>ColumnTitleRegion4..P17.1</vt:lpstr>
      <vt:lpstr>ColumnTitleRegion5..H25.1</vt:lpstr>
      <vt:lpstr>ColumnTitleRegion6..P25.1</vt:lpstr>
      <vt:lpstr>ColumnTitleRegion7..H33.1</vt:lpstr>
      <vt:lpstr>ColumnTitleRegion8..P33.1</vt:lpstr>
      <vt:lpstr>ColumnTitleRegion9..H41.1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01</dc:creator>
  <cp:lastModifiedBy>01</cp:lastModifiedBy>
  <dcterms:created xsi:type="dcterms:W3CDTF">2017-07-13T09:26:51Z</dcterms:created>
  <dcterms:modified xsi:type="dcterms:W3CDTF">2020-04-23T21:21:08Z</dcterms:modified>
</cp:coreProperties>
</file>