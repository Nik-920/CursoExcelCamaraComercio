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codeName="ThisWorkbook"/>
  <mc:AlternateContent xmlns:mc="http://schemas.openxmlformats.org/markup-compatibility/2006">
    <mc:Choice Requires="x15">
      <x15ac:absPath xmlns:x15ac="http://schemas.microsoft.com/office/spreadsheetml/2010/11/ac" url="C:\Users\01\Desktop\AILEEN PLANTILLAS\EXCEL\"/>
    </mc:Choice>
  </mc:AlternateContent>
  <xr:revisionPtr revIDLastSave="0" documentId="8_{1CF07E63-236A-4746-94CD-08EB5F5238A1}" xr6:coauthVersionLast="45" xr6:coauthVersionMax="45" xr10:uidLastSave="{00000000-0000-0000-0000-000000000000}"/>
  <bookViews>
    <workbookView xWindow="-120" yWindow="-120" windowWidth="20730" windowHeight="11160" xr2:uid="{00000000-000D-0000-FFFF-FFFF00000000}"/>
  </bookViews>
  <sheets>
    <sheet name="Tareas" sheetId="6" r:id="rId1"/>
    <sheet name="Vista mensual" sheetId="3" r:id="rId2"/>
    <sheet name="Vista semanal" sheetId="5" r:id="rId3"/>
  </sheets>
  <definedNames>
    <definedName name="MoMonth">'Vista mensual'!$B$3</definedName>
    <definedName name="MoMonthNum">MONTH(DATEVALUE("1"&amp;MoMonth))</definedName>
    <definedName name="MoWeek2">'Vista mensual'!$B$8:$H$9</definedName>
    <definedName name="MoWeek3">'Vista mensual'!$B$10:$H$11</definedName>
    <definedName name="MoWeek4">'Vista mensual'!$B$12:$H$13</definedName>
    <definedName name="MoWeek5">'Vista mensual'!$B$14:$H$15</definedName>
    <definedName name="MoYear">'Vista mensual'!$C$3</definedName>
    <definedName name="TítuloDeColumna1">Tareas[[#Headers],[DESCRIPCIÓN]]</definedName>
    <definedName name="_xlnm.Print_Titles" localSheetId="0">Tareas!$3:$3</definedName>
    <definedName name="ÚltimoDía_Semana">MAX('Vista semanal'!$B$5:$H$10)</definedName>
    <definedName name="ÚltimoDíaDelMes_Semana">DAY(EOMONTH(DATE('Vista semanal'!$C$3,WkMonthNum,1),0))</definedName>
    <definedName name="WkMonth" localSheetId="2">'Vista semanal'!$B$3</definedName>
    <definedName name="WkMonthNum">MONTH(DATEVALUE("1"&amp;'Vista semanal'!WkMonth))</definedName>
    <definedName name="WkMonthView">'Vista semanal'!$B$5:$H$10</definedName>
    <definedName name="WkWeek">RIGHT('Vista semanal'!$D$3,1)</definedName>
    <definedName name="WkYear" localSheetId="2">'Vista semanal'!$C$3</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6" i="6" l="1"/>
  <c r="C15" i="6" l="1"/>
  <c r="C14" i="6"/>
  <c r="C13" i="6"/>
  <c r="C12" i="6"/>
  <c r="C11" i="6"/>
  <c r="C10" i="6"/>
  <c r="C9" i="6"/>
  <c r="C8" i="6"/>
  <c r="C7" i="6"/>
  <c r="C5" i="6"/>
  <c r="C4" i="6"/>
  <c r="C3" i="5"/>
  <c r="B5" i="5" l="1"/>
  <c r="C5" i="5" s="1"/>
  <c r="D5" i="5" s="1"/>
  <c r="E5" i="5" s="1"/>
  <c r="F5" i="5" s="1"/>
  <c r="G5" i="5" s="1"/>
  <c r="H5" i="5" s="1"/>
  <c r="B6" i="5" s="1"/>
  <c r="C6" i="5" s="1"/>
  <c r="D6" i="5" s="1"/>
  <c r="E6" i="5" s="1"/>
  <c r="F6" i="5" s="1"/>
  <c r="G6" i="5" s="1"/>
  <c r="H6" i="5" s="1"/>
  <c r="B7" i="5" s="1"/>
  <c r="C7" i="5" s="1"/>
  <c r="D7" i="5" s="1"/>
  <c r="E7" i="5" s="1"/>
  <c r="F7" i="5" s="1"/>
  <c r="G7" i="5" s="1"/>
  <c r="H7" i="5" s="1"/>
  <c r="B8" i="5" s="1"/>
  <c r="C8" i="5" s="1"/>
  <c r="D8" i="5" s="1"/>
  <c r="E8" i="5" s="1"/>
  <c r="F8" i="5" s="1"/>
  <c r="G8" i="5" s="1"/>
  <c r="H8" i="5" s="1"/>
  <c r="B9" i="5" s="1"/>
  <c r="C9" i="5" s="1"/>
  <c r="D9" i="5" s="1"/>
  <c r="E9" i="5" s="1"/>
  <c r="F9" i="5" s="1"/>
  <c r="G9" i="5" s="1"/>
  <c r="H9" i="5" s="1"/>
  <c r="B10" i="5" s="1"/>
  <c r="C10" i="5" s="1"/>
  <c r="D10" i="5" s="1"/>
  <c r="E10" i="5" s="1"/>
  <c r="F10" i="5" s="1"/>
  <c r="G10" i="5" s="1"/>
  <c r="H10" i="5" s="1"/>
  <c r="B6" i="3" l="1"/>
  <c r="S7" i="3"/>
  <c r="C6" i="3" l="1"/>
  <c r="B7" i="3"/>
  <c r="D6" i="3" l="1"/>
  <c r="C7" i="3"/>
  <c r="E6" i="3" l="1"/>
  <c r="D7" i="3"/>
  <c r="F6" i="3" l="1"/>
  <c r="E7" i="3"/>
  <c r="G6" i="3" l="1"/>
  <c r="F7" i="3"/>
  <c r="H6" i="3" l="1"/>
  <c r="G7" i="3"/>
  <c r="H7" i="3" l="1"/>
  <c r="B8" i="3"/>
  <c r="B9" i="3" l="1"/>
  <c r="C8" i="3"/>
  <c r="C9" i="3" l="1"/>
  <c r="D8" i="3"/>
  <c r="D9" i="3" l="1"/>
  <c r="E8" i="3"/>
  <c r="E9" i="3" l="1"/>
  <c r="F8" i="3"/>
  <c r="F9" i="3" l="1"/>
  <c r="G8" i="3"/>
  <c r="G9" i="3" l="1"/>
  <c r="H8" i="3"/>
  <c r="H9" i="3" l="1"/>
  <c r="B10" i="3"/>
  <c r="B11" i="3" l="1"/>
  <c r="C10" i="3"/>
  <c r="C11" i="3" l="1"/>
  <c r="D10" i="3"/>
  <c r="D11" i="3" l="1"/>
  <c r="E10" i="3"/>
  <c r="E11" i="3" l="1"/>
  <c r="F10" i="3"/>
  <c r="F11" i="3" l="1"/>
  <c r="G10" i="3"/>
  <c r="G11" i="3" l="1"/>
  <c r="H10" i="3"/>
  <c r="H11" i="3" l="1"/>
  <c r="B12" i="3"/>
  <c r="B13" i="3" l="1"/>
  <c r="C12" i="3"/>
  <c r="C13" i="3" l="1"/>
  <c r="D12" i="3"/>
  <c r="D13" i="3" l="1"/>
  <c r="E12" i="3"/>
  <c r="E13" i="3" l="1"/>
  <c r="F12" i="3"/>
  <c r="F13" i="3" l="1"/>
  <c r="G12" i="3"/>
  <c r="B14" i="5"/>
  <c r="B15" i="5" s="1"/>
  <c r="G13" i="3" l="1"/>
  <c r="H12" i="3"/>
  <c r="B12" i="5"/>
  <c r="B13" i="5" s="1"/>
  <c r="C14" i="5"/>
  <c r="C15" i="5" s="1"/>
  <c r="H13" i="3" l="1"/>
  <c r="B14" i="3"/>
  <c r="C12" i="5"/>
  <c r="C13" i="5" s="1"/>
  <c r="D14" i="5"/>
  <c r="D15" i="5" s="1"/>
  <c r="B15" i="3" l="1"/>
  <c r="C14" i="3"/>
  <c r="D12" i="5"/>
  <c r="D13" i="5" s="1"/>
  <c r="E14" i="5"/>
  <c r="E15" i="5" s="1"/>
  <c r="C15" i="3" l="1"/>
  <c r="D14" i="3"/>
  <c r="E12" i="5"/>
  <c r="E13" i="5" s="1"/>
  <c r="F14" i="5"/>
  <c r="F15" i="5" s="1"/>
  <c r="D15" i="3" l="1"/>
  <c r="E14" i="3"/>
  <c r="F12" i="5"/>
  <c r="F13" i="5" s="1"/>
  <c r="F16" i="5" a="1"/>
  <c r="F16" i="5" s="1"/>
  <c r="F17" i="5" s="1"/>
  <c r="G14" i="5"/>
  <c r="G15" i="5" s="1"/>
  <c r="E15" i="3" l="1"/>
  <c r="F14" i="3"/>
  <c r="G16" i="5" a="1"/>
  <c r="G16" i="5" s="1"/>
  <c r="G17" i="5" s="1"/>
  <c r="G12" i="5"/>
  <c r="G13" i="5" s="1"/>
  <c r="H14" i="5"/>
  <c r="H15" i="5" s="1"/>
  <c r="F15" i="3" l="1"/>
  <c r="G14" i="3"/>
  <c r="H16" i="5" a="1"/>
  <c r="H16" i="5" s="1"/>
  <c r="H17" i="5" s="1"/>
  <c r="H12" i="5"/>
  <c r="H13" i="5" s="1"/>
  <c r="B16" i="5" a="1"/>
  <c r="B16" i="5" s="1"/>
  <c r="B17" i="5" s="1"/>
  <c r="G15" i="3" l="1"/>
  <c r="H14" i="3"/>
  <c r="C16" i="5" a="1"/>
  <c r="C16" i="5" s="1"/>
  <c r="C17" i="5" s="1"/>
  <c r="H15" i="3" l="1"/>
  <c r="B16" i="3"/>
  <c r="D16" i="5" a="1"/>
  <c r="D16" i="5" s="1"/>
  <c r="D17" i="5" s="1"/>
  <c r="B17" i="3" l="1"/>
  <c r="C16" i="3"/>
  <c r="E16" i="5" a="1"/>
  <c r="E16" i="5" s="1"/>
  <c r="E17" i="5" s="1"/>
  <c r="C17" i="3" l="1"/>
  <c r="D16" i="3"/>
  <c r="D17" i="3" l="1"/>
  <c r="E16" i="3"/>
  <c r="E17" i="3" l="1"/>
  <c r="F16" i="3"/>
  <c r="F17" i="3" l="1"/>
  <c r="G16" i="3"/>
  <c r="G17" i="3" l="1"/>
  <c r="H16" i="3"/>
  <c r="H17" i="3" s="1"/>
</calcChain>
</file>

<file path=xl/sharedStrings.xml><?xml version="1.0" encoding="utf-8"?>
<sst xmlns="http://schemas.openxmlformats.org/spreadsheetml/2006/main" count="45" uniqueCount="32">
  <si>
    <t>VISTA MENSUAL</t>
  </si>
  <si>
    <t xml:space="preserve"> TAREAS</t>
  </si>
  <si>
    <t>DESCRIPCIÓN</t>
  </si>
  <si>
    <t>Tarea 1</t>
  </si>
  <si>
    <t>Tarea 2</t>
  </si>
  <si>
    <t>Tarea 3</t>
  </si>
  <si>
    <t>Tarea 4</t>
  </si>
  <si>
    <t>Tarea 5</t>
  </si>
  <si>
    <t>Tarea 6</t>
  </si>
  <si>
    <t>Tarea 7</t>
  </si>
  <si>
    <t>Tarea 8</t>
  </si>
  <si>
    <t>Tarea 9</t>
  </si>
  <si>
    <t>Tarea 10</t>
  </si>
  <si>
    <t>Tarea 11</t>
  </si>
  <si>
    <t>Tarea 12</t>
  </si>
  <si>
    <t>VISTA SEMANAL</t>
  </si>
  <si>
    <t>FECHA DE VENCIMIENTO</t>
  </si>
  <si>
    <t>TAREAS</t>
  </si>
  <si>
    <t>Seleccione el mes:</t>
  </si>
  <si>
    <t>Septiembre</t>
  </si>
  <si>
    <t xml:space="preserve"> VISTA MENSUAL</t>
  </si>
  <si>
    <t>DOMINGO</t>
  </si>
  <si>
    <t>Especifique el año:</t>
  </si>
  <si>
    <t>LUNES</t>
  </si>
  <si>
    <t>MARTES</t>
  </si>
  <si>
    <t>MIÉRCOLES</t>
  </si>
  <si>
    <t>JUEVES</t>
  </si>
  <si>
    <t>VIERNES</t>
  </si>
  <si>
    <t>SÁBADO</t>
  </si>
  <si>
    <t xml:space="preserve"> VISTA SEMANAL</t>
  </si>
  <si>
    <t>Seleccione el número de semana:</t>
  </si>
  <si>
    <t>Semana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</si>
</sst>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tint="0.14993743705557422"/>
      <name val="Arial"/>
      <family val="2"/>
      <scheme val="minor"/>
    </font>
    <font>
      <b/>
      <sz val="11"/>
      <color theme="3"/>
      <name val="Arial"/>
      <family val="2"/>
      <scheme val="minor"/>
    </font>
    <font>
      <sz val="11"/>
      <color theme="0"/>
      <name val="Arial"/>
      <family val="2"/>
      <scheme val="minor"/>
    </font>
    <font>
      <b/>
      <sz val="20"/>
      <color theme="0"/>
      <name val="Arial"/>
      <family val="2"/>
      <scheme val="major"/>
    </font>
    <font>
      <sz val="14"/>
      <color theme="0"/>
      <name val="Arial"/>
      <family val="2"/>
      <scheme val="minor"/>
    </font>
    <font>
      <sz val="14"/>
      <color theme="0"/>
      <name val="Arial"/>
      <family val="2"/>
      <scheme val="major"/>
    </font>
    <font>
      <sz val="11"/>
      <color theme="1" tint="0.14993743705557422"/>
      <name val="Arial"/>
      <family val="2"/>
      <scheme val="minor"/>
    </font>
    <font>
      <b/>
      <sz val="20"/>
      <color theme="0"/>
      <name val="Arial"/>
      <family val="2"/>
      <scheme val="minor"/>
    </font>
    <font>
      <sz val="11"/>
      <color theme="1" tint="0.14996795556505021"/>
      <name val="Arial"/>
      <family val="1"/>
      <scheme val="minor"/>
    </font>
    <font>
      <sz val="22"/>
      <color theme="4" tint="-0.24994659260841701"/>
      <name val="Arial"/>
      <family val="2"/>
      <scheme val="major"/>
    </font>
    <font>
      <sz val="22"/>
      <color theme="1" tint="0.499984740745262"/>
      <name val="Arial"/>
      <family val="2"/>
      <scheme val="major"/>
    </font>
    <font>
      <sz val="11"/>
      <color theme="1" tint="0.34998626667073579"/>
      <name val="Arial"/>
      <family val="1"/>
      <scheme val="minor"/>
    </font>
    <font>
      <b/>
      <sz val="20"/>
      <color theme="1"/>
      <name val="Arial"/>
      <family val="2"/>
      <scheme val="major"/>
    </font>
  </fonts>
  <fills count="8">
    <fill>
      <patternFill patternType="none"/>
    </fill>
    <fill>
      <patternFill patternType="gray125"/>
    </fill>
    <fill>
      <patternFill patternType="solid">
        <fgColor theme="0" tint="-4.9989318521683403E-2"/>
        <bgColor indexed="64"/>
      </patternFill>
    </fill>
    <fill>
      <patternFill patternType="solid">
        <fgColor theme="5"/>
        <bgColor indexed="64"/>
      </patternFill>
    </fill>
    <fill>
      <patternFill patternType="solid">
        <fgColor theme="5"/>
        <bgColor theme="4"/>
      </patternFill>
    </fill>
    <fill>
      <patternFill patternType="solid">
        <fgColor theme="9"/>
        <bgColor indexed="64"/>
      </patternFill>
    </fill>
    <fill>
      <patternFill patternType="solid">
        <fgColor theme="8" tint="-0.24994659260841701"/>
        <bgColor indexed="64"/>
      </patternFill>
    </fill>
    <fill>
      <patternFill patternType="solid">
        <fgColor theme="0" tint="-0.14996795556505021"/>
        <bgColor indexed="64"/>
      </patternFill>
    </fill>
  </fills>
  <borders count="10">
    <border>
      <left/>
      <right/>
      <top/>
      <bottom/>
      <diagonal/>
    </border>
    <border>
      <left style="thick">
        <color theme="0"/>
      </left>
      <right style="thick">
        <color theme="0"/>
      </right>
      <top style="thick">
        <color theme="0"/>
      </top>
      <bottom style="thick">
        <color theme="0"/>
      </bottom>
      <diagonal/>
    </border>
    <border>
      <left/>
      <right style="thin">
        <color theme="0"/>
      </right>
      <top style="thick">
        <color theme="0"/>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right style="thick">
        <color theme="0"/>
      </right>
      <top/>
      <bottom style="thick">
        <color theme="0"/>
      </bottom>
      <diagonal/>
    </border>
    <border>
      <left style="thick">
        <color theme="0"/>
      </left>
      <right/>
      <top/>
      <bottom style="thick">
        <color theme="0"/>
      </bottom>
      <diagonal/>
    </border>
    <border>
      <left/>
      <right/>
      <top style="thick">
        <color theme="0"/>
      </top>
      <bottom style="thick">
        <color theme="0"/>
      </bottom>
      <diagonal/>
    </border>
    <border>
      <left/>
      <right/>
      <top style="thick">
        <color theme="0"/>
      </top>
      <bottom/>
      <diagonal/>
    </border>
  </borders>
  <cellStyleXfs count="19">
    <xf numFmtId="0" fontId="0" fillId="0" borderId="0"/>
    <xf numFmtId="0" fontId="1" fillId="7" borderId="0" applyNumberFormat="0" applyBorder="0" applyAlignment="0" applyProtection="0"/>
    <xf numFmtId="0" fontId="3" fillId="3" borderId="8" applyNumberFormat="0" applyAlignment="0" applyProtection="0"/>
    <xf numFmtId="0" fontId="3" fillId="5" borderId="8" applyNumberFormat="0" applyAlignment="0" applyProtection="0"/>
    <xf numFmtId="0" fontId="7" fillId="6" borderId="8" applyNumberFormat="0" applyAlignment="0" applyProtection="0"/>
    <xf numFmtId="0" fontId="12" fillId="0" borderId="0" applyNumberFormat="0" applyFill="0" applyBorder="0" applyAlignment="0" applyProtection="0"/>
    <xf numFmtId="0" fontId="5" fillId="4" borderId="6" applyNumberFormat="0" applyAlignment="0">
      <alignment horizontal="left" vertical="center"/>
    </xf>
    <xf numFmtId="0" fontId="4" fillId="5" borderId="6" applyNumberFormat="0" applyAlignment="0">
      <alignment horizontal="center" vertical="center"/>
    </xf>
    <xf numFmtId="0" fontId="4" fillId="6" borderId="7" applyNumberFormat="0" applyAlignment="0">
      <alignment horizontal="center" vertical="center"/>
    </xf>
    <xf numFmtId="14" fontId="6" fillId="0" borderId="0">
      <alignment horizontal="right" vertical="center" indent="2"/>
    </xf>
    <xf numFmtId="0" fontId="6" fillId="0" borderId="0">
      <alignment horizontal="left" vertical="center" wrapText="1" indent="1"/>
    </xf>
    <xf numFmtId="0" fontId="9" fillId="0" borderId="3">
      <alignment vertical="center"/>
    </xf>
    <xf numFmtId="0" fontId="8" fillId="0" borderId="4">
      <alignment horizontal="center" vertical="center"/>
    </xf>
    <xf numFmtId="0" fontId="8" fillId="2" borderId="4">
      <alignment horizontal="center" vertical="center"/>
    </xf>
    <xf numFmtId="0" fontId="9" fillId="2" borderId="3">
      <alignment vertical="center"/>
    </xf>
    <xf numFmtId="0" fontId="5" fillId="5" borderId="2">
      <alignment horizontal="left" vertical="center" indent="1"/>
    </xf>
    <xf numFmtId="0" fontId="5" fillId="6" borderId="2">
      <alignment horizontal="left" vertical="center" indent="1"/>
    </xf>
    <xf numFmtId="0" fontId="10" fillId="2" borderId="4">
      <alignment vertical="center"/>
    </xf>
    <xf numFmtId="0" fontId="11" fillId="2" borderId="5">
      <alignment horizontal="center" vertical="center"/>
    </xf>
  </cellStyleXfs>
  <cellXfs count="23">
    <xf numFmtId="0" fontId="0" fillId="0" borderId="0" xfId="0"/>
    <xf numFmtId="0" fontId="0" fillId="0" borderId="0" xfId="0" applyFill="1"/>
    <xf numFmtId="0" fontId="2" fillId="0" borderId="0" xfId="0" applyFont="1" applyProtection="1"/>
    <xf numFmtId="14" fontId="0" fillId="0" borderId="0" xfId="0" applyNumberFormat="1" applyAlignment="1">
      <alignment horizontal="right" vertical="center" indent="2"/>
    </xf>
    <xf numFmtId="0" fontId="4" fillId="5" borderId="6" xfId="7" applyAlignment="1">
      <alignment horizontal="center" vertical="center"/>
    </xf>
    <xf numFmtId="0" fontId="4" fillId="6" borderId="7" xfId="8" applyAlignment="1">
      <alignment horizontal="center" vertical="center"/>
    </xf>
    <xf numFmtId="0" fontId="5" fillId="4" borderId="6" xfId="6" applyAlignment="1">
      <alignment horizontal="center" vertical="center"/>
    </xf>
    <xf numFmtId="0" fontId="9" fillId="0" borderId="3" xfId="11">
      <alignment vertical="center"/>
    </xf>
    <xf numFmtId="0" fontId="8" fillId="0" borderId="4" xfId="12">
      <alignment horizontal="center" vertical="center"/>
    </xf>
    <xf numFmtId="0" fontId="8" fillId="2" borderId="4" xfId="13">
      <alignment horizontal="center" vertical="center"/>
    </xf>
    <xf numFmtId="0" fontId="9" fillId="2" borderId="3" xfId="14">
      <alignment vertical="center"/>
    </xf>
    <xf numFmtId="0" fontId="1" fillId="7" borderId="1" xfId="1" applyBorder="1" applyAlignment="1">
      <alignment horizontal="left" vertical="center" indent="1"/>
    </xf>
    <xf numFmtId="0" fontId="5" fillId="5" borderId="2" xfId="15">
      <alignment horizontal="left" vertical="center" indent="1"/>
    </xf>
    <xf numFmtId="0" fontId="5" fillId="6" borderId="2" xfId="16">
      <alignment horizontal="left" vertical="center" indent="1"/>
    </xf>
    <xf numFmtId="0" fontId="10" fillId="2" borderId="4" xfId="17">
      <alignment vertical="center"/>
    </xf>
    <xf numFmtId="0" fontId="11" fillId="2" borderId="5" xfId="18">
      <alignment horizontal="center" vertical="center"/>
    </xf>
    <xf numFmtId="0" fontId="3" fillId="3" borderId="9" xfId="2" applyBorder="1" applyAlignment="1">
      <alignment horizontal="left" vertical="center"/>
    </xf>
    <xf numFmtId="14" fontId="3" fillId="3" borderId="9" xfId="2" applyNumberFormat="1" applyBorder="1" applyAlignment="1">
      <alignment vertical="center"/>
    </xf>
    <xf numFmtId="14" fontId="0" fillId="0" borderId="0" xfId="0" applyNumberFormat="1"/>
    <xf numFmtId="2" fontId="0" fillId="0" borderId="0" xfId="0" applyNumberFormat="1"/>
    <xf numFmtId="0" fontId="0" fillId="0" borderId="0" xfId="0" applyAlignment="1">
      <alignment horizontal="left" vertical="center" indent="1"/>
    </xf>
    <xf numFmtId="0" fontId="3" fillId="5" borderId="8" xfId="3" applyAlignment="1">
      <alignment horizontal="left" vertical="center"/>
    </xf>
    <xf numFmtId="0" fontId="7" fillId="6" borderId="8" xfId="4" applyAlignment="1">
      <alignment horizontal="left" vertical="center"/>
    </xf>
  </cellXfs>
  <cellStyles count="19">
    <cellStyle name="Color de la tarea" xfId="6" xr:uid="{00000000-0005-0000-0000-000000000000}"/>
    <cellStyle name="Descripción de la tarea" xfId="10" xr:uid="{00000000-0005-0000-0000-000001000000}"/>
    <cellStyle name="Día" xfId="11" xr:uid="{00000000-0005-0000-0000-000002000000}"/>
    <cellStyle name="Día de la semana de la vista mensual" xfId="15" xr:uid="{00000000-0005-0000-0000-000003000000}"/>
    <cellStyle name="Día de la semana de la vista semanal" xfId="16" xr:uid="{00000000-0005-0000-0000-000004000000}"/>
    <cellStyle name="Día sombreado" xfId="14" xr:uid="{00000000-0005-0000-0000-000005000000}"/>
    <cellStyle name="Día sombreado de la vista semanal" xfId="17" xr:uid="{00000000-0005-0000-0000-000006000000}"/>
    <cellStyle name="Encabezado 1" xfId="2" builtinId="16" customBuiltin="1"/>
    <cellStyle name="Encabezado 4" xfId="1" builtinId="19" customBuiltin="1"/>
    <cellStyle name="Fecha" xfId="9" xr:uid="{00000000-0005-0000-0000-000009000000}"/>
    <cellStyle name="Normal" xfId="0" builtinId="0" customBuiltin="1"/>
    <cellStyle name="Nota de día sombreada" xfId="13" xr:uid="{00000000-0005-0000-0000-00000B000000}"/>
    <cellStyle name="Nota de día sombreada de la vista semanal" xfId="18" xr:uid="{00000000-0005-0000-0000-00000C000000}"/>
    <cellStyle name="Nota diaria" xfId="12" xr:uid="{00000000-0005-0000-0000-00000D000000}"/>
    <cellStyle name="Título" xfId="5" builtinId="15" customBuiltin="1"/>
    <cellStyle name="Título 2" xfId="3" builtinId="17" customBuiltin="1"/>
    <cellStyle name="Título 3" xfId="4" builtinId="18" customBuiltin="1"/>
    <cellStyle name="Vista mensual" xfId="7" xr:uid="{00000000-0005-0000-0000-000011000000}"/>
    <cellStyle name="Vista semanal" xfId="8" xr:uid="{00000000-0005-0000-0000-000012000000}"/>
  </cellStyles>
  <dxfs count="7">
    <dxf>
      <numFmt numFmtId="19" formatCode="dd/mm/yyyy"/>
      <alignment horizontal="right" vertical="center" textRotation="0" wrapText="0" indent="2" justifyLastLine="0" shrinkToFit="0" readingOrder="0"/>
    </dxf>
    <dxf>
      <alignment horizontal="left" vertical="center" textRotation="0" wrapText="0" indent="1" justifyLastLine="0" shrinkToFit="0" readingOrder="0"/>
    </dxf>
    <dxf>
      <border outline="0">
        <top style="thick">
          <color theme="0"/>
        </top>
      </border>
    </dxf>
    <dxf>
      <alignment vertical="center" textRotation="0" wrapText="0" indent="0" justifyLastLine="0" shrinkToFit="0" readingOrder="0"/>
    </dxf>
    <dxf>
      <font>
        <b val="0"/>
        <i val="0"/>
        <color theme="1" tint="0.14996795556505021"/>
      </font>
      <fill>
        <patternFill patternType="none">
          <fgColor auto="1"/>
          <bgColor auto="1"/>
        </patternFill>
      </fill>
    </dxf>
    <dxf>
      <font>
        <b val="0"/>
        <i val="0"/>
        <color theme="0"/>
      </font>
      <fill>
        <patternFill patternType="solid">
          <fgColor theme="4"/>
          <bgColor theme="5"/>
        </patternFill>
      </fill>
      <border>
        <left/>
        <right/>
        <top style="thick">
          <color theme="0"/>
        </top>
        <bottom/>
        <vertical style="thick">
          <color theme="0"/>
        </vertical>
        <horizontal/>
      </border>
    </dxf>
    <dxf>
      <font>
        <b val="0"/>
        <i val="0"/>
        <color theme="1" tint="0.14996795556505021"/>
      </font>
      <fill>
        <patternFill>
          <bgColor theme="0" tint="-4.9989318521683403E-2"/>
        </patternFill>
      </fill>
      <border diagonalUp="0" diagonalDown="0">
        <left/>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Planificador para estudiantes" defaultPivotStyle="PivotStyleLight16">
    <tableStyle name="Planificador para estudiantes" pivot="0" count="3" xr9:uid="{00000000-0011-0000-FFFF-FFFF00000000}">
      <tableStyleElement type="wholeTable" dxfId="6"/>
      <tableStyleElement type="headerRow" dxfId="5"/>
      <tableStyleElement type="first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1495425</xdr:colOff>
      <xdr:row>1</xdr:row>
      <xdr:rowOff>57150</xdr:rowOff>
    </xdr:from>
    <xdr:ext cx="266700" cy="266700"/>
    <xdr:pic>
      <xdr:nvPicPr>
        <xdr:cNvPr id="3" name="Icono de tarea" descr="Lápiz">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953125" y="6286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1314450</xdr:colOff>
      <xdr:row>3</xdr:row>
      <xdr:rowOff>66675</xdr:rowOff>
    </xdr:from>
    <xdr:to>
      <xdr:col>7</xdr:col>
      <xdr:colOff>1581150</xdr:colOff>
      <xdr:row>3</xdr:row>
      <xdr:rowOff>333375</xdr:rowOff>
    </xdr:to>
    <xdr:pic>
      <xdr:nvPicPr>
        <xdr:cNvPr id="25" name="Icono de vista mensual" descr="Calendario">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315825" y="133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1314450</xdr:colOff>
      <xdr:row>3</xdr:row>
      <xdr:rowOff>57150</xdr:rowOff>
    </xdr:from>
    <xdr:to>
      <xdr:col>7</xdr:col>
      <xdr:colOff>1581150</xdr:colOff>
      <xdr:row>3</xdr:row>
      <xdr:rowOff>323850</xdr:rowOff>
    </xdr:to>
    <xdr:pic>
      <xdr:nvPicPr>
        <xdr:cNvPr id="25" name="Icono de vista semanal" descr="Lupa">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315825" y="132397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reas" displayName="Tareas" ref="B3:C15" totalsRowShown="0" dataDxfId="3" tableBorderDxfId="2">
  <autoFilter ref="B3:C15" xr:uid="{00000000-0009-0000-0100-000001000000}"/>
  <tableColumns count="2">
    <tableColumn id="1" xr3:uid="{00000000-0010-0000-0000-000001000000}" name="DESCRIPCIÓN" dataDxfId="1"/>
    <tableColumn id="2" xr3:uid="{00000000-0010-0000-0000-000002000000}" name="FECHA DE VENCIMIENTO" dataDxfId="0"/>
  </tableColumns>
  <tableStyleInfo name="Planificador para estudiantes"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Urban">
  <a:themeElements>
    <a:clrScheme name="Student Planner">
      <a:dk1>
        <a:srgbClr val="000000"/>
      </a:dk1>
      <a:lt1>
        <a:srgbClr val="FFFFFF"/>
      </a:lt1>
      <a:dk2>
        <a:srgbClr val="000000"/>
      </a:dk2>
      <a:lt2>
        <a:srgbClr val="FFFFFF"/>
      </a:lt2>
      <a:accent1>
        <a:srgbClr val="1EBBB6"/>
      </a:accent1>
      <a:accent2>
        <a:srgbClr val="73549A"/>
      </a:accent2>
      <a:accent3>
        <a:srgbClr val="B50B1B"/>
      </a:accent3>
      <a:accent4>
        <a:srgbClr val="E8950E"/>
      </a:accent4>
      <a:accent5>
        <a:srgbClr val="68B82B"/>
      </a:accent5>
      <a:accent6>
        <a:srgbClr val="1D86CD"/>
      </a:accent6>
      <a:hlink>
        <a:srgbClr val="1D86CD"/>
      </a:hlink>
      <a:folHlink>
        <a:srgbClr val="73549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Urban">
      <a:fillStyleLst>
        <a:solidFill>
          <a:schemeClr val="phClr"/>
        </a:solidFill>
        <a:gradFill rotWithShape="1">
          <a:gsLst>
            <a:gs pos="0">
              <a:schemeClr val="phClr">
                <a:tint val="1000"/>
                <a:satMod val="255000"/>
              </a:schemeClr>
            </a:gs>
            <a:gs pos="55000">
              <a:schemeClr val="phClr">
                <a:tint val="12000"/>
                <a:satMod val="255000"/>
              </a:schemeClr>
            </a:gs>
            <a:gs pos="100000">
              <a:schemeClr val="phClr">
                <a:tint val="45000"/>
                <a:satMod val="250000"/>
              </a:schemeClr>
            </a:gs>
          </a:gsLst>
          <a:path path="circle">
            <a:fillToRect l="-40000" t="-90000" r="140000" b="190000"/>
          </a:path>
        </a:gradFill>
        <a:gradFill rotWithShape="1">
          <a:gsLst>
            <a:gs pos="0">
              <a:schemeClr val="phClr">
                <a:tint val="43000"/>
                <a:satMod val="165000"/>
              </a:schemeClr>
            </a:gs>
            <a:gs pos="55000">
              <a:schemeClr val="phClr">
                <a:tint val="83000"/>
                <a:satMod val="155000"/>
              </a:schemeClr>
            </a:gs>
            <a:gs pos="100000">
              <a:schemeClr val="phClr">
                <a:shade val="85000"/>
              </a:schemeClr>
            </a:gs>
          </a:gsLst>
          <a:path path="circle">
            <a:fillToRect l="-40000" t="-90000" r="140000" b="190000"/>
          </a:path>
        </a:gradFill>
      </a:fillStyleLst>
      <a:lnStyleLst>
        <a:ln w="9525" cap="flat" cmpd="sng" algn="ctr">
          <a:solidFill>
            <a:schemeClr val="phClr"/>
          </a:solidFill>
          <a:prstDash val="solid"/>
        </a:ln>
        <a:ln w="19050" cap="flat" cmpd="sng" algn="ctr">
          <a:solidFill>
            <a:schemeClr val="phClr"/>
          </a:solidFill>
          <a:prstDash val="solid"/>
        </a:ln>
        <a:ln w="31750" cap="flat" cmpd="sng" algn="ctr">
          <a:solidFill>
            <a:schemeClr val="phClr"/>
          </a:solidFill>
          <a:prstDash val="solid"/>
        </a:ln>
      </a:lnStyleLst>
      <a:effectStyleLst>
        <a:effectStyle>
          <a:effectLst>
            <a:outerShdw blurRad="51500" dist="25400" dir="5400000" rotWithShape="0">
              <a:srgbClr val="000000">
                <a:alpha val="40000"/>
              </a:srgbClr>
            </a:outerShdw>
          </a:effectLst>
        </a:effectStyle>
        <a:effectStyle>
          <a:effectLst>
            <a:outerShdw blurRad="50800" dist="25400" dir="5400000" rotWithShape="0">
              <a:srgbClr val="000000">
                <a:alpha val="45000"/>
              </a:srgbClr>
            </a:outerShdw>
          </a:effectLst>
        </a:effectStyle>
        <a:effectStyle>
          <a:effectLst>
            <a:outerShdw blurRad="50800" dist="25400" dir="5400000" rotWithShape="0">
              <a:srgbClr val="000000">
                <a:alpha val="45000"/>
              </a:srgbClr>
            </a:outerShdw>
          </a:effectLst>
          <a:scene3d>
            <a:camera prst="orthographicFront" fov="0">
              <a:rot lat="0" lon="0" rev="0"/>
            </a:camera>
            <a:lightRig rig="flat" dir="t">
              <a:rot lat="0" lon="0" rev="20040000"/>
            </a:lightRig>
          </a:scene3d>
          <a:sp3d contourW="12700" prstMaterial="dkEdge">
            <a:bevelT w="25400" h="38100" prst="convex"/>
            <a:contourClr>
              <a:schemeClr val="phClr">
                <a:satMod val="115000"/>
              </a:schemeClr>
            </a:contourClr>
          </a:sp3d>
        </a:effectStyle>
      </a:effectStyleLst>
      <a:bgFillStyleLst>
        <a:solidFill>
          <a:schemeClr val="phClr"/>
        </a:solidFill>
        <a:gradFill rotWithShape="1">
          <a:gsLst>
            <a:gs pos="100000">
              <a:schemeClr val="phClr">
                <a:tint val="80000"/>
                <a:satMod val="250000"/>
              </a:schemeClr>
            </a:gs>
            <a:gs pos="60000">
              <a:schemeClr val="phClr">
                <a:shade val="38000"/>
                <a:satMod val="175000"/>
              </a:schemeClr>
            </a:gs>
            <a:gs pos="0">
              <a:schemeClr val="phClr">
                <a:shade val="30000"/>
                <a:satMod val="175000"/>
              </a:schemeClr>
            </a:gs>
          </a:gsLst>
          <a:lin ang="5400000" scaled="0"/>
        </a:gradFill>
        <a:blipFill>
          <a:blip xmlns:r="http://schemas.openxmlformats.org/officeDocument/2006/relationships" r:embed="rId1">
            <a:duotone>
              <a:schemeClr val="phClr">
                <a:shade val="48000"/>
              </a:schemeClr>
              <a:schemeClr val="phClr">
                <a:tint val="96000"/>
                <a:satMod val="150000"/>
              </a:schemeClr>
            </a:duotone>
          </a:blip>
          <a:tile tx="0" ty="0" sx="80000" sy="8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fitToPage="1"/>
  </sheetPr>
  <dimension ref="A1:C15"/>
  <sheetViews>
    <sheetView showGridLines="0" tabSelected="1" zoomScaleNormal="100" workbookViewId="0">
      <selection activeCell="B2" sqref="B2"/>
    </sheetView>
  </sheetViews>
  <sheetFormatPr baseColWidth="10" defaultColWidth="9" defaultRowHeight="30" customHeight="1" x14ac:dyDescent="0.2"/>
  <cols>
    <col min="1" max="1" width="2.625" customWidth="1"/>
    <col min="2" max="2" width="55.875" customWidth="1"/>
    <col min="3" max="3" width="26.625" style="3" customWidth="1"/>
    <col min="4" max="4" width="2.625" customWidth="1"/>
    <col min="5" max="6" width="18" customWidth="1"/>
  </cols>
  <sheetData>
    <row r="1" spans="1:3" ht="45" customHeight="1" thickBot="1" x14ac:dyDescent="0.25">
      <c r="B1" s="4" t="s">
        <v>0</v>
      </c>
      <c r="C1" s="5" t="s">
        <v>15</v>
      </c>
    </row>
    <row r="2" spans="1:3" ht="35.1" customHeight="1" thickTop="1" x14ac:dyDescent="0.2">
      <c r="A2" s="1"/>
      <c r="B2" s="16" t="s">
        <v>1</v>
      </c>
      <c r="C2" s="17"/>
    </row>
    <row r="3" spans="1:3" ht="24.95" customHeight="1" x14ac:dyDescent="0.2">
      <c r="B3" t="s">
        <v>2</v>
      </c>
      <c r="C3" t="s">
        <v>16</v>
      </c>
    </row>
    <row r="4" spans="1:3" ht="30" customHeight="1" x14ac:dyDescent="0.2">
      <c r="B4" s="20" t="s">
        <v>3</v>
      </c>
      <c r="C4" s="3">
        <f ca="1">TODAY()</f>
        <v>43942</v>
      </c>
    </row>
    <row r="5" spans="1:3" ht="30" customHeight="1" x14ac:dyDescent="0.2">
      <c r="B5" s="20" t="s">
        <v>4</v>
      </c>
      <c r="C5" s="3">
        <f ca="1">TODAY()+15</f>
        <v>43957</v>
      </c>
    </row>
    <row r="6" spans="1:3" ht="30" customHeight="1" x14ac:dyDescent="0.2">
      <c r="B6" s="20" t="s">
        <v>5</v>
      </c>
      <c r="C6" s="3">
        <f ca="1">TODAY()+30</f>
        <v>43972</v>
      </c>
    </row>
    <row r="7" spans="1:3" ht="30" customHeight="1" x14ac:dyDescent="0.2">
      <c r="B7" s="20" t="s">
        <v>6</v>
      </c>
      <c r="C7" s="3">
        <f ca="1">TODAY()+45</f>
        <v>43987</v>
      </c>
    </row>
    <row r="8" spans="1:3" ht="30" customHeight="1" x14ac:dyDescent="0.2">
      <c r="B8" s="20" t="s">
        <v>7</v>
      </c>
      <c r="C8" s="3">
        <f ca="1">TODAY()+60</f>
        <v>44002</v>
      </c>
    </row>
    <row r="9" spans="1:3" ht="30" customHeight="1" x14ac:dyDescent="0.2">
      <c r="B9" s="20" t="s">
        <v>8</v>
      </c>
      <c r="C9" s="3">
        <f ca="1">TODAY()+75</f>
        <v>44017</v>
      </c>
    </row>
    <row r="10" spans="1:3" ht="30" customHeight="1" x14ac:dyDescent="0.2">
      <c r="B10" s="20" t="s">
        <v>9</v>
      </c>
      <c r="C10" s="3">
        <f ca="1">TODAY()+90</f>
        <v>44032</v>
      </c>
    </row>
    <row r="11" spans="1:3" ht="30" customHeight="1" x14ac:dyDescent="0.2">
      <c r="B11" s="20" t="s">
        <v>10</v>
      </c>
      <c r="C11" s="3">
        <f ca="1">TODAY()+105</f>
        <v>44047</v>
      </c>
    </row>
    <row r="12" spans="1:3" ht="30" customHeight="1" x14ac:dyDescent="0.2">
      <c r="B12" s="20" t="s">
        <v>11</v>
      </c>
      <c r="C12" s="3">
        <f ca="1">TODAY()+115</f>
        <v>44057</v>
      </c>
    </row>
    <row r="13" spans="1:3" ht="30" customHeight="1" x14ac:dyDescent="0.2">
      <c r="B13" s="20" t="s">
        <v>12</v>
      </c>
      <c r="C13" s="3">
        <f ca="1">TODAY()+130</f>
        <v>44072</v>
      </c>
    </row>
    <row r="14" spans="1:3" ht="30" customHeight="1" x14ac:dyDescent="0.2">
      <c r="B14" s="20" t="s">
        <v>13</v>
      </c>
      <c r="C14" s="3">
        <f ca="1">TODAY()+145</f>
        <v>44087</v>
      </c>
    </row>
    <row r="15" spans="1:3" ht="30" customHeight="1" x14ac:dyDescent="0.2">
      <c r="B15" s="20" t="s">
        <v>14</v>
      </c>
      <c r="C15" s="3">
        <f ca="1">TODAY()+160</f>
        <v>44102</v>
      </c>
    </row>
  </sheetData>
  <dataValidations count="5">
    <dataValidation allowBlank="1" showInputMessage="1" showErrorMessage="1" prompt="Especifique las tareas en esta hoja de cálculo. Encontrará una vista mensual y semanal de estas tareas en las respectivas hojas de cálculo Vista mensual y Vista semanal de este libro." sqref="A1" xr:uid="{00000000-0002-0000-0000-000000000000}"/>
    <dataValidation allowBlank="1" showInputMessage="1" showErrorMessage="1" prompt="Para ir a la vista mensual de las tareas de esta hoja de cálculo, seleccione el hipervínculo de esta celda." sqref="B1" xr:uid="{00000000-0002-0000-0000-000001000000}"/>
    <dataValidation allowBlank="1" showInputMessage="1" showErrorMessage="1" prompt="Para ir a la vista semanal de las tareas de esta hoja de cálculo, seleccione el hipervínculo de esta celda." sqref="C1" xr:uid="{00000000-0002-0000-0000-000002000000}"/>
    <dataValidation allowBlank="1" showInputMessage="1" showErrorMessage="1" prompt="Especifique en esta columna la descripción de la tarea." sqref="B3" xr:uid="{00000000-0002-0000-0000-000003000000}"/>
    <dataValidation allowBlank="1" showInputMessage="1" showErrorMessage="1" prompt="Especifique en esta columna la fecha de vencimiento." sqref="C3" xr:uid="{00000000-0002-0000-0000-000004000000}"/>
  </dataValidations>
  <hyperlinks>
    <hyperlink ref="B1" location="'Vista mensual'!A1" tooltip="Haga clic para ver la programación mensual." display="VISTA MENSUAL" xr:uid="{00000000-0004-0000-0000-000000000000}"/>
    <hyperlink ref="C1" location="'Vista semanal'!A1" tooltip="Haga clic para ver la programación semanal." display="VISTA SEMANAL" xr:uid="{00000000-0004-0000-0000-000001000000}"/>
  </hyperlinks>
  <printOptions horizontalCentered="1" verticalCentered="1"/>
  <pageMargins left="0.25" right="0.25" top="0.75" bottom="0.75" header="0.3" footer="0.3"/>
  <pageSetup paperSize="9"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pageSetUpPr autoPageBreaks="0" fitToPage="1"/>
  </sheetPr>
  <dimension ref="B1:S17"/>
  <sheetViews>
    <sheetView showGridLines="0" zoomScaleNormal="100" workbookViewId="0"/>
  </sheetViews>
  <sheetFormatPr baseColWidth="10" defaultColWidth="9" defaultRowHeight="14.25" x14ac:dyDescent="0.2"/>
  <cols>
    <col min="1" max="1" width="2.625" customWidth="1"/>
    <col min="2" max="8" width="23.625" customWidth="1"/>
    <col min="9" max="9" width="2.625" customWidth="1"/>
    <col min="10" max="10" width="10" customWidth="1"/>
    <col min="19" max="19" width="9.25" bestFit="1" customWidth="1"/>
  </cols>
  <sheetData>
    <row r="1" spans="2:19" ht="45" customHeight="1" thickBot="1" x14ac:dyDescent="0.25">
      <c r="B1" s="6" t="s">
        <v>17</v>
      </c>
      <c r="C1" s="5" t="s">
        <v>15</v>
      </c>
    </row>
    <row r="2" spans="2:19" ht="24.95" customHeight="1" thickTop="1" thickBot="1" x14ac:dyDescent="0.25">
      <c r="B2" t="s">
        <v>18</v>
      </c>
      <c r="C2" t="s">
        <v>22</v>
      </c>
    </row>
    <row r="3" spans="2:19" ht="30" customHeight="1" thickTop="1" thickBot="1" x14ac:dyDescent="0.25">
      <c r="B3" s="11" t="s">
        <v>19</v>
      </c>
      <c r="C3" s="11">
        <v>2016</v>
      </c>
    </row>
    <row r="4" spans="2:19" ht="35.1" customHeight="1" thickTop="1" thickBot="1" x14ac:dyDescent="0.25">
      <c r="B4" s="21" t="s">
        <v>20</v>
      </c>
      <c r="C4" s="21"/>
      <c r="D4" s="21"/>
      <c r="E4" s="21"/>
      <c r="F4" s="21"/>
      <c r="G4" s="21"/>
      <c r="H4" s="21"/>
    </row>
    <row r="5" spans="2:19" ht="24.95" customHeight="1" thickTop="1" x14ac:dyDescent="0.2">
      <c r="B5" s="12" t="s">
        <v>23</v>
      </c>
      <c r="C5" s="12" t="s">
        <v>24</v>
      </c>
      <c r="D5" s="12" t="s">
        <v>25</v>
      </c>
      <c r="E5" s="12" t="s">
        <v>26</v>
      </c>
      <c r="F5" s="12" t="s">
        <v>27</v>
      </c>
      <c r="G5" s="12" t="s">
        <v>28</v>
      </c>
      <c r="H5" s="12" t="s">
        <v>21</v>
      </c>
    </row>
    <row r="6" spans="2:19" ht="27" x14ac:dyDescent="0.2">
      <c r="B6" s="7" t="str">
        <f t="shared" ref="B6:H6" si="0">IF(WEEKDAY(DATEVALUE(" 01"&amp;MoMonth&amp;MoYear)-1)=COLUMN(A$2),1,IF(LEN(A6)&gt;0,A6+1,""))</f>
        <v/>
      </c>
      <c r="C6" s="7" t="str">
        <f t="shared" si="0"/>
        <v/>
      </c>
      <c r="D6" s="7" t="str">
        <f t="shared" si="0"/>
        <v/>
      </c>
      <c r="E6" s="7">
        <f t="shared" si="0"/>
        <v>1</v>
      </c>
      <c r="F6" s="7">
        <f t="shared" si="0"/>
        <v>2</v>
      </c>
      <c r="G6" s="7">
        <f t="shared" si="0"/>
        <v>3</v>
      </c>
      <c r="H6" s="7">
        <f t="shared" si="0"/>
        <v>4</v>
      </c>
    </row>
    <row r="7" spans="2:19" ht="75" customHeight="1" x14ac:dyDescent="0.2">
      <c r="B7" s="8" t="str">
        <f>IF(LEN(B6)=0,"",IF(COUNTIF(Tareas[FECHA DE VENCIMIENTO],DATE(MoYear,MoMonthNum,B6))&gt;0,"¡Ha vencido la tarea!",""))</f>
        <v/>
      </c>
      <c r="C7" s="8" t="str">
        <f>IF(LEN(C6)=0,"",IF(COUNTIF(Tareas[FECHA DE VENCIMIENTO],DATE(MoYear,MoMonthNum,C6))&gt;0,"¡Ha vencido la tarea!",""))</f>
        <v/>
      </c>
      <c r="D7" s="8" t="str">
        <f>IF(LEN(D6)=0,"",IF(COUNTIF(Tareas[FECHA DE VENCIMIENTO],DATE(MoYear,MoMonthNum,D6))&gt;0,"¡Ha vencido la tarea!",""))</f>
        <v/>
      </c>
      <c r="E7" s="8" t="str">
        <f ca="1">IF(LEN(E6)=0,"",IF(COUNTIF(Tareas[FECHA DE VENCIMIENTO],DATE(MoYear,MoMonthNum,E6))&gt;0,"¡Ha vencido la tarea!",""))</f>
        <v/>
      </c>
      <c r="F7" s="8" t="str">
        <f ca="1">IF(LEN(F6)=0,"",IF(COUNTIF(Tareas[FECHA DE VENCIMIENTO],DATE(MoYear,MoMonthNum,F6))&gt;0,"¡Ha vencido la tarea!",""))</f>
        <v/>
      </c>
      <c r="G7" s="8" t="str">
        <f ca="1">IF(LEN(G6)=0,"",IF(COUNTIF(Tareas[FECHA DE VENCIMIENTO],DATE(MoYear,MoMonthNum,G6))&gt;0,"¡Ha vencido la tarea!",""))</f>
        <v/>
      </c>
      <c r="H7" s="8" t="str">
        <f ca="1">IF(LEN(H6)=0,"",IF(COUNTIF(Tareas[FECHA DE VENCIMIENTO],DATE(MoYear,MoMonthNum,H6))&gt;0,"¡Ha vencido la tarea!",""))</f>
        <v/>
      </c>
      <c r="S7" t="e">
        <f>DATEVALUE(" 1, "&amp; MoMonth&amp; MoYear)</f>
        <v>#VALUE!</v>
      </c>
    </row>
    <row r="8" spans="2:19" ht="27" x14ac:dyDescent="0.2">
      <c r="B8" s="10">
        <f>IF(LEN(H6)&gt;0,IF(H6=DAY(DATE(MoYear,MoMonthNum+1,0)),"",H6+1),"")</f>
        <v>5</v>
      </c>
      <c r="C8" s="10">
        <f t="shared" ref="C8:H8" si="1">IF(LEN(B8)&gt;0,IF(B8=DAY(DATE(MoYear,MoMonthNum+1,0)),"",B8+1),"")</f>
        <v>6</v>
      </c>
      <c r="D8" s="10">
        <f t="shared" si="1"/>
        <v>7</v>
      </c>
      <c r="E8" s="10">
        <f t="shared" si="1"/>
        <v>8</v>
      </c>
      <c r="F8" s="10">
        <f t="shared" si="1"/>
        <v>9</v>
      </c>
      <c r="G8" s="10">
        <f t="shared" si="1"/>
        <v>10</v>
      </c>
      <c r="H8" s="10">
        <f t="shared" si="1"/>
        <v>11</v>
      </c>
    </row>
    <row r="9" spans="2:19" ht="75" customHeight="1" x14ac:dyDescent="0.2">
      <c r="B9" s="9" t="str">
        <f ca="1">IF(LEN(B8)=0,"",IF(COUNTIF(Tareas[FECHA DE VENCIMIENTO],DATE(MoYear,MoMonthNum,B8))&gt;0,"¡Ha vencido la tarea!",""))</f>
        <v/>
      </c>
      <c r="C9" s="9" t="str">
        <f ca="1">IF(LEN(C8)=0,"",IF(COUNTIF(Tareas[FECHA DE VENCIMIENTO],DATE(MoYear,MoMonthNum,C8))&gt;0,"¡Ha vencido la tarea!",""))</f>
        <v/>
      </c>
      <c r="D9" s="9" t="str">
        <f ca="1">IF(LEN(D8)=0,"",IF(COUNTIF(Tareas[FECHA DE VENCIMIENTO],DATE(MoYear,MoMonthNum,D8))&gt;0,"¡Ha vencido la tarea!",""))</f>
        <v/>
      </c>
      <c r="E9" s="9" t="str">
        <f ca="1">IF(LEN(E8)=0,"",IF(COUNTIF(Tareas[FECHA DE VENCIMIENTO],DATE(MoYear,MoMonthNum,E8))&gt;0,"¡Ha vencido la tarea!",""))</f>
        <v/>
      </c>
      <c r="F9" s="9" t="str">
        <f ca="1">IF(LEN(F8)=0,"",IF(COUNTIF(Tareas[FECHA DE VENCIMIENTO],DATE(MoYear,MoMonthNum,F8))&gt;0,"¡Ha vencido la tarea!",""))</f>
        <v/>
      </c>
      <c r="G9" s="9" t="str">
        <f ca="1">IF(LEN(G8)=0,"",IF(COUNTIF(Tareas[FECHA DE VENCIMIENTO],DATE(MoYear,MoMonthNum,G8))&gt;0,"¡Ha vencido la tarea!",""))</f>
        <v/>
      </c>
      <c r="H9" s="9" t="str">
        <f ca="1">IF(LEN(H8)=0,"",IF(COUNTIF(Tareas[FECHA DE VENCIMIENTO],DATE(MoYear,MoMonthNum,H8))&gt;0,"¡Ha vencido la tarea!",""))</f>
        <v/>
      </c>
    </row>
    <row r="10" spans="2:19" ht="27" x14ac:dyDescent="0.2">
      <c r="B10" s="7">
        <f>IF(LEN(H8)&gt;0,IF(H8=DAY(DATE(MoYear,MoMonthNum+1,0)),"",H8+1),"")</f>
        <v>12</v>
      </c>
      <c r="C10" s="7">
        <f t="shared" ref="C10:H10" si="2">IF(LEN(B10)&gt;0,IF(B10=DAY(DATE(MoYear,MoMonthNum+1,0)),"",B10+1),"")</f>
        <v>13</v>
      </c>
      <c r="D10" s="7">
        <f t="shared" si="2"/>
        <v>14</v>
      </c>
      <c r="E10" s="7">
        <f t="shared" si="2"/>
        <v>15</v>
      </c>
      <c r="F10" s="7">
        <f t="shared" si="2"/>
        <v>16</v>
      </c>
      <c r="G10" s="7">
        <f t="shared" si="2"/>
        <v>17</v>
      </c>
      <c r="H10" s="7">
        <f t="shared" si="2"/>
        <v>18</v>
      </c>
    </row>
    <row r="11" spans="2:19" ht="75" customHeight="1" x14ac:dyDescent="0.2">
      <c r="B11" s="8" t="str">
        <f ca="1">IF(LEN(B10)=0,"",IF(COUNTIF(Tareas[FECHA DE VENCIMIENTO],DATE(MoYear,MoMonthNum,B10))&gt;0,"¡Ha vencido la tarea!",""))</f>
        <v/>
      </c>
      <c r="C11" s="8" t="str">
        <f ca="1">IF(LEN(C10)=0,"",IF(COUNTIF(Tareas[FECHA DE VENCIMIENTO],DATE(MoYear,MoMonthNum,C10))&gt;0,"¡Ha vencido la tarea!",""))</f>
        <v/>
      </c>
      <c r="D11" s="8" t="str">
        <f ca="1">IF(LEN(D10)=0,"",IF(COUNTIF(Tareas[FECHA DE VENCIMIENTO],DATE(MoYear,MoMonthNum,D10))&gt;0,"¡Ha vencido la tarea!",""))</f>
        <v/>
      </c>
      <c r="E11" s="8" t="str">
        <f ca="1">IF(LEN(E10)=0,"",IF(COUNTIF(Tareas[FECHA DE VENCIMIENTO],DATE(MoYear,MoMonthNum,E10))&gt;0,"¡Ha vencido la tarea!",""))</f>
        <v/>
      </c>
      <c r="F11" s="8" t="str">
        <f ca="1">IF(LEN(F10)=0,"",IF(COUNTIF(Tareas[FECHA DE VENCIMIENTO],DATE(MoYear,MoMonthNum,F10))&gt;0,"¡Ha vencido la tarea!",""))</f>
        <v/>
      </c>
      <c r="G11" s="8" t="str">
        <f ca="1">IF(LEN(G10)=0,"",IF(COUNTIF(Tareas[FECHA DE VENCIMIENTO],DATE(MoYear,MoMonthNum,G10))&gt;0,"¡Ha vencido la tarea!",""))</f>
        <v/>
      </c>
      <c r="H11" s="8" t="str">
        <f ca="1">IF(LEN(H10)=0,"",IF(COUNTIF(Tareas[FECHA DE VENCIMIENTO],DATE(MoYear,MoMonthNum,H10))&gt;0,"¡Ha vencido la tarea!",""))</f>
        <v/>
      </c>
    </row>
    <row r="12" spans="2:19" ht="27" x14ac:dyDescent="0.2">
      <c r="B12" s="10">
        <f>IF(LEN(H10)&gt;0,IF(H10=DAY(DATE(MoYear,MoMonthNum+1,0)),"",H10+1),"")</f>
        <v>19</v>
      </c>
      <c r="C12" s="10">
        <f t="shared" ref="C12:H12" si="3">IF(LEN(B12)&gt;0,IF(B12=DAY(DATE(MoYear,MoMonthNum+1,0)),"",B12+1),"")</f>
        <v>20</v>
      </c>
      <c r="D12" s="10">
        <f t="shared" si="3"/>
        <v>21</v>
      </c>
      <c r="E12" s="10">
        <f t="shared" si="3"/>
        <v>22</v>
      </c>
      <c r="F12" s="10">
        <f t="shared" si="3"/>
        <v>23</v>
      </c>
      <c r="G12" s="10">
        <f t="shared" si="3"/>
        <v>24</v>
      </c>
      <c r="H12" s="10">
        <f t="shared" si="3"/>
        <v>25</v>
      </c>
    </row>
    <row r="13" spans="2:19" ht="75" customHeight="1" x14ac:dyDescent="0.2">
      <c r="B13" s="9" t="str">
        <f ca="1">IF(LEN(B12)=0,"",IF(COUNTIF(Tareas[FECHA DE VENCIMIENTO],DATE(MoYear,MoMonthNum,B12))&gt;0,"¡Ha vencido la tarea!",""))</f>
        <v/>
      </c>
      <c r="C13" s="9" t="str">
        <f ca="1">IF(LEN(C12)=0,"",IF(COUNTIF(Tareas[FECHA DE VENCIMIENTO],DATE(MoYear,MoMonthNum,C12))&gt;0,"¡Ha vencido la tarea!",""))</f>
        <v/>
      </c>
      <c r="D13" s="9" t="str">
        <f ca="1">IF(LEN(D12)=0,"",IF(COUNTIF(Tareas[FECHA DE VENCIMIENTO],DATE(MoYear,MoMonthNum,D12))&gt;0,"¡Ha vencido la tarea!",""))</f>
        <v/>
      </c>
      <c r="E13" s="9" t="str">
        <f ca="1">IF(LEN(E12)=0,"",IF(COUNTIF(Tareas[FECHA DE VENCIMIENTO],DATE(MoYear,MoMonthNum,E12))&gt;0,"¡Ha vencido la tarea!",""))</f>
        <v/>
      </c>
      <c r="F13" s="9" t="str">
        <f ca="1">IF(LEN(F12)=0,"",IF(COUNTIF(Tareas[FECHA DE VENCIMIENTO],DATE(MoYear,MoMonthNum,F12))&gt;0,"¡Ha vencido la tarea!",""))</f>
        <v/>
      </c>
      <c r="G13" s="9" t="str">
        <f ca="1">IF(LEN(G12)=0,"",IF(COUNTIF(Tareas[FECHA DE VENCIMIENTO],DATE(MoYear,MoMonthNum,G12))&gt;0,"¡Ha vencido la tarea!",""))</f>
        <v/>
      </c>
      <c r="H13" s="9" t="str">
        <f ca="1">IF(LEN(H12)=0,"",IF(COUNTIF(Tareas[FECHA DE VENCIMIENTO],DATE(MoYear,MoMonthNum,H12))&gt;0,"¡Ha vencido la tarea!",""))</f>
        <v/>
      </c>
    </row>
    <row r="14" spans="2:19" ht="27" x14ac:dyDescent="0.2">
      <c r="B14" s="7">
        <f>IF(LEN(H12)&gt;0,IF(H12=DAY(DATE(MoYear,MoMonthNum+1,0)),"",H12+1),"")</f>
        <v>26</v>
      </c>
      <c r="C14" s="7">
        <f t="shared" ref="C14:H14" si="4">IF(LEN(B14)&gt;0,IF(B14=DAY(DATE(MoYear,MoMonthNum+1,0)),"",B14+1),"")</f>
        <v>27</v>
      </c>
      <c r="D14" s="7">
        <f t="shared" si="4"/>
        <v>28</v>
      </c>
      <c r="E14" s="7">
        <f t="shared" si="4"/>
        <v>29</v>
      </c>
      <c r="F14" s="7">
        <f t="shared" si="4"/>
        <v>30</v>
      </c>
      <c r="G14" s="7" t="str">
        <f t="shared" si="4"/>
        <v/>
      </c>
      <c r="H14" s="7" t="str">
        <f t="shared" si="4"/>
        <v/>
      </c>
    </row>
    <row r="15" spans="2:19" ht="75" customHeight="1" x14ac:dyDescent="0.2">
      <c r="B15" s="8" t="str">
        <f ca="1">IF(LEN(B14)=0,"",IF(COUNTIF(Tareas[FECHA DE VENCIMIENTO],DATE(MoYear,MoMonthNum,B14))&gt;0,"¡Ha vencido la tarea!",""))</f>
        <v/>
      </c>
      <c r="C15" s="8" t="str">
        <f ca="1">IF(LEN(C14)=0,"",IF(COUNTIF(Tareas[FECHA DE VENCIMIENTO],DATE(MoYear,MoMonthNum,C14))&gt;0,"¡Ha vencido la tarea!",""))</f>
        <v/>
      </c>
      <c r="D15" s="8" t="str">
        <f ca="1">IF(LEN(D14)=0,"",IF(COUNTIF(Tareas[FECHA DE VENCIMIENTO],DATE(MoYear,MoMonthNum,D14))&gt;0,"¡Ha vencido la tarea!",""))</f>
        <v/>
      </c>
      <c r="E15" s="8" t="str">
        <f ca="1">IF(LEN(E14)=0,"",IF(COUNTIF(Tareas[FECHA DE VENCIMIENTO],DATE(MoYear,MoMonthNum,E14))&gt;0,"¡Ha vencido la tarea!",""))</f>
        <v/>
      </c>
      <c r="F15" s="8" t="str">
        <f ca="1">IF(LEN(F14)=0,"",IF(COUNTIF(Tareas[FECHA DE VENCIMIENTO],DATE(MoYear,MoMonthNum,F14))&gt;0,"¡Ha vencido la tarea!",""))</f>
        <v/>
      </c>
      <c r="G15" s="8" t="str">
        <f>IF(LEN(G14)=0,"",IF(COUNTIF(Tareas[FECHA DE VENCIMIENTO],DATE(MoYear,MoMonthNum,G14))&gt;0,"¡Ha vencido la tarea!",""))</f>
        <v/>
      </c>
      <c r="H15" s="8" t="str">
        <f>IF(LEN(H14)=0,"",IF(COUNTIF(Tareas[FECHA DE VENCIMIENTO],DATE(MoYear,MoMonthNum,H14))&gt;0,"¡Ha vencido la tarea!",""))</f>
        <v/>
      </c>
    </row>
    <row r="16" spans="2:19" ht="27" x14ac:dyDescent="0.2">
      <c r="B16" s="10" t="str">
        <f>IF(LEN(H14)&gt;0,IF(H14=DAY(DATE(MoYear,MoMonthNum+1,0)),"",H14+1),"")</f>
        <v/>
      </c>
      <c r="C16" s="10" t="str">
        <f t="shared" ref="C16:H16" si="5">IF(LEN(B16)&gt;0,IF(B16=DAY(DATE(MoYear,MoMonthNum+1,0)),"",B16+1),"")</f>
        <v/>
      </c>
      <c r="D16" s="10" t="str">
        <f t="shared" si="5"/>
        <v/>
      </c>
      <c r="E16" s="10" t="str">
        <f t="shared" si="5"/>
        <v/>
      </c>
      <c r="F16" s="10" t="str">
        <f t="shared" si="5"/>
        <v/>
      </c>
      <c r="G16" s="10" t="str">
        <f t="shared" si="5"/>
        <v/>
      </c>
      <c r="H16" s="10" t="str">
        <f t="shared" si="5"/>
        <v/>
      </c>
    </row>
    <row r="17" spans="2:8" ht="75" customHeight="1" x14ac:dyDescent="0.2">
      <c r="B17" s="9" t="str">
        <f>IF(LEN(B16)=0,"",IF(COUNTIF(Tareas[FECHA DE VENCIMIENTO],DATE(MoYear,MoMonthNum,B16))&gt;0,"¡Ha vencido la tarea!",""))</f>
        <v/>
      </c>
      <c r="C17" s="9" t="str">
        <f>IF(LEN(C16)=0,"",IF(COUNTIF(Tareas[FECHA DE VENCIMIENTO],DATE(MoYear,MoMonthNum,C16))&gt;0,"¡Ha vencido la tarea!",""))</f>
        <v/>
      </c>
      <c r="D17" s="9" t="str">
        <f>IF(LEN(D16)=0,"",IF(COUNTIF(Tareas[FECHA DE VENCIMIENTO],DATE(MoYear,MoMonthNum,D16))&gt;0,"¡Ha vencido la tarea!",""))</f>
        <v/>
      </c>
      <c r="E17" s="9" t="str">
        <f>IF(LEN(E16)=0,"",IF(COUNTIF(Tareas[FECHA DE VENCIMIENTO],DATE(MoYear,MoMonthNum,E16))&gt;0,"¡Ha vencido la tarea!",""))</f>
        <v/>
      </c>
      <c r="F17" s="9" t="str">
        <f>IF(LEN(F16)=0,"",IF(COUNTIF(Tareas[FECHA DE VENCIMIENTO],DATE(MoYear,MoMonthNum,F16))&gt;0,"¡Ha vencido la tarea!",""))</f>
        <v/>
      </c>
      <c r="G17" s="9" t="str">
        <f>IF(LEN(G16)=0,"",IF(COUNTIF(Tareas[FECHA DE VENCIMIENTO],DATE(MoYear,MoMonthNum,G16))&gt;0,"¡Ha vencido la tarea!",""))</f>
        <v/>
      </c>
      <c r="H17" s="9" t="str">
        <f>IF(LEN(H16)=0,"",IF(COUNTIF(Tareas[FECHA DE VENCIMIENTO],DATE(MoYear,MoMonthNum,H16))&gt;0,"¡Ha vencido la tarea!",""))</f>
        <v/>
      </c>
    </row>
  </sheetData>
  <mergeCells count="1">
    <mergeCell ref="B4:H4"/>
  </mergeCells>
  <dataValidations count="8">
    <dataValidation type="list" allowBlank="1" showInputMessage="1" showErrorMessage="1" error="Seleccione REINTENTAR y escriba el nombre completo de un mes, o bien pulse ALT+FLECHA ABAJO y, después, ENTRAR para realizar una selección en la lista proporcionada. Seleccione CANCELAR para salir de la celda." prompt="Seleccione un mes en esta lista desplegable para ver las tareas de dicho mes. Pulse ALT+FLECHA ABAJO y, después, ENTRAR para realizar una selección en la lista, o bien escriba el nombre completo de un mes en esta celda." sqref="B3" xr:uid="{00000000-0002-0000-0100-000000000000}">
      <formula1>"Enero, Febrero, Marzo, Abril, Mayo, Junio, Julio, Agosto, Septiembre, Octubre, Noviembre, Diciembre"</formula1>
    </dataValidation>
    <dataValidation allowBlank="1" showInputMessage="1" showErrorMessage="1" prompt="Esta vista mensual de las tareas se genera automáticamente en función de las entradas de la hoja de cálculo de tareas. Edite únicamente las tareas de la hoja de cálculo." sqref="A1" xr:uid="{00000000-0002-0000-0100-000001000000}"/>
    <dataValidation allowBlank="1" showInputMessage="1" showErrorMessage="1" prompt="Especifique el año de esta vista de calendario." sqref="C3" xr:uid="{00000000-0002-0000-0100-000002000000}"/>
    <dataValidation allowBlank="1" showInputMessage="1" showErrorMessage="1" prompt="Para ir a la hoja de cálculo de tareas, seleccione el hipervínculo de esta celda." sqref="B1" xr:uid="{00000000-0002-0000-0100-000003000000}"/>
    <dataValidation allowBlank="1" showInputMessage="1" showErrorMessage="1" prompt="Para ir a la vista semanal de las tareas, seleccione el hipervínculo de esta celda." sqref="C1" xr:uid="{00000000-0002-0000-0100-000004000000}"/>
    <dataValidation allowBlank="1" showInputMessage="1" showErrorMessage="1" prompt="Las filas 6, 8, 10, 12, 14 y 16 de las columnas de la B a la H contienen días del mes en las celdas." sqref="B6" xr:uid="{00000000-0002-0000-0100-000005000000}"/>
    <dataValidation allowBlank="1" showInputMessage="1" showErrorMessage="1" prompt="Las tareas se actualizan automáticamente a partir de la hoja de cálculo de tareas en las filas 7, 9, 11, 13, 15 y 17 de las columnas de la B a la H." sqref="B7" xr:uid="{00000000-0002-0000-0100-000006000000}"/>
    <dataValidation allowBlank="1" showInputMessage="1" showErrorMessage="1" prompt="Esta fila de la columna B a la H contiene los días de la semana de la vista mensual, con el lunes como día inicial de la semana." sqref="B5" xr:uid="{00000000-0002-0000-0100-000007000000}"/>
  </dataValidations>
  <hyperlinks>
    <hyperlink ref="B1" location="Tareas!A1" tooltip="Haga clic para ver las tareas." display="TAREAS" xr:uid="{00000000-0004-0000-0100-000000000000}"/>
    <hyperlink ref="C1" location="'Vista semanal'!A1" tooltip="Haga clic para ver la programación semanal." display="VISTA SEMANAL" xr:uid="{00000000-0004-0000-0100-000001000000}"/>
  </hyperlinks>
  <printOptions horizontalCentered="1" verticalCentered="1"/>
  <pageMargins left="0.25" right="0.25" top="0.75" bottom="0.75" header="0.3" footer="0.3"/>
  <pageSetup paperSize="9" orientation="landscape" r:id="rId1"/>
  <ignoredErrors>
    <ignoredError sqref="B8 C8:H8 B16:H16 B14:H14 B12:H12 B10:H10 B9:H9 B11:H11 B13:H13 B15:H1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249977111117893"/>
    <pageSetUpPr autoPageBreaks="0" fitToPage="1"/>
  </sheetPr>
  <dimension ref="B1:L17"/>
  <sheetViews>
    <sheetView showGridLines="0" zoomScaleNormal="100" workbookViewId="0"/>
  </sheetViews>
  <sheetFormatPr baseColWidth="10" defaultColWidth="9" defaultRowHeight="14.25" x14ac:dyDescent="0.2"/>
  <cols>
    <col min="1" max="1" width="2.625" customWidth="1"/>
    <col min="2" max="8" width="23.625" customWidth="1"/>
    <col min="9" max="9" width="2.625" customWidth="1"/>
    <col min="10" max="10" width="10" customWidth="1"/>
    <col min="11" max="11" width="9.75" bestFit="1" customWidth="1"/>
    <col min="12" max="12" width="12" bestFit="1" customWidth="1"/>
  </cols>
  <sheetData>
    <row r="1" spans="2:12" ht="45" customHeight="1" thickBot="1" x14ac:dyDescent="0.25">
      <c r="B1" s="6" t="s">
        <v>17</v>
      </c>
      <c r="C1" s="4" t="s">
        <v>0</v>
      </c>
    </row>
    <row r="2" spans="2:12" ht="24.95" customHeight="1" thickTop="1" thickBot="1" x14ac:dyDescent="0.25">
      <c r="B2" t="s">
        <v>18</v>
      </c>
      <c r="C2" t="s">
        <v>22</v>
      </c>
      <c r="D2" t="s">
        <v>30</v>
      </c>
    </row>
    <row r="3" spans="2:12" ht="30" customHeight="1" thickTop="1" thickBot="1" x14ac:dyDescent="0.25">
      <c r="B3" s="11" t="s">
        <v>19</v>
      </c>
      <c r="C3" s="11">
        <f ca="1">YEAR(TODAY())</f>
        <v>2020</v>
      </c>
      <c r="D3" s="11" t="s">
        <v>31</v>
      </c>
      <c r="F3" s="2"/>
    </row>
    <row r="4" spans="2:12" ht="35.1" customHeight="1" thickTop="1" thickBot="1" x14ac:dyDescent="0.25">
      <c r="B4" s="22" t="s">
        <v>29</v>
      </c>
      <c r="C4" s="22"/>
      <c r="D4" s="22"/>
      <c r="E4" s="22"/>
      <c r="F4" s="22"/>
      <c r="G4" s="22"/>
      <c r="H4" s="22"/>
      <c r="K4" s="18"/>
      <c r="L4" s="19"/>
    </row>
    <row r="5" spans="2:12" ht="27.75" hidden="1" thickTop="1" x14ac:dyDescent="0.2">
      <c r="B5" s="10" t="str">
        <f t="shared" ref="B5:H5" ca="1" si="0">IF(WEEKDAY(DATEVALUE("01"&amp;WkMonth&amp;WkYear)-1)=COLUMN(A$2),1,IF(LEN(A5)&gt;0,A5+1,""))</f>
        <v/>
      </c>
      <c r="C5" s="10">
        <f t="shared" ca="1" si="0"/>
        <v>1</v>
      </c>
      <c r="D5" s="10">
        <f t="shared" ca="1" si="0"/>
        <v>2</v>
      </c>
      <c r="E5" s="10">
        <f t="shared" ca="1" si="0"/>
        <v>3</v>
      </c>
      <c r="F5" s="10">
        <f t="shared" ca="1" si="0"/>
        <v>4</v>
      </c>
      <c r="G5" s="10">
        <f t="shared" ca="1" si="0"/>
        <v>5</v>
      </c>
      <c r="H5" s="10">
        <f t="shared" ca="1" si="0"/>
        <v>6</v>
      </c>
    </row>
    <row r="6" spans="2:12" ht="27" hidden="1" x14ac:dyDescent="0.2">
      <c r="B6" s="10">
        <f ca="1">IF(LEN(H5)&gt;0,IF(H5=ÚltimoDíaDelMes_Semana,"",H5+1),"")</f>
        <v>7</v>
      </c>
      <c r="C6" s="10">
        <f t="shared" ref="C6:H10" ca="1" si="1">IF(LEN(B6)&gt;0,IF(B6=ÚltimoDíaDelMes_Semana,"",B6+1),"")</f>
        <v>8</v>
      </c>
      <c r="D6" s="10">
        <f t="shared" ca="1" si="1"/>
        <v>9</v>
      </c>
      <c r="E6" s="10">
        <f t="shared" ca="1" si="1"/>
        <v>10</v>
      </c>
      <c r="F6" s="10">
        <f t="shared" ca="1" si="1"/>
        <v>11</v>
      </c>
      <c r="G6" s="10">
        <f t="shared" ca="1" si="1"/>
        <v>12</v>
      </c>
      <c r="H6" s="10">
        <f t="shared" ca="1" si="1"/>
        <v>13</v>
      </c>
    </row>
    <row r="7" spans="2:12" ht="27" hidden="1" x14ac:dyDescent="0.2">
      <c r="B7" s="10">
        <f ca="1">IF(LEN(H6)&gt;0,IF(H6=ÚltimoDíaDelMes_Semana,"",H6+1),"")</f>
        <v>14</v>
      </c>
      <c r="C7" s="10">
        <f t="shared" ca="1" si="1"/>
        <v>15</v>
      </c>
      <c r="D7" s="10">
        <f t="shared" ca="1" si="1"/>
        <v>16</v>
      </c>
      <c r="E7" s="10">
        <f t="shared" ca="1" si="1"/>
        <v>17</v>
      </c>
      <c r="F7" s="10">
        <f t="shared" ca="1" si="1"/>
        <v>18</v>
      </c>
      <c r="G7" s="10">
        <f t="shared" ca="1" si="1"/>
        <v>19</v>
      </c>
      <c r="H7" s="10">
        <f t="shared" ca="1" si="1"/>
        <v>20</v>
      </c>
    </row>
    <row r="8" spans="2:12" ht="27" hidden="1" x14ac:dyDescent="0.2">
      <c r="B8" s="10">
        <f ca="1">IF(LEN(H7)&gt;0,IF(H7=ÚltimoDíaDelMes_Semana,"",H7+1),"")</f>
        <v>21</v>
      </c>
      <c r="C8" s="10">
        <f t="shared" ca="1" si="1"/>
        <v>22</v>
      </c>
      <c r="D8" s="10">
        <f t="shared" ca="1" si="1"/>
        <v>23</v>
      </c>
      <c r="E8" s="10">
        <f t="shared" ca="1" si="1"/>
        <v>24</v>
      </c>
      <c r="F8" s="10">
        <f t="shared" ca="1" si="1"/>
        <v>25</v>
      </c>
      <c r="G8" s="10">
        <f t="shared" ca="1" si="1"/>
        <v>26</v>
      </c>
      <c r="H8" s="10">
        <f t="shared" ca="1" si="1"/>
        <v>27</v>
      </c>
    </row>
    <row r="9" spans="2:12" ht="27" hidden="1" x14ac:dyDescent="0.2">
      <c r="B9" s="10">
        <f ca="1">IF(LEN(H8)&gt;0,IF(H8=ÚltimoDíaDelMes_Semana,"",H8+1),"")</f>
        <v>28</v>
      </c>
      <c r="C9" s="10">
        <f t="shared" ca="1" si="1"/>
        <v>29</v>
      </c>
      <c r="D9" s="10">
        <f t="shared" ca="1" si="1"/>
        <v>30</v>
      </c>
      <c r="E9" s="10" t="str">
        <f t="shared" ca="1" si="1"/>
        <v/>
      </c>
      <c r="F9" s="10" t="str">
        <f t="shared" ca="1" si="1"/>
        <v/>
      </c>
      <c r="G9" s="10" t="str">
        <f t="shared" ca="1" si="1"/>
        <v/>
      </c>
      <c r="H9" s="10" t="str">
        <f t="shared" ca="1" si="1"/>
        <v/>
      </c>
    </row>
    <row r="10" spans="2:12" ht="27.75" hidden="1" thickBot="1" x14ac:dyDescent="0.25">
      <c r="B10" s="10" t="str">
        <f ca="1">IF(LEN(H9)&gt;0,IF(H9=ÚltimoDíaDelMes_Semana,"",H9+1),"")</f>
        <v/>
      </c>
      <c r="C10" s="10" t="str">
        <f t="shared" ca="1" si="1"/>
        <v/>
      </c>
      <c r="D10" s="10" t="str">
        <f t="shared" ca="1" si="1"/>
        <v/>
      </c>
      <c r="E10" s="10" t="str">
        <f t="shared" ca="1" si="1"/>
        <v/>
      </c>
      <c r="F10" s="10" t="str">
        <f t="shared" ca="1" si="1"/>
        <v/>
      </c>
      <c r="G10" s="10" t="str">
        <f t="shared" ca="1" si="1"/>
        <v/>
      </c>
      <c r="H10" s="10" t="str">
        <f t="shared" ca="1" si="1"/>
        <v/>
      </c>
    </row>
    <row r="11" spans="2:12" ht="24.95" customHeight="1" thickTop="1" x14ac:dyDescent="0.2">
      <c r="B11" s="13" t="s">
        <v>23</v>
      </c>
      <c r="C11" s="13" t="s">
        <v>24</v>
      </c>
      <c r="D11" s="13" t="s">
        <v>25</v>
      </c>
      <c r="E11" s="13" t="s">
        <v>26</v>
      </c>
      <c r="F11" s="13" t="s">
        <v>27</v>
      </c>
      <c r="G11" s="13" t="s">
        <v>28</v>
      </c>
      <c r="H11" s="13" t="s">
        <v>21</v>
      </c>
    </row>
    <row r="12" spans="2:12" ht="27" x14ac:dyDescent="0.2">
      <c r="B12" s="14" t="str">
        <f t="shared" ref="B12:H12" ca="1" si="2">IF(B14="",IF(AND(ISNUMBER(A12),A12&lt;ÚltimoDíaDelMes_Semana),A12+1,""),IF(B14&lt;=7,"",INDEX(WkMonthView,WkWeek,COLUMN(A$2))-7))</f>
        <v/>
      </c>
      <c r="C12" s="14" t="str">
        <f t="shared" ca="1" si="2"/>
        <v/>
      </c>
      <c r="D12" s="14" t="str">
        <f t="shared" ca="1" si="2"/>
        <v/>
      </c>
      <c r="E12" s="14" t="str">
        <f t="shared" ca="1" si="2"/>
        <v/>
      </c>
      <c r="F12" s="14" t="str">
        <f t="shared" ca="1" si="2"/>
        <v/>
      </c>
      <c r="G12" s="14" t="str">
        <f t="shared" ca="1" si="2"/>
        <v/>
      </c>
      <c r="H12" s="14" t="str">
        <f t="shared" ca="1" si="2"/>
        <v/>
      </c>
    </row>
    <row r="13" spans="2:12" x14ac:dyDescent="0.2">
      <c r="B13" s="15" t="str">
        <f ca="1">IF(LEN(B12)=0,"",IF(COUNTIF(Tareas[FECHA DE VENCIMIENTO],DATE(WkYear,WkMonthNum,B12))&gt;0,"¡Ha vencido la tarea!",""))</f>
        <v/>
      </c>
      <c r="C13" s="15" t="str">
        <f ca="1">IF(LEN(C12)=0,"",IF(COUNTIF(Tareas[FECHA DE VENCIMIENTO],DATE(WkYear,WkMonthNum,C12))&gt;0,"¡Ha vencido la tarea!",""))</f>
        <v/>
      </c>
      <c r="D13" s="15" t="str">
        <f ca="1">IF(LEN(D12)=0,"",IF(COUNTIF(Tareas[FECHA DE VENCIMIENTO],DATE(WkYear,WkMonthNum,D12))&gt;0,"¡Ha vencido la tarea!",""))</f>
        <v/>
      </c>
      <c r="E13" s="15" t="str">
        <f ca="1">IF(LEN(E12)=0,"",IF(COUNTIF(Tareas[FECHA DE VENCIMIENTO],DATE(WkYear,WkMonthNum,E12))&gt;0,"¡Ha vencido la tarea!",""))</f>
        <v/>
      </c>
      <c r="F13" s="15" t="str">
        <f ca="1">IF(LEN(F12)=0,"",IF(COUNTIF(Tareas[FECHA DE VENCIMIENTO],DATE(WkYear,WkMonthNum,F12))&gt;0,"¡Ha vencido la tarea!",""))</f>
        <v/>
      </c>
      <c r="G13" s="15" t="str">
        <f ca="1">IF(LEN(G12)=0,"",IF(COUNTIF(Tareas[FECHA DE VENCIMIENTO],DATE(WkYear,WkMonthNum,G12))&gt;0,"¡Ha vencido la tarea!",""))</f>
        <v/>
      </c>
      <c r="H13" s="15" t="str">
        <f ca="1">IF(LEN(H12)=0,"",IF(COUNTIF(Tareas[FECHA DE VENCIMIENTO],DATE(WkYear,WkMonthNum,H12))&gt;0,"¡Ha vencido la tarea!",""))</f>
        <v/>
      </c>
    </row>
    <row r="14" spans="2:12" ht="27" x14ac:dyDescent="0.2">
      <c r="B14" s="7" t="str">
        <f t="shared" ref="B14" ca="1" si="3">INDEX(WkMonthView,WkWeek,COLUMN(A$2))</f>
        <v/>
      </c>
      <c r="C14" s="7">
        <f t="shared" ref="C14" ca="1" si="4">INDEX(WkMonthView,WkWeek,COLUMN(B$2))</f>
        <v>1</v>
      </c>
      <c r="D14" s="7">
        <f t="shared" ref="D14" ca="1" si="5">INDEX(WkMonthView,WkWeek,COLUMN(C$2))</f>
        <v>2</v>
      </c>
      <c r="E14" s="7">
        <f t="shared" ref="E14" ca="1" si="6">INDEX(WkMonthView,WkWeek,COLUMN(D$2))</f>
        <v>3</v>
      </c>
      <c r="F14" s="7">
        <f t="shared" ref="F14" ca="1" si="7">INDEX(WkMonthView,WkWeek,COLUMN(E$2))</f>
        <v>4</v>
      </c>
      <c r="G14" s="7">
        <f t="shared" ref="G14" ca="1" si="8">INDEX(WkMonthView,WkWeek,COLUMN(F$2))</f>
        <v>5</v>
      </c>
      <c r="H14" s="7">
        <f t="shared" ref="H14" ca="1" si="9">INDEX(WkMonthView,WkWeek,COLUMN(G$2))</f>
        <v>6</v>
      </c>
    </row>
    <row r="15" spans="2:12" ht="225" customHeight="1" x14ac:dyDescent="0.2">
      <c r="B15" s="8" t="str">
        <f ca="1">IF(LEN(B14)=0,"",IF(COUNTIF(Tareas[FECHA DE VENCIMIENTO],DATE(WkYear,WkMonthNum,B14))&gt;0,"¡Ha vencido la tarea!",""))</f>
        <v/>
      </c>
      <c r="C15" s="8" t="str">
        <f ca="1">IF(LEN(C14)=0,"",IF(COUNTIF(Tareas[FECHA DE VENCIMIENTO],DATE(WkYear,WkMonthNum,C14))&gt;0,"¡Ha vencido la tarea!",""))</f>
        <v/>
      </c>
      <c r="D15" s="8" t="str">
        <f ca="1">IF(LEN(D14)=0,"",IF(COUNTIF(Tareas[FECHA DE VENCIMIENTO],DATE(WkYear,WkMonthNum,D14))&gt;0,"¡Ha vencido la tarea!",""))</f>
        <v/>
      </c>
      <c r="E15" s="8" t="str">
        <f ca="1">IF(LEN(E14)=0,"",IF(COUNTIF(Tareas[FECHA DE VENCIMIENTO],DATE(WkYear,WkMonthNum,E14))&gt;0,"¡Ha vencido la tarea!",""))</f>
        <v/>
      </c>
      <c r="F15" s="8" t="str">
        <f ca="1">IF(LEN(F14)=0,"",IF(COUNTIF(Tareas[FECHA DE VENCIMIENTO],DATE(WkYear,WkMonthNum,F14))&gt;0,"¡Ha vencido la tarea!",""))</f>
        <v/>
      </c>
      <c r="G15" s="8" t="str">
        <f ca="1">IF(LEN(G14)=0,"",IF(COUNTIF(Tareas[FECHA DE VENCIMIENTO],DATE(WkYear,WkMonthNum,G14))&gt;0,"¡Ha vencido la tarea!",""))</f>
        <v/>
      </c>
      <c r="H15" s="8" t="str">
        <f ca="1">IF(LEN(H14)=0,"",IF(COUNTIF(Tareas[FECHA DE VENCIMIENTO],DATE(WkYear,WkMonthNum,H14))&gt;0,"¡Ha vencido la tarea!",""))</f>
        <v/>
      </c>
    </row>
    <row r="16" spans="2:12" ht="27" x14ac:dyDescent="0.2">
      <c r="B16" s="14">
        <f t="array" aca="1" ref="B16" ca="1">IFERROR(IF(B14="",IF(AND(ISNUMBER(A16),A16&lt;ÚltimoDíaDelMes_Semana),A16+1,$H$14+COLUMN(A$2)),IF(B14+7&gt;ÚltimoDíaDelMes_Semana,"",INDEX(WkMonthView,WkWeek,COLUMN(A$2))+7)),"")</f>
        <v>7</v>
      </c>
      <c r="C16" s="14">
        <f t="array" aca="1" ref="C16" ca="1">IFERROR(IF(C14="",IF(AND(ISNUMBER(B16),B16&lt;ÚltimoDíaDelMes_Semana),B16+1,$H$14+COLUMN(B$2)),IF(C14+7&gt;ÚltimoDíaDelMes_Semana,"",INDEX(WkMonthView,WkWeek,COLUMN(B$2))+7)),"")</f>
        <v>8</v>
      </c>
      <c r="D16" s="14">
        <f t="array" aca="1" ref="D16" ca="1">IFERROR(IF(D14="",IF(AND(ISNUMBER(C16),C16&lt;ÚltimoDíaDelMes_Semana),C16+1,$H$14+COLUMN(C$2)),IF(D14+7&gt;ÚltimoDíaDelMes_Semana,"",INDEX(WkMonthView,WkWeek,COLUMN(C$2))+7)),"")</f>
        <v>9</v>
      </c>
      <c r="E16" s="14">
        <f t="array" aca="1" ref="E16" ca="1">IFERROR(IF(E14="",IF(AND(ISNUMBER(D16),D16&lt;ÚltimoDíaDelMes_Semana),D16+1,$H$14+COLUMN(D$2)),IF(E14+7&gt;ÚltimoDíaDelMes_Semana,"",INDEX(WkMonthView,WkWeek,COLUMN(D$2))+7)),"")</f>
        <v>10</v>
      </c>
      <c r="F16" s="14">
        <f t="array" aca="1" ref="F16" ca="1">IFERROR(IF(F14="",IF(AND(ISNUMBER(E16),E16&lt;ÚltimoDíaDelMes_Semana),E16+1,$H$14+COLUMN(E$2)),IF(F14+7&gt;ÚltimoDíaDelMes_Semana,"",INDEX(WkMonthView,WkWeek,COLUMN(E$2))+7)),"")</f>
        <v>11</v>
      </c>
      <c r="G16" s="14">
        <f t="array" aca="1" ref="G16" ca="1">IFERROR(IF(G14="",IF(AND(ISNUMBER(F16),F16&lt;ÚltimoDíaDelMes_Semana),F16+1,$H$14+COLUMN(F$2)),IF(G14+7&gt;ÚltimoDíaDelMes_Semana,"",INDEX(WkMonthView,WkWeek,COLUMN(F$2))+7)),"")</f>
        <v>12</v>
      </c>
      <c r="H16" s="14">
        <f t="array" aca="1" ref="H16" ca="1">IFERROR(IF(H14="",IF(AND(ISNUMBER(G16),G16&lt;ÚltimoDíaDelMes_Semana),G16+1,$H$14+COLUMN(G$2)),IF(H14+7&gt;ÚltimoDíaDelMes_Semana,"",INDEX(WkMonthView,WkWeek,COLUMN(G$2))+7)),"")</f>
        <v>13</v>
      </c>
    </row>
    <row r="17" spans="2:8" x14ac:dyDescent="0.2">
      <c r="B17" s="15" t="str">
        <f ca="1">IF(LEN(B16)=0,"",IF(COUNTIF(Tareas[FECHA DE VENCIMIENTO],DATE(WkYear,WkMonthNum,B16))&gt;0,"¡Ha vencido la tarea!",""))</f>
        <v/>
      </c>
      <c r="C17" s="15" t="str">
        <f ca="1">IF(LEN(C16)=0,"",IF(COUNTIF(Tareas[FECHA DE VENCIMIENTO],DATE(WkYear,WkMonthNum,C16))&gt;0,"¡Ha vencido la tarea!",""))</f>
        <v/>
      </c>
      <c r="D17" s="15" t="str">
        <f ca="1">IF(LEN(D16)=0,"",IF(COUNTIF(Tareas[FECHA DE VENCIMIENTO],DATE(WkYear,WkMonthNum,D16))&gt;0,"¡Ha vencido la tarea!",""))</f>
        <v/>
      </c>
      <c r="E17" s="15" t="str">
        <f ca="1">IF(LEN(E16)=0,"",IF(COUNTIF(Tareas[FECHA DE VENCIMIENTO],DATE(WkYear,WkMonthNum,E16))&gt;0,"¡Ha vencido la tarea!",""))</f>
        <v/>
      </c>
      <c r="F17" s="15" t="str">
        <f ca="1">IF(LEN(F16)=0,"",IF(COUNTIF(Tareas[FECHA DE VENCIMIENTO],DATE(WkYear,WkMonthNum,F16))&gt;0,"¡Ha vencido la tarea!",""))</f>
        <v/>
      </c>
      <c r="G17" s="15" t="str">
        <f ca="1">IF(LEN(G16)=0,"",IF(COUNTIF(Tareas[FECHA DE VENCIMIENTO],DATE(WkYear,WkMonthNum,G16))&gt;0,"¡Ha vencido la tarea!",""))</f>
        <v/>
      </c>
      <c r="H17" s="15" t="str">
        <f ca="1">IF(LEN(H16)=0,"",IF(COUNTIF(Tareas[FECHA DE VENCIMIENTO],DATE(WkYear,WkMonthNum,H16))&gt;0,"¡Ha vencido la tarea!",""))</f>
        <v>¡Ha vencido la tarea!</v>
      </c>
    </row>
  </sheetData>
  <mergeCells count="1">
    <mergeCell ref="B4:H4"/>
  </mergeCells>
  <dataValidations count="9">
    <dataValidation type="list" allowBlank="1" showInputMessage="1" showErrorMessage="1" error="Seleccione REINTENTAR, pulse ALT+FLECHA ABAJO y, después, pulse ENTRAR para seleccionar una entrada en la lista proporcionada. Seleccione CANCELAR para salir de la celda." prompt="Seleccione una semana en esta lista desplegable para ver las tareas de dicha semana. Pulse ALT+FLECHA ABAJO y ENTRAR para realizar una selección en la lista de esta celda." sqref="D3" xr:uid="{00000000-0002-0000-0200-000000000000}">
      <formula1>"Semana 1, Semana 2, Semana 3, Semana 4, Semana 5, Semana 6"</formula1>
    </dataValidation>
    <dataValidation type="list" allowBlank="1" showInputMessage="1" showErrorMessage="1" error="Seleccione REINTENTAR y escriba el nombre completo de un mes, o bien pulse ALT+FLECHA ABAJO y, después, ENTRAR para realizar una selección en la lista proporcionada. Seleccione CANCELAR para salir de la celda." prompt="Seleccione un mes en esta lista desplegable para ver las tareas de dicho mes. Pulse ALT+FLECHA ABAJO y, después, ENTRAR para realizar una selección en la lista, o bien escriba el nombre completo de un mes en esta celda." sqref="B3" xr:uid="{00000000-0002-0000-0200-000001000000}">
      <formula1>"Enero, Febrero, Marzo, Abril, Mayo, Junio, Julio, Agosto, Septiembre, Octubre, Noviembre, Diciembre"</formula1>
    </dataValidation>
    <dataValidation allowBlank="1" showInputMessage="1" showErrorMessage="1" prompt="Especifique el año de esta vista de calendario." sqref="C3" xr:uid="{00000000-0002-0000-0200-000002000000}"/>
    <dataValidation allowBlank="1" showInputMessage="1" showErrorMessage="1" prompt="Esta vista semanal de las tareas se actualiza automáticamente en función de las entradas de la hoja de cálculo de tareas de este libro. Realice todas las modificaciones necesarias en las tareas en dicha hoja de cálculo." sqref="A1" xr:uid="{00000000-0002-0000-0200-000003000000}"/>
    <dataValidation allowBlank="1" showInputMessage="1" showErrorMessage="1" prompt="Para ir a la hoja de cálculo de tareas, seleccione el hipervínculo de esta celda." sqref="B1" xr:uid="{00000000-0002-0000-0200-000004000000}"/>
    <dataValidation allowBlank="1" showInputMessage="1" showErrorMessage="1" prompt="Para ir a la vista mensual de las tareas de esta hoja de cálculo, seleccione el hipervínculo de esta celda." sqref="C1" xr:uid="{00000000-0002-0000-0200-000005000000}"/>
    <dataValidation allowBlank="1" showInputMessage="1" showErrorMessage="1" prompt="Las filas 12, 14 y 16 de las columnas de la B a la H contienen días de la semana en las celdas." sqref="B12" xr:uid="{00000000-0002-0000-0200-000006000000}"/>
    <dataValidation allowBlank="1" showInputMessage="1" showErrorMessage="1" prompt="Las tareas de la hoja de cálculo de tareas aparecen en las filas 13, 15 y 17 de las columnas de la B a la H." sqref="B13" xr:uid="{00000000-0002-0000-0200-000007000000}"/>
    <dataValidation allowBlank="1" showInputMessage="1" showErrorMessage="1" prompt="Esta fila de la columna B a la H contiene los días de la semana de la vista semanal, con el lunes como día inicial de la semana." sqref="B11" xr:uid="{00000000-0002-0000-0200-000008000000}"/>
  </dataValidations>
  <hyperlinks>
    <hyperlink ref="B1" location="Tareas!A1" tooltip="Haga clic para ver las tareas." display="TAREAS" xr:uid="{00000000-0004-0000-0200-000000000000}"/>
    <hyperlink ref="C1" location="'Vista mensual'!A1" tooltip="Haga clic para ver la programación mensual." display="VISTA MENSUAL" xr:uid="{00000000-0004-0000-0200-000001000000}"/>
  </hyperlinks>
  <printOptions horizontalCentered="1" verticalCentered="1"/>
  <pageMargins left="0.25" right="0.25" top="0.75" bottom="0.75" header="0.3" footer="0.3"/>
  <pageSetup paperSize="9" orientation="landscape" r:id="rId1"/>
  <ignoredErrors>
    <ignoredError sqref="B14 C14:H14 B16:H16"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11</vt:i4>
      </vt:variant>
    </vt:vector>
  </HeadingPairs>
  <TitlesOfParts>
    <vt:vector size="14" baseType="lpstr">
      <vt:lpstr>Tareas</vt:lpstr>
      <vt:lpstr>Vista mensual</vt:lpstr>
      <vt:lpstr>Vista semanal</vt:lpstr>
      <vt:lpstr>MoMonth</vt:lpstr>
      <vt:lpstr>MoWeek2</vt:lpstr>
      <vt:lpstr>MoWeek3</vt:lpstr>
      <vt:lpstr>MoWeek4</vt:lpstr>
      <vt:lpstr>MoWeek5</vt:lpstr>
      <vt:lpstr>MoYear</vt:lpstr>
      <vt:lpstr>TítuloDeColumna1</vt:lpstr>
      <vt:lpstr>Tareas!Títulos_a_imprimir</vt:lpstr>
      <vt:lpstr>'Vista semanal'!WkMonth</vt:lpstr>
      <vt:lpstr>WkMonthView</vt:lpstr>
      <vt:lpstr>'Vista semanal'!WkYear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2016-09-16T21:38:58Z</dcterms:created>
  <dcterms:modified xsi:type="dcterms:W3CDTF">2020-04-21T21:51:25Z</dcterms:modified>
</cp:coreProperties>
</file>