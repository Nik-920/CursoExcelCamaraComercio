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hidePivotFieldList="1"/>
  <xr:revisionPtr revIDLastSave="0" documentId="8_{B5529D85-1A66-4FCB-9ACC-E20674DBCCB0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Información del presupuesto" sheetId="4" r:id="rId1"/>
    <sheet name="Resumen de presupuesto" sheetId="2" r:id="rId2"/>
    <sheet name="Gastos mensuales" sheetId="3" r:id="rId3"/>
    <sheet name="Datos adicionales" sheetId="5" r:id="rId4"/>
  </sheets>
  <definedNames>
    <definedName name="Gastos_Previstos">'Información del presupuesto'!$F$8</definedName>
    <definedName name="Gastos_Reales">'Información del presupuesto'!$G$8</definedName>
    <definedName name="Ingresos_Previstos">'Información del presupuesto'!$C$11</definedName>
    <definedName name="Ingresos_Reales">'Información del presupuesto'!$D$11</definedName>
    <definedName name="Lista_de_Categorías">Tabla_Lista_De_Categorías[Para agregar una categoría, escriba debajo]</definedName>
    <definedName name="SegmentaciónDeDatos_Categoría">#N/A</definedName>
    <definedName name="_xlnm.Print_Titles" localSheetId="2">'Gastos mensuales'!$1:$2</definedName>
  </definedNames>
  <calcPr calcId="181029"/>
  <pivotCaches>
    <pivotCache cacheId="4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61" i="3" l="1"/>
  <c r="G8" i="4"/>
  <c r="F8" i="4"/>
  <c r="D11" i="4"/>
  <c r="C11" i="4"/>
  <c r="D3" i="4"/>
  <c r="F4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3" i="3"/>
  <c r="D4" i="4" l="1"/>
  <c r="D5" i="4" s="1"/>
</calcChain>
</file>

<file path=xl/sharedStrings.xml><?xml version="1.0" encoding="utf-8"?>
<sst xmlns="http://schemas.openxmlformats.org/spreadsheetml/2006/main" count="207" uniqueCount="98">
  <si>
    <t>Saldo</t>
  </si>
  <si>
    <t>Saldo previsto</t>
  </si>
  <si>
    <t xml:space="preserve">Saldo actual </t>
  </si>
  <si>
    <t>Diferencia</t>
  </si>
  <si>
    <t>Ingresos</t>
  </si>
  <si>
    <t>Ingreso 1</t>
  </si>
  <si>
    <t>Ingreso 2</t>
  </si>
  <si>
    <t>Ingresos adicionales</t>
  </si>
  <si>
    <t>Ingresos totales</t>
  </si>
  <si>
    <t>Desglose de los gastos reales</t>
  </si>
  <si>
    <t>Cantidad prevista</t>
  </si>
  <si>
    <t>Cantidad real</t>
  </si>
  <si>
    <t>Cantidad prevista menos gastos</t>
  </si>
  <si>
    <t>Cantidad real menos gastos</t>
  </si>
  <si>
    <t>Cantidad real menos cantidad prevista</t>
  </si>
  <si>
    <t>Gastos</t>
  </si>
  <si>
    <t xml:space="preserve"> </t>
  </si>
  <si>
    <t>Resumen de presupuesto</t>
  </si>
  <si>
    <t>Niños</t>
  </si>
  <si>
    <t>Actividades extracurriculares</t>
  </si>
  <si>
    <t>Medicinas</t>
  </si>
  <si>
    <t>Material escolar</t>
  </si>
  <si>
    <t>Matrícula escolar</t>
  </si>
  <si>
    <t>Entretenimiento</t>
  </si>
  <si>
    <t>Conciertos</t>
  </si>
  <si>
    <t>Teatro</t>
  </si>
  <si>
    <t>Películas</t>
  </si>
  <si>
    <t>Música (CD, descargas, etc.).</t>
  </si>
  <si>
    <t>Eventos deportivos</t>
  </si>
  <si>
    <t>Vídeo o DVD (compra)</t>
  </si>
  <si>
    <t>Vídeo o DVD (alquiler)</t>
  </si>
  <si>
    <t>Comida</t>
  </si>
  <si>
    <t>Regalos y beneficencia</t>
  </si>
  <si>
    <t>Alojamiento</t>
  </si>
  <si>
    <t>Seguro</t>
  </si>
  <si>
    <t>Préstamos</t>
  </si>
  <si>
    <t>Cuidado personal</t>
  </si>
  <si>
    <t>Mascotas</t>
  </si>
  <si>
    <t>Impuestos</t>
  </si>
  <si>
    <t>Transporte</t>
  </si>
  <si>
    <t>Ahorros</t>
  </si>
  <si>
    <t>Cuenta de inversión</t>
  </si>
  <si>
    <t>Cuenta de jubilación</t>
  </si>
  <si>
    <t xml:space="preserve">Costo previsto </t>
  </si>
  <si>
    <t xml:space="preserve">Coste real </t>
  </si>
  <si>
    <t xml:space="preserve">Diferencia </t>
  </si>
  <si>
    <t>Descripción</t>
  </si>
  <si>
    <t>Restaurantes</t>
  </si>
  <si>
    <t>Provisiones</t>
  </si>
  <si>
    <t>Organización benéfica 1</t>
  </si>
  <si>
    <t>Organización benéfica 2</t>
  </si>
  <si>
    <t>Regalo 1</t>
  </si>
  <si>
    <t>Regalo 2</t>
  </si>
  <si>
    <t>Cable o satélite</t>
  </si>
  <si>
    <t>Electricidad</t>
  </si>
  <si>
    <t>Gas</t>
  </si>
  <si>
    <t>Servicios de limpieza</t>
  </si>
  <si>
    <t>Mantenimiento</t>
  </si>
  <si>
    <t>Hipoteca o alquiler</t>
  </si>
  <si>
    <t>Gas natural o petróleo</t>
  </si>
  <si>
    <t>Servicio online o de Internet</t>
  </si>
  <si>
    <t>Teléfono (móvil)</t>
  </si>
  <si>
    <t>Teléfono (casa)</t>
  </si>
  <si>
    <t>Artículos de consumo</t>
  </si>
  <si>
    <t>Reciclaje y eliminación de residuos</t>
  </si>
  <si>
    <t>Agua y alcantarillado</t>
  </si>
  <si>
    <t>Salud</t>
  </si>
  <si>
    <t>Hogar</t>
  </si>
  <si>
    <t>Vida</t>
  </si>
  <si>
    <t>Tarjeta de crédito 1</t>
  </si>
  <si>
    <t>Tarjeta de crédito 2</t>
  </si>
  <si>
    <t>Tarjeta de crédito 3</t>
  </si>
  <si>
    <t>Personal</t>
  </si>
  <si>
    <t>Estudiante</t>
  </si>
  <si>
    <t>Ropa</t>
  </si>
  <si>
    <t>Tintorería</t>
  </si>
  <si>
    <t>Pelo y uñas</t>
  </si>
  <si>
    <t>Gimnasio</t>
  </si>
  <si>
    <t>Aseo</t>
  </si>
  <si>
    <t>Juguetes</t>
  </si>
  <si>
    <t>Federal</t>
  </si>
  <si>
    <t>Locales</t>
  </si>
  <si>
    <t>Estatal</t>
  </si>
  <si>
    <t>Gastos de autobús o taxi</t>
  </si>
  <si>
    <t>Combustible</t>
  </si>
  <si>
    <t xml:space="preserve">Licencias </t>
  </si>
  <si>
    <t>Tarifas de estacionamiento</t>
  </si>
  <si>
    <t>Pago del vehículo</t>
  </si>
  <si>
    <t>Categoría</t>
  </si>
  <si>
    <t>Costo previsto</t>
  </si>
  <si>
    <t>Coste real</t>
  </si>
  <si>
    <t>Información general del coste real</t>
  </si>
  <si>
    <t>Tabla dinámica para el gráfico de presupuesto</t>
  </si>
  <si>
    <t>Coste</t>
  </si>
  <si>
    <t>Lista de categorías</t>
  </si>
  <si>
    <t>Para agregar una categoría, escriba debajo</t>
  </si>
  <si>
    <t>Categories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</si>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</sst>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\ &quot;€&quot;;[Red]\-#,##0\ &quot;€&quot;"/>
    <numFmt numFmtId="165" formatCode="#,##0\ &quot;€&quot;"/>
  </numFmts>
  <fonts count="30" x14ac:knownFonts="1">
    <font>
      <sz val="11"/>
      <color theme="1"/>
      <name val="Malgun Gothic"/>
      <family val="2"/>
      <scheme val="minor"/>
    </font>
    <font>
      <sz val="11"/>
      <color theme="1"/>
      <name val="Corbel"/>
      <family val="2"/>
    </font>
    <font>
      <sz val="28"/>
      <color theme="1"/>
      <name val="Franklin Gothic Book"/>
      <family val="2"/>
    </font>
    <font>
      <sz val="14"/>
      <color theme="1"/>
      <name val="Corbel"/>
      <family val="2"/>
    </font>
    <font>
      <sz val="10"/>
      <color theme="1"/>
      <name val="Malgun Gothic"/>
      <family val="2"/>
    </font>
    <font>
      <sz val="28"/>
      <color theme="4" tint="-0.499984740745262"/>
      <name val="Rockwell"/>
      <family val="1"/>
    </font>
    <font>
      <sz val="9"/>
      <color theme="1"/>
      <name val="Malgun Gothic"/>
      <family val="2"/>
    </font>
    <font>
      <sz val="16"/>
      <color theme="4" tint="-0.249977111117893"/>
      <name val="Corbel"/>
      <family val="2"/>
    </font>
    <font>
      <sz val="9"/>
      <color theme="1" tint="0.249977111117893"/>
      <name val="Malgun Gothic"/>
      <family val="2"/>
    </font>
    <font>
      <sz val="10"/>
      <color theme="4" tint="-0.249977111117893"/>
      <name val="Malgun Gothic"/>
      <family val="2"/>
    </font>
    <font>
      <sz val="12"/>
      <color theme="1"/>
      <name val="Malgun Gothic"/>
      <family val="2"/>
    </font>
    <font>
      <sz val="8"/>
      <color theme="1"/>
      <name val="Malgun Gothic"/>
      <family val="2"/>
    </font>
    <font>
      <sz val="11"/>
      <color theme="1" tint="0.249977111117893"/>
      <name val="Corbel"/>
      <family val="2"/>
    </font>
    <font>
      <sz val="24"/>
      <color theme="9" tint="-0.499984740745262"/>
      <name val="Franklin Gothic Book"/>
      <family val="2"/>
    </font>
    <font>
      <sz val="11"/>
      <color theme="1" tint="0.249977111117893"/>
      <name val="Malgun Gothic"/>
      <family val="2"/>
      <scheme val="minor"/>
    </font>
    <font>
      <sz val="14"/>
      <color theme="9" tint="-0.499984740745262"/>
      <name val="Franklin Gothic Medium"/>
      <family val="2"/>
      <scheme val="major"/>
    </font>
    <font>
      <sz val="11"/>
      <color theme="9" tint="-0.499984740745262"/>
      <name val="Franklin Gothic Medium"/>
      <family val="2"/>
      <scheme val="major"/>
    </font>
    <font>
      <sz val="9"/>
      <color theme="1" tint="0.249977111117893"/>
      <name val="Malgun Gothic"/>
      <family val="2"/>
      <scheme val="minor"/>
    </font>
    <font>
      <sz val="14"/>
      <color theme="9" tint="-0.499984740745262"/>
      <name val="Corbel"/>
      <family val="2"/>
    </font>
    <font>
      <sz val="14"/>
      <color theme="9" tint="-0.499984740745262"/>
      <name val="Malgun Gothic"/>
      <family val="2"/>
    </font>
    <font>
      <sz val="16"/>
      <color theme="1" tint="0.249977111117893"/>
      <name val="Malgun Gothic"/>
      <family val="2"/>
      <scheme val="minor"/>
    </font>
    <font>
      <sz val="11"/>
      <color theme="9" tint="-0.249977111117893"/>
      <name val="Malgun Gothic"/>
      <family val="2"/>
      <scheme val="minor"/>
    </font>
    <font>
      <sz val="10"/>
      <color theme="9" tint="-0.249977111117893"/>
      <name val="Malgun Gothic"/>
      <family val="2"/>
      <scheme val="minor"/>
    </font>
    <font>
      <sz val="14"/>
      <color theme="1" tint="0.249977111117893"/>
      <name val="Malgun Gothic"/>
      <family val="2"/>
      <scheme val="minor"/>
    </font>
    <font>
      <sz val="10"/>
      <color theme="9" tint="-0.499984740745262"/>
      <name val="Franklin Gothic Medium"/>
      <family val="2"/>
      <scheme val="major"/>
    </font>
    <font>
      <sz val="10"/>
      <color theme="1" tint="0.249977111117893"/>
      <name val="Franklin Gothic Medium"/>
      <family val="2"/>
      <scheme val="major"/>
    </font>
    <font>
      <sz val="9"/>
      <color theme="1"/>
      <name val="Malgun Gothic"/>
    </font>
    <font>
      <sz val="10"/>
      <color theme="9" tint="-0.499984740745262"/>
      <name val="Franklin Gothic Medium"/>
      <scheme val="major"/>
    </font>
    <font>
      <sz val="9"/>
      <color theme="9" tint="-0.499984740745262"/>
      <name val="Malgun Gothic"/>
      <family val="2"/>
      <scheme val="minor"/>
    </font>
    <font>
      <b/>
      <sz val="9"/>
      <color theme="9" tint="-0.499984740745262"/>
      <name val="Malgun Gothic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/>
      <top style="thin">
        <color theme="0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8" fillId="0" borderId="2" xfId="0" applyFont="1" applyBorder="1"/>
    <xf numFmtId="0" fontId="8" fillId="0" borderId="0" xfId="0" applyFont="1"/>
    <xf numFmtId="0" fontId="7" fillId="0" borderId="1" xfId="0" applyFont="1" applyBorder="1"/>
    <xf numFmtId="0" fontId="6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wrapText="1"/>
    </xf>
    <xf numFmtId="0" fontId="12" fillId="0" borderId="0" xfId="0" applyFont="1" applyAlignment="1">
      <alignment vertical="center"/>
    </xf>
    <xf numFmtId="0" fontId="11" fillId="0" borderId="0" xfId="0" applyFont="1"/>
    <xf numFmtId="0" fontId="8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6" fillId="0" borderId="3" xfId="0" applyFont="1" applyBorder="1" applyAlignment="1">
      <alignment horizontal="center" vertical="center" wrapText="1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left" indent="1"/>
    </xf>
    <xf numFmtId="0" fontId="15" fillId="0" borderId="1" xfId="0" applyFont="1" applyBorder="1"/>
    <xf numFmtId="0" fontId="18" fillId="0" borderId="1" xfId="0" applyFont="1" applyBorder="1" applyAlignment="1">
      <alignment horizontal="center"/>
    </xf>
    <xf numFmtId="0" fontId="19" fillId="0" borderId="0" xfId="0" applyFont="1"/>
    <xf numFmtId="0" fontId="17" fillId="0" borderId="0" xfId="0" applyFont="1" applyAlignment="1">
      <alignment horizontal="left" vertical="center" indent="1"/>
    </xf>
    <xf numFmtId="0" fontId="17" fillId="0" borderId="0" xfId="0" applyFont="1" applyAlignment="1">
      <alignment horizontal="left"/>
    </xf>
    <xf numFmtId="0" fontId="15" fillId="0" borderId="1" xfId="0" applyFont="1" applyBorder="1" applyAlignment="1">
      <alignment horizontal="left"/>
    </xf>
    <xf numFmtId="0" fontId="0" fillId="0" borderId="0" xfId="0" applyAlignment="1">
      <alignment vertical="center"/>
    </xf>
    <xf numFmtId="0" fontId="17" fillId="0" borderId="2" xfId="0" applyFont="1" applyBorder="1"/>
    <xf numFmtId="0" fontId="17" fillId="0" borderId="0" xfId="0" applyFont="1"/>
    <xf numFmtId="0" fontId="14" fillId="0" borderId="0" xfId="0" applyFont="1" applyAlignment="1">
      <alignment horizontal="left" vertical="center" indent="1"/>
    </xf>
    <xf numFmtId="0" fontId="21" fillId="0" borderId="0" xfId="0" applyFont="1" applyAlignment="1">
      <alignment horizontal="center"/>
    </xf>
    <xf numFmtId="0" fontId="22" fillId="0" borderId="0" xfId="0" applyFont="1"/>
    <xf numFmtId="0" fontId="14" fillId="0" borderId="0" xfId="0" applyFont="1" applyAlignment="1">
      <alignment vertical="center"/>
    </xf>
    <xf numFmtId="0" fontId="17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5" fillId="0" borderId="3" xfId="0" applyFont="1" applyBorder="1" applyAlignment="1">
      <alignment vertical="center"/>
    </xf>
    <xf numFmtId="0" fontId="27" fillId="2" borderId="5" xfId="0" applyFont="1" applyFill="1" applyBorder="1" applyAlignment="1">
      <alignment horizontal="center" vertical="center"/>
    </xf>
    <xf numFmtId="164" fontId="26" fillId="0" borderId="0" xfId="0" applyNumberFormat="1" applyFont="1" applyAlignment="1">
      <alignment horizontal="center"/>
    </xf>
    <xf numFmtId="164" fontId="17" fillId="0" borderId="0" xfId="0" applyNumberFormat="1" applyFont="1" applyAlignment="1">
      <alignment horizontal="center" vertical="center"/>
    </xf>
    <xf numFmtId="164" fontId="17" fillId="0" borderId="0" xfId="0" applyNumberFormat="1" applyFont="1" applyAlignment="1">
      <alignment horizontal="center"/>
    </xf>
    <xf numFmtId="0" fontId="28" fillId="0" borderId="0" xfId="0" applyFont="1" applyAlignment="1">
      <alignment horizontal="left"/>
    </xf>
    <xf numFmtId="165" fontId="20" fillId="0" borderId="2" xfId="0" applyNumberFormat="1" applyFont="1" applyBorder="1" applyAlignment="1">
      <alignment horizontal="left"/>
    </xf>
    <xf numFmtId="165" fontId="20" fillId="0" borderId="0" xfId="0" applyNumberFormat="1" applyFont="1" applyAlignment="1">
      <alignment horizontal="left"/>
    </xf>
    <xf numFmtId="165" fontId="23" fillId="0" borderId="0" xfId="0" applyNumberFormat="1" applyFont="1" applyAlignment="1">
      <alignment horizontal="center" vertical="center"/>
    </xf>
    <xf numFmtId="165" fontId="23" fillId="0" borderId="1" xfId="0" applyNumberFormat="1" applyFont="1" applyBorder="1" applyAlignment="1">
      <alignment horizontal="center" vertical="center"/>
    </xf>
    <xf numFmtId="0" fontId="26" fillId="0" borderId="0" xfId="0" applyFont="1" applyAlignment="1">
      <alignment horizontal="left" indent="1"/>
    </xf>
    <xf numFmtId="164" fontId="29" fillId="0" borderId="4" xfId="0" applyNumberFormat="1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4" fillId="0" borderId="3" xfId="0" pivotButton="1" applyFont="1" applyBorder="1" applyAlignment="1">
      <alignment horizontal="center" vertical="center"/>
    </xf>
    <xf numFmtId="0" fontId="27" fillId="0" borderId="3" xfId="0" pivotButton="1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14" fillId="0" borderId="0" xfId="0" applyFont="1" applyAlignment="1">
      <alignment horizontal="left" indent="1"/>
    </xf>
    <xf numFmtId="0" fontId="14" fillId="0" borderId="2" xfId="0" applyFont="1" applyBorder="1" applyAlignment="1">
      <alignment horizontal="left" indent="1"/>
    </xf>
  </cellXfs>
  <cellStyles count="1">
    <cellStyle name="Normal" xfId="0" builtinId="0"/>
  </cellStyles>
  <dxfs count="299">
    <dxf>
      <alignment horizontal="center" readingOrder="0"/>
    </dxf>
    <dxf>
      <font>
        <color theme="4" tint="-0.249977111117893"/>
      </font>
    </dxf>
    <dxf>
      <font>
        <color theme="4" tint="-0.249977111117893"/>
      </font>
    </dxf>
    <dxf>
      <border>
        <top style="thin">
          <color theme="0" tint="-0.24994659260841701"/>
        </top>
      </border>
    </dxf>
    <dxf>
      <border>
        <top style="thin">
          <color theme="0" tint="-0.24994659260841701"/>
        </top>
      </border>
    </dxf>
    <dxf>
      <border>
        <top style="thin">
          <color theme="0" tint="-0.34998626667073579"/>
        </top>
      </border>
    </dxf>
    <dxf>
      <font>
        <color theme="4" tint="-0.249977111117893"/>
      </font>
      <fill>
        <patternFill patternType="solid">
          <fgColor indexed="64"/>
          <bgColor theme="0"/>
        </patternFill>
      </fill>
    </dxf>
    <dxf>
      <font>
        <color theme="4" tint="-0.249977111117893"/>
      </font>
      <fill>
        <patternFill patternType="solid">
          <fgColor indexed="64"/>
          <bgColor theme="0"/>
        </patternFill>
      </fill>
    </dxf>
    <dxf>
      <alignment horizontal="center" readingOrder="0"/>
    </dxf>
    <dxf>
      <alignment horizontal="center" readingOrder="0"/>
    </dxf>
    <dxf>
      <border>
        <bottom style="thin">
          <color theme="0" tint="-0.34998626667073579"/>
        </bottom>
      </border>
    </dxf>
    <dxf>
      <border>
        <bottom style="thin">
          <color theme="0" tint="-0.34998626667073579"/>
        </bottom>
      </border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name val="Malgun Gothic"/>
        <scheme val="none"/>
      </font>
    </dxf>
    <dxf>
      <font>
        <name val="Malgun Gothic"/>
        <scheme val="none"/>
      </font>
    </dxf>
    <dxf>
      <font>
        <name val="Malgun Gothic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font>
        <sz val="12"/>
      </font>
    </dxf>
    <dxf>
      <font>
        <sz val="12"/>
      </font>
    </dxf>
    <dxf>
      <font>
        <sz val="9"/>
      </font>
    </dxf>
    <dxf>
      <font>
        <sz val="9"/>
      </font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font>
        <sz val="9"/>
      </font>
    </dxf>
    <dxf>
      <font>
        <sz val="9"/>
      </font>
    </dxf>
    <dxf>
      <alignment vertical="center" readingOrder="0"/>
    </dxf>
    <dxf>
      <alignment vertical="center" readingOrder="0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border>
        <top style="thin">
          <color theme="0"/>
        </top>
      </border>
    </dxf>
    <dxf>
      <border>
        <top style="thin">
          <color theme="0"/>
        </top>
      </border>
    </dxf>
    <dxf>
      <font>
        <color theme="9" tint="-0.499984740745262"/>
      </font>
    </dxf>
    <dxf>
      <font>
        <color theme="9" tint="-0.499984740745262"/>
      </font>
    </dxf>
    <dxf>
      <font>
        <color theme="9" tint="-0.499984740745262"/>
      </font>
    </dxf>
    <dxf>
      <font>
        <color theme="9" tint="-0.499984740745262"/>
      </font>
    </dxf>
    <dxf>
      <font>
        <name val="Franklin Gothic Medium"/>
        <scheme val="major"/>
      </font>
    </dxf>
    <dxf>
      <font>
        <name val="Lato Black"/>
      </font>
    </dxf>
    <dxf>
      <font>
        <name val="Lato"/>
      </font>
    </dxf>
    <dxf>
      <font>
        <name val="Malgun Gothic"/>
        <scheme val="none"/>
      </font>
    </dxf>
    <dxf>
      <numFmt numFmtId="164" formatCode="#,##0\ &quot;€&quot;;[Red]\-#,##0\ &quot;€&quot;"/>
    </dxf>
    <dxf>
      <font>
        <color theme="9" tint="-0.499984740745262"/>
      </font>
    </dxf>
    <dxf>
      <border>
        <top style="thin">
          <color theme="0"/>
        </top>
      </border>
    </dxf>
    <dxf>
      <border>
        <top style="thin">
          <color theme="0"/>
        </top>
      </border>
    </dxf>
    <dxf>
      <font>
        <name val="Franklin Gothic Medium"/>
        <scheme val="major"/>
      </font>
    </dxf>
    <dxf>
      <font>
        <sz val="9"/>
      </font>
    </dxf>
    <dxf>
      <alignment indent="1"/>
    </dxf>
    <dxf>
      <font>
        <sz val="9"/>
      </font>
      <alignment horizontal="left" indent="1"/>
    </dxf>
    <dxf>
      <font>
        <name val="Franklin Gothic Medium"/>
        <family val="2"/>
        <scheme val="major"/>
      </font>
    </dxf>
    <dxf>
      <font>
        <color theme="9" tint="-0.499984740745262"/>
      </font>
    </dxf>
    <dxf>
      <border>
        <top style="thin">
          <color theme="0"/>
        </top>
      </border>
    </dxf>
    <dxf>
      <font>
        <sz val="10"/>
      </font>
    </dxf>
    <dxf>
      <alignment horizontal="center" indent="0"/>
    </dxf>
    <dxf>
      <alignment vertical="center"/>
    </dxf>
    <dxf>
      <font>
        <name val="Malgun Gothic"/>
        <scheme val="none"/>
      </font>
    </dxf>
    <dxf>
      <font>
        <name val="Malgun Gothic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Malgun Gothic"/>
        <scheme val="none"/>
      </font>
    </dxf>
    <dxf>
      <font>
        <name val="Malgun Gothic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color theme="1" tint="0.249977111117893"/>
      </font>
    </dxf>
    <dxf>
      <font>
        <color theme="1" tint="0.249977111117893"/>
      </font>
    </dxf>
    <dxf>
      <font>
        <color theme="1" tint="0.249977111117893"/>
      </font>
    </dxf>
    <dxf>
      <alignment horizontal="center" readingOrder="0"/>
    </dxf>
    <dxf>
      <font>
        <color theme="4" tint="-0.499984740745262"/>
      </font>
    </dxf>
    <dxf>
      <font>
        <color theme="9" tint="-0.499984740745262"/>
      </font>
    </dxf>
    <dxf>
      <numFmt numFmtId="164" formatCode="#,##0\ &quot;€&quot;;[Red]\-#,##0\ &quot;€&quot;"/>
    </dxf>
    <dxf>
      <numFmt numFmtId="164" formatCode="#,##0\ &quot;€&quot;;[Red]\-#,##0\ &quot;€&quot;"/>
    </dxf>
    <dxf>
      <numFmt numFmtId="164" formatCode="#,##0\ &quot;€&quot;;[Red]\-#,##0\ &quot;€&quot;"/>
    </dxf>
    <dxf>
      <font>
        <name val="Malgun Gothic"/>
        <family val="2"/>
        <scheme val="minor"/>
      </font>
    </dxf>
    <dxf>
      <font>
        <name val="Malgun Gothic"/>
        <family val="2"/>
        <scheme val="minor"/>
      </font>
    </dxf>
    <dxf>
      <font>
        <name val="Malgun Gothic"/>
        <family val="2"/>
        <scheme val="minor"/>
      </font>
    </dxf>
    <dxf>
      <font>
        <name val="Malgun Gothic"/>
        <family val="2"/>
        <scheme val="minor"/>
      </font>
    </dxf>
    <dxf>
      <font>
        <name val="Malgun Gothic"/>
        <family val="2"/>
        <scheme val="minor"/>
      </font>
    </dxf>
    <dxf>
      <font>
        <name val="Malgun Gothic"/>
        <family val="2"/>
        <scheme val="minor"/>
      </font>
    </dxf>
    <dxf>
      <font>
        <name val="Malgun Gothic"/>
        <family val="2"/>
        <scheme val="minor"/>
      </font>
    </dxf>
    <dxf>
      <font>
        <name val="Malgun Gothic"/>
        <family val="2"/>
        <scheme val="minor"/>
      </font>
    </dxf>
    <dxf>
      <font>
        <name val="Malgun Gothic"/>
        <family val="2"/>
        <scheme val="minor"/>
      </font>
    </dxf>
    <dxf>
      <font>
        <name val="Malgun Gothic"/>
        <family val="2"/>
        <scheme val="minor"/>
      </font>
    </dxf>
    <dxf>
      <font>
        <name val="Malgun Gothic"/>
        <family val="2"/>
        <scheme val="minor"/>
      </font>
    </dxf>
    <dxf>
      <font>
        <name val="Malgun Gothic"/>
        <family val="2"/>
        <scheme val="minor"/>
      </font>
    </dxf>
    <dxf>
      <font>
        <name val="Malgun Gothic"/>
        <family val="2"/>
        <scheme val="minor"/>
      </font>
    </dxf>
    <dxf>
      <font>
        <name val="Malgun Gothic"/>
        <family val="2"/>
        <scheme val="minor"/>
      </font>
    </dxf>
    <dxf>
      <font>
        <name val="Malgun Gothic"/>
        <family val="2"/>
        <scheme val="minor"/>
      </font>
    </dxf>
    <dxf>
      <font>
        <name val="Malgun Gothic"/>
        <family val="2"/>
        <scheme val="minor"/>
      </font>
    </dxf>
    <dxf>
      <font>
        <name val="Franklin Gothic Medium"/>
        <scheme val="major"/>
      </font>
    </dxf>
    <dxf>
      <font>
        <name val="Franklin Gothic Medium"/>
        <scheme val="major"/>
      </font>
    </dxf>
    <dxf>
      <font>
        <color theme="9" tint="-0.499984740745262"/>
      </font>
    </dxf>
    <dxf>
      <font>
        <color theme="9" tint="-0.499984740745262"/>
      </font>
    </dxf>
    <dxf>
      <font>
        <sz val="10"/>
      </font>
    </dxf>
    <dxf>
      <font>
        <sz val="10"/>
      </font>
    </dxf>
    <dxf>
      <border>
        <top style="thin">
          <color theme="0"/>
        </top>
      </border>
    </dxf>
    <dxf>
      <numFmt numFmtId="164" formatCode="#,##0\ &quot;€&quot;;[Red]\-#,##0\ &quot;€&quot;"/>
    </dxf>
    <dxf>
      <alignment vertical="center"/>
    </dxf>
    <dxf>
      <alignment horizontal="center"/>
    </dxf>
    <dxf>
      <border>
        <top style="thin">
          <color theme="0"/>
        </top>
      </border>
    </dxf>
    <dxf>
      <alignment horizontal="center"/>
    </dxf>
    <dxf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Malgun Gothic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Malgun Gothic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Franklin Gothic Medium"/>
        <scheme val="major"/>
      </font>
      <alignment horizontal="general" vertical="center" textRotation="0" wrapText="0" indent="0" justifyLastLine="0" shrinkToFit="0" readingOrder="0"/>
    </dxf>
    <dxf>
      <alignment vertical="center"/>
    </dxf>
    <dxf>
      <alignment horizontal="center" indent="0"/>
    </dxf>
    <dxf>
      <font>
        <sz val="10"/>
      </font>
    </dxf>
    <dxf>
      <border>
        <top style="thin">
          <color theme="0"/>
        </top>
      </border>
    </dxf>
    <dxf>
      <font>
        <color theme="9" tint="-0.499984740745262"/>
      </font>
    </dxf>
    <dxf>
      <font>
        <name val="Franklin Gothic Medium"/>
        <family val="2"/>
        <scheme val="major"/>
      </font>
    </dxf>
    <dxf>
      <font>
        <sz val="9"/>
      </font>
      <alignment horizontal="left" indent="1"/>
    </dxf>
    <dxf>
      <alignment indent="1"/>
    </dxf>
    <dxf>
      <font>
        <sz val="9"/>
      </font>
    </dxf>
    <dxf>
      <font>
        <name val="Franklin Gothic Medium"/>
        <scheme val="major"/>
      </font>
    </dxf>
    <dxf>
      <border>
        <top style="thin">
          <color theme="0"/>
        </top>
      </border>
    </dxf>
    <dxf>
      <border>
        <top style="thin">
          <color theme="0"/>
        </top>
      </border>
    </dxf>
    <dxf>
      <font>
        <color theme="9" tint="-0.499984740745262"/>
      </font>
    </dxf>
    <dxf>
      <numFmt numFmtId="164" formatCode="#,##0\ &quot;€&quot;;[Red]\-#,##0\ &quot;€&quot;"/>
    </dxf>
    <dxf>
      <font>
        <name val="Malgun Gothic"/>
        <scheme val="none"/>
      </font>
    </dxf>
    <dxf>
      <font>
        <name val="Lato"/>
      </font>
    </dxf>
    <dxf>
      <font>
        <name val="Lato Black"/>
      </font>
    </dxf>
    <dxf>
      <font>
        <name val="Franklin Gothic Medium"/>
        <scheme val="major"/>
      </font>
    </dxf>
    <dxf>
      <font>
        <color theme="9" tint="-0.499984740745262"/>
      </font>
    </dxf>
    <dxf>
      <font>
        <color theme="9" tint="-0.499984740745262"/>
      </font>
    </dxf>
    <dxf>
      <font>
        <color theme="9" tint="-0.499984740745262"/>
      </font>
    </dxf>
    <dxf>
      <font>
        <color theme="9" tint="-0.499984740745262"/>
      </font>
    </dxf>
    <dxf>
      <border>
        <top style="thin">
          <color theme="0"/>
        </top>
      </border>
    </dxf>
    <dxf>
      <border>
        <top style="thin">
          <color theme="0"/>
        </top>
      </border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alignment vertical="center" readingOrder="0"/>
    </dxf>
    <dxf>
      <alignment vertical="center" readingOrder="0"/>
    </dxf>
    <dxf>
      <font>
        <sz val="9"/>
      </font>
    </dxf>
    <dxf>
      <font>
        <sz val="9"/>
      </font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font>
        <sz val="9"/>
      </font>
    </dxf>
    <dxf>
      <font>
        <sz val="9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Malgun Gothic"/>
        <scheme val="none"/>
      </font>
    </dxf>
    <dxf>
      <font>
        <name val="Malgun Gothic"/>
        <scheme val="none"/>
      </font>
    </dxf>
    <dxf>
      <font>
        <name val="Malgun Gothic"/>
        <scheme val="none"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border>
        <bottom style="thin">
          <color theme="0" tint="-0.34998626667073579"/>
        </bottom>
      </border>
    </dxf>
    <dxf>
      <border>
        <bottom style="thin">
          <color theme="0" tint="-0.34998626667073579"/>
        </bottom>
      </border>
    </dxf>
    <dxf>
      <alignment horizontal="center" readingOrder="0"/>
    </dxf>
    <dxf>
      <alignment horizontal="center" readingOrder="0"/>
    </dxf>
    <dxf>
      <font>
        <color theme="4" tint="-0.249977111117893"/>
      </font>
      <fill>
        <patternFill patternType="solid">
          <fgColor indexed="64"/>
          <bgColor theme="0"/>
        </patternFill>
      </fill>
    </dxf>
    <dxf>
      <font>
        <color theme="4" tint="-0.249977111117893"/>
      </font>
      <fill>
        <patternFill patternType="solid">
          <fgColor indexed="64"/>
          <bgColor theme="0"/>
        </patternFill>
      </fill>
    </dxf>
    <dxf>
      <border>
        <top style="thin">
          <color theme="0" tint="-0.34998626667073579"/>
        </top>
      </border>
    </dxf>
    <dxf>
      <border>
        <top style="thin">
          <color theme="0" tint="-0.24994659260841701"/>
        </top>
      </border>
    </dxf>
    <dxf>
      <border>
        <top style="thin">
          <color theme="0" tint="-0.24994659260841701"/>
        </top>
      </border>
    </dxf>
    <dxf>
      <font>
        <color theme="4" tint="-0.249977111117893"/>
      </font>
    </dxf>
    <dxf>
      <font>
        <color theme="4" tint="-0.249977111117893"/>
      </font>
    </dxf>
    <dxf>
      <alignment horizontal="center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Malgun Gothic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Malgun Gothic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Malgun Gothic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Malgun Gothic"/>
        <scheme val="minor"/>
      </font>
      <numFmt numFmtId="164" formatCode="#,##0\ &quot;€&quot;;[Red]\-#,##0\ &quot;€&quot;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Malgun Gothic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Malgun Gothic"/>
        <scheme val="minor"/>
      </font>
      <numFmt numFmtId="164" formatCode="#,##0\ &quot;€&quot;;[Red]\-#,##0\ &quot;€&quot;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Malgun Gothic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Malgun Gothic"/>
        <scheme val="minor"/>
      </font>
      <numFmt numFmtId="164" formatCode="#,##0\ &quot;€&quot;;[Red]\-#,##0\ &quot;€&quot;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Malgun Gothic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Malgun Gothic"/>
        <scheme val="minor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Malgun Gothic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Malgun Gothic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algun Gothic"/>
        <scheme val="minor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Franklin Gothic Medium"/>
        <scheme val="major"/>
      </font>
      <alignment horizontal="center" vertical="center" textRotation="0" wrapText="1" indent="0" justifyLastLine="0" shrinkToFit="0" readingOrder="0"/>
    </dxf>
    <dxf>
      <font>
        <color rgb="FFC00000"/>
      </font>
    </dxf>
    <dxf>
      <alignment vertical="center"/>
    </dxf>
    <dxf>
      <alignment horizontal="center"/>
    </dxf>
    <dxf>
      <border>
        <top style="thin">
          <color theme="0"/>
        </top>
      </border>
    </dxf>
    <dxf>
      <alignment horizontal="center"/>
    </dxf>
    <dxf>
      <alignment vertical="center"/>
    </dxf>
    <dxf>
      <numFmt numFmtId="164" formatCode="#,##0\ &quot;€&quot;;[Red]\-#,##0\ &quot;€&quot;"/>
    </dxf>
    <dxf>
      <border>
        <top style="thin">
          <color theme="0"/>
        </top>
      </border>
    </dxf>
    <dxf>
      <font>
        <sz val="10"/>
      </font>
    </dxf>
    <dxf>
      <font>
        <sz val="10"/>
      </font>
    </dxf>
    <dxf>
      <font>
        <color theme="9" tint="-0.499984740745262"/>
      </font>
    </dxf>
    <dxf>
      <font>
        <color theme="9" tint="-0.499984740745262"/>
      </font>
    </dxf>
    <dxf>
      <font>
        <name val="Franklin Gothic Medium"/>
        <scheme val="major"/>
      </font>
    </dxf>
    <dxf>
      <font>
        <name val="Franklin Gothic Medium"/>
        <scheme val="major"/>
      </font>
    </dxf>
    <dxf>
      <font>
        <name val="Malgun Gothic"/>
        <family val="2"/>
        <scheme val="minor"/>
      </font>
    </dxf>
    <dxf>
      <font>
        <name val="Malgun Gothic"/>
        <family val="2"/>
        <scheme val="minor"/>
      </font>
    </dxf>
    <dxf>
      <font>
        <name val="Malgun Gothic"/>
        <family val="2"/>
        <scheme val="minor"/>
      </font>
    </dxf>
    <dxf>
      <font>
        <name val="Malgun Gothic"/>
        <family val="2"/>
        <scheme val="minor"/>
      </font>
    </dxf>
    <dxf>
      <font>
        <name val="Malgun Gothic"/>
        <family val="2"/>
        <scheme val="minor"/>
      </font>
    </dxf>
    <dxf>
      <font>
        <name val="Malgun Gothic"/>
        <family val="2"/>
        <scheme val="minor"/>
      </font>
    </dxf>
    <dxf>
      <font>
        <name val="Malgun Gothic"/>
        <family val="2"/>
        <scheme val="minor"/>
      </font>
    </dxf>
    <dxf>
      <font>
        <name val="Malgun Gothic"/>
        <family val="2"/>
        <scheme val="minor"/>
      </font>
    </dxf>
    <dxf>
      <font>
        <name val="Malgun Gothic"/>
        <family val="2"/>
        <scheme val="minor"/>
      </font>
    </dxf>
    <dxf>
      <font>
        <name val="Malgun Gothic"/>
        <family val="2"/>
        <scheme val="minor"/>
      </font>
    </dxf>
    <dxf>
      <font>
        <name val="Malgun Gothic"/>
        <family val="2"/>
        <scheme val="minor"/>
      </font>
    </dxf>
    <dxf>
      <font>
        <name val="Malgun Gothic"/>
        <family val="2"/>
        <scheme val="minor"/>
      </font>
    </dxf>
    <dxf>
      <font>
        <name val="Malgun Gothic"/>
        <family val="2"/>
        <scheme val="minor"/>
      </font>
    </dxf>
    <dxf>
      <font>
        <name val="Malgun Gothic"/>
        <family val="2"/>
        <scheme val="minor"/>
      </font>
    </dxf>
    <dxf>
      <font>
        <name val="Malgun Gothic"/>
        <family val="2"/>
        <scheme val="minor"/>
      </font>
    </dxf>
    <dxf>
      <font>
        <name val="Malgun Gothic"/>
        <family val="2"/>
        <scheme val="minor"/>
      </font>
    </dxf>
    <dxf>
      <numFmt numFmtId="164" formatCode="#,##0\ &quot;€&quot;;[Red]\-#,##0\ &quot;€&quot;"/>
    </dxf>
    <dxf>
      <numFmt numFmtId="164" formatCode="#,##0\ &quot;€&quot;;[Red]\-#,##0\ &quot;€&quot;"/>
    </dxf>
    <dxf>
      <numFmt numFmtId="164" formatCode="#,##0\ &quot;€&quot;;[Red]\-#,##0\ &quot;€&quot;"/>
    </dxf>
    <dxf>
      <font>
        <color theme="9" tint="-0.499984740745262"/>
      </font>
    </dxf>
    <dxf>
      <font>
        <color theme="4" tint="-0.499984740745262"/>
      </font>
    </dxf>
    <dxf>
      <alignment horizontal="center" readingOrder="0"/>
    </dxf>
    <dxf>
      <font>
        <color theme="1" tint="0.249977111117893"/>
      </font>
    </dxf>
    <dxf>
      <font>
        <color theme="1" tint="0.249977111117893"/>
      </font>
    </dxf>
    <dxf>
      <font>
        <color theme="1" tint="0.249977111117893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Malgun Gothic"/>
        <scheme val="none"/>
      </font>
    </dxf>
    <dxf>
      <font>
        <name val="Malgun Gothic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Malgun Gothic"/>
        <scheme val="none"/>
      </font>
    </dxf>
    <dxf>
      <font>
        <name val="Malgun Gothic"/>
        <scheme val="none"/>
      </font>
    </dxf>
    <dxf>
      <font>
        <color rgb="FFC00000"/>
      </font>
    </dxf>
    <dxf>
      <font>
        <sz val="8"/>
        <color theme="1" tint="0.24994659260841701"/>
        <name val="Malgun Gothic"/>
        <scheme val="minor"/>
      </font>
      <border diagonalUp="0" diagonalDown="0">
        <left/>
        <right/>
        <top/>
        <bottom/>
        <vertical/>
        <horizontal/>
      </border>
    </dxf>
    <dxf>
      <font>
        <sz val="9"/>
        <color theme="4" tint="-0.499984740745262"/>
        <name val="Franklin Gothic Medium"/>
        <scheme val="major"/>
      </font>
      <border diagonalUp="0" diagonalDown="0">
        <left/>
        <right/>
        <top/>
        <bottom/>
        <vertical/>
        <horizontal/>
      </border>
    </dxf>
    <dxf>
      <font>
        <sz val="8"/>
        <color theme="1" tint="0.24994659260841701"/>
        <name val="Malgun Gothic"/>
        <scheme val="minor"/>
      </font>
      <border diagonalUp="0" diagonalDown="0">
        <left/>
        <right/>
        <top/>
        <bottom/>
        <vertical/>
        <horizontal/>
      </border>
    </dxf>
    <dxf>
      <font>
        <sz val="9"/>
        <color theme="4" tint="-0.499984740745262"/>
        <name val="Franklin Gothic Medium"/>
        <scheme val="major"/>
      </font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EstiloDeSegmentaciónDeDatosPersonalizada1" pivot="0" table="0" count="2" xr9:uid="{00000000-0011-0000-FFFF-FFFF00000000}">
      <tableStyleElement type="wholeTable" dxfId="298"/>
      <tableStyleElement type="headerRow" dxfId="297"/>
    </tableStyle>
    <tableStyle name="EstiloDeSegmentaciónDeDatosPersonalizada1 " pivot="0" table="0" count="10" xr9:uid="{00EE3106-21EA-4816-8C21-98AAE596AC3D}">
      <tableStyleElement type="wholeTable" dxfId="296"/>
      <tableStyleElement type="headerRow" dxfId="295"/>
    </tableStyle>
  </tableStyles>
  <colors>
    <mruColors>
      <color rgb="FFCCECFF"/>
      <color rgb="FF663300"/>
      <color rgb="FF3E2E00"/>
      <color rgb="FF543E00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patternFill patternType="solid">
              <fgColor auto="1"/>
              <bgColor theme="9" tint="0.3999450666829432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theme="4" tint="0.3999450666829432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  <name val="Malgun Gothic"/>
            <scheme val="minor"/>
          </font>
          <fill>
            <patternFill patternType="solid">
              <fgColor auto="1"/>
              <bgColor theme="9" tint="0.3999450666829432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theme="9" tint="0.3999450666829432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9" tint="-0.499984740745262"/>
            <name val="Malgun Gothic"/>
            <scheme val="minor"/>
          </font>
          <fill>
            <patternFill patternType="solid">
              <fgColor theme="9" tint="0.59996337778862885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theme="9" tint="-0.499984740745262"/>
            <name val="Malgun Gothic"/>
            <scheme val="minor"/>
          </font>
          <fill>
            <patternFill patternType="solid">
              <fgColor theme="9" tint="0.59996337778862885"/>
              <bgColor theme="9" tint="0.7999816888943144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 tint="0.24994659260841701"/>
            <name val="Malgun Gothic"/>
            <scheme val="minor"/>
          </font>
          <fill>
            <patternFill patternType="solid">
              <fgColor rgb="FFFFFFFF"/>
              <bgColor theme="6" tint="0.79998168889431442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theme="1" tint="0.24994659260841701"/>
            <name val="Malgun Gothic"/>
            <scheme val="minor"/>
          </font>
          <fill>
            <patternFill patternType="solid">
              <fgColor rgb="FFFFFFFF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EstiloDeSegmentaciónDeDatosPersonalizada1 ">
        <x14:slicerStyle name="EstiloDeSegmentaciónDeDatosPersonalizada1 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[PRESUPUESTO MANUAL DOMÉSTICO.xlsx]Datos adicionales!Tabla_Dinámica_de_Gráfico_De_Presupuesto</c:name>
    <c:fmtId val="2"/>
  </c:pivotSource>
  <c:chart>
    <c:autoTitleDeleted val="1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6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algun Gothic" panose="020B0503020000020004" pitchFamily="34" charset="-127"/>
                  <a:ea typeface="Malgun Gothic" panose="020B0503020000020004" pitchFamily="34" charset="-127"/>
                  <a:cs typeface="+mn-cs"/>
                </a:defRPr>
              </a:pPr>
              <a:endParaRPr lang="es-PE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</c:pivotFmt>
      <c:pivotFmt>
        <c:idx val="4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</c:pivotFmt>
      <c:pivotFmt>
        <c:idx val="4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</c:pivotFmt>
      <c:pivotFmt>
        <c:idx val="4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</c:pivotFmt>
      <c:pivotFmt>
        <c:idx val="5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</c:pivotFmt>
      <c:pivotFmt>
        <c:idx val="5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</c:pivotFmt>
      <c:pivotFmt>
        <c:idx val="5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</c:pivotFmt>
      <c:pivotFmt>
        <c:idx val="5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</c:pivotFmt>
      <c:pivotFmt>
        <c:idx val="5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</c:pivotFmt>
      <c:pivotFmt>
        <c:idx val="5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</c:pivotFmt>
      <c:pivotFmt>
        <c:idx val="5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</c:pivotFmt>
      <c:pivotFmt>
        <c:idx val="5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</c:pivotFmt>
      <c:pivotFmt>
        <c:idx val="5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algun Gothic" panose="020B0503020000020004" pitchFamily="34" charset="-127"/>
                  <a:ea typeface="Malgun Gothic" panose="020B0503020000020004" pitchFamily="34" charset="-127"/>
                  <a:cs typeface="+mn-cs"/>
                </a:defRPr>
              </a:pPr>
              <a:endParaRPr lang="es-PE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</c:pivotFmt>
      <c:pivotFmt>
        <c:idx val="6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</c:pivotFmt>
      <c:pivotFmt>
        <c:idx val="6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</c:pivotFmt>
      <c:pivotFmt>
        <c:idx val="6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</c:pivotFmt>
      <c:pivotFmt>
        <c:idx val="6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</c:pivotFmt>
      <c:pivotFmt>
        <c:idx val="6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</c:pivotFmt>
      <c:pivotFmt>
        <c:idx val="6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</c:pivotFmt>
      <c:pivotFmt>
        <c:idx val="6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</c:pivotFmt>
      <c:pivotFmt>
        <c:idx val="6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</c:pivotFmt>
      <c:pivotFmt>
        <c:idx val="6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</c:pivotFmt>
      <c:pivotFmt>
        <c:idx val="6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</c:pivotFmt>
      <c:pivotFmt>
        <c:idx val="7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</c:pivotFmt>
      <c:pivotFmt>
        <c:idx val="7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  <c:marker>
          <c:symbol val="none"/>
        </c:marker>
      </c:pivotFmt>
      <c:pivotFmt>
        <c:idx val="7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</c:pivotFmt>
      <c:pivotFmt>
        <c:idx val="7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</c:pivotFmt>
      <c:pivotFmt>
        <c:idx val="7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</c:pivotFmt>
      <c:pivotFmt>
        <c:idx val="76"/>
        <c:spPr>
          <a:solidFill>
            <a:schemeClr val="accent6"/>
          </a:solidFill>
          <a:ln w="63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  <c:dLbl>
          <c:idx val="0"/>
          <c:layout>
            <c:manualLayout>
              <c:x val="6.6283267545885509E-3"/>
              <c:y val="4.259850905218309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</c:pivotFmt>
      <c:pivotFmt>
        <c:idx val="7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</c:pivotFmt>
      <c:pivotFmt>
        <c:idx val="7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</c:pivotFmt>
      <c:pivotFmt>
        <c:idx val="8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</c:pivotFmt>
      <c:pivotFmt>
        <c:idx val="8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</c:pivotFmt>
      <c:pivotFmt>
        <c:idx val="82"/>
        <c:spPr>
          <a:solidFill>
            <a:schemeClr val="accent6">
              <a:tint val="63000"/>
            </a:schemeClr>
          </a:solidFill>
          <a:ln w="63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</c:pivotFmt>
      <c:pivotFmt>
        <c:idx val="8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</c:pivotFmt>
      <c:pivotFmt>
        <c:idx val="8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</c:pivotFmt>
      <c:pivotFmt>
        <c:idx val="85"/>
        <c:spPr>
          <a:solidFill>
            <a:schemeClr val="accent6">
              <a:shade val="73000"/>
            </a:schemeClr>
          </a:solidFill>
          <a:ln w="63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</c:pivotFmt>
      <c:pivotFmt>
        <c:idx val="86"/>
        <c:spPr>
          <a:solidFill>
            <a:schemeClr val="accent6">
              <a:shade val="51000"/>
            </a:schemeClr>
          </a:solidFill>
          <a:ln w="63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</c:pivotFmt>
      <c:pivotFmt>
        <c:idx val="87"/>
        <c:spPr>
          <a:solidFill>
            <a:schemeClr val="accent6">
              <a:shade val="62000"/>
            </a:schemeClr>
          </a:solidFill>
          <a:ln w="63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</c:pivotFmt>
      <c:pivotFmt>
        <c:idx val="88"/>
        <c:spPr>
          <a:solidFill>
            <a:schemeClr val="accent6">
              <a:shade val="83000"/>
            </a:schemeClr>
          </a:solidFill>
          <a:ln w="63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</c:pivotFmt>
      <c:pivotFmt>
        <c:idx val="89"/>
        <c:spPr>
          <a:solidFill>
            <a:schemeClr val="accent6">
              <a:shade val="94000"/>
            </a:schemeClr>
          </a:solidFill>
          <a:ln w="63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</c:pivotFmt>
      <c:pivotFmt>
        <c:idx val="90"/>
        <c:spPr>
          <a:solidFill>
            <a:schemeClr val="accent6">
              <a:tint val="95000"/>
            </a:schemeClr>
          </a:solidFill>
          <a:ln w="63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</c:pivotFmt>
      <c:pivotFmt>
        <c:idx val="91"/>
        <c:spPr>
          <a:solidFill>
            <a:schemeClr val="accent6">
              <a:tint val="84000"/>
            </a:schemeClr>
          </a:solidFill>
          <a:ln w="63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</c:pivotFmt>
      <c:pivotFmt>
        <c:idx val="92"/>
        <c:spPr>
          <a:solidFill>
            <a:schemeClr val="accent6">
              <a:tint val="74000"/>
            </a:schemeClr>
          </a:solidFill>
          <a:ln w="63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</c:pivotFmt>
      <c:pivotFmt>
        <c:idx val="93"/>
        <c:spPr>
          <a:solidFill>
            <a:schemeClr val="accent6">
              <a:tint val="52000"/>
            </a:schemeClr>
          </a:solidFill>
          <a:ln w="63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</c:pivotFmt>
      <c:pivotFmt>
        <c:idx val="94"/>
        <c:spPr>
          <a:solidFill>
            <a:schemeClr val="accent6">
              <a:tint val="41000"/>
            </a:schemeClr>
          </a:solidFill>
          <a:ln w="63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</c:pivotFmt>
      <c:pivotFmt>
        <c:idx val="95"/>
        <c:spPr>
          <a:solidFill>
            <a:schemeClr val="accent6"/>
          </a:solidFill>
          <a:ln w="63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  <c:marker>
          <c:symbol val="none"/>
        </c:marker>
      </c:pivotFmt>
      <c:pivotFmt>
        <c:idx val="96"/>
        <c:spPr>
          <a:solidFill>
            <a:schemeClr val="accent6">
              <a:tint val="63000"/>
            </a:schemeClr>
          </a:solidFill>
          <a:ln w="63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</c:pivotFmt>
      <c:pivotFmt>
        <c:idx val="97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6"/>
          </a:solidFill>
          <a:ln w="63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6">
              <a:shade val="73000"/>
            </a:schemeClr>
          </a:solidFill>
          <a:ln w="63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</c:pivotFmt>
      <c:pivotFmt>
        <c:idx val="100"/>
        <c:spPr>
          <a:solidFill>
            <a:schemeClr val="accent6">
              <a:shade val="73000"/>
            </a:schemeClr>
          </a:solidFill>
          <a:ln w="63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</c:pivotFmt>
      <c:pivotFmt>
        <c:idx val="101"/>
        <c:spPr>
          <a:solidFill>
            <a:schemeClr val="accent6">
              <a:shade val="51000"/>
            </a:schemeClr>
          </a:solidFill>
          <a:ln w="63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</c:pivotFmt>
      <c:pivotFmt>
        <c:idx val="102"/>
        <c:spPr>
          <a:solidFill>
            <a:schemeClr val="accent6">
              <a:shade val="62000"/>
            </a:schemeClr>
          </a:solidFill>
          <a:ln w="63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</c:pivotFmt>
      <c:pivotFmt>
        <c:idx val="103"/>
        <c:spPr>
          <a:solidFill>
            <a:schemeClr val="accent6">
              <a:shade val="83000"/>
            </a:schemeClr>
          </a:solidFill>
          <a:ln w="63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</c:pivotFmt>
      <c:pivotFmt>
        <c:idx val="104"/>
        <c:spPr>
          <a:solidFill>
            <a:schemeClr val="accent6">
              <a:shade val="94000"/>
            </a:schemeClr>
          </a:solidFill>
          <a:ln w="63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</c:pivotFmt>
      <c:pivotFmt>
        <c:idx val="105"/>
        <c:spPr>
          <a:solidFill>
            <a:schemeClr val="accent6">
              <a:tint val="95000"/>
            </a:schemeClr>
          </a:solidFill>
          <a:ln w="63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</c:pivotFmt>
      <c:pivotFmt>
        <c:idx val="106"/>
        <c:spPr>
          <a:solidFill>
            <a:schemeClr val="accent6">
              <a:tint val="84000"/>
            </a:schemeClr>
          </a:solidFill>
          <a:ln w="63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</c:pivotFmt>
      <c:pivotFmt>
        <c:idx val="107"/>
        <c:spPr>
          <a:solidFill>
            <a:schemeClr val="accent6">
              <a:tint val="74000"/>
            </a:schemeClr>
          </a:solidFill>
          <a:ln w="63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</c:pivotFmt>
      <c:pivotFmt>
        <c:idx val="108"/>
        <c:spPr>
          <a:solidFill>
            <a:schemeClr val="accent6">
              <a:tint val="63000"/>
            </a:schemeClr>
          </a:solidFill>
          <a:ln w="63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</c:pivotFmt>
      <c:pivotFmt>
        <c:idx val="109"/>
        <c:spPr>
          <a:solidFill>
            <a:schemeClr val="accent6">
              <a:tint val="52000"/>
            </a:schemeClr>
          </a:solidFill>
          <a:ln w="63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</c:pivotFmt>
      <c:pivotFmt>
        <c:idx val="110"/>
        <c:spPr>
          <a:solidFill>
            <a:schemeClr val="accent6">
              <a:tint val="41000"/>
            </a:schemeClr>
          </a:solidFill>
          <a:ln w="63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</c:pivotFmt>
      <c:pivotFmt>
        <c:idx val="11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6"/>
          </a:solidFill>
          <a:ln w="63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6">
              <a:tint val="74000"/>
            </a:schemeClr>
          </a:solidFill>
          <a:ln w="63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</c:pivotFmt>
      <c:pivotFmt>
        <c:idx val="114"/>
        <c:spPr>
          <a:solidFill>
            <a:schemeClr val="accent6">
              <a:shade val="73000"/>
            </a:schemeClr>
          </a:solidFill>
          <a:ln w="63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</c:pivotFmt>
      <c:pivotFmt>
        <c:idx val="115"/>
        <c:spPr>
          <a:solidFill>
            <a:schemeClr val="accent6">
              <a:shade val="73000"/>
            </a:schemeClr>
          </a:solidFill>
          <a:ln w="63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</c:pivotFmt>
      <c:pivotFmt>
        <c:idx val="116"/>
        <c:spPr>
          <a:solidFill>
            <a:schemeClr val="accent6">
              <a:tint val="84000"/>
            </a:schemeClr>
          </a:solidFill>
          <a:ln w="63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</c:pivotFmt>
      <c:pivotFmt>
        <c:idx val="117"/>
        <c:spPr>
          <a:solidFill>
            <a:schemeClr val="accent6">
              <a:tint val="63000"/>
            </a:schemeClr>
          </a:solidFill>
          <a:ln w="63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</c:pivotFmt>
      <c:pivotFmt>
        <c:idx val="118"/>
        <c:spPr>
          <a:solidFill>
            <a:schemeClr val="accent6">
              <a:tint val="95000"/>
            </a:schemeClr>
          </a:solidFill>
          <a:ln w="63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</c:pivotFmt>
      <c:pivotFmt>
        <c:idx val="119"/>
        <c:spPr>
          <a:solidFill>
            <a:schemeClr val="accent6">
              <a:tint val="52000"/>
            </a:schemeClr>
          </a:solidFill>
          <a:ln w="63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</c:pivotFmt>
      <c:pivotFmt>
        <c:idx val="120"/>
        <c:spPr>
          <a:solidFill>
            <a:schemeClr val="accent6">
              <a:shade val="51000"/>
            </a:schemeClr>
          </a:solidFill>
          <a:ln w="63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</c:pivotFmt>
      <c:pivotFmt>
        <c:idx val="121"/>
        <c:spPr>
          <a:solidFill>
            <a:schemeClr val="accent6">
              <a:shade val="94000"/>
            </a:schemeClr>
          </a:solidFill>
          <a:ln w="63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</c:pivotFmt>
      <c:pivotFmt>
        <c:idx val="122"/>
        <c:spPr>
          <a:solidFill>
            <a:schemeClr val="accent6">
              <a:shade val="62000"/>
            </a:schemeClr>
          </a:solidFill>
          <a:ln w="63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</c:pivotFmt>
      <c:pivotFmt>
        <c:idx val="123"/>
        <c:spPr>
          <a:solidFill>
            <a:schemeClr val="accent6">
              <a:tint val="41000"/>
            </a:schemeClr>
          </a:solidFill>
          <a:ln w="63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</c:pivotFmt>
      <c:pivotFmt>
        <c:idx val="124"/>
        <c:spPr>
          <a:solidFill>
            <a:schemeClr val="accent6">
              <a:shade val="83000"/>
            </a:schemeClr>
          </a:solidFill>
          <a:ln w="6350">
            <a:solidFill>
              <a:schemeClr val="lt1"/>
            </a:solidFill>
          </a:ln>
          <a:effectLst/>
          <a:scene3d>
            <a:camera prst="orthographicFront"/>
            <a:lightRig rig="chilly" dir="t"/>
          </a:scene3d>
          <a:sp3d prstMaterial="dkEdge"/>
        </c:spPr>
      </c:pivotFmt>
    </c:pivotFmts>
    <c:plotArea>
      <c:layout>
        <c:manualLayout>
          <c:layoutTarget val="inner"/>
          <c:xMode val="edge"/>
          <c:yMode val="edge"/>
          <c:x val="0.20319585650292385"/>
          <c:y val="7.5528899822527862E-2"/>
          <c:w val="0.75500731720877456"/>
          <c:h val="0.8450261419717062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'Datos adicionales'!$C$4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 w="6350">
              <a:solidFill>
                <a:schemeClr val="lt1"/>
              </a:solidFill>
            </a:ln>
            <a:effectLst/>
            <a:scene3d>
              <a:camera prst="orthographicFront"/>
              <a:lightRig rig="chilly" dir="t"/>
            </a:scene3d>
            <a:sp3d prstMaterial="dkEdge"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tint val="52000"/>
                </a:schemeClr>
              </a:solidFill>
              <a:ln w="6350">
                <a:solidFill>
                  <a:schemeClr val="lt1"/>
                </a:solidFill>
              </a:ln>
              <a:effectLst/>
              <a:scene3d>
                <a:camera prst="orthographicFront"/>
                <a:lightRig rig="chilly" dir="t"/>
              </a:scene3d>
              <a:sp3d prstMaterial="dkEdge"/>
            </c:spPr>
            <c:extLst>
              <c:ext xmlns:c16="http://schemas.microsoft.com/office/drawing/2014/chart" uri="{C3380CC4-5D6E-409C-BE32-E72D297353CC}">
                <c16:uniqueId val="{00000001-84EC-45CF-828D-0C80D3F2D6A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shade val="62000"/>
                </a:schemeClr>
              </a:solidFill>
              <a:ln w="6350">
                <a:solidFill>
                  <a:schemeClr val="lt1"/>
                </a:solidFill>
              </a:ln>
              <a:effectLst/>
              <a:scene3d>
                <a:camera prst="orthographicFront"/>
                <a:lightRig rig="chilly" dir="t"/>
              </a:scene3d>
              <a:sp3d prstMaterial="dkEdge"/>
            </c:spPr>
            <c:extLst>
              <c:ext xmlns:c16="http://schemas.microsoft.com/office/drawing/2014/chart" uri="{C3380CC4-5D6E-409C-BE32-E72D297353CC}">
                <c16:uniqueId val="{00000003-84EC-45CF-828D-0C80D3F2D6A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tint val="84000"/>
                </a:schemeClr>
              </a:solidFill>
              <a:ln w="6350">
                <a:solidFill>
                  <a:schemeClr val="lt1"/>
                </a:solidFill>
              </a:ln>
              <a:effectLst/>
              <a:scene3d>
                <a:camera prst="orthographicFront"/>
                <a:lightRig rig="chilly" dir="t"/>
              </a:scene3d>
              <a:sp3d prstMaterial="dkEdge"/>
            </c:spPr>
            <c:extLst>
              <c:ext xmlns:c16="http://schemas.microsoft.com/office/drawing/2014/chart" uri="{C3380CC4-5D6E-409C-BE32-E72D297353CC}">
                <c16:uniqueId val="{00000005-84EC-45CF-828D-0C80D3F2D6A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shade val="51000"/>
                </a:schemeClr>
              </a:solidFill>
              <a:ln w="6350">
                <a:solidFill>
                  <a:schemeClr val="lt1"/>
                </a:solidFill>
              </a:ln>
              <a:effectLst/>
              <a:scene3d>
                <a:camera prst="orthographicFront"/>
                <a:lightRig rig="chilly" dir="t"/>
              </a:scene3d>
              <a:sp3d prstMaterial="dkEdge"/>
            </c:spPr>
            <c:extLst>
              <c:ext xmlns:c16="http://schemas.microsoft.com/office/drawing/2014/chart" uri="{C3380CC4-5D6E-409C-BE32-E72D297353CC}">
                <c16:uniqueId val="{00000007-84EC-45CF-828D-0C80D3F2D6A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tint val="74000"/>
                </a:schemeClr>
              </a:solidFill>
              <a:ln w="6350">
                <a:solidFill>
                  <a:schemeClr val="lt1"/>
                </a:solidFill>
              </a:ln>
              <a:effectLst/>
              <a:scene3d>
                <a:camera prst="orthographicFront"/>
                <a:lightRig rig="chilly" dir="t"/>
              </a:scene3d>
              <a:sp3d prstMaterial="dkEdge"/>
            </c:spPr>
            <c:extLst>
              <c:ext xmlns:c16="http://schemas.microsoft.com/office/drawing/2014/chart" uri="{C3380CC4-5D6E-409C-BE32-E72D297353CC}">
                <c16:uniqueId val="{00000009-84EC-45CF-828D-0C80D3F2D6AC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shade val="94000"/>
                </a:schemeClr>
              </a:solidFill>
              <a:ln w="6350">
                <a:solidFill>
                  <a:schemeClr val="lt1"/>
                </a:solidFill>
              </a:ln>
              <a:effectLst/>
              <a:scene3d>
                <a:camera prst="orthographicFront"/>
                <a:lightRig rig="chilly" dir="t"/>
              </a:scene3d>
              <a:sp3d prstMaterial="dkEdge"/>
            </c:spPr>
            <c:extLst>
              <c:ext xmlns:c16="http://schemas.microsoft.com/office/drawing/2014/chart" uri="{C3380CC4-5D6E-409C-BE32-E72D297353CC}">
                <c16:uniqueId val="{0000000B-84EC-45CF-828D-0C80D3F2D6AC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tint val="95000"/>
                </a:schemeClr>
              </a:solidFill>
              <a:ln w="6350">
                <a:solidFill>
                  <a:schemeClr val="lt1"/>
                </a:solidFill>
              </a:ln>
              <a:effectLst/>
              <a:scene3d>
                <a:camera prst="orthographicFront"/>
                <a:lightRig rig="chilly" dir="t"/>
              </a:scene3d>
              <a:sp3d prstMaterial="dkEdge"/>
            </c:spPr>
            <c:extLst>
              <c:ext xmlns:c16="http://schemas.microsoft.com/office/drawing/2014/chart" uri="{C3380CC4-5D6E-409C-BE32-E72D297353CC}">
                <c16:uniqueId val="{0000000D-84EC-45CF-828D-0C80D3F2D6AC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>
                  <a:tint val="63000"/>
                </a:schemeClr>
              </a:solidFill>
              <a:ln w="6350">
                <a:solidFill>
                  <a:schemeClr val="lt1"/>
                </a:solidFill>
              </a:ln>
              <a:effectLst/>
              <a:scene3d>
                <a:camera prst="orthographicFront"/>
                <a:lightRig rig="chilly" dir="t"/>
              </a:scene3d>
              <a:sp3d prstMaterial="dkEdge"/>
            </c:spPr>
            <c:extLst>
              <c:ext xmlns:c16="http://schemas.microsoft.com/office/drawing/2014/chart" uri="{C3380CC4-5D6E-409C-BE32-E72D297353CC}">
                <c16:uniqueId val="{0000000F-84EC-45CF-828D-0C80D3F2D6AC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>
                  <a:tint val="41000"/>
                </a:schemeClr>
              </a:solidFill>
              <a:ln w="6350">
                <a:solidFill>
                  <a:schemeClr val="lt1"/>
                </a:solidFill>
              </a:ln>
              <a:effectLst/>
              <a:scene3d>
                <a:camera prst="orthographicFront"/>
                <a:lightRig rig="chilly" dir="t"/>
              </a:scene3d>
              <a:sp3d prstMaterial="dkEdge"/>
            </c:spPr>
            <c:extLst>
              <c:ext xmlns:c16="http://schemas.microsoft.com/office/drawing/2014/chart" uri="{C3380CC4-5D6E-409C-BE32-E72D297353CC}">
                <c16:uniqueId val="{00000011-84EC-45CF-828D-0C80D3F2D6AC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6">
                  <a:shade val="73000"/>
                </a:schemeClr>
              </a:solidFill>
              <a:ln w="6350">
                <a:solidFill>
                  <a:schemeClr val="lt1"/>
                </a:solidFill>
              </a:ln>
              <a:effectLst/>
              <a:scene3d>
                <a:camera prst="orthographicFront"/>
                <a:lightRig rig="chilly" dir="t"/>
              </a:scene3d>
              <a:sp3d prstMaterial="dkEdge"/>
            </c:spPr>
            <c:extLst>
              <c:ext xmlns:c16="http://schemas.microsoft.com/office/drawing/2014/chart" uri="{C3380CC4-5D6E-409C-BE32-E72D297353CC}">
                <c16:uniqueId val="{00000013-84EC-45CF-828D-0C80D3F2D6AC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6">
                  <a:shade val="83000"/>
                </a:schemeClr>
              </a:solidFill>
              <a:ln w="6350">
                <a:solidFill>
                  <a:schemeClr val="lt1"/>
                </a:solidFill>
              </a:ln>
              <a:effectLst/>
              <a:scene3d>
                <a:camera prst="orthographicFront"/>
                <a:lightRig rig="chilly" dir="t"/>
              </a:scene3d>
              <a:sp3d prstMaterial="dkEdge"/>
            </c:spPr>
            <c:extLst>
              <c:ext xmlns:c16="http://schemas.microsoft.com/office/drawing/2014/chart" uri="{C3380CC4-5D6E-409C-BE32-E72D297353CC}">
                <c16:uniqueId val="{00000015-84EC-45CF-828D-0C80D3F2D6AC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shade val="73000"/>
                </a:schemeClr>
              </a:solidFill>
              <a:ln w="6350">
                <a:solidFill>
                  <a:schemeClr val="lt1"/>
                </a:solidFill>
              </a:ln>
              <a:effectLst/>
              <a:scene3d>
                <a:camera prst="orthographicFront"/>
                <a:lightRig rig="chilly" dir="t"/>
              </a:scene3d>
              <a:sp3d prstMaterial="dkEdge"/>
            </c:spPr>
            <c:extLst>
              <c:ext xmlns:c16="http://schemas.microsoft.com/office/drawing/2014/chart" uri="{C3380CC4-5D6E-409C-BE32-E72D297353CC}">
                <c16:uniqueId val="{00000017-84EC-45CF-828D-0C80D3F2D6AC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9-84EC-45CF-828D-0C80D3F2D6A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adicionales'!$B$5:$B$17</c:f>
              <c:strCache>
                <c:ptCount val="12"/>
                <c:pt idx="0">
                  <c:v>Mascotas</c:v>
                </c:pt>
                <c:pt idx="1">
                  <c:v>Regalos y beneficencia</c:v>
                </c:pt>
                <c:pt idx="2">
                  <c:v>Cuidado personal</c:v>
                </c:pt>
                <c:pt idx="3">
                  <c:v>Niños</c:v>
                </c:pt>
                <c:pt idx="4">
                  <c:v>Ahorros</c:v>
                </c:pt>
                <c:pt idx="5">
                  <c:v>Préstamos</c:v>
                </c:pt>
                <c:pt idx="6">
                  <c:v>Impuestos</c:v>
                </c:pt>
                <c:pt idx="7">
                  <c:v>Entretenimiento</c:v>
                </c:pt>
                <c:pt idx="8">
                  <c:v>Seguro</c:v>
                </c:pt>
                <c:pt idx="9">
                  <c:v>Comida</c:v>
                </c:pt>
                <c:pt idx="10">
                  <c:v>Transporte</c:v>
                </c:pt>
                <c:pt idx="11">
                  <c:v>Alojamiento</c:v>
                </c:pt>
              </c:strCache>
            </c:strRef>
          </c:cat>
          <c:val>
            <c:numRef>
              <c:f>'Datos adicionales'!$C$5:$C$17</c:f>
              <c:numCache>
                <c:formatCode>#,##0\ "€";[Red]\-#,##0\ "€"</c:formatCode>
                <c:ptCount val="12"/>
                <c:pt idx="0">
                  <c:v>100</c:v>
                </c:pt>
                <c:pt idx="1">
                  <c:v>125</c:v>
                </c:pt>
                <c:pt idx="2">
                  <c:v>140</c:v>
                </c:pt>
                <c:pt idx="3">
                  <c:v>140</c:v>
                </c:pt>
                <c:pt idx="4">
                  <c:v>200</c:v>
                </c:pt>
                <c:pt idx="5">
                  <c:v>200</c:v>
                </c:pt>
                <c:pt idx="6">
                  <c:v>300</c:v>
                </c:pt>
                <c:pt idx="7">
                  <c:v>358</c:v>
                </c:pt>
                <c:pt idx="8">
                  <c:v>900</c:v>
                </c:pt>
                <c:pt idx="9">
                  <c:v>1320</c:v>
                </c:pt>
                <c:pt idx="10">
                  <c:v>1375</c:v>
                </c:pt>
                <c:pt idx="11">
                  <c:v>2702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84EC-45CF-828D-0C80D3F2D6A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445458128"/>
        <c:axId val="445460424"/>
      </c:barChart>
      <c:valAx>
        <c:axId val="445460424"/>
        <c:scaling>
          <c:orientation val="minMax"/>
        </c:scaling>
        <c:delete val="0"/>
        <c:axPos val="b"/>
        <c:majorGridlines>
          <c:spPr>
            <a:ln w="3175" cap="flat" cmpd="sng" algn="ctr">
              <a:solidFill>
                <a:schemeClr val="tx1">
                  <a:lumMod val="15000"/>
                  <a:lumOff val="85000"/>
                  <a:alpha val="50000"/>
                </a:schemeClr>
              </a:solidFill>
              <a:round/>
            </a:ln>
            <a:effectLst/>
          </c:spPr>
        </c:majorGridlines>
        <c:numFmt formatCode="#,##0\ &quot;€&quot;;[Red]\-#,##0\ &quot;€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45458128"/>
        <c:crosses val="autoZero"/>
        <c:crossBetween val="between"/>
        <c:dispUnits>
          <c:builtInUnit val="thousands"/>
          <c:dispUnitsLbl>
            <c:layout>
              <c:manualLayout>
                <c:xMode val="edge"/>
                <c:yMode val="edge"/>
                <c:x val="0.96467825169753263"/>
                <c:y val="0.92815671416215506"/>
              </c:manualLayout>
            </c:layout>
            <c:tx>
              <c:rich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K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</c:dispUnitsLbl>
        </c:dispUnits>
      </c:valAx>
      <c:catAx>
        <c:axId val="445458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454604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+mn-lt"/>
        </a:defRPr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133347</xdr:colOff>
      <xdr:row>0</xdr:row>
      <xdr:rowOff>137629</xdr:rowOff>
    </xdr:from>
    <xdr:to>
      <xdr:col>6</xdr:col>
      <xdr:colOff>885825</xdr:colOff>
      <xdr:row>1</xdr:row>
      <xdr:rowOff>0</xdr:rowOff>
    </xdr:to>
    <xdr:pic>
      <xdr:nvPicPr>
        <xdr:cNvPr id="2" name="Imagen 1" descr="Gráfico de dibujos animados con un presupuesto familiar" title="Banne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47" y="137629"/>
          <a:ext cx="6543678" cy="1205396"/>
        </a:xfrm>
        <a:prstGeom prst="rect">
          <a:avLst/>
        </a:prstGeom>
      </xdr:spPr>
    </xdr:pic>
    <xdr:clientData/>
  </xdr:twoCellAnchor>
  <xdr:twoCellAnchor>
    <xdr:from>
      <xdr:col>0</xdr:col>
      <xdr:colOff>123826</xdr:colOff>
      <xdr:row>0</xdr:row>
      <xdr:rowOff>542923</xdr:rowOff>
    </xdr:from>
    <xdr:to>
      <xdr:col>6</xdr:col>
      <xdr:colOff>1247776</xdr:colOff>
      <xdr:row>1</xdr:row>
      <xdr:rowOff>38099</xdr:rowOff>
    </xdr:to>
    <xdr:sp macro="" textlink="">
      <xdr:nvSpPr>
        <xdr:cNvPr id="4" name="Cuadro de texto 3" descr="Información del presupuesto" title="Título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23826" y="542923"/>
          <a:ext cx="6534150" cy="8382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s" sz="2400">
              <a:solidFill>
                <a:schemeClr val="accent6">
                  <a:lumMod val="50000"/>
                </a:schemeClr>
              </a:solidFill>
              <a:latin typeface="+mj-lt"/>
            </a:rPr>
            <a:t>Información general </a:t>
          </a:r>
          <a:br>
            <a:rPr lang="es" sz="2400">
              <a:solidFill>
                <a:schemeClr val="accent6">
                  <a:lumMod val="50000"/>
                </a:schemeClr>
              </a:solidFill>
              <a:latin typeface="+mj-lt"/>
            </a:rPr>
          </a:br>
          <a:r>
            <a:rPr lang="es" sz="2400">
              <a:solidFill>
                <a:schemeClr val="accent6">
                  <a:lumMod val="50000"/>
                </a:schemeClr>
              </a:solidFill>
              <a:latin typeface="+mj-lt"/>
            </a:rPr>
            <a:t>del presupuesto</a:t>
          </a:r>
        </a:p>
      </xdr:txBody>
    </xdr:sp>
    <xdr:clientData/>
  </xdr:twoCellAnchor>
  <xdr:twoCellAnchor>
    <xdr:from>
      <xdr:col>1</xdr:col>
      <xdr:colOff>76200</xdr:colOff>
      <xdr:row>12</xdr:row>
      <xdr:rowOff>57150</xdr:rowOff>
    </xdr:from>
    <xdr:to>
      <xdr:col>6</xdr:col>
      <xdr:colOff>1185582</xdr:colOff>
      <xdr:row>24</xdr:row>
      <xdr:rowOff>106680</xdr:rowOff>
    </xdr:to>
    <xdr:graphicFrame macro="">
      <xdr:nvGraphicFramePr>
        <xdr:cNvPr id="5" name="Gráfico_De_Presupuesto" descr="Gráfico de tabla dinámica para mostrar el desglose de los gastos reales" title="Desglose de los gastos reales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870652</xdr:colOff>
      <xdr:row>0</xdr:row>
      <xdr:rowOff>0</xdr:rowOff>
    </xdr:from>
    <xdr:to>
      <xdr:col>5</xdr:col>
      <xdr:colOff>1059180</xdr:colOff>
      <xdr:row>41</xdr:row>
      <xdr:rowOff>9525</xdr:rowOff>
    </xdr:to>
    <xdr:pic>
      <xdr:nvPicPr>
        <xdr:cNvPr id="4" name="Imagen 3" descr="Gráfico de dibujos animados con varias categorías de gastos como iconos" title="Banner 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5477" y="0"/>
          <a:ext cx="1226753" cy="7915275"/>
        </a:xfrm>
        <a:prstGeom prst="rect">
          <a:avLst/>
        </a:prstGeom>
      </xdr:spPr>
    </xdr:pic>
    <xdr:clientData/>
  </xdr:twoCellAnchor>
  <xdr:twoCellAnchor editAs="oneCell">
    <xdr:from>
      <xdr:col>1</xdr:col>
      <xdr:colOff>57149</xdr:colOff>
      <xdr:row>0</xdr:row>
      <xdr:rowOff>571500</xdr:rowOff>
    </xdr:from>
    <xdr:to>
      <xdr:col>4</xdr:col>
      <xdr:colOff>895350</xdr:colOff>
      <xdr:row>1</xdr:row>
      <xdr:rowOff>1295400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ategoría" descr="Segmentación de datos de Resumen de presupuesto&#10;&#10;Segmentación de datos para filtrar rápidamente el resumen de presupuesto">
              <a:extLst>
                <a:ext uri="{FF2B5EF4-FFF2-40B4-BE49-F238E27FC236}">
                  <a16:creationId xmlns:a16="http://schemas.microsoft.com/office/drawing/2014/main" id="{3C2AAD8E-ECB5-4184-8BFE-24A6F71BDDC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í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0024" y="571500"/>
              <a:ext cx="5238751" cy="1304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133349</xdr:colOff>
      <xdr:row>0</xdr:row>
      <xdr:rowOff>132774</xdr:rowOff>
    </xdr:from>
    <xdr:to>
      <xdr:col>6</xdr:col>
      <xdr:colOff>1657350</xdr:colOff>
      <xdr:row>0</xdr:row>
      <xdr:rowOff>1627675</xdr:rowOff>
    </xdr:to>
    <xdr:pic>
      <xdr:nvPicPr>
        <xdr:cNvPr id="4" name="Imagen 3" descr="Gráfico de dibujos animados con una chica y un chico en una tienda" title="Banne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49" y="132774"/>
          <a:ext cx="8505826" cy="1494901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0</xdr:row>
      <xdr:rowOff>1057274</xdr:rowOff>
    </xdr:from>
    <xdr:to>
      <xdr:col>7</xdr:col>
      <xdr:colOff>0</xdr:colOff>
      <xdr:row>0</xdr:row>
      <xdr:rowOff>1619249</xdr:rowOff>
    </xdr:to>
    <xdr:sp macro="" textlink="">
      <xdr:nvSpPr>
        <xdr:cNvPr id="3" name="Cuadro de texto 2" descr="Gastos mensuales" title="Título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42875" y="1057274"/>
          <a:ext cx="6467475" cy="561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s" sz="2400">
              <a:solidFill>
                <a:schemeClr val="accent6">
                  <a:lumMod val="50000"/>
                </a:schemeClr>
              </a:solidFill>
              <a:latin typeface="+mj-lt"/>
            </a:rPr>
            <a:t>Gastos mensuales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127790</xdr:rowOff>
    </xdr:from>
    <xdr:to>
      <xdr:col>4</xdr:col>
      <xdr:colOff>2752725</xdr:colOff>
      <xdr:row>1</xdr:row>
      <xdr:rowOff>0</xdr:rowOff>
    </xdr:to>
    <xdr:pic>
      <xdr:nvPicPr>
        <xdr:cNvPr id="4" name="Imagen 3" descr="Gráfico de dibujos animados con un bloc de notas y una calculadora&#10;" title="Banner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27790"/>
          <a:ext cx="6553200" cy="121523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0</xdr:row>
      <xdr:rowOff>923924</xdr:rowOff>
    </xdr:from>
    <xdr:to>
      <xdr:col>5</xdr:col>
      <xdr:colOff>0</xdr:colOff>
      <xdr:row>1</xdr:row>
      <xdr:rowOff>47625</xdr:rowOff>
    </xdr:to>
    <xdr:sp macro="" textlink="">
      <xdr:nvSpPr>
        <xdr:cNvPr id="3" name="Cuadro de texto 2" descr="Datos adicionales" title="Título 4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133350" y="923924"/>
          <a:ext cx="5753100" cy="4667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s" sz="2400">
              <a:solidFill>
                <a:schemeClr val="accent6">
                  <a:lumMod val="50000"/>
                </a:schemeClr>
              </a:solidFill>
              <a:latin typeface="+mj-lt"/>
            </a:rPr>
            <a:t>Datos</a:t>
          </a:r>
          <a:r>
            <a:rPr lang="es" sz="2400" baseline="0">
              <a:solidFill>
                <a:schemeClr val="accent6">
                  <a:lumMod val="50000"/>
                </a:schemeClr>
              </a:solidFill>
              <a:latin typeface="+mj-lt"/>
            </a:rPr>
            <a:t> adicionales</a:t>
          </a:r>
          <a:endParaRPr lang="en-US" sz="2400">
            <a:solidFill>
              <a:schemeClr val="accent6">
                <a:lumMod val="50000"/>
              </a:schemeClr>
            </a:solidFill>
            <a:latin typeface="+mj-lt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3942.682350694442" createdVersion="6" refreshedVersion="6" minRefreshableVersion="3" recordCount="59" xr:uid="{00000000-000A-0000-FFFF-FFFF07000000}">
  <cacheSource type="worksheet">
    <worksheetSource name="Table_Gastos_Mensuales"/>
  </cacheSource>
  <cacheFields count="6">
    <cacheField name="Descripción" numFmtId="0">
      <sharedItems count="56">
        <s v="Actividades extracurriculares"/>
        <s v="Medicinas"/>
        <s v="Material escolar"/>
        <s v="Matrícula escolar"/>
        <s v="Conciertos"/>
        <s v="Teatro"/>
        <s v="Películas"/>
        <s v="Música (CD, descargas, etc.)."/>
        <s v="Eventos deportivos"/>
        <s v="Vídeo o DVD (compra)"/>
        <s v="Vídeo o DVD (alquiler)"/>
        <s v="Restaurantes"/>
        <s v="Provisiones"/>
        <s v="Organización benéfica 1"/>
        <s v="Organización benéfica 2"/>
        <s v="Regalo 1"/>
        <s v="Regalo 2"/>
        <s v="Cable o satélite"/>
        <s v="Electricidad"/>
        <s v="Gas"/>
        <s v="Servicios de limpieza"/>
        <s v="Mantenimiento"/>
        <s v="Hipoteca o alquiler"/>
        <s v="Gas natural o petróleo"/>
        <s v="Servicio online o de Internet"/>
        <s v="Teléfono (móvil)"/>
        <s v="Teléfono (casa)"/>
        <s v="Artículos de consumo"/>
        <s v="Reciclaje y eliminación de residuos"/>
        <s v="Agua y alcantarillado"/>
        <s v="Salud"/>
        <s v="Hogar"/>
        <s v="Vida"/>
        <s v="Tarjeta de crédito 1"/>
        <s v="Tarjeta de crédito 2"/>
        <s v="Tarjeta de crédito 3"/>
        <s v="Personal"/>
        <s v="Estudiante"/>
        <s v="Ropa"/>
        <s v="Tintorería"/>
        <s v="Pelo y uñas"/>
        <s v="Gimnasio"/>
        <s v="Comida"/>
        <s v="Aseo"/>
        <s v="Juguetes"/>
        <s v="Cuenta de inversión"/>
        <s v="Cuenta de jubilación"/>
        <s v="Federal"/>
        <s v="Locales"/>
        <s v="Estatal"/>
        <s v="Gastos de autobús o taxi"/>
        <s v="Combustible"/>
        <s v="Seguro"/>
        <s v="Licencias "/>
        <s v="Tarifas de estacionamiento"/>
        <s v="Pago del vehículo"/>
      </sharedItems>
    </cacheField>
    <cacheField name="Categoría" numFmtId="0">
      <sharedItems count="12">
        <s v="Niños"/>
        <s v="Entretenimiento"/>
        <s v="Comida"/>
        <s v="Regalos y beneficencia"/>
        <s v="Alojamiento"/>
        <s v="Seguro"/>
        <s v="Préstamos"/>
        <s v="Cuidado personal"/>
        <s v="Mascotas"/>
        <s v="Ahorros"/>
        <s v="Impuestos"/>
        <s v="Transporte"/>
      </sharedItems>
    </cacheField>
    <cacheField name="Costo previsto" numFmtId="164">
      <sharedItems containsString="0" containsBlank="1" containsNumber="1" containsInteger="1" minValue="0" maxValue="1700"/>
    </cacheField>
    <cacheField name="Coste real" numFmtId="164">
      <sharedItems containsString="0" containsBlank="1" containsNumber="1" containsInteger="1" minValue="20" maxValue="1700"/>
    </cacheField>
    <cacheField name="Diferencia" numFmtId="164">
      <sharedItems containsMixedTypes="1" containsNumber="1" containsInteger="1" minValue="-200" maxValue="75"/>
    </cacheField>
    <cacheField name="Información general del coste real" numFmtId="0">
      <sharedItems containsSemiMixedTypes="0" containsString="0" containsNumber="1" containsInteger="1" minValue="0" maxValue="1700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x v="0"/>
    <x v="0"/>
    <n v="40"/>
    <n v="40"/>
    <n v="0"/>
    <n v="40"/>
  </r>
  <r>
    <x v="1"/>
    <x v="0"/>
    <m/>
    <m/>
    <s v=""/>
    <n v="0"/>
  </r>
  <r>
    <x v="2"/>
    <x v="0"/>
    <m/>
    <m/>
    <s v=""/>
    <n v="0"/>
  </r>
  <r>
    <x v="3"/>
    <x v="0"/>
    <n v="100"/>
    <n v="100"/>
    <n v="0"/>
    <n v="100"/>
  </r>
  <r>
    <x v="4"/>
    <x v="1"/>
    <n v="50"/>
    <n v="40"/>
    <n v="10"/>
    <n v="40"/>
  </r>
  <r>
    <x v="5"/>
    <x v="1"/>
    <n v="200"/>
    <n v="150"/>
    <n v="50"/>
    <n v="150"/>
  </r>
  <r>
    <x v="6"/>
    <x v="1"/>
    <n v="50"/>
    <n v="28"/>
    <n v="22"/>
    <n v="28"/>
  </r>
  <r>
    <x v="7"/>
    <x v="1"/>
    <n v="50"/>
    <n v="30"/>
    <n v="20"/>
    <n v="30"/>
  </r>
  <r>
    <x v="8"/>
    <x v="1"/>
    <n v="0"/>
    <n v="40"/>
    <n v="-40"/>
    <n v="40"/>
  </r>
  <r>
    <x v="9"/>
    <x v="1"/>
    <n v="20"/>
    <n v="50"/>
    <n v="-30"/>
    <n v="50"/>
  </r>
  <r>
    <x v="10"/>
    <x v="1"/>
    <n v="30"/>
    <n v="20"/>
    <n v="10"/>
    <n v="20"/>
  </r>
  <r>
    <x v="11"/>
    <x v="2"/>
    <n v="1000"/>
    <n v="1200"/>
    <n v="-200"/>
    <n v="1200"/>
  </r>
  <r>
    <x v="12"/>
    <x v="2"/>
    <n v="100"/>
    <n v="120"/>
    <n v="-20"/>
    <n v="120"/>
  </r>
  <r>
    <x v="13"/>
    <x v="3"/>
    <n v="75"/>
    <n v="100"/>
    <n v="-25"/>
    <n v="100"/>
  </r>
  <r>
    <x v="14"/>
    <x v="3"/>
    <n v="25"/>
    <n v="25"/>
    <n v="0"/>
    <n v="25"/>
  </r>
  <r>
    <x v="15"/>
    <x v="3"/>
    <m/>
    <m/>
    <s v=""/>
    <n v="0"/>
  </r>
  <r>
    <x v="16"/>
    <x v="3"/>
    <m/>
    <m/>
    <s v=""/>
    <n v="0"/>
  </r>
  <r>
    <x v="17"/>
    <x v="4"/>
    <n v="100"/>
    <n v="100"/>
    <n v="0"/>
    <n v="100"/>
  </r>
  <r>
    <x v="18"/>
    <x v="4"/>
    <n v="45"/>
    <n v="50"/>
    <n v="-5"/>
    <n v="50"/>
  </r>
  <r>
    <x v="19"/>
    <x v="4"/>
    <n v="300"/>
    <n v="400"/>
    <n v="-100"/>
    <n v="400"/>
  </r>
  <r>
    <x v="20"/>
    <x v="4"/>
    <n v="200"/>
    <m/>
    <s v=""/>
    <n v="0"/>
  </r>
  <r>
    <x v="21"/>
    <x v="4"/>
    <n v="200"/>
    <n v="150"/>
    <n v="50"/>
    <n v="150"/>
  </r>
  <r>
    <x v="22"/>
    <x v="4"/>
    <n v="1700"/>
    <n v="1700"/>
    <n v="0"/>
    <n v="1700"/>
  </r>
  <r>
    <x v="23"/>
    <x v="4"/>
    <m/>
    <m/>
    <s v=""/>
    <n v="0"/>
  </r>
  <r>
    <x v="24"/>
    <x v="4"/>
    <n v="100"/>
    <n v="100"/>
    <n v="0"/>
    <n v="100"/>
  </r>
  <r>
    <x v="25"/>
    <x v="4"/>
    <n v="60"/>
    <n v="60"/>
    <n v="0"/>
    <n v="60"/>
  </r>
  <r>
    <x v="26"/>
    <x v="4"/>
    <n v="35"/>
    <n v="39"/>
    <n v="-4"/>
    <n v="39"/>
  </r>
  <r>
    <x v="27"/>
    <x v="4"/>
    <n v="40"/>
    <n v="55"/>
    <n v="-15"/>
    <n v="55"/>
  </r>
  <r>
    <x v="28"/>
    <x v="4"/>
    <n v="25"/>
    <n v="22"/>
    <n v="3"/>
    <n v="22"/>
  </r>
  <r>
    <x v="29"/>
    <x v="4"/>
    <n v="25"/>
    <n v="26"/>
    <n v="-1"/>
    <n v="26"/>
  </r>
  <r>
    <x v="30"/>
    <x v="5"/>
    <n v="400"/>
    <n v="400"/>
    <n v="0"/>
    <n v="400"/>
  </r>
  <r>
    <x v="31"/>
    <x v="5"/>
    <n v="400"/>
    <n v="400"/>
    <n v="0"/>
    <n v="400"/>
  </r>
  <r>
    <x v="32"/>
    <x v="5"/>
    <n v="100"/>
    <n v="100"/>
    <n v="0"/>
    <n v="100"/>
  </r>
  <r>
    <x v="33"/>
    <x v="6"/>
    <n v="200"/>
    <n v="200"/>
    <n v="0"/>
    <n v="200"/>
  </r>
  <r>
    <x v="34"/>
    <x v="6"/>
    <m/>
    <m/>
    <s v=""/>
    <n v="0"/>
  </r>
  <r>
    <x v="35"/>
    <x v="6"/>
    <m/>
    <m/>
    <s v=""/>
    <n v="0"/>
  </r>
  <r>
    <x v="36"/>
    <x v="6"/>
    <m/>
    <m/>
    <s v=""/>
    <n v="0"/>
  </r>
  <r>
    <x v="37"/>
    <x v="6"/>
    <m/>
    <m/>
    <s v=""/>
    <n v="0"/>
  </r>
  <r>
    <x v="38"/>
    <x v="7"/>
    <n v="150"/>
    <n v="140"/>
    <n v="10"/>
    <n v="140"/>
  </r>
  <r>
    <x v="39"/>
    <x v="7"/>
    <m/>
    <m/>
    <s v=""/>
    <n v="0"/>
  </r>
  <r>
    <x v="40"/>
    <x v="7"/>
    <m/>
    <m/>
    <s v=""/>
    <n v="0"/>
  </r>
  <r>
    <x v="41"/>
    <x v="7"/>
    <m/>
    <m/>
    <s v=""/>
    <n v="0"/>
  </r>
  <r>
    <x v="1"/>
    <x v="7"/>
    <m/>
    <m/>
    <s v=""/>
    <n v="0"/>
  </r>
  <r>
    <x v="42"/>
    <x v="8"/>
    <n v="150"/>
    <n v="75"/>
    <n v="75"/>
    <n v="75"/>
  </r>
  <r>
    <x v="43"/>
    <x v="8"/>
    <n v="20"/>
    <n v="25"/>
    <n v="-5"/>
    <n v="25"/>
  </r>
  <r>
    <x v="1"/>
    <x v="8"/>
    <m/>
    <m/>
    <s v=""/>
    <n v="0"/>
  </r>
  <r>
    <x v="44"/>
    <x v="8"/>
    <m/>
    <m/>
    <s v=""/>
    <n v="0"/>
  </r>
  <r>
    <x v="45"/>
    <x v="9"/>
    <n v="200"/>
    <n v="200"/>
    <n v="0"/>
    <n v="200"/>
  </r>
  <r>
    <x v="46"/>
    <x v="9"/>
    <m/>
    <m/>
    <s v=""/>
    <n v="0"/>
  </r>
  <r>
    <x v="47"/>
    <x v="10"/>
    <n v="300"/>
    <n v="300"/>
    <n v="0"/>
    <n v="300"/>
  </r>
  <r>
    <x v="48"/>
    <x v="10"/>
    <m/>
    <m/>
    <s v=""/>
    <n v="0"/>
  </r>
  <r>
    <x v="49"/>
    <x v="10"/>
    <m/>
    <m/>
    <s v=""/>
    <n v="0"/>
  </r>
  <r>
    <x v="50"/>
    <x v="11"/>
    <n v="100"/>
    <n v="150"/>
    <n v="-50"/>
    <n v="150"/>
  </r>
  <r>
    <x v="51"/>
    <x v="11"/>
    <n v="450"/>
    <n v="400"/>
    <n v="50"/>
    <n v="400"/>
  </r>
  <r>
    <x v="52"/>
    <x v="11"/>
    <n v="300"/>
    <n v="300"/>
    <n v="0"/>
    <n v="300"/>
  </r>
  <r>
    <x v="53"/>
    <x v="11"/>
    <n v="25"/>
    <n v="25"/>
    <n v="0"/>
    <n v="25"/>
  </r>
  <r>
    <x v="21"/>
    <x v="11"/>
    <n v="100"/>
    <n v="50"/>
    <n v="50"/>
    <n v="50"/>
  </r>
  <r>
    <x v="54"/>
    <x v="11"/>
    <m/>
    <m/>
    <s v=""/>
    <n v="0"/>
  </r>
  <r>
    <x v="55"/>
    <x v="11"/>
    <n v="450"/>
    <n v="450"/>
    <n v="0"/>
    <n v="4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_Dinámica_de_Resumen_De_Presupuesto" cacheId="4" applyNumberFormats="0" applyBorderFormats="0" applyFontFormats="0" applyPatternFormats="0" applyAlignmentFormats="0" applyWidthHeightFormats="1" dataCaption="Values" updatedVersion="6" minRefreshableVersion="3" itemPrintTitles="1" createdVersion="6" indent="0" outline="1" outlineData="1" multipleFieldFilters="0" rowHeaderCaption="Categories">
  <location ref="B3:E41" firstHeaderRow="0" firstDataRow="1" firstDataCol="1"/>
  <pivotFields count="6">
    <pivotField axis="axisRow" showAll="0" insertBlankRow="1">
      <items count="57">
        <item x="0"/>
        <item x="29"/>
        <item x="27"/>
        <item x="43"/>
        <item x="17"/>
        <item x="51"/>
        <item x="42"/>
        <item x="4"/>
        <item x="45"/>
        <item x="46"/>
        <item x="18"/>
        <item x="49"/>
        <item x="37"/>
        <item x="8"/>
        <item x="47"/>
        <item x="19"/>
        <item x="23"/>
        <item x="50"/>
        <item x="41"/>
        <item x="22"/>
        <item x="31"/>
        <item x="44"/>
        <item x="53"/>
        <item x="48"/>
        <item x="21"/>
        <item x="2"/>
        <item x="3"/>
        <item x="1"/>
        <item x="7"/>
        <item x="13"/>
        <item x="14"/>
        <item x="55"/>
        <item x="6"/>
        <item x="40"/>
        <item x="36"/>
        <item x="12"/>
        <item x="28"/>
        <item x="15"/>
        <item x="16"/>
        <item x="11"/>
        <item x="38"/>
        <item x="30"/>
        <item x="52"/>
        <item x="24"/>
        <item x="20"/>
        <item x="54"/>
        <item x="33"/>
        <item x="34"/>
        <item x="35"/>
        <item x="5"/>
        <item x="26"/>
        <item x="25"/>
        <item x="39"/>
        <item x="32"/>
        <item x="10"/>
        <item x="9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insertBlankRow="1">
      <items count="13">
        <item x="0"/>
        <item x="1"/>
        <item sd="0" x="4"/>
        <item sd="0" x="2"/>
        <item sd="0" x="7"/>
        <item sd="0" x="10"/>
        <item sd="0" x="8"/>
        <item sd="0" x="6"/>
        <item sd="0" x="3"/>
        <item sd="0" x="5"/>
        <item sd="0" x="11"/>
        <item x="9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0"/>
  </rowFields>
  <rowItems count="38">
    <i>
      <x/>
    </i>
    <i r="1">
      <x/>
    </i>
    <i r="1">
      <x v="25"/>
    </i>
    <i r="1">
      <x v="26"/>
    </i>
    <i r="1">
      <x v="27"/>
    </i>
    <i t="blank">
      <x/>
    </i>
    <i>
      <x v="1"/>
    </i>
    <i r="1">
      <x v="7"/>
    </i>
    <i r="1">
      <x v="13"/>
    </i>
    <i r="1">
      <x v="28"/>
    </i>
    <i r="1">
      <x v="32"/>
    </i>
    <i r="1">
      <x v="49"/>
    </i>
    <i r="1">
      <x v="54"/>
    </i>
    <i r="1">
      <x v="55"/>
    </i>
    <i t="blank">
      <x v="1"/>
    </i>
    <i>
      <x v="2"/>
    </i>
    <i t="blank">
      <x v="2"/>
    </i>
    <i>
      <x v="3"/>
    </i>
    <i t="blank">
      <x v="3"/>
    </i>
    <i>
      <x v="4"/>
    </i>
    <i t="blank">
      <x v="4"/>
    </i>
    <i>
      <x v="5"/>
    </i>
    <i t="blank">
      <x v="5"/>
    </i>
    <i>
      <x v="6"/>
    </i>
    <i t="blank">
      <x v="6"/>
    </i>
    <i>
      <x v="7"/>
    </i>
    <i t="blank">
      <x v="7"/>
    </i>
    <i>
      <x v="8"/>
    </i>
    <i t="blank">
      <x v="8"/>
    </i>
    <i>
      <x v="9"/>
    </i>
    <i t="blank">
      <x v="9"/>
    </i>
    <i>
      <x v="10"/>
    </i>
    <i t="blank">
      <x v="10"/>
    </i>
    <i>
      <x v="11"/>
    </i>
    <i r="1">
      <x v="8"/>
    </i>
    <i r="1">
      <x v="9"/>
    </i>
    <i t="blank"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sto previsto " fld="2" baseField="1" baseItem="0" numFmtId="164"/>
    <dataField name="Coste real " fld="3" baseField="1" baseItem="0" numFmtId="164"/>
    <dataField name="Diferencia " fld="4" baseField="0" baseItem="27" numFmtId="164"/>
  </dataFields>
  <formats count="51">
    <format dxfId="293">
      <pivotArea type="all" dataOnly="0" outline="0" fieldPosition="0"/>
    </format>
    <format dxfId="292">
      <pivotArea outline="0" collapsedLevelsAreSubtotals="1" fieldPosition="0"/>
    </format>
    <format dxfId="291">
      <pivotArea type="all" dataOnly="0" outline="0" fieldPosition="0"/>
    </format>
    <format dxfId="290">
      <pivotArea outline="0" collapsedLevelsAreSubtotals="1" fieldPosition="0"/>
    </format>
    <format dxfId="289">
      <pivotArea dataOnly="0" labelOnly="1" grandRow="1" outline="0" fieldPosition="0"/>
    </format>
    <format dxfId="288">
      <pivotArea type="all" dataOnly="0" outline="0" fieldPosition="0"/>
    </format>
    <format dxfId="287">
      <pivotArea outline="0" collapsedLevelsAreSubtotals="1" fieldPosition="0"/>
    </format>
    <format dxfId="286">
      <pivotArea dataOnly="0" labelOnly="1" grandRow="1" outline="0" fieldPosition="0"/>
    </format>
    <format dxfId="285">
      <pivotArea type="all" dataOnly="0" outline="0" fieldPosition="0"/>
    </format>
    <format dxfId="284">
      <pivotArea outline="0" collapsedLevelsAreSubtotals="1" fieldPosition="0"/>
    </format>
    <format dxfId="283">
      <pivotArea type="all" dataOnly="0" outline="0" fieldPosition="0"/>
    </format>
    <format dxfId="282">
      <pivotArea outline="0" collapsedLevelsAreSubtotals="1" fieldPosition="0"/>
    </format>
    <format dxfId="281">
      <pivotArea dataOnly="0" labelOnly="1" grandRow="1" outline="0" fieldPosition="0"/>
    </format>
    <format dxfId="280">
      <pivotArea type="all" dataOnly="0" outline="0" fieldPosition="0"/>
    </format>
    <format dxfId="279">
      <pivotArea outline="0" collapsedLevelsAreSubtotals="1" fieldPosition="0"/>
    </format>
    <format dxfId="278">
      <pivotArea dataOnly="0" labelOnly="1" grandRow="1" outline="0" fieldPosition="0"/>
    </format>
    <format dxfId="277">
      <pivotArea outline="0" collapsedLevelsAreSubtotals="1" fieldPosition="0"/>
    </format>
    <format dxfId="276">
      <pivotArea dataOnly="0" labelOnly="1" grandRow="1" outline="0" fieldPosition="0"/>
    </format>
    <format dxfId="275">
      <pivotArea dataOnly="0" labelOnly="1" grandRow="1" outline="0" fieldPosition="0"/>
    </format>
    <format dxfId="274">
      <pivotArea outline="0" fieldPosition="0">
        <references count="1">
          <reference field="4294967294" count="1">
            <x v="0"/>
          </reference>
        </references>
      </pivotArea>
    </format>
    <format dxfId="273">
      <pivotArea outline="0" fieldPosition="0">
        <references count="1">
          <reference field="4294967294" count="1">
            <x v="1"/>
          </reference>
        </references>
      </pivotArea>
    </format>
    <format dxfId="272">
      <pivotArea outline="0" fieldPosition="0">
        <references count="1">
          <reference field="4294967294" count="1">
            <x v="2"/>
          </reference>
        </references>
      </pivotArea>
    </format>
    <format dxfId="271">
      <pivotArea type="all" dataOnly="0" outline="0" fieldPosition="0"/>
    </format>
    <format dxfId="270">
      <pivotArea outline="0" collapsedLevelsAreSubtotals="1" fieldPosition="0"/>
    </format>
    <format dxfId="269">
      <pivotArea dataOnly="0" labelOnly="1" fieldPosition="0">
        <references count="1">
          <reference field="1" count="0"/>
        </references>
      </pivotArea>
    </format>
    <format dxfId="268">
      <pivotArea dataOnly="0" labelOnly="1" grandRow="1" outline="0" fieldPosition="0"/>
    </format>
    <format dxfId="267">
      <pivotArea dataOnly="0" labelOnly="1" fieldPosition="0">
        <references count="2">
          <reference field="0" count="2">
            <x v="8"/>
            <x v="9"/>
          </reference>
          <reference field="1" count="1" selected="0">
            <x v="11"/>
          </reference>
        </references>
      </pivotArea>
    </format>
    <format dxfId="266">
      <pivotArea dataOnly="0" labelOnly="1" fieldPosition="0">
        <references count="2">
          <reference field="0" count="13">
            <x v="1"/>
            <x v="2"/>
            <x v="4"/>
            <x v="10"/>
            <x v="15"/>
            <x v="16"/>
            <x v="19"/>
            <x v="24"/>
            <x v="36"/>
            <x v="43"/>
            <x v="44"/>
            <x v="50"/>
            <x v="51"/>
          </reference>
          <reference field="1" count="1" selected="0">
            <x v="2"/>
          </reference>
        </references>
      </pivotArea>
    </format>
    <format dxfId="265">
      <pivotArea dataOnly="0" labelOnly="1" fieldPosition="0">
        <references count="2">
          <reference field="0" count="2">
            <x v="35"/>
            <x v="39"/>
          </reference>
          <reference field="1" count="1" selected="0">
            <x v="3"/>
          </reference>
        </references>
      </pivotArea>
    </format>
    <format dxfId="264">
      <pivotArea dataOnly="0" labelOnly="1" fieldPosition="0">
        <references count="2">
          <reference field="0" count="5">
            <x v="18"/>
            <x v="27"/>
            <x v="33"/>
            <x v="40"/>
            <x v="52"/>
          </reference>
          <reference field="1" count="1" selected="0">
            <x v="4"/>
          </reference>
        </references>
      </pivotArea>
    </format>
    <format dxfId="263">
      <pivotArea dataOnly="0" labelOnly="1" fieldPosition="0">
        <references count="2">
          <reference field="0" count="7">
            <x v="7"/>
            <x v="13"/>
            <x v="28"/>
            <x v="32"/>
            <x v="49"/>
            <x v="54"/>
            <x v="55"/>
          </reference>
          <reference field="1" count="1" selected="0">
            <x v="1"/>
          </reference>
        </references>
      </pivotArea>
    </format>
    <format dxfId="262">
      <pivotArea dataOnly="0" labelOnly="1" fieldPosition="0">
        <references count="2">
          <reference field="0" count="3">
            <x v="11"/>
            <x v="14"/>
            <x v="23"/>
          </reference>
          <reference field="1" count="1" selected="0">
            <x v="5"/>
          </reference>
        </references>
      </pivotArea>
    </format>
    <format dxfId="261">
      <pivotArea dataOnly="0" labelOnly="1" fieldPosition="0">
        <references count="2">
          <reference field="0" count="4">
            <x v="3"/>
            <x v="6"/>
            <x v="21"/>
            <x v="27"/>
          </reference>
          <reference field="1" count="1" selected="0">
            <x v="6"/>
          </reference>
        </references>
      </pivotArea>
    </format>
    <format dxfId="260">
      <pivotArea dataOnly="0" labelOnly="1" fieldPosition="0">
        <references count="2">
          <reference field="0" count="4">
            <x v="0"/>
            <x v="25"/>
            <x v="26"/>
            <x v="27"/>
          </reference>
          <reference field="1" count="1" selected="0">
            <x v="0"/>
          </reference>
        </references>
      </pivotArea>
    </format>
    <format dxfId="259">
      <pivotArea dataOnly="0" labelOnly="1" fieldPosition="0">
        <references count="2">
          <reference field="0" count="5">
            <x v="12"/>
            <x v="34"/>
            <x v="46"/>
            <x v="47"/>
            <x v="48"/>
          </reference>
          <reference field="1" count="1" selected="0">
            <x v="7"/>
          </reference>
        </references>
      </pivotArea>
    </format>
    <format dxfId="258">
      <pivotArea dataOnly="0" labelOnly="1" fieldPosition="0">
        <references count="2">
          <reference field="0" count="4">
            <x v="29"/>
            <x v="30"/>
            <x v="37"/>
            <x v="38"/>
          </reference>
          <reference field="1" count="1" selected="0">
            <x v="8"/>
          </reference>
        </references>
      </pivotArea>
    </format>
    <format dxfId="257">
      <pivotArea dataOnly="0" labelOnly="1" fieldPosition="0">
        <references count="2">
          <reference field="0" count="3">
            <x v="20"/>
            <x v="41"/>
            <x v="53"/>
          </reference>
          <reference field="1" count="1" selected="0">
            <x v="9"/>
          </reference>
        </references>
      </pivotArea>
    </format>
    <format dxfId="256">
      <pivotArea dataOnly="0" labelOnly="1" fieldPosition="0">
        <references count="2">
          <reference field="0" count="7">
            <x v="5"/>
            <x v="17"/>
            <x v="22"/>
            <x v="24"/>
            <x v="31"/>
            <x v="42"/>
            <x v="45"/>
          </reference>
          <reference field="1" count="1" selected="0">
            <x v="10"/>
          </reference>
        </references>
      </pivotArea>
    </format>
    <format dxfId="255">
      <pivotArea field="1" type="button" dataOnly="0" labelOnly="1" outline="0" axis="axisRow" fieldPosition="0"/>
    </format>
    <format dxfId="25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53">
      <pivotArea field="1" type="button" dataOnly="0" labelOnly="1" outline="0" axis="axisRow" fieldPosition="0"/>
    </format>
    <format dxfId="25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51">
      <pivotArea field="1" type="button" dataOnly="0" labelOnly="1" outline="0" axis="axisRow" fieldPosition="0"/>
    </format>
    <format dxfId="25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49">
      <pivotArea field="1" type="button" dataOnly="0" labelOnly="1" outline="0" axis="axisRow" fieldPosition="0"/>
    </format>
    <format dxfId="248">
      <pivotArea outline="0" fieldPosition="0">
        <references count="1">
          <reference field="4294967294" count="1">
            <x v="0"/>
          </reference>
        </references>
      </pivotArea>
    </format>
    <format dxfId="247">
      <pivotArea field="1" type="button" dataOnly="0" labelOnly="1" outline="0" axis="axisRow" fieldPosition="0"/>
    </format>
    <format dxfId="246">
      <pivotArea field="1" type="button" dataOnly="0" labelOnly="1" outline="0" axis="axisRow" fieldPosition="0"/>
    </format>
    <format dxfId="24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4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4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7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altText="Resumen de presupuesto" altTextSummary="Tabla dinámica que muestra detalles de los gastos mensuales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Tabla_Dinámica_de_Gráfico_De_Presupuesto" cacheId="4" applyNumberFormats="0" applyBorderFormats="0" applyFontFormats="0" applyPatternFormats="0" applyAlignmentFormats="0" applyWidthHeightFormats="1" dataCaption="Values" updatedVersion="6" minRefreshableVersion="3" itemPrintTitles="1" createdVersion="6" indent="0" outline="1" outlineData="1" multipleFieldFilters="0" chartFormat="3" rowHeaderCaption="Categories">
  <location ref="B4:C17" firstHeaderRow="1" firstDataRow="1" firstDataCol="1"/>
  <pivotFields count="6">
    <pivotField showAll="0"/>
    <pivotField axis="axisRow" showAll="0" sortType="ascending">
      <items count="13">
        <item x="9"/>
        <item x="4"/>
        <item x="2"/>
        <item x="7"/>
        <item x="1"/>
        <item x="10"/>
        <item x="8"/>
        <item x="0"/>
        <item x="6"/>
        <item x="3"/>
        <item x="5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</pivotFields>
  <rowFields count="1">
    <field x="1"/>
  </rowFields>
  <rowItems count="13">
    <i>
      <x v="6"/>
    </i>
    <i>
      <x v="9"/>
    </i>
    <i>
      <x v="3"/>
    </i>
    <i>
      <x v="7"/>
    </i>
    <i>
      <x/>
    </i>
    <i>
      <x v="8"/>
    </i>
    <i>
      <x v="5"/>
    </i>
    <i>
      <x v="4"/>
    </i>
    <i>
      <x v="10"/>
    </i>
    <i>
      <x v="2"/>
    </i>
    <i>
      <x v="11"/>
    </i>
    <i>
      <x v="1"/>
    </i>
    <i t="grand">
      <x/>
    </i>
  </rowItems>
  <colItems count="1">
    <i/>
  </colItems>
  <dataFields count="1">
    <dataField name="Coste" fld="3" baseField="1" baseItem="0" numFmtId="164"/>
  </dataFields>
  <formats count="87">
    <format dxfId="227">
      <pivotArea outline="0" collapsedLevelsAreSubtotals="1" fieldPosition="0"/>
    </format>
    <format dxfId="226">
      <pivotArea grandRow="1" outline="0" collapsedLevelsAreSubtotals="1" fieldPosition="0"/>
    </format>
    <format dxfId="225">
      <pivotArea dataOnly="0" labelOnly="1" grandRow="1" outline="0" fieldPosition="0"/>
    </format>
    <format dxfId="224">
      <pivotArea grandRow="1" outline="0" collapsedLevelsAreSubtotals="1" fieldPosition="0"/>
    </format>
    <format dxfId="223">
      <pivotArea dataOnly="0" labelOnly="1" grandRow="1" outline="0" fieldPosition="0"/>
    </format>
    <format dxfId="222">
      <pivotArea dataOnly="0" grandRow="1" axis="axisRow" fieldPosition="0"/>
    </format>
    <format dxfId="221">
      <pivotArea dataOnly="0" labelOnly="1" outline="0" axis="axisValues" fieldPosition="0"/>
    </format>
    <format dxfId="220">
      <pivotArea dataOnly="0" labelOnly="1" outline="0" axis="axisValues" fieldPosition="0"/>
    </format>
    <format dxfId="219">
      <pivotArea dataOnly="0" labelOnly="1" outline="0" axis="axisValues" fieldPosition="0"/>
    </format>
    <format dxfId="218">
      <pivotArea dataOnly="0" labelOnly="1" outline="0" axis="axisValues" fieldPosition="0"/>
    </format>
    <format dxfId="217">
      <pivotArea dataOnly="0" labelOnly="1" outline="0" axis="axisValues" fieldPosition="0"/>
    </format>
    <format dxfId="216">
      <pivotArea dataOnly="0" labelOnly="1" outline="0" axis="axisValues" fieldPosition="0"/>
    </format>
    <format dxfId="215">
      <pivotArea grandRow="1" outline="0" collapsedLevelsAreSubtotals="1" fieldPosition="0"/>
    </format>
    <format dxfId="214">
      <pivotArea dataOnly="0" labelOnly="1" grandRow="1" outline="0" fieldPosition="0"/>
    </format>
    <format dxfId="213">
      <pivotArea grandRow="1" outline="0" collapsedLevelsAreSubtotals="1" fieldPosition="0"/>
    </format>
    <format dxfId="212">
      <pivotArea dataOnly="0" labelOnly="1" grandRow="1" outline="0" fieldPosition="0"/>
    </format>
    <format dxfId="211">
      <pivotArea type="all" dataOnly="0" outline="0" fieldPosition="0"/>
    </format>
    <format dxfId="210">
      <pivotArea dataOnly="0" labelOnly="1" outline="0" axis="axisValues" fieldPosition="0"/>
    </format>
    <format dxfId="209">
      <pivotArea dataOnly="0" labelOnly="1" outline="0" axis="axisValues" fieldPosition="0"/>
    </format>
    <format dxfId="208">
      <pivotArea type="all" dataOnly="0" outline="0" fieldPosition="0"/>
    </format>
    <format dxfId="207">
      <pivotArea outline="0" collapsedLevelsAreSubtotals="1" fieldPosition="0"/>
    </format>
    <format dxfId="206">
      <pivotArea dataOnly="0" labelOnly="1" outline="0" axis="axisValues" fieldPosition="0"/>
    </format>
    <format dxfId="205">
      <pivotArea dataOnly="0" labelOnly="1" grandRow="1" outline="0" fieldPosition="0"/>
    </format>
    <format dxfId="204">
      <pivotArea dataOnly="0" labelOnly="1" outline="0" axis="axisValues" fieldPosition="0"/>
    </format>
    <format dxfId="203">
      <pivotArea type="all" dataOnly="0" outline="0" fieldPosition="0"/>
    </format>
    <format dxfId="202">
      <pivotArea outline="0" collapsedLevelsAreSubtotals="1" fieldPosition="0"/>
    </format>
    <format dxfId="201">
      <pivotArea dataOnly="0" labelOnly="1" outline="0" axis="axisValues" fieldPosition="0"/>
    </format>
    <format dxfId="200">
      <pivotArea dataOnly="0" labelOnly="1" grandRow="1" outline="0" fieldPosition="0"/>
    </format>
    <format dxfId="199">
      <pivotArea dataOnly="0" labelOnly="1" outline="0" axis="axisValues" fieldPosition="0"/>
    </format>
    <format dxfId="198">
      <pivotArea type="all" dataOnly="0" outline="0" fieldPosition="0"/>
    </format>
    <format dxfId="197">
      <pivotArea outline="0" collapsedLevelsAreSubtotals="1" fieldPosition="0"/>
    </format>
    <format dxfId="196">
      <pivotArea dataOnly="0" labelOnly="1" outline="0" axis="axisValues" fieldPosition="0"/>
    </format>
    <format dxfId="195">
      <pivotArea dataOnly="0" labelOnly="1" grandRow="1" outline="0" fieldPosition="0"/>
    </format>
    <format dxfId="194">
      <pivotArea dataOnly="0" labelOnly="1" outline="0" axis="axisValues" fieldPosition="0"/>
    </format>
    <format dxfId="193">
      <pivotArea type="all" dataOnly="0" outline="0" fieldPosition="0"/>
    </format>
    <format dxfId="192">
      <pivotArea outline="0" collapsedLevelsAreSubtotals="1" fieldPosition="0"/>
    </format>
    <format dxfId="191">
      <pivotArea dataOnly="0" labelOnly="1" outline="0" axis="axisValues" fieldPosition="0"/>
    </format>
    <format dxfId="190">
      <pivotArea dataOnly="0" labelOnly="1" grandRow="1" outline="0" fieldPosition="0"/>
    </format>
    <format dxfId="189">
      <pivotArea dataOnly="0" labelOnly="1" outline="0" axis="axisValues" fieldPosition="0"/>
    </format>
    <format dxfId="188">
      <pivotArea dataOnly="0" labelOnly="1" outline="0" axis="axisValues" fieldPosition="0"/>
    </format>
    <format dxfId="187">
      <pivotArea dataOnly="0" labelOnly="1" outline="0" axis="axisValues" fieldPosition="0"/>
    </format>
    <format dxfId="186">
      <pivotArea dataOnly="0" labelOnly="1" outline="0" axis="axisValues" fieldPosition="0"/>
    </format>
    <format dxfId="185">
      <pivotArea dataOnly="0" labelOnly="1" outline="0" axis="axisValues" fieldPosition="0"/>
    </format>
    <format dxfId="184">
      <pivotArea outline="0" collapsedLevelsAreSubtotals="1" fieldPosition="0"/>
    </format>
    <format dxfId="183">
      <pivotArea dataOnly="0" labelOnly="1" grandRow="1" outline="0" fieldPosition="0"/>
    </format>
    <format dxfId="182">
      <pivotArea dataOnly="0" labelOnly="1" outline="0" axis="axisValues" fieldPosition="0"/>
    </format>
    <format dxfId="181">
      <pivotArea dataOnly="0" labelOnly="1" outline="0" axis="axisValues" fieldPosition="0"/>
    </format>
    <format dxfId="180">
      <pivotArea dataOnly="0" labelOnly="1" outline="0" axis="axisValues" fieldPosition="0"/>
    </format>
    <format dxfId="179">
      <pivotArea dataOnly="0" labelOnly="1" outline="0" axis="axisValues" fieldPosition="0"/>
    </format>
    <format dxfId="178">
      <pivotArea dataOnly="0" labelOnly="1" outline="0" axis="axisValues" fieldPosition="0"/>
    </format>
    <format dxfId="177">
      <pivotArea dataOnly="0" labelOnly="1" outline="0" axis="axisValues" fieldPosition="0"/>
    </format>
    <format dxfId="176">
      <pivotArea dataOnly="0" labelOnly="1" outline="0" axis="axisValues" fieldPosition="0"/>
    </format>
    <format dxfId="175">
      <pivotArea dataOnly="0" labelOnly="1" outline="0" axis="axisValues" fieldPosition="0"/>
    </format>
    <format dxfId="174">
      <pivotArea dataOnly="0" labelOnly="1" outline="0" axis="axisValues" fieldPosition="0"/>
    </format>
    <format dxfId="173">
      <pivotArea dataOnly="0" labelOnly="1" outline="0" axis="axisValues" fieldPosition="0"/>
    </format>
    <format dxfId="172">
      <pivotArea dataOnly="0" labelOnly="1" outline="0" axis="axisValues" fieldPosition="0"/>
    </format>
    <format dxfId="171">
      <pivotArea dataOnly="0" labelOnly="1" outline="0" axis="axisValues" fieldPosition="0"/>
    </format>
    <format dxfId="170">
      <pivotArea dataOnly="0" labelOnly="1" outline="0" axis="axisValues" fieldPosition="0"/>
    </format>
    <format dxfId="169">
      <pivotArea dataOnly="0" labelOnly="1" outline="0" axis="axisValues" fieldPosition="0"/>
    </format>
    <format dxfId="168">
      <pivotArea dataOnly="0" labelOnly="1" outline="0" axis="axisValues" fieldPosition="0"/>
    </format>
    <format dxfId="167">
      <pivotArea dataOnly="0" labelOnly="1" outline="0" axis="axisValues" fieldPosition="0"/>
    </format>
    <format dxfId="166">
      <pivotArea grandRow="1" outline="0" collapsedLevelsAreSubtotals="1" fieldPosition="0"/>
    </format>
    <format dxfId="165">
      <pivotArea dataOnly="0" labelOnly="1" grandRow="1" outline="0" fieldPosition="0"/>
    </format>
    <format dxfId="164">
      <pivotArea dataOnly="0" labelOnly="1" outline="0" axis="axisValues" fieldPosition="0"/>
    </format>
    <format dxfId="163">
      <pivotArea dataOnly="0" labelOnly="1" outline="0" axis="axisValues" fieldPosition="0"/>
    </format>
    <format dxfId="162">
      <pivotArea dataOnly="0" labelOnly="1" outline="0" axis="axisValues" fieldPosition="0"/>
    </format>
    <format dxfId="161">
      <pivotArea dataOnly="0" labelOnly="1" outline="0" axis="axisValues" fieldPosition="0"/>
    </format>
    <format dxfId="160">
      <pivotArea grandRow="1" outline="0" collapsedLevelsAreSubtotals="1" fieldPosition="0"/>
    </format>
    <format dxfId="159">
      <pivotArea dataOnly="0" labelOnly="1" grandRow="1" outline="0" fieldPosition="0"/>
    </format>
    <format dxfId="158">
      <pivotArea dataOnly="0" labelOnly="1" outline="0" axis="axisValues" fieldPosition="0"/>
    </format>
    <format dxfId="157">
      <pivotArea outline="0" collapsedLevelsAreSubtotals="1" fieldPosition="0"/>
    </format>
    <format dxfId="156">
      <pivotArea outline="0" collapsedLevelsAreSubtotals="1" fieldPosition="0"/>
    </format>
    <format dxfId="155">
      <pivotArea outline="0" collapsedLevelsAreSubtotals="1" fieldPosition="0"/>
    </format>
    <format dxfId="154">
      <pivotArea outline="0" fieldPosition="0">
        <references count="1">
          <reference field="4294967294" count="1">
            <x v="0"/>
          </reference>
        </references>
      </pivotArea>
    </format>
    <format dxfId="153">
      <pivotArea field="1" type="button" dataOnly="0" labelOnly="1" outline="0" axis="axisRow" fieldPosition="0"/>
    </format>
    <format dxfId="152">
      <pivotArea field="1" type="button" dataOnly="0" labelOnly="1" outline="0" axis="axisRow" fieldPosition="0"/>
    </format>
    <format dxfId="151">
      <pivotArea dataOnly="0" labelOnly="1" outline="0" axis="axisValues" fieldPosition="0"/>
    </format>
    <format dxfId="150">
      <pivotArea field="1" type="button" dataOnly="0" labelOnly="1" outline="0" axis="axisRow" fieldPosition="0"/>
    </format>
    <format dxfId="149">
      <pivotArea dataOnly="0" labelOnly="1" fieldPosition="0">
        <references count="1">
          <reference field="1" count="0"/>
        </references>
      </pivotArea>
    </format>
    <format dxfId="148">
      <pivotArea dataOnly="0" labelOnly="1" fieldPosition="0">
        <references count="1">
          <reference field="1" count="0"/>
        </references>
      </pivotArea>
    </format>
    <format dxfId="147">
      <pivotArea field="1" type="button" dataOnly="0" labelOnly="1" outline="0" axis="axisRow" fieldPosition="0"/>
    </format>
    <format dxfId="146">
      <pivotArea field="1" type="button" dataOnly="0" labelOnly="1" outline="0" axis="axisRow" fieldPosition="0"/>
    </format>
    <format dxfId="145">
      <pivotArea field="1" type="button" dataOnly="0" labelOnly="1" outline="0" axis="axisRow" fieldPosition="0"/>
    </format>
    <format dxfId="144">
      <pivotArea field="1" type="button" dataOnly="0" labelOnly="1" outline="0" axis="axisRow" fieldPosition="0"/>
    </format>
    <format dxfId="143">
      <pivotArea field="1" type="button" dataOnly="0" labelOnly="1" outline="0" axis="axisRow" fieldPosition="0"/>
    </format>
    <format dxfId="142">
      <pivotArea field="1" type="button" dataOnly="0" labelOnly="1" outline="0" axis="axisRow" fieldPosition="0"/>
    </format>
    <format dxfId="141">
      <pivotArea field="1" type="button" dataOnly="0" labelOnly="1" outline="0" axis="axisRow" fieldPosition="0"/>
    </format>
  </formats>
  <chartFormats count="13">
    <chartFormat chart="2" format="1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1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116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117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118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" format="119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" format="120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" format="12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2" format="122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2" format="123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2" format="124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</chartFormats>
  <pivotTableStyleInfo name="PivotStyleLight7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altText="PivotTable for Budget Chart" altTextSummary="Tabla dinámica que sirve como datos de origen para el gráfico de información general de presupuestos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ía" xr10:uid="{34D6E9EE-51A3-494E-B8AE-A671ABB22034}" sourceName="Categoría">
  <pivotTables>
    <pivotTable tabId="2" name="Tabla_Dinámica_de_Resumen_De_Presupuesto"/>
  </pivotTables>
  <data>
    <tabular pivotCacheId="1">
      <items count="12">
        <i x="9" s="1"/>
        <i x="4" s="1"/>
        <i x="2" s="1"/>
        <i x="7" s="1"/>
        <i x="1" s="1"/>
        <i x="10" s="1"/>
        <i x="8" s="1"/>
        <i x="0" s="1"/>
        <i x="6" s="1"/>
        <i x="3" s="1"/>
        <i x="5" s="1"/>
        <i x="11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ía" xr10:uid="{66A3477B-35CA-4407-9068-C9EDA43BE718}" cache="SegmentaciónDeDatos_Categoría" caption="Mantenga presionada la tecla Ctrl para seleccionar varias categorías" columnCount="4" rowHeight="2730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Gastos_Mensuales" displayName="Table_Gastos_Mensuales" ref="B2:G61" headerRowDxfId="241" dataDxfId="240">
  <tableColumns count="6">
    <tableColumn id="1" xr3:uid="{00000000-0010-0000-0000-000001000000}" name="Descripción" totalsRowLabel="Total" dataDxfId="239" totalsRowDxfId="238"/>
    <tableColumn id="2" xr3:uid="{00000000-0010-0000-0000-000002000000}" name="Categoría" dataDxfId="237" totalsRowDxfId="236"/>
    <tableColumn id="3" xr3:uid="{00000000-0010-0000-0000-000003000000}" name="Costo previsto" dataDxfId="235" totalsRowDxfId="234"/>
    <tableColumn id="4" xr3:uid="{00000000-0010-0000-0000-000004000000}" name="Coste real" dataDxfId="233" totalsRowDxfId="232"/>
    <tableColumn id="5" xr3:uid="{00000000-0010-0000-0000-000005000000}" name="Diferencia" dataDxfId="231" totalsRowDxfId="230">
      <calculatedColumnFormula>IF(OR(Table_Gastos_Mensuales[[#This Row],[Costo previsto]]="",Table_Gastos_Mensuales[[#This Row],[Coste real]]=""),"",Table_Gastos_Mensuales[[#This Row],[Costo previsto]]-Table_Gastos_Mensuales[[#This Row],[Coste real]])</calculatedColumnFormula>
    </tableColumn>
    <tableColumn id="6" xr3:uid="{00000000-0010-0000-0000-000006000000}" name="Información general del coste real" totalsRowFunction="sum" dataDxfId="229" totalsRowDxfId="228">
      <calculatedColumnFormula>Table_Gastos_Mensuales[[#This Row],[Coste real]]</calculatedColumnFormula>
    </tableColumn>
  </tableColumns>
  <tableStyleInfo name="TableStyleLight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_Lista_De_Categorías" displayName="Tabla_Lista_De_Categorías" ref="E4:E16" totalsRowShown="0" headerRowDxfId="140" dataDxfId="139">
  <tableColumns count="1">
    <tableColumn id="1" xr3:uid="{00000000-0010-0000-0100-000001000000}" name="Para agregar una categoría, escriba debajo" dataDxfId="138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9">
      <a:majorFont>
        <a:latin typeface="Franklin Gothic Medium"/>
        <a:ea typeface=""/>
        <a:cs typeface=""/>
      </a:majorFont>
      <a:minorFont>
        <a:latin typeface="Malgun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6"/>
  <sheetViews>
    <sheetView showGridLines="0" showRowColHeaders="0" tabSelected="1" zoomScaleNormal="100" workbookViewId="0">
      <selection activeCell="D3" sqref="D3"/>
    </sheetView>
  </sheetViews>
  <sheetFormatPr baseColWidth="10" defaultColWidth="9" defaultRowHeight="21.75" customHeight="1" x14ac:dyDescent="0.3"/>
  <cols>
    <col min="1" max="1" width="1.875" style="3" customWidth="1"/>
    <col min="2" max="2" width="21.625" style="3" customWidth="1"/>
    <col min="3" max="3" width="16.625" style="3" customWidth="1"/>
    <col min="4" max="4" width="16.625" style="45" customWidth="1"/>
    <col min="5" max="5" width="2.625" style="3" customWidth="1"/>
    <col min="6" max="6" width="16.625" style="3" customWidth="1"/>
    <col min="7" max="7" width="16.625" style="45" customWidth="1"/>
    <col min="8" max="8" width="1.875" style="3" customWidth="1"/>
    <col min="9" max="16384" width="9" style="3"/>
  </cols>
  <sheetData>
    <row r="1" spans="2:11" s="1" customFormat="1" ht="105.95" customHeight="1" x14ac:dyDescent="0.3">
      <c r="D1" s="41"/>
      <c r="G1" s="41"/>
      <c r="H1" s="1" t="s">
        <v>16</v>
      </c>
      <c r="I1" s="5"/>
    </row>
    <row r="2" spans="2:11" s="2" customFormat="1" ht="45" customHeight="1" x14ac:dyDescent="0.35">
      <c r="B2" s="32" t="s">
        <v>0</v>
      </c>
      <c r="C2" s="4"/>
      <c r="D2" s="42"/>
      <c r="E2" s="4"/>
      <c r="F2" s="4"/>
      <c r="G2" s="42"/>
    </row>
    <row r="3" spans="2:11" ht="27.95" customHeight="1" x14ac:dyDescent="0.5">
      <c r="B3" s="63" t="s">
        <v>1</v>
      </c>
      <c r="C3" s="63"/>
      <c r="D3" s="52">
        <f>Ingresos_Previstos-Gastos_Previstos</f>
        <v>1585</v>
      </c>
      <c r="E3" s="33"/>
      <c r="F3" s="34" t="s">
        <v>12</v>
      </c>
      <c r="G3" s="10"/>
      <c r="I3" s="2"/>
      <c r="J3" s="2"/>
      <c r="K3" s="2"/>
    </row>
    <row r="4" spans="2:11" ht="27.95" customHeight="1" x14ac:dyDescent="0.5">
      <c r="B4" s="62" t="s">
        <v>2</v>
      </c>
      <c r="C4" s="62"/>
      <c r="D4" s="53">
        <f>Ingresos_Reales-Gastos_Reales</f>
        <v>1740</v>
      </c>
      <c r="E4" s="33"/>
      <c r="F4" s="35" t="s">
        <v>13</v>
      </c>
      <c r="G4" s="11"/>
      <c r="I4" s="2"/>
      <c r="J4" s="2"/>
      <c r="K4" s="2"/>
    </row>
    <row r="5" spans="2:11" ht="27.95" customHeight="1" x14ac:dyDescent="0.5">
      <c r="B5" s="62" t="s">
        <v>3</v>
      </c>
      <c r="C5" s="62"/>
      <c r="D5" s="53">
        <f>D4-D3</f>
        <v>155</v>
      </c>
      <c r="E5" s="33"/>
      <c r="F5" s="35" t="s">
        <v>14</v>
      </c>
      <c r="G5" s="11"/>
      <c r="I5" s="2"/>
      <c r="J5" s="2"/>
      <c r="K5" s="2"/>
    </row>
    <row r="6" spans="2:11" s="2" customFormat="1" ht="45" customHeight="1" x14ac:dyDescent="0.35">
      <c r="B6" s="32" t="s">
        <v>4</v>
      </c>
      <c r="C6" s="4"/>
      <c r="D6" s="42"/>
      <c r="F6" s="27" t="s">
        <v>15</v>
      </c>
      <c r="G6" s="42"/>
    </row>
    <row r="7" spans="2:11" ht="21.95" customHeight="1" x14ac:dyDescent="0.3">
      <c r="B7" s="36"/>
      <c r="C7" s="37" t="s">
        <v>10</v>
      </c>
      <c r="D7" s="37" t="s">
        <v>11</v>
      </c>
      <c r="E7" s="38"/>
      <c r="F7" s="37" t="s">
        <v>10</v>
      </c>
      <c r="G7" s="37" t="s">
        <v>11</v>
      </c>
      <c r="I7" s="2"/>
      <c r="J7" s="2"/>
      <c r="K7" s="2"/>
    </row>
    <row r="8" spans="2:11" ht="21.95" customHeight="1" x14ac:dyDescent="0.3">
      <c r="B8" s="36" t="s">
        <v>5</v>
      </c>
      <c r="C8" s="54">
        <v>6000</v>
      </c>
      <c r="D8" s="54">
        <v>5800</v>
      </c>
      <c r="E8" s="39"/>
      <c r="F8" s="54">
        <f>SUM(Table_Gastos_Mensuales[Costo previsto])</f>
        <v>7915</v>
      </c>
      <c r="G8" s="54">
        <f>SUM(Table_Gastos_Mensuales[Coste real])</f>
        <v>7860</v>
      </c>
    </row>
    <row r="9" spans="2:11" ht="21.95" customHeight="1" x14ac:dyDescent="0.3">
      <c r="B9" s="36" t="s">
        <v>6</v>
      </c>
      <c r="C9" s="54">
        <v>1000</v>
      </c>
      <c r="D9" s="54">
        <v>2300</v>
      </c>
      <c r="E9" s="39"/>
      <c r="F9" s="39"/>
      <c r="G9" s="43"/>
    </row>
    <row r="10" spans="2:11" ht="21.95" customHeight="1" x14ac:dyDescent="0.3">
      <c r="B10" s="36" t="s">
        <v>7</v>
      </c>
      <c r="C10" s="55">
        <v>2500</v>
      </c>
      <c r="D10" s="55">
        <v>1500</v>
      </c>
      <c r="E10" s="39"/>
      <c r="F10" s="39"/>
      <c r="G10" s="39"/>
    </row>
    <row r="11" spans="2:11" ht="21.95" customHeight="1" x14ac:dyDescent="0.3">
      <c r="B11" s="36" t="s">
        <v>8</v>
      </c>
      <c r="C11" s="54">
        <f>SUM(C8:C10)</f>
        <v>9500</v>
      </c>
      <c r="D11" s="54">
        <f>SUM(D8:D10)</f>
        <v>9600</v>
      </c>
      <c r="E11" s="20"/>
      <c r="F11" s="20"/>
      <c r="G11" s="44"/>
    </row>
    <row r="12" spans="2:11" s="2" customFormat="1" ht="45" customHeight="1" x14ac:dyDescent="0.35">
      <c r="B12" s="32" t="s">
        <v>9</v>
      </c>
      <c r="C12" s="4"/>
      <c r="D12" s="42"/>
      <c r="E12" s="42"/>
      <c r="F12" s="12"/>
      <c r="G12" s="42"/>
    </row>
    <row r="13" spans="2:11" ht="21.75" customHeight="1" x14ac:dyDescent="0.3">
      <c r="D13" s="3"/>
    </row>
    <row r="14" spans="2:11" ht="21.75" customHeight="1" x14ac:dyDescent="0.3">
      <c r="D14" s="3"/>
    </row>
    <row r="15" spans="2:11" ht="21.75" customHeight="1" x14ac:dyDescent="0.3">
      <c r="D15" s="3"/>
    </row>
    <row r="16" spans="2:11" ht="21.75" customHeight="1" x14ac:dyDescent="0.3">
      <c r="D16" s="3"/>
    </row>
  </sheetData>
  <mergeCells count="3">
    <mergeCell ref="B4:C4"/>
    <mergeCell ref="B5:C5"/>
    <mergeCell ref="B3:C3"/>
  </mergeCells>
  <conditionalFormatting sqref="D5">
    <cfRule type="cellIs" dxfId="294" priority="1" operator="lessThan">
      <formula>0</formula>
    </cfRule>
  </conditionalFormatting>
  <dataValidations count="4">
    <dataValidation allowBlank="1" showInputMessage="1" showErrorMessage="1" prompt="Comparar el presupuesto previsto con el presupuesto real._x000a__x000a_Escriba sus ingresos previstos y reales en las celdas C8, D8, C9, D9, C10 y D11._x000a__x000a_Introduzca la información de los gastos en la pestaña Gastos mensuales." sqref="A1" xr:uid="{00000000-0002-0000-0000-000000000000}"/>
    <dataValidation allowBlank="1" showInputMessage="1" showErrorMessage="1" prompt="Los valores de los gastos provienen de la pestaña Gastos mensuales." sqref="F6" xr:uid="{00000000-0002-0000-0000-000001000000}"/>
    <dataValidation allowBlank="1" showInputMessage="1" showErrorMessage="1" prompt="Escriba sus ingresos previstos y reales en las celdas C8, D8, C9, D9, C10 y D11." sqref="B6" xr:uid="{00000000-0002-0000-0000-000002000000}"/>
    <dataValidation allowBlank="1" showInputMessage="1" showErrorMessage="1" prompt="El gráfico siguiente muestra el desglose de los gastos reales. _x000a__x000a_Los datos provienen de la pestaña Datos adicionales. Para actualizar este gráfico, actualice la Tabla dinámica para el Gráfico de presupuesto en la pestaña Datos adicionales." sqref="B12" xr:uid="{00000000-0002-0000-0000-000003000000}"/>
  </dataValidations>
  <printOptions horizontalCentere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178"/>
  <sheetViews>
    <sheetView showGridLines="0" showRowColHeaders="0" zoomScaleNormal="100" workbookViewId="0"/>
  </sheetViews>
  <sheetFormatPr baseColWidth="10" defaultColWidth="9" defaultRowHeight="12" x14ac:dyDescent="0.2"/>
  <cols>
    <col min="1" max="1" width="1.875" style="11" customWidth="1"/>
    <col min="2" max="2" width="30.5" style="11" customWidth="1"/>
    <col min="3" max="5" width="13.625" style="18" customWidth="1"/>
    <col min="6" max="6" width="16.75" style="11" customWidth="1"/>
    <col min="7" max="7" width="1.875" style="11" customWidth="1"/>
    <col min="8" max="16384" width="9" style="11"/>
  </cols>
  <sheetData>
    <row r="1" spans="2:7" s="14" customFormat="1" ht="45.75" customHeight="1" x14ac:dyDescent="0.3">
      <c r="B1" s="23" t="s">
        <v>17</v>
      </c>
      <c r="C1" s="22"/>
      <c r="D1" s="22"/>
      <c r="E1" s="22"/>
      <c r="G1" s="22" t="s">
        <v>16</v>
      </c>
    </row>
    <row r="2" spans="2:7" ht="107.25" customHeight="1" x14ac:dyDescent="0.3">
      <c r="B2"/>
      <c r="C2"/>
      <c r="D2"/>
      <c r="E2"/>
    </row>
    <row r="3" spans="2:7" s="19" customFormat="1" ht="13.5" x14ac:dyDescent="0.25">
      <c r="B3" s="60" t="s">
        <v>96</v>
      </c>
      <c r="C3" s="61" t="s">
        <v>43</v>
      </c>
      <c r="D3" s="61" t="s">
        <v>44</v>
      </c>
      <c r="E3" s="61" t="s">
        <v>45</v>
      </c>
    </row>
    <row r="4" spans="2:7" x14ac:dyDescent="0.2">
      <c r="B4" s="31" t="s">
        <v>18</v>
      </c>
      <c r="C4" s="50">
        <v>140</v>
      </c>
      <c r="D4" s="50">
        <v>140</v>
      </c>
      <c r="E4" s="50">
        <v>0</v>
      </c>
    </row>
    <row r="5" spans="2:7" x14ac:dyDescent="0.2">
      <c r="B5" s="26" t="s">
        <v>19</v>
      </c>
      <c r="C5" s="50">
        <v>40</v>
      </c>
      <c r="D5" s="50">
        <v>40</v>
      </c>
      <c r="E5" s="50">
        <v>0</v>
      </c>
    </row>
    <row r="6" spans="2:7" x14ac:dyDescent="0.2">
      <c r="B6" s="26" t="s">
        <v>21</v>
      </c>
      <c r="C6" s="50"/>
      <c r="D6" s="50"/>
      <c r="E6" s="50">
        <v>0</v>
      </c>
    </row>
    <row r="7" spans="2:7" x14ac:dyDescent="0.2">
      <c r="B7" s="26" t="s">
        <v>22</v>
      </c>
      <c r="C7" s="50">
        <v>100</v>
      </c>
      <c r="D7" s="50">
        <v>100</v>
      </c>
      <c r="E7" s="50">
        <v>0</v>
      </c>
    </row>
    <row r="8" spans="2:7" x14ac:dyDescent="0.2">
      <c r="B8" s="26" t="s">
        <v>20</v>
      </c>
      <c r="C8" s="50"/>
      <c r="D8" s="50"/>
      <c r="E8" s="50">
        <v>0</v>
      </c>
    </row>
    <row r="9" spans="2:7" x14ac:dyDescent="0.2">
      <c r="B9" s="31"/>
      <c r="C9" s="50"/>
      <c r="D9" s="50"/>
      <c r="E9" s="50"/>
    </row>
    <row r="10" spans="2:7" x14ac:dyDescent="0.2">
      <c r="B10" s="31" t="s">
        <v>23</v>
      </c>
      <c r="C10" s="50">
        <v>400</v>
      </c>
      <c r="D10" s="50">
        <v>358</v>
      </c>
      <c r="E10" s="50">
        <v>42</v>
      </c>
    </row>
    <row r="11" spans="2:7" x14ac:dyDescent="0.2">
      <c r="B11" s="26" t="s">
        <v>24</v>
      </c>
      <c r="C11" s="50">
        <v>50</v>
      </c>
      <c r="D11" s="50">
        <v>40</v>
      </c>
      <c r="E11" s="50">
        <v>10</v>
      </c>
    </row>
    <row r="12" spans="2:7" x14ac:dyDescent="0.2">
      <c r="B12" s="26" t="s">
        <v>28</v>
      </c>
      <c r="C12" s="50">
        <v>0</v>
      </c>
      <c r="D12" s="50">
        <v>40</v>
      </c>
      <c r="E12" s="50">
        <v>-40</v>
      </c>
    </row>
    <row r="13" spans="2:7" x14ac:dyDescent="0.2">
      <c r="B13" s="26" t="s">
        <v>27</v>
      </c>
      <c r="C13" s="50">
        <v>50</v>
      </c>
      <c r="D13" s="50">
        <v>30</v>
      </c>
      <c r="E13" s="50">
        <v>20</v>
      </c>
    </row>
    <row r="14" spans="2:7" x14ac:dyDescent="0.2">
      <c r="B14" s="26" t="s">
        <v>26</v>
      </c>
      <c r="C14" s="50">
        <v>50</v>
      </c>
      <c r="D14" s="50">
        <v>28</v>
      </c>
      <c r="E14" s="50">
        <v>22</v>
      </c>
    </row>
    <row r="15" spans="2:7" x14ac:dyDescent="0.2">
      <c r="B15" s="26" t="s">
        <v>25</v>
      </c>
      <c r="C15" s="50">
        <v>200</v>
      </c>
      <c r="D15" s="50">
        <v>150</v>
      </c>
      <c r="E15" s="50">
        <v>50</v>
      </c>
    </row>
    <row r="16" spans="2:7" x14ac:dyDescent="0.2">
      <c r="B16" s="26" t="s">
        <v>30</v>
      </c>
      <c r="C16" s="50">
        <v>30</v>
      </c>
      <c r="D16" s="50">
        <v>20</v>
      </c>
      <c r="E16" s="50">
        <v>10</v>
      </c>
    </row>
    <row r="17" spans="2:5" x14ac:dyDescent="0.2">
      <c r="B17" s="26" t="s">
        <v>29</v>
      </c>
      <c r="C17" s="50">
        <v>20</v>
      </c>
      <c r="D17" s="50">
        <v>50</v>
      </c>
      <c r="E17" s="50">
        <v>-30</v>
      </c>
    </row>
    <row r="18" spans="2:5" x14ac:dyDescent="0.2">
      <c r="B18" s="31"/>
      <c r="C18" s="50"/>
      <c r="D18" s="50"/>
      <c r="E18" s="50"/>
    </row>
    <row r="19" spans="2:5" x14ac:dyDescent="0.2">
      <c r="B19" s="31" t="s">
        <v>33</v>
      </c>
      <c r="C19" s="50">
        <v>2830</v>
      </c>
      <c r="D19" s="50">
        <v>2702</v>
      </c>
      <c r="E19" s="50">
        <v>-72</v>
      </c>
    </row>
    <row r="20" spans="2:5" x14ac:dyDescent="0.2">
      <c r="B20" s="31"/>
      <c r="C20" s="50"/>
      <c r="D20" s="50"/>
      <c r="E20" s="50"/>
    </row>
    <row r="21" spans="2:5" x14ac:dyDescent="0.2">
      <c r="B21" s="31" t="s">
        <v>31</v>
      </c>
      <c r="C21" s="50">
        <v>1100</v>
      </c>
      <c r="D21" s="50">
        <v>1320</v>
      </c>
      <c r="E21" s="50">
        <v>-220</v>
      </c>
    </row>
    <row r="22" spans="2:5" x14ac:dyDescent="0.2">
      <c r="B22" s="31"/>
      <c r="C22" s="50"/>
      <c r="D22" s="50"/>
      <c r="E22" s="50"/>
    </row>
    <row r="23" spans="2:5" x14ac:dyDescent="0.2">
      <c r="B23" s="31" t="s">
        <v>36</v>
      </c>
      <c r="C23" s="50">
        <v>150</v>
      </c>
      <c r="D23" s="50">
        <v>140</v>
      </c>
      <c r="E23" s="50">
        <v>10</v>
      </c>
    </row>
    <row r="24" spans="2:5" x14ac:dyDescent="0.2">
      <c r="B24" s="31"/>
      <c r="C24" s="50"/>
      <c r="D24" s="50"/>
      <c r="E24" s="50"/>
    </row>
    <row r="25" spans="2:5" x14ac:dyDescent="0.2">
      <c r="B25" s="31" t="s">
        <v>38</v>
      </c>
      <c r="C25" s="50">
        <v>300</v>
      </c>
      <c r="D25" s="50">
        <v>300</v>
      </c>
      <c r="E25" s="50">
        <v>0</v>
      </c>
    </row>
    <row r="26" spans="2:5" x14ac:dyDescent="0.2">
      <c r="B26" s="31"/>
      <c r="C26" s="50"/>
      <c r="D26" s="50"/>
      <c r="E26" s="50"/>
    </row>
    <row r="27" spans="2:5" x14ac:dyDescent="0.2">
      <c r="B27" s="31" t="s">
        <v>37</v>
      </c>
      <c r="C27" s="50">
        <v>170</v>
      </c>
      <c r="D27" s="50">
        <v>100</v>
      </c>
      <c r="E27" s="50">
        <v>70</v>
      </c>
    </row>
    <row r="28" spans="2:5" x14ac:dyDescent="0.2">
      <c r="B28" s="31"/>
      <c r="C28" s="50"/>
      <c r="D28" s="50"/>
      <c r="E28" s="50"/>
    </row>
    <row r="29" spans="2:5" x14ac:dyDescent="0.2">
      <c r="B29" s="31" t="s">
        <v>35</v>
      </c>
      <c r="C29" s="50">
        <v>200</v>
      </c>
      <c r="D29" s="50">
        <v>200</v>
      </c>
      <c r="E29" s="50">
        <v>0</v>
      </c>
    </row>
    <row r="30" spans="2:5" x14ac:dyDescent="0.2">
      <c r="B30" s="31"/>
      <c r="C30" s="50"/>
      <c r="D30" s="50"/>
      <c r="E30" s="50"/>
    </row>
    <row r="31" spans="2:5" x14ac:dyDescent="0.2">
      <c r="B31" s="31" t="s">
        <v>32</v>
      </c>
      <c r="C31" s="50">
        <v>100</v>
      </c>
      <c r="D31" s="50">
        <v>125</v>
      </c>
      <c r="E31" s="50">
        <v>-25</v>
      </c>
    </row>
    <row r="32" spans="2:5" x14ac:dyDescent="0.2">
      <c r="B32" s="31"/>
      <c r="C32" s="50"/>
      <c r="D32" s="50"/>
      <c r="E32" s="50"/>
    </row>
    <row r="33" spans="2:5" x14ac:dyDescent="0.2">
      <c r="B33" s="31" t="s">
        <v>34</v>
      </c>
      <c r="C33" s="50">
        <v>900</v>
      </c>
      <c r="D33" s="50">
        <v>900</v>
      </c>
      <c r="E33" s="50">
        <v>0</v>
      </c>
    </row>
    <row r="34" spans="2:5" x14ac:dyDescent="0.2">
      <c r="B34" s="31"/>
      <c r="C34" s="50"/>
      <c r="D34" s="50"/>
      <c r="E34" s="50"/>
    </row>
    <row r="35" spans="2:5" x14ac:dyDescent="0.2">
      <c r="B35" s="31" t="s">
        <v>39</v>
      </c>
      <c r="C35" s="50">
        <v>1425</v>
      </c>
      <c r="D35" s="50">
        <v>1375</v>
      </c>
      <c r="E35" s="50">
        <v>50</v>
      </c>
    </row>
    <row r="36" spans="2:5" x14ac:dyDescent="0.2">
      <c r="B36" s="31"/>
      <c r="C36" s="50"/>
      <c r="D36" s="50"/>
      <c r="E36" s="50"/>
    </row>
    <row r="37" spans="2:5" x14ac:dyDescent="0.2">
      <c r="B37" s="31" t="s">
        <v>40</v>
      </c>
      <c r="C37" s="50">
        <v>200</v>
      </c>
      <c r="D37" s="50">
        <v>200</v>
      </c>
      <c r="E37" s="50">
        <v>0</v>
      </c>
    </row>
    <row r="38" spans="2:5" x14ac:dyDescent="0.2">
      <c r="B38" s="26" t="s">
        <v>41</v>
      </c>
      <c r="C38" s="50">
        <v>200</v>
      </c>
      <c r="D38" s="50">
        <v>200</v>
      </c>
      <c r="E38" s="50">
        <v>0</v>
      </c>
    </row>
    <row r="39" spans="2:5" x14ac:dyDescent="0.2">
      <c r="B39" s="26" t="s">
        <v>42</v>
      </c>
      <c r="C39" s="50"/>
      <c r="D39" s="50"/>
      <c r="E39" s="50">
        <v>0</v>
      </c>
    </row>
    <row r="40" spans="2:5" x14ac:dyDescent="0.2">
      <c r="B40" s="31"/>
      <c r="C40" s="50"/>
      <c r="D40" s="50"/>
      <c r="E40" s="50"/>
    </row>
    <row r="41" spans="2:5" x14ac:dyDescent="0.2">
      <c r="B41" s="51" t="s">
        <v>97</v>
      </c>
      <c r="C41" s="50">
        <v>7915</v>
      </c>
      <c r="D41" s="50">
        <v>7860</v>
      </c>
      <c r="E41" s="50">
        <v>-145</v>
      </c>
    </row>
    <row r="42" spans="2:5" ht="16.5" x14ac:dyDescent="0.3">
      <c r="B42"/>
      <c r="C42"/>
      <c r="D42"/>
      <c r="E42"/>
    </row>
    <row r="43" spans="2:5" ht="16.5" x14ac:dyDescent="0.3">
      <c r="B43"/>
      <c r="C43"/>
      <c r="D43"/>
      <c r="E43"/>
    </row>
    <row r="44" spans="2:5" ht="16.5" x14ac:dyDescent="0.3">
      <c r="B44"/>
      <c r="C44"/>
      <c r="D44"/>
      <c r="E44"/>
    </row>
    <row r="45" spans="2:5" ht="16.5" x14ac:dyDescent="0.3">
      <c r="B45"/>
      <c r="C45"/>
      <c r="D45"/>
      <c r="E45"/>
    </row>
    <row r="46" spans="2:5" ht="16.5" x14ac:dyDescent="0.3">
      <c r="B46"/>
      <c r="C46"/>
      <c r="D46"/>
      <c r="E46"/>
    </row>
    <row r="47" spans="2:5" ht="16.5" x14ac:dyDescent="0.3">
      <c r="B47"/>
      <c r="C47"/>
      <c r="D47"/>
      <c r="E47"/>
    </row>
    <row r="48" spans="2:5" ht="16.5" x14ac:dyDescent="0.3">
      <c r="B48"/>
      <c r="C48"/>
      <c r="D48"/>
      <c r="E48"/>
    </row>
    <row r="49" spans="2:5" ht="16.5" x14ac:dyDescent="0.3">
      <c r="B49"/>
      <c r="C49"/>
      <c r="D49"/>
      <c r="E49"/>
    </row>
    <row r="50" spans="2:5" ht="16.5" x14ac:dyDescent="0.3">
      <c r="B50"/>
      <c r="C50"/>
      <c r="D50"/>
      <c r="E50"/>
    </row>
    <row r="51" spans="2:5" ht="16.5" x14ac:dyDescent="0.3">
      <c r="B51"/>
      <c r="C51"/>
      <c r="D51"/>
      <c r="E51"/>
    </row>
    <row r="52" spans="2:5" ht="16.5" x14ac:dyDescent="0.3">
      <c r="B52"/>
      <c r="C52"/>
      <c r="D52"/>
      <c r="E52"/>
    </row>
    <row r="53" spans="2:5" ht="16.5" x14ac:dyDescent="0.3">
      <c r="B53"/>
      <c r="C53"/>
      <c r="D53"/>
      <c r="E53"/>
    </row>
    <row r="54" spans="2:5" ht="16.5" x14ac:dyDescent="0.3">
      <c r="B54"/>
      <c r="C54"/>
      <c r="D54"/>
      <c r="E54"/>
    </row>
    <row r="55" spans="2:5" ht="16.5" x14ac:dyDescent="0.3">
      <c r="B55"/>
      <c r="C55"/>
      <c r="D55"/>
      <c r="E55"/>
    </row>
    <row r="56" spans="2:5" ht="16.5" x14ac:dyDescent="0.3">
      <c r="B56"/>
      <c r="C56"/>
      <c r="D56"/>
      <c r="E56"/>
    </row>
    <row r="57" spans="2:5" ht="16.5" x14ac:dyDescent="0.3">
      <c r="B57"/>
      <c r="C57"/>
      <c r="D57"/>
      <c r="E57"/>
    </row>
    <row r="58" spans="2:5" ht="16.5" x14ac:dyDescent="0.3">
      <c r="B58"/>
      <c r="C58"/>
      <c r="D58"/>
      <c r="E58"/>
    </row>
    <row r="59" spans="2:5" ht="16.5" x14ac:dyDescent="0.3">
      <c r="B59"/>
      <c r="C59"/>
      <c r="D59"/>
      <c r="E59"/>
    </row>
    <row r="60" spans="2:5" ht="16.5" x14ac:dyDescent="0.3">
      <c r="B60"/>
      <c r="C60"/>
      <c r="D60"/>
      <c r="E60"/>
    </row>
    <row r="61" spans="2:5" ht="16.5" x14ac:dyDescent="0.3">
      <c r="B61"/>
      <c r="C61"/>
      <c r="D61"/>
      <c r="E61"/>
    </row>
    <row r="62" spans="2:5" ht="16.5" x14ac:dyDescent="0.3">
      <c r="B62"/>
      <c r="C62"/>
      <c r="D62"/>
      <c r="E62"/>
    </row>
    <row r="63" spans="2:5" ht="16.5" x14ac:dyDescent="0.3">
      <c r="B63"/>
      <c r="C63"/>
      <c r="D63"/>
      <c r="E63"/>
    </row>
    <row r="64" spans="2:5" ht="16.5" x14ac:dyDescent="0.3">
      <c r="B64"/>
      <c r="C64"/>
      <c r="D64"/>
      <c r="E64"/>
    </row>
    <row r="65" spans="2:5" ht="16.5" x14ac:dyDescent="0.3">
      <c r="B65"/>
      <c r="C65"/>
      <c r="D65"/>
      <c r="E65"/>
    </row>
    <row r="66" spans="2:5" ht="16.5" x14ac:dyDescent="0.3">
      <c r="B66"/>
      <c r="C66"/>
      <c r="D66"/>
      <c r="E66"/>
    </row>
    <row r="67" spans="2:5" ht="16.5" x14ac:dyDescent="0.3">
      <c r="B67"/>
      <c r="C67"/>
      <c r="D67"/>
      <c r="E67"/>
    </row>
    <row r="68" spans="2:5" ht="16.5" x14ac:dyDescent="0.3">
      <c r="B68"/>
      <c r="C68"/>
      <c r="D68"/>
      <c r="E68"/>
    </row>
    <row r="69" spans="2:5" ht="16.5" x14ac:dyDescent="0.3">
      <c r="B69"/>
      <c r="C69"/>
      <c r="D69"/>
      <c r="E69"/>
    </row>
    <row r="70" spans="2:5" ht="16.5" x14ac:dyDescent="0.3">
      <c r="B70"/>
      <c r="C70"/>
      <c r="D70"/>
      <c r="E70"/>
    </row>
    <row r="71" spans="2:5" ht="16.5" x14ac:dyDescent="0.3">
      <c r="B71"/>
      <c r="C71"/>
      <c r="D71"/>
      <c r="E71"/>
    </row>
    <row r="72" spans="2:5" ht="16.5" x14ac:dyDescent="0.3">
      <c r="B72"/>
      <c r="C72"/>
      <c r="D72"/>
      <c r="E72"/>
    </row>
    <row r="73" spans="2:5" ht="16.5" x14ac:dyDescent="0.3">
      <c r="B73"/>
      <c r="C73"/>
      <c r="D73"/>
      <c r="E73"/>
    </row>
    <row r="74" spans="2:5" ht="16.5" x14ac:dyDescent="0.3">
      <c r="B74"/>
      <c r="C74"/>
      <c r="D74"/>
      <c r="E74"/>
    </row>
    <row r="75" spans="2:5" ht="16.5" x14ac:dyDescent="0.3">
      <c r="B75"/>
      <c r="C75"/>
      <c r="D75"/>
      <c r="E75"/>
    </row>
    <row r="76" spans="2:5" ht="16.5" x14ac:dyDescent="0.3">
      <c r="B76"/>
      <c r="C76"/>
      <c r="D76"/>
      <c r="E76"/>
    </row>
    <row r="77" spans="2:5" ht="16.5" x14ac:dyDescent="0.3">
      <c r="B77"/>
      <c r="C77"/>
      <c r="D77"/>
      <c r="E77"/>
    </row>
    <row r="78" spans="2:5" ht="16.5" x14ac:dyDescent="0.3">
      <c r="B78"/>
      <c r="C78"/>
      <c r="D78"/>
      <c r="E78"/>
    </row>
    <row r="79" spans="2:5" ht="16.5" x14ac:dyDescent="0.3">
      <c r="B79"/>
      <c r="C79"/>
      <c r="D79"/>
      <c r="E79"/>
    </row>
    <row r="80" spans="2:5" ht="16.5" x14ac:dyDescent="0.3">
      <c r="B80"/>
      <c r="C80"/>
      <c r="D80"/>
      <c r="E80"/>
    </row>
    <row r="81" spans="2:5" ht="16.5" x14ac:dyDescent="0.3">
      <c r="B81"/>
      <c r="C81"/>
      <c r="D81"/>
      <c r="E81"/>
    </row>
    <row r="82" spans="2:5" ht="16.5" x14ac:dyDescent="0.3">
      <c r="B82"/>
      <c r="C82"/>
      <c r="D82"/>
      <c r="E82"/>
    </row>
    <row r="83" spans="2:5" ht="16.5" x14ac:dyDescent="0.3">
      <c r="B83"/>
      <c r="C83"/>
      <c r="D83"/>
      <c r="E83"/>
    </row>
    <row r="84" spans="2:5" ht="16.5" x14ac:dyDescent="0.3">
      <c r="B84"/>
      <c r="C84"/>
      <c r="D84"/>
      <c r="E84"/>
    </row>
    <row r="85" spans="2:5" ht="16.5" x14ac:dyDescent="0.3">
      <c r="B85"/>
      <c r="C85"/>
      <c r="D85"/>
      <c r="E85"/>
    </row>
    <row r="86" spans="2:5" ht="16.5" x14ac:dyDescent="0.3">
      <c r="B86"/>
      <c r="C86"/>
      <c r="D86"/>
      <c r="E86"/>
    </row>
    <row r="87" spans="2:5" ht="16.5" x14ac:dyDescent="0.3">
      <c r="B87"/>
      <c r="C87"/>
      <c r="D87"/>
      <c r="E87"/>
    </row>
    <row r="88" spans="2:5" ht="16.5" x14ac:dyDescent="0.3">
      <c r="B88"/>
      <c r="C88"/>
      <c r="D88"/>
    </row>
    <row r="89" spans="2:5" ht="16.5" x14ac:dyDescent="0.3">
      <c r="B89"/>
      <c r="C89"/>
      <c r="D89"/>
    </row>
    <row r="90" spans="2:5" ht="16.5" x14ac:dyDescent="0.3">
      <c r="B90"/>
      <c r="C90"/>
      <c r="D90"/>
    </row>
    <row r="91" spans="2:5" ht="16.5" x14ac:dyDescent="0.3">
      <c r="B91"/>
      <c r="C91"/>
      <c r="D91"/>
    </row>
    <row r="92" spans="2:5" ht="16.5" x14ac:dyDescent="0.3">
      <c r="B92"/>
      <c r="C92"/>
      <c r="D92"/>
    </row>
    <row r="93" spans="2:5" ht="16.5" x14ac:dyDescent="0.3">
      <c r="B93"/>
      <c r="C93"/>
      <c r="D93"/>
    </row>
    <row r="94" spans="2:5" ht="16.5" x14ac:dyDescent="0.3">
      <c r="B94"/>
      <c r="C94"/>
      <c r="D94"/>
    </row>
    <row r="95" spans="2:5" ht="16.5" x14ac:dyDescent="0.3">
      <c r="B95"/>
      <c r="C95"/>
      <c r="D95"/>
    </row>
    <row r="96" spans="2:5" ht="16.5" x14ac:dyDescent="0.3">
      <c r="B96"/>
      <c r="C96"/>
      <c r="D96"/>
    </row>
    <row r="97" spans="2:4" ht="16.5" x14ac:dyDescent="0.3">
      <c r="B97"/>
      <c r="C97"/>
      <c r="D97"/>
    </row>
    <row r="98" spans="2:4" ht="16.5" x14ac:dyDescent="0.3">
      <c r="B98"/>
      <c r="C98"/>
      <c r="D98"/>
    </row>
    <row r="99" spans="2:4" ht="16.5" x14ac:dyDescent="0.3">
      <c r="B99"/>
      <c r="C99"/>
      <c r="D99"/>
    </row>
    <row r="100" spans="2:4" ht="16.5" x14ac:dyDescent="0.3">
      <c r="B100"/>
      <c r="C100"/>
      <c r="D100"/>
    </row>
    <row r="101" spans="2:4" ht="16.5" x14ac:dyDescent="0.3">
      <c r="B101"/>
      <c r="C101"/>
      <c r="D101"/>
    </row>
    <row r="102" spans="2:4" ht="16.5" x14ac:dyDescent="0.3">
      <c r="B102"/>
      <c r="C102"/>
      <c r="D102"/>
    </row>
    <row r="103" spans="2:4" ht="16.5" x14ac:dyDescent="0.3">
      <c r="B103"/>
      <c r="C103"/>
      <c r="D103"/>
    </row>
    <row r="104" spans="2:4" ht="16.5" x14ac:dyDescent="0.3">
      <c r="B104"/>
      <c r="C104"/>
      <c r="D104"/>
    </row>
    <row r="105" spans="2:4" ht="16.5" x14ac:dyDescent="0.3">
      <c r="B105"/>
      <c r="C105"/>
      <c r="D105"/>
    </row>
    <row r="106" spans="2:4" ht="16.5" x14ac:dyDescent="0.3">
      <c r="B106"/>
      <c r="C106"/>
      <c r="D106"/>
    </row>
    <row r="107" spans="2:4" ht="16.5" x14ac:dyDescent="0.3">
      <c r="B107"/>
      <c r="C107"/>
      <c r="D107"/>
    </row>
    <row r="108" spans="2:4" ht="16.5" x14ac:dyDescent="0.3">
      <c r="B108"/>
      <c r="C108"/>
      <c r="D108"/>
    </row>
    <row r="109" spans="2:4" ht="16.5" x14ac:dyDescent="0.3">
      <c r="B109"/>
      <c r="C109"/>
      <c r="D109"/>
    </row>
    <row r="110" spans="2:4" ht="16.5" x14ac:dyDescent="0.3">
      <c r="B110"/>
      <c r="C110"/>
      <c r="D110"/>
    </row>
    <row r="111" spans="2:4" ht="16.5" x14ac:dyDescent="0.3">
      <c r="B111"/>
      <c r="C111"/>
      <c r="D111"/>
    </row>
    <row r="112" spans="2:4" ht="16.5" x14ac:dyDescent="0.3">
      <c r="B112"/>
      <c r="C112"/>
      <c r="D112"/>
    </row>
    <row r="113" spans="2:4" ht="16.5" x14ac:dyDescent="0.3">
      <c r="B113"/>
      <c r="C113"/>
      <c r="D113"/>
    </row>
    <row r="114" spans="2:4" ht="16.5" x14ac:dyDescent="0.3">
      <c r="B114"/>
      <c r="C114"/>
      <c r="D114"/>
    </row>
    <row r="115" spans="2:4" ht="16.5" x14ac:dyDescent="0.3">
      <c r="B115"/>
      <c r="C115"/>
      <c r="D115"/>
    </row>
    <row r="116" spans="2:4" ht="16.5" x14ac:dyDescent="0.3">
      <c r="B116"/>
      <c r="C116"/>
      <c r="D116"/>
    </row>
    <row r="117" spans="2:4" ht="16.5" x14ac:dyDescent="0.3">
      <c r="B117"/>
      <c r="C117"/>
      <c r="D117"/>
    </row>
    <row r="118" spans="2:4" ht="16.5" x14ac:dyDescent="0.3">
      <c r="B118"/>
      <c r="C118"/>
      <c r="D118"/>
    </row>
    <row r="119" spans="2:4" ht="16.5" x14ac:dyDescent="0.3">
      <c r="B119"/>
      <c r="C119"/>
      <c r="D119"/>
    </row>
    <row r="120" spans="2:4" ht="16.5" x14ac:dyDescent="0.3">
      <c r="B120"/>
      <c r="C120"/>
      <c r="D120"/>
    </row>
    <row r="121" spans="2:4" ht="16.5" x14ac:dyDescent="0.3">
      <c r="B121"/>
      <c r="C121"/>
      <c r="D121"/>
    </row>
    <row r="122" spans="2:4" ht="16.5" x14ac:dyDescent="0.3">
      <c r="B122"/>
      <c r="C122"/>
      <c r="D122"/>
    </row>
    <row r="123" spans="2:4" ht="16.5" x14ac:dyDescent="0.3">
      <c r="B123"/>
      <c r="C123"/>
      <c r="D123"/>
    </row>
    <row r="124" spans="2:4" ht="16.5" x14ac:dyDescent="0.3">
      <c r="B124"/>
      <c r="C124"/>
      <c r="D124"/>
    </row>
    <row r="125" spans="2:4" ht="16.5" x14ac:dyDescent="0.3">
      <c r="B125"/>
      <c r="C125"/>
      <c r="D125"/>
    </row>
    <row r="126" spans="2:4" ht="16.5" x14ac:dyDescent="0.3">
      <c r="B126"/>
      <c r="C126"/>
      <c r="D126"/>
    </row>
    <row r="127" spans="2:4" ht="16.5" x14ac:dyDescent="0.3">
      <c r="B127"/>
      <c r="C127"/>
      <c r="D127"/>
    </row>
    <row r="128" spans="2:4" ht="16.5" x14ac:dyDescent="0.3">
      <c r="B128"/>
      <c r="C128"/>
      <c r="D128"/>
    </row>
    <row r="129" spans="2:4" ht="16.5" x14ac:dyDescent="0.3">
      <c r="B129"/>
      <c r="C129"/>
      <c r="D129"/>
    </row>
    <row r="130" spans="2:4" ht="16.5" x14ac:dyDescent="0.3">
      <c r="B130"/>
      <c r="C130"/>
      <c r="D130"/>
    </row>
    <row r="131" spans="2:4" ht="16.5" x14ac:dyDescent="0.3">
      <c r="B131"/>
      <c r="C131"/>
      <c r="D131"/>
    </row>
    <row r="132" spans="2:4" ht="16.5" x14ac:dyDescent="0.3">
      <c r="B132"/>
      <c r="C132"/>
      <c r="D132"/>
    </row>
    <row r="133" spans="2:4" ht="16.5" x14ac:dyDescent="0.3">
      <c r="B133"/>
      <c r="C133"/>
      <c r="D133"/>
    </row>
    <row r="134" spans="2:4" ht="16.5" x14ac:dyDescent="0.3">
      <c r="B134"/>
      <c r="C134"/>
      <c r="D134"/>
    </row>
    <row r="135" spans="2:4" ht="16.5" x14ac:dyDescent="0.3">
      <c r="B135"/>
      <c r="C135"/>
      <c r="D135"/>
    </row>
    <row r="136" spans="2:4" ht="16.5" x14ac:dyDescent="0.3">
      <c r="B136"/>
      <c r="C136"/>
      <c r="D136"/>
    </row>
    <row r="137" spans="2:4" ht="16.5" x14ac:dyDescent="0.3">
      <c r="B137"/>
      <c r="C137"/>
      <c r="D137"/>
    </row>
    <row r="138" spans="2:4" ht="16.5" x14ac:dyDescent="0.3">
      <c r="B138"/>
      <c r="C138"/>
      <c r="D138"/>
    </row>
    <row r="139" spans="2:4" ht="16.5" x14ac:dyDescent="0.3">
      <c r="B139"/>
      <c r="C139"/>
      <c r="D139"/>
    </row>
    <row r="140" spans="2:4" ht="16.5" x14ac:dyDescent="0.3">
      <c r="B140"/>
      <c r="C140"/>
      <c r="D140"/>
    </row>
    <row r="141" spans="2:4" ht="16.5" x14ac:dyDescent="0.3">
      <c r="B141"/>
      <c r="C141"/>
      <c r="D141"/>
    </row>
    <row r="142" spans="2:4" ht="16.5" x14ac:dyDescent="0.3">
      <c r="B142"/>
      <c r="C142"/>
      <c r="D142"/>
    </row>
    <row r="143" spans="2:4" ht="16.5" x14ac:dyDescent="0.3">
      <c r="B143"/>
      <c r="C143"/>
      <c r="D143"/>
    </row>
    <row r="144" spans="2:4" ht="16.5" x14ac:dyDescent="0.3">
      <c r="B144"/>
      <c r="C144"/>
      <c r="D144"/>
    </row>
    <row r="145" spans="2:4" ht="16.5" x14ac:dyDescent="0.3">
      <c r="B145"/>
      <c r="C145"/>
      <c r="D145"/>
    </row>
    <row r="146" spans="2:4" ht="16.5" x14ac:dyDescent="0.3">
      <c r="B146"/>
      <c r="C146"/>
      <c r="D146"/>
    </row>
    <row r="147" spans="2:4" ht="16.5" x14ac:dyDescent="0.3">
      <c r="B147"/>
      <c r="C147"/>
      <c r="D147"/>
    </row>
    <row r="148" spans="2:4" ht="16.5" x14ac:dyDescent="0.3">
      <c r="B148"/>
      <c r="C148"/>
      <c r="D148"/>
    </row>
    <row r="149" spans="2:4" ht="16.5" x14ac:dyDescent="0.3">
      <c r="B149"/>
      <c r="C149"/>
      <c r="D149"/>
    </row>
    <row r="150" spans="2:4" ht="16.5" x14ac:dyDescent="0.3">
      <c r="B150"/>
      <c r="C150"/>
      <c r="D150"/>
    </row>
    <row r="151" spans="2:4" ht="16.5" x14ac:dyDescent="0.3">
      <c r="B151"/>
      <c r="C151"/>
      <c r="D151"/>
    </row>
    <row r="152" spans="2:4" ht="16.5" x14ac:dyDescent="0.3">
      <c r="B152"/>
      <c r="C152"/>
      <c r="D152"/>
    </row>
    <row r="153" spans="2:4" ht="16.5" x14ac:dyDescent="0.3">
      <c r="B153"/>
      <c r="C153"/>
      <c r="D153"/>
    </row>
    <row r="154" spans="2:4" ht="16.5" x14ac:dyDescent="0.3">
      <c r="B154"/>
      <c r="C154"/>
      <c r="D154"/>
    </row>
    <row r="155" spans="2:4" ht="16.5" x14ac:dyDescent="0.3">
      <c r="B155"/>
      <c r="C155"/>
      <c r="D155"/>
    </row>
    <row r="156" spans="2:4" ht="16.5" x14ac:dyDescent="0.3">
      <c r="B156"/>
      <c r="C156"/>
      <c r="D156"/>
    </row>
    <row r="157" spans="2:4" ht="16.5" x14ac:dyDescent="0.3">
      <c r="B157"/>
      <c r="C157"/>
      <c r="D157"/>
    </row>
    <row r="158" spans="2:4" ht="16.5" x14ac:dyDescent="0.3">
      <c r="B158"/>
      <c r="C158"/>
      <c r="D158"/>
    </row>
    <row r="159" spans="2:4" ht="16.5" x14ac:dyDescent="0.3">
      <c r="B159"/>
      <c r="C159"/>
      <c r="D159"/>
    </row>
    <row r="160" spans="2:4" ht="16.5" x14ac:dyDescent="0.3">
      <c r="B160"/>
      <c r="C160"/>
      <c r="D160"/>
    </row>
    <row r="161" spans="2:4" ht="16.5" x14ac:dyDescent="0.3">
      <c r="B161"/>
      <c r="C161"/>
      <c r="D161"/>
    </row>
    <row r="162" spans="2:4" ht="16.5" x14ac:dyDescent="0.3">
      <c r="B162"/>
      <c r="C162"/>
      <c r="D162"/>
    </row>
    <row r="163" spans="2:4" ht="16.5" x14ac:dyDescent="0.3">
      <c r="B163"/>
      <c r="C163"/>
      <c r="D163"/>
    </row>
    <row r="164" spans="2:4" ht="16.5" x14ac:dyDescent="0.3">
      <c r="B164"/>
      <c r="C164"/>
      <c r="D164"/>
    </row>
    <row r="165" spans="2:4" ht="16.5" x14ac:dyDescent="0.3">
      <c r="B165"/>
      <c r="C165"/>
      <c r="D165"/>
    </row>
    <row r="166" spans="2:4" ht="16.5" x14ac:dyDescent="0.3">
      <c r="B166"/>
      <c r="C166"/>
      <c r="D166"/>
    </row>
    <row r="167" spans="2:4" ht="16.5" x14ac:dyDescent="0.3">
      <c r="B167"/>
      <c r="C167"/>
      <c r="D167"/>
    </row>
    <row r="168" spans="2:4" ht="16.5" x14ac:dyDescent="0.3">
      <c r="B168"/>
      <c r="C168"/>
      <c r="D168"/>
    </row>
    <row r="169" spans="2:4" ht="16.5" x14ac:dyDescent="0.3">
      <c r="B169"/>
      <c r="C169"/>
      <c r="D169"/>
    </row>
    <row r="170" spans="2:4" ht="16.5" x14ac:dyDescent="0.3">
      <c r="B170"/>
      <c r="C170"/>
      <c r="D170"/>
    </row>
    <row r="171" spans="2:4" ht="16.5" x14ac:dyDescent="0.3">
      <c r="B171"/>
      <c r="C171"/>
      <c r="D171"/>
    </row>
    <row r="172" spans="2:4" ht="16.5" x14ac:dyDescent="0.3">
      <c r="B172"/>
      <c r="C172"/>
      <c r="D172"/>
    </row>
    <row r="173" spans="2:4" ht="16.5" x14ac:dyDescent="0.3">
      <c r="B173"/>
      <c r="C173"/>
      <c r="D173"/>
    </row>
    <row r="174" spans="2:4" ht="16.5" x14ac:dyDescent="0.3">
      <c r="B174"/>
      <c r="C174"/>
      <c r="D174"/>
    </row>
    <row r="175" spans="2:4" ht="16.5" x14ac:dyDescent="0.3">
      <c r="B175"/>
      <c r="C175"/>
      <c r="D175"/>
    </row>
    <row r="176" spans="2:4" ht="16.5" x14ac:dyDescent="0.3">
      <c r="B176"/>
      <c r="C176"/>
      <c r="D176"/>
    </row>
    <row r="177" spans="2:4" ht="16.5" x14ac:dyDescent="0.3">
      <c r="B177"/>
      <c r="C177"/>
      <c r="D177"/>
    </row>
    <row r="178" spans="2:4" ht="16.5" x14ac:dyDescent="0.3">
      <c r="B178"/>
      <c r="C178"/>
      <c r="D178"/>
    </row>
  </sheetData>
  <dataValidations count="1">
    <dataValidation allowBlank="1" showInputMessage="1" showErrorMessage="1" prompt="Esta pestaña muestra los detalles de gastos por categoría._x000a__x000a_- Mantenga pulsado Control para seleccionar varias categorías en la segmentación._x000a_- Para actualizar la tabla dinámica, haga clic con el botón derecho en y seleccione Actualizar." sqref="A1" xr:uid="{00000000-0002-0000-0100-000000000000}"/>
  </dataValidations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H61"/>
  <sheetViews>
    <sheetView showGridLines="0" showRowColHeaders="0" workbookViewId="0">
      <pane ySplit="2" topLeftCell="A3" activePane="bottomLeft" state="frozen"/>
      <selection activeCell="B4" sqref="B4:C4"/>
      <selection pane="bottomLeft"/>
    </sheetView>
  </sheetViews>
  <sheetFormatPr baseColWidth="10" defaultColWidth="9" defaultRowHeight="18" customHeight="1" x14ac:dyDescent="0.3"/>
  <cols>
    <col min="1" max="1" width="1.875" style="7" customWidth="1"/>
    <col min="2" max="2" width="30.25" style="7" customWidth="1"/>
    <col min="3" max="3" width="18.625" style="7" customWidth="1"/>
    <col min="4" max="6" width="13.625" style="8" customWidth="1"/>
    <col min="7" max="7" width="21.875" style="9" customWidth="1"/>
    <col min="8" max="8" width="1.875" style="7" customWidth="1"/>
    <col min="9" max="16384" width="9" style="7"/>
  </cols>
  <sheetData>
    <row r="1" spans="2:8" ht="137.25" customHeight="1" x14ac:dyDescent="0.3">
      <c r="H1" s="7" t="s">
        <v>16</v>
      </c>
    </row>
    <row r="2" spans="2:8" ht="38.25" customHeight="1" x14ac:dyDescent="0.3">
      <c r="B2" s="24" t="s">
        <v>46</v>
      </c>
      <c r="C2" s="24" t="s">
        <v>88</v>
      </c>
      <c r="D2" s="24" t="s">
        <v>89</v>
      </c>
      <c r="E2" s="24" t="s">
        <v>90</v>
      </c>
      <c r="F2" s="24" t="s">
        <v>3</v>
      </c>
      <c r="G2" s="24" t="s">
        <v>91</v>
      </c>
    </row>
    <row r="3" spans="2:8" ht="18" customHeight="1" x14ac:dyDescent="0.3">
      <c r="B3" s="30" t="s">
        <v>19</v>
      </c>
      <c r="C3" s="25" t="s">
        <v>18</v>
      </c>
      <c r="D3" s="49">
        <v>40</v>
      </c>
      <c r="E3" s="49">
        <v>40</v>
      </c>
      <c r="F3" s="49">
        <f>IF(OR(Table_Gastos_Mensuales[[#This Row],[Costo previsto]]="",Table_Gastos_Mensuales[[#This Row],[Coste real]]=""),"",Table_Gastos_Mensuales[[#This Row],[Costo previsto]]-Table_Gastos_Mensuales[[#This Row],[Coste real]])</f>
        <v>0</v>
      </c>
      <c r="G3" s="40">
        <f>Table_Gastos_Mensuales[[#This Row],[Coste real]]</f>
        <v>40</v>
      </c>
    </row>
    <row r="4" spans="2:8" ht="18" customHeight="1" x14ac:dyDescent="0.3">
      <c r="B4" s="30" t="s">
        <v>20</v>
      </c>
      <c r="C4" s="25" t="s">
        <v>18</v>
      </c>
      <c r="D4" s="49"/>
      <c r="E4" s="49"/>
      <c r="F4" s="49" t="str">
        <f>IF(OR(Table_Gastos_Mensuales[[#This Row],[Costo previsto]]="",Table_Gastos_Mensuales[[#This Row],[Coste real]]=""),"",Table_Gastos_Mensuales[[#This Row],[Costo previsto]]-Table_Gastos_Mensuales[[#This Row],[Coste real]])</f>
        <v/>
      </c>
      <c r="G4" s="40">
        <f>Table_Gastos_Mensuales[[#This Row],[Coste real]]</f>
        <v>0</v>
      </c>
    </row>
    <row r="5" spans="2:8" ht="18" customHeight="1" x14ac:dyDescent="0.3">
      <c r="B5" s="30" t="s">
        <v>21</v>
      </c>
      <c r="C5" s="25" t="s">
        <v>18</v>
      </c>
      <c r="D5" s="49"/>
      <c r="E5" s="49"/>
      <c r="F5" s="49" t="str">
        <f>IF(OR(Table_Gastos_Mensuales[[#This Row],[Costo previsto]]="",Table_Gastos_Mensuales[[#This Row],[Coste real]]=""),"",Table_Gastos_Mensuales[[#This Row],[Costo previsto]]-Table_Gastos_Mensuales[[#This Row],[Coste real]])</f>
        <v/>
      </c>
      <c r="G5" s="40">
        <f>Table_Gastos_Mensuales[[#This Row],[Coste real]]</f>
        <v>0</v>
      </c>
    </row>
    <row r="6" spans="2:8" ht="18" customHeight="1" x14ac:dyDescent="0.3">
      <c r="B6" s="30" t="s">
        <v>22</v>
      </c>
      <c r="C6" s="25" t="s">
        <v>18</v>
      </c>
      <c r="D6" s="49">
        <v>100</v>
      </c>
      <c r="E6" s="49">
        <v>100</v>
      </c>
      <c r="F6" s="49">
        <f>IF(OR(Table_Gastos_Mensuales[[#This Row],[Costo previsto]]="",Table_Gastos_Mensuales[[#This Row],[Coste real]]=""),"",Table_Gastos_Mensuales[[#This Row],[Costo previsto]]-Table_Gastos_Mensuales[[#This Row],[Coste real]])</f>
        <v>0</v>
      </c>
      <c r="G6" s="40">
        <f>Table_Gastos_Mensuales[[#This Row],[Coste real]]</f>
        <v>100</v>
      </c>
    </row>
    <row r="7" spans="2:8" ht="18" customHeight="1" x14ac:dyDescent="0.3">
      <c r="B7" s="30" t="s">
        <v>24</v>
      </c>
      <c r="C7" s="25" t="s">
        <v>23</v>
      </c>
      <c r="D7" s="49">
        <v>50</v>
      </c>
      <c r="E7" s="49">
        <v>40</v>
      </c>
      <c r="F7" s="49">
        <f>IF(OR(Table_Gastos_Mensuales[[#This Row],[Costo previsto]]="",Table_Gastos_Mensuales[[#This Row],[Coste real]]=""),"",Table_Gastos_Mensuales[[#This Row],[Costo previsto]]-Table_Gastos_Mensuales[[#This Row],[Coste real]])</f>
        <v>10</v>
      </c>
      <c r="G7" s="40">
        <f>Table_Gastos_Mensuales[[#This Row],[Coste real]]</f>
        <v>40</v>
      </c>
    </row>
    <row r="8" spans="2:8" ht="18" customHeight="1" x14ac:dyDescent="0.3">
      <c r="B8" s="30" t="s">
        <v>25</v>
      </c>
      <c r="C8" s="25" t="s">
        <v>23</v>
      </c>
      <c r="D8" s="49">
        <v>200</v>
      </c>
      <c r="E8" s="49">
        <v>150</v>
      </c>
      <c r="F8" s="49">
        <f>IF(OR(Table_Gastos_Mensuales[[#This Row],[Costo previsto]]="",Table_Gastos_Mensuales[[#This Row],[Coste real]]=""),"",Table_Gastos_Mensuales[[#This Row],[Costo previsto]]-Table_Gastos_Mensuales[[#This Row],[Coste real]])</f>
        <v>50</v>
      </c>
      <c r="G8" s="40">
        <f>Table_Gastos_Mensuales[[#This Row],[Coste real]]</f>
        <v>150</v>
      </c>
    </row>
    <row r="9" spans="2:8" ht="18" customHeight="1" x14ac:dyDescent="0.3">
      <c r="B9" s="30" t="s">
        <v>26</v>
      </c>
      <c r="C9" s="25" t="s">
        <v>23</v>
      </c>
      <c r="D9" s="49">
        <v>50</v>
      </c>
      <c r="E9" s="49">
        <v>28</v>
      </c>
      <c r="F9" s="49">
        <f>IF(OR(Table_Gastos_Mensuales[[#This Row],[Costo previsto]]="",Table_Gastos_Mensuales[[#This Row],[Coste real]]=""),"",Table_Gastos_Mensuales[[#This Row],[Costo previsto]]-Table_Gastos_Mensuales[[#This Row],[Coste real]])</f>
        <v>22</v>
      </c>
      <c r="G9" s="40">
        <f>Table_Gastos_Mensuales[[#This Row],[Coste real]]</f>
        <v>28</v>
      </c>
    </row>
    <row r="10" spans="2:8" ht="18" customHeight="1" x14ac:dyDescent="0.3">
      <c r="B10" s="30" t="s">
        <v>27</v>
      </c>
      <c r="C10" s="25" t="s">
        <v>23</v>
      </c>
      <c r="D10" s="49">
        <v>50</v>
      </c>
      <c r="E10" s="49">
        <v>30</v>
      </c>
      <c r="F10" s="49">
        <f>IF(OR(Table_Gastos_Mensuales[[#This Row],[Costo previsto]]="",Table_Gastos_Mensuales[[#This Row],[Coste real]]=""),"",Table_Gastos_Mensuales[[#This Row],[Costo previsto]]-Table_Gastos_Mensuales[[#This Row],[Coste real]])</f>
        <v>20</v>
      </c>
      <c r="G10" s="40">
        <f>Table_Gastos_Mensuales[[#This Row],[Coste real]]</f>
        <v>30</v>
      </c>
    </row>
    <row r="11" spans="2:8" ht="18" customHeight="1" x14ac:dyDescent="0.3">
      <c r="B11" s="30" t="s">
        <v>28</v>
      </c>
      <c r="C11" s="25" t="s">
        <v>23</v>
      </c>
      <c r="D11" s="49">
        <v>0</v>
      </c>
      <c r="E11" s="49">
        <v>40</v>
      </c>
      <c r="F11" s="49">
        <f>IF(OR(Table_Gastos_Mensuales[[#This Row],[Costo previsto]]="",Table_Gastos_Mensuales[[#This Row],[Coste real]]=""),"",Table_Gastos_Mensuales[[#This Row],[Costo previsto]]-Table_Gastos_Mensuales[[#This Row],[Coste real]])</f>
        <v>-40</v>
      </c>
      <c r="G11" s="40">
        <f>Table_Gastos_Mensuales[[#This Row],[Coste real]]</f>
        <v>40</v>
      </c>
    </row>
    <row r="12" spans="2:8" ht="18" customHeight="1" x14ac:dyDescent="0.3">
      <c r="B12" s="30" t="s">
        <v>29</v>
      </c>
      <c r="C12" s="25" t="s">
        <v>23</v>
      </c>
      <c r="D12" s="49">
        <v>20</v>
      </c>
      <c r="E12" s="49">
        <v>50</v>
      </c>
      <c r="F12" s="49">
        <f>IF(OR(Table_Gastos_Mensuales[[#This Row],[Costo previsto]]="",Table_Gastos_Mensuales[[#This Row],[Coste real]]=""),"",Table_Gastos_Mensuales[[#This Row],[Costo previsto]]-Table_Gastos_Mensuales[[#This Row],[Coste real]])</f>
        <v>-30</v>
      </c>
      <c r="G12" s="40">
        <f>Table_Gastos_Mensuales[[#This Row],[Coste real]]</f>
        <v>50</v>
      </c>
    </row>
    <row r="13" spans="2:8" ht="18" customHeight="1" x14ac:dyDescent="0.3">
      <c r="B13" s="30" t="s">
        <v>30</v>
      </c>
      <c r="C13" s="25" t="s">
        <v>23</v>
      </c>
      <c r="D13" s="49">
        <v>30</v>
      </c>
      <c r="E13" s="49">
        <v>20</v>
      </c>
      <c r="F13" s="49">
        <f>IF(OR(Table_Gastos_Mensuales[[#This Row],[Costo previsto]]="",Table_Gastos_Mensuales[[#This Row],[Coste real]]=""),"",Table_Gastos_Mensuales[[#This Row],[Costo previsto]]-Table_Gastos_Mensuales[[#This Row],[Coste real]])</f>
        <v>10</v>
      </c>
      <c r="G13" s="40">
        <f>Table_Gastos_Mensuales[[#This Row],[Coste real]]</f>
        <v>20</v>
      </c>
    </row>
    <row r="14" spans="2:8" ht="18" customHeight="1" x14ac:dyDescent="0.3">
      <c r="B14" s="30" t="s">
        <v>47</v>
      </c>
      <c r="C14" s="25" t="s">
        <v>31</v>
      </c>
      <c r="D14" s="49">
        <v>1000</v>
      </c>
      <c r="E14" s="49">
        <v>1200</v>
      </c>
      <c r="F14" s="49">
        <f>IF(OR(Table_Gastos_Mensuales[[#This Row],[Costo previsto]]="",Table_Gastos_Mensuales[[#This Row],[Coste real]]=""),"",Table_Gastos_Mensuales[[#This Row],[Costo previsto]]-Table_Gastos_Mensuales[[#This Row],[Coste real]])</f>
        <v>-200</v>
      </c>
      <c r="G14" s="40">
        <f>Table_Gastos_Mensuales[[#This Row],[Coste real]]</f>
        <v>1200</v>
      </c>
    </row>
    <row r="15" spans="2:8" ht="18" customHeight="1" x14ac:dyDescent="0.3">
      <c r="B15" s="30" t="s">
        <v>48</v>
      </c>
      <c r="C15" s="25" t="s">
        <v>31</v>
      </c>
      <c r="D15" s="49">
        <v>100</v>
      </c>
      <c r="E15" s="49">
        <v>120</v>
      </c>
      <c r="F15" s="49">
        <f>IF(OR(Table_Gastos_Mensuales[[#This Row],[Costo previsto]]="",Table_Gastos_Mensuales[[#This Row],[Coste real]]=""),"",Table_Gastos_Mensuales[[#This Row],[Costo previsto]]-Table_Gastos_Mensuales[[#This Row],[Coste real]])</f>
        <v>-20</v>
      </c>
      <c r="G15" s="40">
        <f>Table_Gastos_Mensuales[[#This Row],[Coste real]]</f>
        <v>120</v>
      </c>
    </row>
    <row r="16" spans="2:8" ht="18" customHeight="1" x14ac:dyDescent="0.3">
      <c r="B16" s="30" t="s">
        <v>49</v>
      </c>
      <c r="C16" s="25" t="s">
        <v>32</v>
      </c>
      <c r="D16" s="49">
        <v>75</v>
      </c>
      <c r="E16" s="49">
        <v>100</v>
      </c>
      <c r="F16" s="49">
        <f>IF(OR(Table_Gastos_Mensuales[[#This Row],[Costo previsto]]="",Table_Gastos_Mensuales[[#This Row],[Coste real]]=""),"",Table_Gastos_Mensuales[[#This Row],[Costo previsto]]-Table_Gastos_Mensuales[[#This Row],[Coste real]])</f>
        <v>-25</v>
      </c>
      <c r="G16" s="40">
        <f>Table_Gastos_Mensuales[[#This Row],[Coste real]]</f>
        <v>100</v>
      </c>
    </row>
    <row r="17" spans="2:7" ht="18" customHeight="1" x14ac:dyDescent="0.3">
      <c r="B17" s="30" t="s">
        <v>50</v>
      </c>
      <c r="C17" s="25" t="s">
        <v>32</v>
      </c>
      <c r="D17" s="49">
        <v>25</v>
      </c>
      <c r="E17" s="49">
        <v>25</v>
      </c>
      <c r="F17" s="49">
        <f>IF(OR(Table_Gastos_Mensuales[[#This Row],[Costo previsto]]="",Table_Gastos_Mensuales[[#This Row],[Coste real]]=""),"",Table_Gastos_Mensuales[[#This Row],[Costo previsto]]-Table_Gastos_Mensuales[[#This Row],[Coste real]])</f>
        <v>0</v>
      </c>
      <c r="G17" s="40">
        <f>Table_Gastos_Mensuales[[#This Row],[Coste real]]</f>
        <v>25</v>
      </c>
    </row>
    <row r="18" spans="2:7" ht="18" customHeight="1" x14ac:dyDescent="0.3">
      <c r="B18" s="30" t="s">
        <v>51</v>
      </c>
      <c r="C18" s="25" t="s">
        <v>32</v>
      </c>
      <c r="D18" s="49"/>
      <c r="E18" s="49"/>
      <c r="F18" s="49" t="str">
        <f>IF(OR(Table_Gastos_Mensuales[[#This Row],[Costo previsto]]="",Table_Gastos_Mensuales[[#This Row],[Coste real]]=""),"",Table_Gastos_Mensuales[[#This Row],[Costo previsto]]-Table_Gastos_Mensuales[[#This Row],[Coste real]])</f>
        <v/>
      </c>
      <c r="G18" s="40">
        <f>Table_Gastos_Mensuales[[#This Row],[Coste real]]</f>
        <v>0</v>
      </c>
    </row>
    <row r="19" spans="2:7" ht="18" customHeight="1" x14ac:dyDescent="0.3">
      <c r="B19" s="30" t="s">
        <v>52</v>
      </c>
      <c r="C19" s="25" t="s">
        <v>32</v>
      </c>
      <c r="D19" s="49"/>
      <c r="E19" s="49"/>
      <c r="F19" s="49" t="str">
        <f>IF(OR(Table_Gastos_Mensuales[[#This Row],[Costo previsto]]="",Table_Gastos_Mensuales[[#This Row],[Coste real]]=""),"",Table_Gastos_Mensuales[[#This Row],[Costo previsto]]-Table_Gastos_Mensuales[[#This Row],[Coste real]])</f>
        <v/>
      </c>
      <c r="G19" s="40">
        <f>Table_Gastos_Mensuales[[#This Row],[Coste real]]</f>
        <v>0</v>
      </c>
    </row>
    <row r="20" spans="2:7" ht="18" customHeight="1" x14ac:dyDescent="0.3">
      <c r="B20" s="30" t="s">
        <v>53</v>
      </c>
      <c r="C20" s="25" t="s">
        <v>33</v>
      </c>
      <c r="D20" s="49">
        <v>100</v>
      </c>
      <c r="E20" s="49">
        <v>100</v>
      </c>
      <c r="F20" s="49">
        <f>IF(OR(Table_Gastos_Mensuales[[#This Row],[Costo previsto]]="",Table_Gastos_Mensuales[[#This Row],[Coste real]]=""),"",Table_Gastos_Mensuales[[#This Row],[Costo previsto]]-Table_Gastos_Mensuales[[#This Row],[Coste real]])</f>
        <v>0</v>
      </c>
      <c r="G20" s="40">
        <f>Table_Gastos_Mensuales[[#This Row],[Coste real]]</f>
        <v>100</v>
      </c>
    </row>
    <row r="21" spans="2:7" ht="18" customHeight="1" x14ac:dyDescent="0.3">
      <c r="B21" s="30" t="s">
        <v>54</v>
      </c>
      <c r="C21" s="25" t="s">
        <v>33</v>
      </c>
      <c r="D21" s="49">
        <v>45</v>
      </c>
      <c r="E21" s="49">
        <v>50</v>
      </c>
      <c r="F21" s="49">
        <f>IF(OR(Table_Gastos_Mensuales[[#This Row],[Costo previsto]]="",Table_Gastos_Mensuales[[#This Row],[Coste real]]=""),"",Table_Gastos_Mensuales[[#This Row],[Costo previsto]]-Table_Gastos_Mensuales[[#This Row],[Coste real]])</f>
        <v>-5</v>
      </c>
      <c r="G21" s="40">
        <f>Table_Gastos_Mensuales[[#This Row],[Coste real]]</f>
        <v>50</v>
      </c>
    </row>
    <row r="22" spans="2:7" ht="18" customHeight="1" x14ac:dyDescent="0.3">
      <c r="B22" s="30" t="s">
        <v>55</v>
      </c>
      <c r="C22" s="25" t="s">
        <v>33</v>
      </c>
      <c r="D22" s="49">
        <v>300</v>
      </c>
      <c r="E22" s="49">
        <v>400</v>
      </c>
      <c r="F22" s="49">
        <f>IF(OR(Table_Gastos_Mensuales[[#This Row],[Costo previsto]]="",Table_Gastos_Mensuales[[#This Row],[Coste real]]=""),"",Table_Gastos_Mensuales[[#This Row],[Costo previsto]]-Table_Gastos_Mensuales[[#This Row],[Coste real]])</f>
        <v>-100</v>
      </c>
      <c r="G22" s="40">
        <f>Table_Gastos_Mensuales[[#This Row],[Coste real]]</f>
        <v>400</v>
      </c>
    </row>
    <row r="23" spans="2:7" ht="18" customHeight="1" x14ac:dyDescent="0.3">
      <c r="B23" s="30" t="s">
        <v>56</v>
      </c>
      <c r="C23" s="25" t="s">
        <v>33</v>
      </c>
      <c r="D23" s="49">
        <v>200</v>
      </c>
      <c r="E23" s="49"/>
      <c r="F23" s="49" t="str">
        <f>IF(OR(Table_Gastos_Mensuales[[#This Row],[Costo previsto]]="",Table_Gastos_Mensuales[[#This Row],[Coste real]]=""),"",Table_Gastos_Mensuales[[#This Row],[Costo previsto]]-Table_Gastos_Mensuales[[#This Row],[Coste real]])</f>
        <v/>
      </c>
      <c r="G23" s="40">
        <f>Table_Gastos_Mensuales[[#This Row],[Coste real]]</f>
        <v>0</v>
      </c>
    </row>
    <row r="24" spans="2:7" ht="18" customHeight="1" x14ac:dyDescent="0.3">
      <c r="B24" s="30" t="s">
        <v>57</v>
      </c>
      <c r="C24" s="25" t="s">
        <v>33</v>
      </c>
      <c r="D24" s="49">
        <v>200</v>
      </c>
      <c r="E24" s="49">
        <v>150</v>
      </c>
      <c r="F24" s="49">
        <f>IF(OR(Table_Gastos_Mensuales[[#This Row],[Costo previsto]]="",Table_Gastos_Mensuales[[#This Row],[Coste real]]=""),"",Table_Gastos_Mensuales[[#This Row],[Costo previsto]]-Table_Gastos_Mensuales[[#This Row],[Coste real]])</f>
        <v>50</v>
      </c>
      <c r="G24" s="40">
        <f>Table_Gastos_Mensuales[[#This Row],[Coste real]]</f>
        <v>150</v>
      </c>
    </row>
    <row r="25" spans="2:7" ht="18" customHeight="1" x14ac:dyDescent="0.3">
      <c r="B25" s="30" t="s">
        <v>58</v>
      </c>
      <c r="C25" s="25" t="s">
        <v>33</v>
      </c>
      <c r="D25" s="49">
        <v>1700</v>
      </c>
      <c r="E25" s="49">
        <v>1700</v>
      </c>
      <c r="F25" s="49">
        <f>IF(OR(Table_Gastos_Mensuales[[#This Row],[Costo previsto]]="",Table_Gastos_Mensuales[[#This Row],[Coste real]]=""),"",Table_Gastos_Mensuales[[#This Row],[Costo previsto]]-Table_Gastos_Mensuales[[#This Row],[Coste real]])</f>
        <v>0</v>
      </c>
      <c r="G25" s="40">
        <f>Table_Gastos_Mensuales[[#This Row],[Coste real]]</f>
        <v>1700</v>
      </c>
    </row>
    <row r="26" spans="2:7" ht="18" customHeight="1" x14ac:dyDescent="0.3">
      <c r="B26" s="30" t="s">
        <v>59</v>
      </c>
      <c r="C26" s="25" t="s">
        <v>33</v>
      </c>
      <c r="D26" s="49"/>
      <c r="E26" s="49"/>
      <c r="F26" s="49" t="str">
        <f>IF(OR(Table_Gastos_Mensuales[[#This Row],[Costo previsto]]="",Table_Gastos_Mensuales[[#This Row],[Coste real]]=""),"",Table_Gastos_Mensuales[[#This Row],[Costo previsto]]-Table_Gastos_Mensuales[[#This Row],[Coste real]])</f>
        <v/>
      </c>
      <c r="G26" s="40">
        <f>Table_Gastos_Mensuales[[#This Row],[Coste real]]</f>
        <v>0</v>
      </c>
    </row>
    <row r="27" spans="2:7" ht="18" customHeight="1" x14ac:dyDescent="0.3">
      <c r="B27" s="30" t="s">
        <v>60</v>
      </c>
      <c r="C27" s="25" t="s">
        <v>33</v>
      </c>
      <c r="D27" s="49">
        <v>100</v>
      </c>
      <c r="E27" s="49">
        <v>100</v>
      </c>
      <c r="F27" s="49">
        <f>IF(OR(Table_Gastos_Mensuales[[#This Row],[Costo previsto]]="",Table_Gastos_Mensuales[[#This Row],[Coste real]]=""),"",Table_Gastos_Mensuales[[#This Row],[Costo previsto]]-Table_Gastos_Mensuales[[#This Row],[Coste real]])</f>
        <v>0</v>
      </c>
      <c r="G27" s="40">
        <f>Table_Gastos_Mensuales[[#This Row],[Coste real]]</f>
        <v>100</v>
      </c>
    </row>
    <row r="28" spans="2:7" ht="18" customHeight="1" x14ac:dyDescent="0.3">
      <c r="B28" s="30" t="s">
        <v>61</v>
      </c>
      <c r="C28" s="25" t="s">
        <v>33</v>
      </c>
      <c r="D28" s="49">
        <v>60</v>
      </c>
      <c r="E28" s="49">
        <v>60</v>
      </c>
      <c r="F28" s="49">
        <f>IF(OR(Table_Gastos_Mensuales[[#This Row],[Costo previsto]]="",Table_Gastos_Mensuales[[#This Row],[Coste real]]=""),"",Table_Gastos_Mensuales[[#This Row],[Costo previsto]]-Table_Gastos_Mensuales[[#This Row],[Coste real]])</f>
        <v>0</v>
      </c>
      <c r="G28" s="40">
        <f>Table_Gastos_Mensuales[[#This Row],[Coste real]]</f>
        <v>60</v>
      </c>
    </row>
    <row r="29" spans="2:7" ht="18" customHeight="1" x14ac:dyDescent="0.3">
      <c r="B29" s="30" t="s">
        <v>62</v>
      </c>
      <c r="C29" s="25" t="s">
        <v>33</v>
      </c>
      <c r="D29" s="49">
        <v>35</v>
      </c>
      <c r="E29" s="49">
        <v>39</v>
      </c>
      <c r="F29" s="49">
        <f>IF(OR(Table_Gastos_Mensuales[[#This Row],[Costo previsto]]="",Table_Gastos_Mensuales[[#This Row],[Coste real]]=""),"",Table_Gastos_Mensuales[[#This Row],[Costo previsto]]-Table_Gastos_Mensuales[[#This Row],[Coste real]])</f>
        <v>-4</v>
      </c>
      <c r="G29" s="40">
        <f>Table_Gastos_Mensuales[[#This Row],[Coste real]]</f>
        <v>39</v>
      </c>
    </row>
    <row r="30" spans="2:7" ht="18" customHeight="1" x14ac:dyDescent="0.3">
      <c r="B30" s="30" t="s">
        <v>63</v>
      </c>
      <c r="C30" s="25" t="s">
        <v>33</v>
      </c>
      <c r="D30" s="49">
        <v>40</v>
      </c>
      <c r="E30" s="49">
        <v>55</v>
      </c>
      <c r="F30" s="49">
        <f>IF(OR(Table_Gastos_Mensuales[[#This Row],[Costo previsto]]="",Table_Gastos_Mensuales[[#This Row],[Coste real]]=""),"",Table_Gastos_Mensuales[[#This Row],[Costo previsto]]-Table_Gastos_Mensuales[[#This Row],[Coste real]])</f>
        <v>-15</v>
      </c>
      <c r="G30" s="40">
        <f>Table_Gastos_Mensuales[[#This Row],[Coste real]]</f>
        <v>55</v>
      </c>
    </row>
    <row r="31" spans="2:7" ht="18" customHeight="1" x14ac:dyDescent="0.3">
      <c r="B31" s="30" t="s">
        <v>64</v>
      </c>
      <c r="C31" s="25" t="s">
        <v>33</v>
      </c>
      <c r="D31" s="49">
        <v>25</v>
      </c>
      <c r="E31" s="49">
        <v>22</v>
      </c>
      <c r="F31" s="49">
        <f>IF(OR(Table_Gastos_Mensuales[[#This Row],[Costo previsto]]="",Table_Gastos_Mensuales[[#This Row],[Coste real]]=""),"",Table_Gastos_Mensuales[[#This Row],[Costo previsto]]-Table_Gastos_Mensuales[[#This Row],[Coste real]])</f>
        <v>3</v>
      </c>
      <c r="G31" s="40">
        <f>Table_Gastos_Mensuales[[#This Row],[Coste real]]</f>
        <v>22</v>
      </c>
    </row>
    <row r="32" spans="2:7" ht="18" customHeight="1" x14ac:dyDescent="0.3">
      <c r="B32" s="30" t="s">
        <v>65</v>
      </c>
      <c r="C32" s="25" t="s">
        <v>33</v>
      </c>
      <c r="D32" s="49">
        <v>25</v>
      </c>
      <c r="E32" s="49">
        <v>26</v>
      </c>
      <c r="F32" s="49">
        <f>IF(OR(Table_Gastos_Mensuales[[#This Row],[Costo previsto]]="",Table_Gastos_Mensuales[[#This Row],[Coste real]]=""),"",Table_Gastos_Mensuales[[#This Row],[Costo previsto]]-Table_Gastos_Mensuales[[#This Row],[Coste real]])</f>
        <v>-1</v>
      </c>
      <c r="G32" s="40">
        <f>Table_Gastos_Mensuales[[#This Row],[Coste real]]</f>
        <v>26</v>
      </c>
    </row>
    <row r="33" spans="2:7" ht="18" customHeight="1" x14ac:dyDescent="0.3">
      <c r="B33" s="30" t="s">
        <v>66</v>
      </c>
      <c r="C33" s="25" t="s">
        <v>34</v>
      </c>
      <c r="D33" s="49">
        <v>400</v>
      </c>
      <c r="E33" s="49">
        <v>400</v>
      </c>
      <c r="F33" s="49">
        <f>IF(OR(Table_Gastos_Mensuales[[#This Row],[Costo previsto]]="",Table_Gastos_Mensuales[[#This Row],[Coste real]]=""),"",Table_Gastos_Mensuales[[#This Row],[Costo previsto]]-Table_Gastos_Mensuales[[#This Row],[Coste real]])</f>
        <v>0</v>
      </c>
      <c r="G33" s="40">
        <f>Table_Gastos_Mensuales[[#This Row],[Coste real]]</f>
        <v>400</v>
      </c>
    </row>
    <row r="34" spans="2:7" ht="18" customHeight="1" x14ac:dyDescent="0.3">
      <c r="B34" s="30" t="s">
        <v>67</v>
      </c>
      <c r="C34" s="25" t="s">
        <v>34</v>
      </c>
      <c r="D34" s="49">
        <v>400</v>
      </c>
      <c r="E34" s="49">
        <v>400</v>
      </c>
      <c r="F34" s="49">
        <f>IF(OR(Table_Gastos_Mensuales[[#This Row],[Costo previsto]]="",Table_Gastos_Mensuales[[#This Row],[Coste real]]=""),"",Table_Gastos_Mensuales[[#This Row],[Costo previsto]]-Table_Gastos_Mensuales[[#This Row],[Coste real]])</f>
        <v>0</v>
      </c>
      <c r="G34" s="40">
        <f>Table_Gastos_Mensuales[[#This Row],[Coste real]]</f>
        <v>400</v>
      </c>
    </row>
    <row r="35" spans="2:7" ht="18" customHeight="1" x14ac:dyDescent="0.3">
      <c r="B35" s="30" t="s">
        <v>68</v>
      </c>
      <c r="C35" s="25" t="s">
        <v>34</v>
      </c>
      <c r="D35" s="49">
        <v>100</v>
      </c>
      <c r="E35" s="49">
        <v>100</v>
      </c>
      <c r="F35" s="49">
        <f>IF(OR(Table_Gastos_Mensuales[[#This Row],[Costo previsto]]="",Table_Gastos_Mensuales[[#This Row],[Coste real]]=""),"",Table_Gastos_Mensuales[[#This Row],[Costo previsto]]-Table_Gastos_Mensuales[[#This Row],[Coste real]])</f>
        <v>0</v>
      </c>
      <c r="G35" s="40">
        <f>Table_Gastos_Mensuales[[#This Row],[Coste real]]</f>
        <v>100</v>
      </c>
    </row>
    <row r="36" spans="2:7" ht="18" customHeight="1" x14ac:dyDescent="0.3">
      <c r="B36" s="30" t="s">
        <v>69</v>
      </c>
      <c r="C36" s="25" t="s">
        <v>35</v>
      </c>
      <c r="D36" s="49">
        <v>200</v>
      </c>
      <c r="E36" s="49">
        <v>200</v>
      </c>
      <c r="F36" s="49">
        <f>IF(OR(Table_Gastos_Mensuales[[#This Row],[Costo previsto]]="",Table_Gastos_Mensuales[[#This Row],[Coste real]]=""),"",Table_Gastos_Mensuales[[#This Row],[Costo previsto]]-Table_Gastos_Mensuales[[#This Row],[Coste real]])</f>
        <v>0</v>
      </c>
      <c r="G36" s="40">
        <f>Table_Gastos_Mensuales[[#This Row],[Coste real]]</f>
        <v>200</v>
      </c>
    </row>
    <row r="37" spans="2:7" ht="18" customHeight="1" x14ac:dyDescent="0.3">
      <c r="B37" s="30" t="s">
        <v>70</v>
      </c>
      <c r="C37" s="25" t="s">
        <v>35</v>
      </c>
      <c r="D37" s="49"/>
      <c r="E37" s="49"/>
      <c r="F37" s="49" t="str">
        <f>IF(OR(Table_Gastos_Mensuales[[#This Row],[Costo previsto]]="",Table_Gastos_Mensuales[[#This Row],[Coste real]]=""),"",Table_Gastos_Mensuales[[#This Row],[Costo previsto]]-Table_Gastos_Mensuales[[#This Row],[Coste real]])</f>
        <v/>
      </c>
      <c r="G37" s="40">
        <f>Table_Gastos_Mensuales[[#This Row],[Coste real]]</f>
        <v>0</v>
      </c>
    </row>
    <row r="38" spans="2:7" ht="18" customHeight="1" x14ac:dyDescent="0.3">
      <c r="B38" s="30" t="s">
        <v>71</v>
      </c>
      <c r="C38" s="25" t="s">
        <v>35</v>
      </c>
      <c r="D38" s="49"/>
      <c r="E38" s="49"/>
      <c r="F38" s="49" t="str">
        <f>IF(OR(Table_Gastos_Mensuales[[#This Row],[Costo previsto]]="",Table_Gastos_Mensuales[[#This Row],[Coste real]]=""),"",Table_Gastos_Mensuales[[#This Row],[Costo previsto]]-Table_Gastos_Mensuales[[#This Row],[Coste real]])</f>
        <v/>
      </c>
      <c r="G38" s="40">
        <f>Table_Gastos_Mensuales[[#This Row],[Coste real]]</f>
        <v>0</v>
      </c>
    </row>
    <row r="39" spans="2:7" ht="18" customHeight="1" x14ac:dyDescent="0.3">
      <c r="B39" s="30" t="s">
        <v>72</v>
      </c>
      <c r="C39" s="25" t="s">
        <v>35</v>
      </c>
      <c r="D39" s="49"/>
      <c r="E39" s="49"/>
      <c r="F39" s="49" t="str">
        <f>IF(OR(Table_Gastos_Mensuales[[#This Row],[Costo previsto]]="",Table_Gastos_Mensuales[[#This Row],[Coste real]]=""),"",Table_Gastos_Mensuales[[#This Row],[Costo previsto]]-Table_Gastos_Mensuales[[#This Row],[Coste real]])</f>
        <v/>
      </c>
      <c r="G39" s="40">
        <f>Table_Gastos_Mensuales[[#This Row],[Coste real]]</f>
        <v>0</v>
      </c>
    </row>
    <row r="40" spans="2:7" ht="18" customHeight="1" x14ac:dyDescent="0.3">
      <c r="B40" s="30" t="s">
        <v>73</v>
      </c>
      <c r="C40" s="25" t="s">
        <v>35</v>
      </c>
      <c r="D40" s="49"/>
      <c r="E40" s="49"/>
      <c r="F40" s="49" t="str">
        <f>IF(OR(Table_Gastos_Mensuales[[#This Row],[Costo previsto]]="",Table_Gastos_Mensuales[[#This Row],[Coste real]]=""),"",Table_Gastos_Mensuales[[#This Row],[Costo previsto]]-Table_Gastos_Mensuales[[#This Row],[Coste real]])</f>
        <v/>
      </c>
      <c r="G40" s="40">
        <f>Table_Gastos_Mensuales[[#This Row],[Coste real]]</f>
        <v>0</v>
      </c>
    </row>
    <row r="41" spans="2:7" ht="18" customHeight="1" x14ac:dyDescent="0.3">
      <c r="B41" s="30" t="s">
        <v>74</v>
      </c>
      <c r="C41" s="25" t="s">
        <v>36</v>
      </c>
      <c r="D41" s="49">
        <v>150</v>
      </c>
      <c r="E41" s="49">
        <v>140</v>
      </c>
      <c r="F41" s="49">
        <f>IF(OR(Table_Gastos_Mensuales[[#This Row],[Costo previsto]]="",Table_Gastos_Mensuales[[#This Row],[Coste real]]=""),"",Table_Gastos_Mensuales[[#This Row],[Costo previsto]]-Table_Gastos_Mensuales[[#This Row],[Coste real]])</f>
        <v>10</v>
      </c>
      <c r="G41" s="40">
        <f>Table_Gastos_Mensuales[[#This Row],[Coste real]]</f>
        <v>140</v>
      </c>
    </row>
    <row r="42" spans="2:7" ht="18" customHeight="1" x14ac:dyDescent="0.3">
      <c r="B42" s="30" t="s">
        <v>75</v>
      </c>
      <c r="C42" s="25" t="s">
        <v>36</v>
      </c>
      <c r="D42" s="49"/>
      <c r="E42" s="49"/>
      <c r="F42" s="49" t="str">
        <f>IF(OR(Table_Gastos_Mensuales[[#This Row],[Costo previsto]]="",Table_Gastos_Mensuales[[#This Row],[Coste real]]=""),"",Table_Gastos_Mensuales[[#This Row],[Costo previsto]]-Table_Gastos_Mensuales[[#This Row],[Coste real]])</f>
        <v/>
      </c>
      <c r="G42" s="40">
        <f>Table_Gastos_Mensuales[[#This Row],[Coste real]]</f>
        <v>0</v>
      </c>
    </row>
    <row r="43" spans="2:7" ht="18" customHeight="1" x14ac:dyDescent="0.3">
      <c r="B43" s="30" t="s">
        <v>76</v>
      </c>
      <c r="C43" s="25" t="s">
        <v>36</v>
      </c>
      <c r="D43" s="49"/>
      <c r="E43" s="49"/>
      <c r="F43" s="49" t="str">
        <f>IF(OR(Table_Gastos_Mensuales[[#This Row],[Costo previsto]]="",Table_Gastos_Mensuales[[#This Row],[Coste real]]=""),"",Table_Gastos_Mensuales[[#This Row],[Costo previsto]]-Table_Gastos_Mensuales[[#This Row],[Coste real]])</f>
        <v/>
      </c>
      <c r="G43" s="40">
        <f>Table_Gastos_Mensuales[[#This Row],[Coste real]]</f>
        <v>0</v>
      </c>
    </row>
    <row r="44" spans="2:7" ht="18" customHeight="1" x14ac:dyDescent="0.3">
      <c r="B44" s="30" t="s">
        <v>77</v>
      </c>
      <c r="C44" s="25" t="s">
        <v>36</v>
      </c>
      <c r="D44" s="49"/>
      <c r="E44" s="49"/>
      <c r="F44" s="49" t="str">
        <f>IF(OR(Table_Gastos_Mensuales[[#This Row],[Costo previsto]]="",Table_Gastos_Mensuales[[#This Row],[Coste real]]=""),"",Table_Gastos_Mensuales[[#This Row],[Costo previsto]]-Table_Gastos_Mensuales[[#This Row],[Coste real]])</f>
        <v/>
      </c>
      <c r="G44" s="40">
        <f>Table_Gastos_Mensuales[[#This Row],[Coste real]]</f>
        <v>0</v>
      </c>
    </row>
    <row r="45" spans="2:7" ht="18" customHeight="1" x14ac:dyDescent="0.3">
      <c r="B45" s="30" t="s">
        <v>20</v>
      </c>
      <c r="C45" s="25" t="s">
        <v>36</v>
      </c>
      <c r="D45" s="49"/>
      <c r="E45" s="49"/>
      <c r="F45" s="49" t="str">
        <f>IF(OR(Table_Gastos_Mensuales[[#This Row],[Costo previsto]]="",Table_Gastos_Mensuales[[#This Row],[Coste real]]=""),"",Table_Gastos_Mensuales[[#This Row],[Costo previsto]]-Table_Gastos_Mensuales[[#This Row],[Coste real]])</f>
        <v/>
      </c>
      <c r="G45" s="40">
        <f>Table_Gastos_Mensuales[[#This Row],[Coste real]]</f>
        <v>0</v>
      </c>
    </row>
    <row r="46" spans="2:7" ht="18" customHeight="1" x14ac:dyDescent="0.3">
      <c r="B46" s="30" t="s">
        <v>31</v>
      </c>
      <c r="C46" s="25" t="s">
        <v>37</v>
      </c>
      <c r="D46" s="49">
        <v>150</v>
      </c>
      <c r="E46" s="49">
        <v>75</v>
      </c>
      <c r="F46" s="49">
        <f>IF(OR(Table_Gastos_Mensuales[[#This Row],[Costo previsto]]="",Table_Gastos_Mensuales[[#This Row],[Coste real]]=""),"",Table_Gastos_Mensuales[[#This Row],[Costo previsto]]-Table_Gastos_Mensuales[[#This Row],[Coste real]])</f>
        <v>75</v>
      </c>
      <c r="G46" s="40">
        <f>Table_Gastos_Mensuales[[#This Row],[Coste real]]</f>
        <v>75</v>
      </c>
    </row>
    <row r="47" spans="2:7" ht="18" customHeight="1" x14ac:dyDescent="0.3">
      <c r="B47" s="30" t="s">
        <v>78</v>
      </c>
      <c r="C47" s="25" t="s">
        <v>37</v>
      </c>
      <c r="D47" s="49">
        <v>20</v>
      </c>
      <c r="E47" s="49">
        <v>25</v>
      </c>
      <c r="F47" s="49">
        <f>IF(OR(Table_Gastos_Mensuales[[#This Row],[Costo previsto]]="",Table_Gastos_Mensuales[[#This Row],[Coste real]]=""),"",Table_Gastos_Mensuales[[#This Row],[Costo previsto]]-Table_Gastos_Mensuales[[#This Row],[Coste real]])</f>
        <v>-5</v>
      </c>
      <c r="G47" s="40">
        <f>Table_Gastos_Mensuales[[#This Row],[Coste real]]</f>
        <v>25</v>
      </c>
    </row>
    <row r="48" spans="2:7" ht="18" customHeight="1" x14ac:dyDescent="0.3">
      <c r="B48" s="30" t="s">
        <v>20</v>
      </c>
      <c r="C48" s="25" t="s">
        <v>37</v>
      </c>
      <c r="D48" s="49"/>
      <c r="E48" s="49"/>
      <c r="F48" s="49" t="str">
        <f>IF(OR(Table_Gastos_Mensuales[[#This Row],[Costo previsto]]="",Table_Gastos_Mensuales[[#This Row],[Coste real]]=""),"",Table_Gastos_Mensuales[[#This Row],[Costo previsto]]-Table_Gastos_Mensuales[[#This Row],[Coste real]])</f>
        <v/>
      </c>
      <c r="G48" s="40">
        <f>Table_Gastos_Mensuales[[#This Row],[Coste real]]</f>
        <v>0</v>
      </c>
    </row>
    <row r="49" spans="2:7" ht="18" customHeight="1" x14ac:dyDescent="0.3">
      <c r="B49" s="30" t="s">
        <v>79</v>
      </c>
      <c r="C49" s="25" t="s">
        <v>37</v>
      </c>
      <c r="D49" s="49"/>
      <c r="E49" s="49"/>
      <c r="F49" s="49" t="str">
        <f>IF(OR(Table_Gastos_Mensuales[[#This Row],[Costo previsto]]="",Table_Gastos_Mensuales[[#This Row],[Coste real]]=""),"",Table_Gastos_Mensuales[[#This Row],[Costo previsto]]-Table_Gastos_Mensuales[[#This Row],[Coste real]])</f>
        <v/>
      </c>
      <c r="G49" s="40">
        <f>Table_Gastos_Mensuales[[#This Row],[Coste real]]</f>
        <v>0</v>
      </c>
    </row>
    <row r="50" spans="2:7" ht="18" customHeight="1" x14ac:dyDescent="0.3">
      <c r="B50" s="30" t="s">
        <v>41</v>
      </c>
      <c r="C50" s="25" t="s">
        <v>40</v>
      </c>
      <c r="D50" s="49">
        <v>200</v>
      </c>
      <c r="E50" s="49">
        <v>200</v>
      </c>
      <c r="F50" s="49">
        <f>IF(OR(Table_Gastos_Mensuales[[#This Row],[Costo previsto]]="",Table_Gastos_Mensuales[[#This Row],[Coste real]]=""),"",Table_Gastos_Mensuales[[#This Row],[Costo previsto]]-Table_Gastos_Mensuales[[#This Row],[Coste real]])</f>
        <v>0</v>
      </c>
      <c r="G50" s="40">
        <f>Table_Gastos_Mensuales[[#This Row],[Coste real]]</f>
        <v>200</v>
      </c>
    </row>
    <row r="51" spans="2:7" ht="18" customHeight="1" x14ac:dyDescent="0.3">
      <c r="B51" s="30" t="s">
        <v>42</v>
      </c>
      <c r="C51" s="25" t="s">
        <v>40</v>
      </c>
      <c r="D51" s="49"/>
      <c r="E51" s="49"/>
      <c r="F51" s="49" t="str">
        <f>IF(OR(Table_Gastos_Mensuales[[#This Row],[Costo previsto]]="",Table_Gastos_Mensuales[[#This Row],[Coste real]]=""),"",Table_Gastos_Mensuales[[#This Row],[Costo previsto]]-Table_Gastos_Mensuales[[#This Row],[Coste real]])</f>
        <v/>
      </c>
      <c r="G51" s="40">
        <f>Table_Gastos_Mensuales[[#This Row],[Coste real]]</f>
        <v>0</v>
      </c>
    </row>
    <row r="52" spans="2:7" ht="18" customHeight="1" x14ac:dyDescent="0.3">
      <c r="B52" s="30" t="s">
        <v>80</v>
      </c>
      <c r="C52" s="25" t="s">
        <v>38</v>
      </c>
      <c r="D52" s="49">
        <v>300</v>
      </c>
      <c r="E52" s="49">
        <v>300</v>
      </c>
      <c r="F52" s="49">
        <f>IF(OR(Table_Gastos_Mensuales[[#This Row],[Costo previsto]]="",Table_Gastos_Mensuales[[#This Row],[Coste real]]=""),"",Table_Gastos_Mensuales[[#This Row],[Costo previsto]]-Table_Gastos_Mensuales[[#This Row],[Coste real]])</f>
        <v>0</v>
      </c>
      <c r="G52" s="40">
        <f>Table_Gastos_Mensuales[[#This Row],[Coste real]]</f>
        <v>300</v>
      </c>
    </row>
    <row r="53" spans="2:7" ht="18" customHeight="1" x14ac:dyDescent="0.3">
      <c r="B53" s="30" t="s">
        <v>81</v>
      </c>
      <c r="C53" s="25" t="s">
        <v>38</v>
      </c>
      <c r="D53" s="49"/>
      <c r="E53" s="49"/>
      <c r="F53" s="49" t="str">
        <f>IF(OR(Table_Gastos_Mensuales[[#This Row],[Costo previsto]]="",Table_Gastos_Mensuales[[#This Row],[Coste real]]=""),"",Table_Gastos_Mensuales[[#This Row],[Costo previsto]]-Table_Gastos_Mensuales[[#This Row],[Coste real]])</f>
        <v/>
      </c>
      <c r="G53" s="40">
        <f>Table_Gastos_Mensuales[[#This Row],[Coste real]]</f>
        <v>0</v>
      </c>
    </row>
    <row r="54" spans="2:7" ht="18" customHeight="1" x14ac:dyDescent="0.3">
      <c r="B54" s="30" t="s">
        <v>82</v>
      </c>
      <c r="C54" s="25" t="s">
        <v>38</v>
      </c>
      <c r="D54" s="49"/>
      <c r="E54" s="49"/>
      <c r="F54" s="49" t="str">
        <f>IF(OR(Table_Gastos_Mensuales[[#This Row],[Costo previsto]]="",Table_Gastos_Mensuales[[#This Row],[Coste real]]=""),"",Table_Gastos_Mensuales[[#This Row],[Costo previsto]]-Table_Gastos_Mensuales[[#This Row],[Coste real]])</f>
        <v/>
      </c>
      <c r="G54" s="40">
        <f>Table_Gastos_Mensuales[[#This Row],[Coste real]]</f>
        <v>0</v>
      </c>
    </row>
    <row r="55" spans="2:7" ht="18" customHeight="1" x14ac:dyDescent="0.3">
      <c r="B55" s="30" t="s">
        <v>83</v>
      </c>
      <c r="C55" s="25" t="s">
        <v>39</v>
      </c>
      <c r="D55" s="49">
        <v>100</v>
      </c>
      <c r="E55" s="49">
        <v>150</v>
      </c>
      <c r="F55" s="49">
        <f>IF(OR(Table_Gastos_Mensuales[[#This Row],[Costo previsto]]="",Table_Gastos_Mensuales[[#This Row],[Coste real]]=""),"",Table_Gastos_Mensuales[[#This Row],[Costo previsto]]-Table_Gastos_Mensuales[[#This Row],[Coste real]])</f>
        <v>-50</v>
      </c>
      <c r="G55" s="40">
        <f>Table_Gastos_Mensuales[[#This Row],[Coste real]]</f>
        <v>150</v>
      </c>
    </row>
    <row r="56" spans="2:7" ht="18" customHeight="1" x14ac:dyDescent="0.3">
      <c r="B56" s="30" t="s">
        <v>84</v>
      </c>
      <c r="C56" s="25" t="s">
        <v>39</v>
      </c>
      <c r="D56" s="49">
        <v>450</v>
      </c>
      <c r="E56" s="49">
        <v>400</v>
      </c>
      <c r="F56" s="49">
        <f>IF(OR(Table_Gastos_Mensuales[[#This Row],[Costo previsto]]="",Table_Gastos_Mensuales[[#This Row],[Coste real]]=""),"",Table_Gastos_Mensuales[[#This Row],[Costo previsto]]-Table_Gastos_Mensuales[[#This Row],[Coste real]])</f>
        <v>50</v>
      </c>
      <c r="G56" s="40">
        <f>Table_Gastos_Mensuales[[#This Row],[Coste real]]</f>
        <v>400</v>
      </c>
    </row>
    <row r="57" spans="2:7" ht="18" customHeight="1" x14ac:dyDescent="0.3">
      <c r="B57" s="30" t="s">
        <v>34</v>
      </c>
      <c r="C57" s="25" t="s">
        <v>39</v>
      </c>
      <c r="D57" s="49">
        <v>300</v>
      </c>
      <c r="E57" s="49">
        <v>300</v>
      </c>
      <c r="F57" s="49">
        <f>IF(OR(Table_Gastos_Mensuales[[#This Row],[Costo previsto]]="",Table_Gastos_Mensuales[[#This Row],[Coste real]]=""),"",Table_Gastos_Mensuales[[#This Row],[Costo previsto]]-Table_Gastos_Mensuales[[#This Row],[Coste real]])</f>
        <v>0</v>
      </c>
      <c r="G57" s="40">
        <f>Table_Gastos_Mensuales[[#This Row],[Coste real]]</f>
        <v>300</v>
      </c>
    </row>
    <row r="58" spans="2:7" ht="18" customHeight="1" x14ac:dyDescent="0.3">
      <c r="B58" s="30" t="s">
        <v>85</v>
      </c>
      <c r="C58" s="25" t="s">
        <v>39</v>
      </c>
      <c r="D58" s="49">
        <v>25</v>
      </c>
      <c r="E58" s="49">
        <v>25</v>
      </c>
      <c r="F58" s="49">
        <f>IF(OR(Table_Gastos_Mensuales[[#This Row],[Costo previsto]]="",Table_Gastos_Mensuales[[#This Row],[Coste real]]=""),"",Table_Gastos_Mensuales[[#This Row],[Costo previsto]]-Table_Gastos_Mensuales[[#This Row],[Coste real]])</f>
        <v>0</v>
      </c>
      <c r="G58" s="40">
        <f>Table_Gastos_Mensuales[[#This Row],[Coste real]]</f>
        <v>25</v>
      </c>
    </row>
    <row r="59" spans="2:7" ht="18" customHeight="1" x14ac:dyDescent="0.3">
      <c r="B59" s="30" t="s">
        <v>57</v>
      </c>
      <c r="C59" s="25" t="s">
        <v>39</v>
      </c>
      <c r="D59" s="49">
        <v>100</v>
      </c>
      <c r="E59" s="49">
        <v>50</v>
      </c>
      <c r="F59" s="49">
        <f>IF(OR(Table_Gastos_Mensuales[[#This Row],[Costo previsto]]="",Table_Gastos_Mensuales[[#This Row],[Coste real]]=""),"",Table_Gastos_Mensuales[[#This Row],[Costo previsto]]-Table_Gastos_Mensuales[[#This Row],[Coste real]])</f>
        <v>50</v>
      </c>
      <c r="G59" s="40">
        <f>Table_Gastos_Mensuales[[#This Row],[Coste real]]</f>
        <v>50</v>
      </c>
    </row>
    <row r="60" spans="2:7" ht="18" customHeight="1" x14ac:dyDescent="0.3">
      <c r="B60" s="30" t="s">
        <v>86</v>
      </c>
      <c r="C60" s="25" t="s">
        <v>39</v>
      </c>
      <c r="D60" s="49"/>
      <c r="E60" s="49"/>
      <c r="F60" s="49" t="str">
        <f>IF(OR(Table_Gastos_Mensuales[[#This Row],[Costo previsto]]="",Table_Gastos_Mensuales[[#This Row],[Coste real]]=""),"",Table_Gastos_Mensuales[[#This Row],[Costo previsto]]-Table_Gastos_Mensuales[[#This Row],[Coste real]])</f>
        <v/>
      </c>
      <c r="G60" s="40">
        <f>Table_Gastos_Mensuales[[#This Row],[Coste real]]</f>
        <v>0</v>
      </c>
    </row>
    <row r="61" spans="2:7" ht="18" customHeight="1" x14ac:dyDescent="0.3">
      <c r="B61" s="30" t="s">
        <v>87</v>
      </c>
      <c r="C61" s="25" t="s">
        <v>39</v>
      </c>
      <c r="D61" s="49">
        <v>450</v>
      </c>
      <c r="E61" s="49">
        <v>450</v>
      </c>
      <c r="F61" s="49">
        <f>IF(OR(Table_Gastos_Mensuales[[#This Row],[Costo previsto]]="",Table_Gastos_Mensuales[[#This Row],[Coste real]]=""),"",Table_Gastos_Mensuales[[#This Row],[Costo previsto]]-Table_Gastos_Mensuales[[#This Row],[Coste real]])</f>
        <v>0</v>
      </c>
      <c r="G61" s="40">
        <f>Table_Gastos_Mensuales[[#This Row],[Coste real]]</f>
        <v>450</v>
      </c>
    </row>
  </sheetData>
  <conditionalFormatting sqref="G3:G61">
    <cfRule type="dataBar" priority="7">
      <dataBar showValue="0"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{AC984355-00B8-4B76-BAF8-E383A62358A4}</x14:id>
        </ext>
      </extLst>
    </cfRule>
  </conditionalFormatting>
  <conditionalFormatting sqref="F3:F61">
    <cfRule type="cellIs" dxfId="242" priority="1" operator="lessThan">
      <formula>0</formula>
    </cfRule>
  </conditionalFormatting>
  <dataValidations count="2">
    <dataValidation type="list" allowBlank="1" showInputMessage="1" showErrorMessage="1" errorTitle="Categoría no válida" error="Para agregar una nueva categoría, vaya a la tabla Lista de categorías en la pestaña Datos adicionales." sqref="C3:C61" xr:uid="{00000000-0002-0000-0200-000000000000}">
      <formula1>Lista_de_Categorías</formula1>
    </dataValidation>
    <dataValidation allowBlank="1" showInputMessage="1" showErrorMessage="1" prompt="Escriba la información sobre los gastos mensuales en la table que aparece aquí abajo._x000a__x000a_Para agregar una nueva categoría, vaya a la tabla Lista de categorías en la pestaña Datos adicionales." sqref="A1" xr:uid="{00000000-0002-0000-0200-000001000000}"/>
  </dataValidations>
  <printOptions horizontalCentered="1"/>
  <pageMargins left="0.7" right="0.7" top="0.75" bottom="0.75" header="0.3" footer="0.3"/>
  <pageSetup paperSize="9" scale="71" fitToHeight="10"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C984355-00B8-4B76-BAF8-E383A62358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G3:G61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21"/>
  <sheetViews>
    <sheetView showGridLines="0" showRowColHeaders="0" zoomScaleNormal="100" workbookViewId="0"/>
  </sheetViews>
  <sheetFormatPr baseColWidth="10" defaultColWidth="9" defaultRowHeight="12" x14ac:dyDescent="0.3"/>
  <cols>
    <col min="1" max="1" width="1.875" style="7" customWidth="1"/>
    <col min="2" max="2" width="28.625" style="7" customWidth="1"/>
    <col min="3" max="3" width="18.625" style="8" customWidth="1"/>
    <col min="4" max="4" width="2.625" style="7" customWidth="1"/>
    <col min="5" max="5" width="38.875" style="7" customWidth="1"/>
    <col min="6" max="6" width="1.875" style="7" customWidth="1"/>
    <col min="7" max="16384" width="9" style="7"/>
  </cols>
  <sheetData>
    <row r="1" spans="2:6" s="6" customFormat="1" ht="105.95" customHeight="1" x14ac:dyDescent="0.2">
      <c r="C1" s="13"/>
      <c r="F1" s="21" t="s">
        <v>16</v>
      </c>
    </row>
    <row r="2" spans="2:6" s="6" customFormat="1" ht="45" customHeight="1" x14ac:dyDescent="0.35">
      <c r="B2" s="27" t="s">
        <v>92</v>
      </c>
      <c r="C2" s="28"/>
      <c r="D2" s="29"/>
      <c r="E2" s="27" t="s">
        <v>94</v>
      </c>
    </row>
    <row r="3" spans="2:6" s="15" customFormat="1" ht="13.5" x14ac:dyDescent="0.3">
      <c r="C3" s="16"/>
    </row>
    <row r="4" spans="2:6" s="17" customFormat="1" ht="17.25" x14ac:dyDescent="0.3">
      <c r="B4" s="59" t="s">
        <v>96</v>
      </c>
      <c r="C4" s="47" t="s">
        <v>93</v>
      </c>
      <c r="D4"/>
      <c r="E4" s="46" t="s">
        <v>95</v>
      </c>
    </row>
    <row r="5" spans="2:6" ht="16.5" x14ac:dyDescent="0.3">
      <c r="B5" s="56" t="s">
        <v>37</v>
      </c>
      <c r="C5" s="48">
        <v>100</v>
      </c>
      <c r="D5"/>
      <c r="E5" s="25" t="s">
        <v>18</v>
      </c>
    </row>
    <row r="6" spans="2:6" ht="16.5" x14ac:dyDescent="0.3">
      <c r="B6" s="56" t="s">
        <v>32</v>
      </c>
      <c r="C6" s="48">
        <v>125</v>
      </c>
      <c r="D6"/>
      <c r="E6" s="25" t="s">
        <v>23</v>
      </c>
    </row>
    <row r="7" spans="2:6" ht="16.5" x14ac:dyDescent="0.3">
      <c r="B7" s="56" t="s">
        <v>36</v>
      </c>
      <c r="C7" s="48">
        <v>140</v>
      </c>
      <c r="D7"/>
      <c r="E7" s="25" t="s">
        <v>31</v>
      </c>
    </row>
    <row r="8" spans="2:6" ht="16.5" x14ac:dyDescent="0.3">
      <c r="B8" s="56" t="s">
        <v>18</v>
      </c>
      <c r="C8" s="48">
        <v>140</v>
      </c>
      <c r="D8"/>
      <c r="E8" s="25" t="s">
        <v>32</v>
      </c>
    </row>
    <row r="9" spans="2:6" ht="16.5" x14ac:dyDescent="0.3">
      <c r="B9" s="56" t="s">
        <v>40</v>
      </c>
      <c r="C9" s="48">
        <v>200</v>
      </c>
      <c r="D9"/>
      <c r="E9" s="25" t="s">
        <v>33</v>
      </c>
    </row>
    <row r="10" spans="2:6" ht="16.5" x14ac:dyDescent="0.3">
      <c r="B10" s="56" t="s">
        <v>35</v>
      </c>
      <c r="C10" s="48">
        <v>200</v>
      </c>
      <c r="D10"/>
      <c r="E10" s="25" t="s">
        <v>34</v>
      </c>
    </row>
    <row r="11" spans="2:6" ht="16.5" x14ac:dyDescent="0.3">
      <c r="B11" s="56" t="s">
        <v>38</v>
      </c>
      <c r="C11" s="48">
        <v>300</v>
      </c>
      <c r="D11"/>
      <c r="E11" s="25" t="s">
        <v>35</v>
      </c>
    </row>
    <row r="12" spans="2:6" ht="16.5" x14ac:dyDescent="0.3">
      <c r="B12" s="56" t="s">
        <v>23</v>
      </c>
      <c r="C12" s="48">
        <v>358</v>
      </c>
      <c r="D12"/>
      <c r="E12" s="25" t="s">
        <v>36</v>
      </c>
    </row>
    <row r="13" spans="2:6" ht="16.5" x14ac:dyDescent="0.3">
      <c r="B13" s="56" t="s">
        <v>34</v>
      </c>
      <c r="C13" s="48">
        <v>900</v>
      </c>
      <c r="D13"/>
      <c r="E13" s="25" t="s">
        <v>37</v>
      </c>
    </row>
    <row r="14" spans="2:6" ht="16.5" x14ac:dyDescent="0.3">
      <c r="B14" s="56" t="s">
        <v>31</v>
      </c>
      <c r="C14" s="48">
        <v>1320</v>
      </c>
      <c r="D14"/>
      <c r="E14" s="25" t="s">
        <v>40</v>
      </c>
    </row>
    <row r="15" spans="2:6" ht="16.5" x14ac:dyDescent="0.3">
      <c r="B15" s="56" t="s">
        <v>39</v>
      </c>
      <c r="C15" s="48">
        <v>1375</v>
      </c>
      <c r="D15"/>
      <c r="E15" s="25" t="s">
        <v>38</v>
      </c>
    </row>
    <row r="16" spans="2:6" ht="16.5" x14ac:dyDescent="0.3">
      <c r="B16" s="56" t="s">
        <v>33</v>
      </c>
      <c r="C16" s="48">
        <v>2702</v>
      </c>
      <c r="D16"/>
      <c r="E16" s="25" t="s">
        <v>39</v>
      </c>
    </row>
    <row r="17" spans="2:5" ht="16.5" x14ac:dyDescent="0.3">
      <c r="B17" s="58" t="s">
        <v>97</v>
      </c>
      <c r="C17" s="57">
        <v>7860</v>
      </c>
      <c r="D17"/>
      <c r="E17" s="14"/>
    </row>
    <row r="18" spans="2:5" ht="16.5" x14ac:dyDescent="0.3">
      <c r="B18"/>
      <c r="C18"/>
      <c r="D18"/>
    </row>
    <row r="19" spans="2:5" ht="16.5" x14ac:dyDescent="0.3">
      <c r="B19"/>
      <c r="C19"/>
      <c r="D19"/>
    </row>
    <row r="20" spans="2:5" ht="16.5" x14ac:dyDescent="0.3">
      <c r="B20"/>
      <c r="C20"/>
      <c r="D20"/>
    </row>
    <row r="21" spans="2:5" ht="16.5" x14ac:dyDescent="0.3">
      <c r="B21"/>
      <c r="C21"/>
      <c r="D21"/>
    </row>
  </sheetData>
  <dataValidations count="1">
    <dataValidation allowBlank="1" showInputMessage="1" showErrorMessage="1" prompt="La tabla dinámica para el gráfico de presupuesto controla el gráfico en la pestaña Información general de presupuestos._x000a__x000a_La table Lista de categorías controla las categorías disponibles en la pestaña Gastos mensuales." sqref="A1" xr:uid="{00000000-0002-0000-0300-000000000000}"/>
  </dataValidation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1" ma:contentTypeDescription="Create a new document." ma:contentTypeScope="" ma:versionID="9677210f24a1be23c92c90fd886aa0aa">
  <xsd:schema xmlns:xsd="http://www.w3.org/2001/XMLSchema" xmlns:xs="http://www.w3.org/2001/XMLSchema" xmlns:p="http://schemas.microsoft.com/office/2006/metadata/properties" xmlns:ns2="71af3243-3dd4-4a8d-8c0d-dd76da1f02a5" xmlns:ns3="16c05727-aa75-4e4a-9b5f-8a80a1165891" targetNamespace="http://schemas.microsoft.com/office/2006/metadata/properties" ma:root="true" ma:fieldsID="60e05723c5c1908df1a1a4ebf11d344e" ns2:_="" ns3:_="">
    <xsd:import namespace="71af3243-3dd4-4a8d-8c0d-dd76da1f02a5"/>
    <xsd:import namespace="16c05727-aa75-4e4a-9b5f-8a80a1165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77409E34-2FFF-40B7-A328-B37BC86A40A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3C32786-B404-4925-B3AC-4B5F5955DD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af3243-3dd4-4a8d-8c0d-dd76da1f02a5"/>
    <ds:schemaRef ds:uri="16c05727-aa75-4e4a-9b5f-8a80a11658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570CAFC-A4CA-4D3C-91F9-BA62D077EA56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16c05727-aa75-4e4a-9b5f-8a80a1165891"/>
    <ds:schemaRef ds:uri="http://purl.org/dc/dcmitype/"/>
    <ds:schemaRef ds:uri="71af3243-3dd4-4a8d-8c0d-dd76da1f02a5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6</vt:i4>
      </vt:variant>
    </vt:vector>
  </HeadingPairs>
  <TitlesOfParts>
    <vt:vector size="10" baseType="lpstr">
      <vt:lpstr>Información del presupuesto</vt:lpstr>
      <vt:lpstr>Resumen de presupuesto</vt:lpstr>
      <vt:lpstr>Gastos mensuales</vt:lpstr>
      <vt:lpstr>Datos adicionales</vt:lpstr>
      <vt:lpstr>Gastos_Previstos</vt:lpstr>
      <vt:lpstr>Gastos_Reales</vt:lpstr>
      <vt:lpstr>Ingresos_Previstos</vt:lpstr>
      <vt:lpstr>Ingresos_Reales</vt:lpstr>
      <vt:lpstr>Lista_de_Categorías</vt:lpstr>
      <vt:lpstr>'Gastos mensuales'!Títulos_a_imprimir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2019-07-07T23:57:26Z</dcterms:created>
  <dcterms:modified xsi:type="dcterms:W3CDTF">2020-04-21T21:25:01Z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