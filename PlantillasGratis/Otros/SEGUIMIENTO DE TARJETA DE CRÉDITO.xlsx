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 filterPrivacy="1" codeName="ThisWorkbook"/>
  <xr:revisionPtr revIDLastSave="0" documentId="8_{0999199A-01A7-4A6F-A020-B1FDB509F202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Registro de tarjeta de crédito" sheetId="2" r:id="rId1"/>
  </sheets>
  <definedNames>
    <definedName name="TítuloDeColumna1">Datos[[#Headers],[Fecha]]</definedName>
    <definedName name="_xlnm.Print_Titles" localSheetId="0">'Registro de tarjeta de crédito'!$3:$3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B8" i="2" l="1"/>
  <c r="B7" i="2"/>
  <c r="B6" i="2"/>
  <c r="B5" i="2"/>
  <c r="B4" i="2"/>
  <c r="B9" i="2"/>
  <c r="G9" i="2"/>
  <c r="G8" i="2"/>
  <c r="G7" i="2"/>
  <c r="G6" i="2"/>
  <c r="G5" i="2"/>
  <c r="G4" i="2"/>
  <c r="D10" i="2"/>
  <c r="F10" i="2"/>
</calcChain>
</file>

<file path=xl/sharedStrings.xml><?xml version="1.0" encoding="utf-8"?>
<sst xmlns="http://schemas.openxmlformats.org/spreadsheetml/2006/main" count="22" uniqueCount="20">
  <si>
    <t>Nombre de tarjeta de crédito</t>
  </si>
  <si>
    <t>Escriba los pagos como importes negativos en la tabla siguiente.</t>
  </si>
  <si>
    <t>Fecha</t>
  </si>
  <si>
    <t>Total</t>
  </si>
  <si>
    <t>Descripción</t>
  </si>
  <si>
    <t>Saldo existente</t>
  </si>
  <si>
    <t>Pago de junio</t>
  </si>
  <si>
    <t>Marco de imagen</t>
  </si>
  <si>
    <t>Vino</t>
  </si>
  <si>
    <t>Billete para Maui</t>
  </si>
  <si>
    <t>Retirada de efectivo</t>
  </si>
  <si>
    <t>Importe</t>
  </si>
  <si>
    <t>Nombre del vendedor</t>
  </si>
  <si>
    <t xml:space="preserve">Semuendera, S. L. </t>
  </si>
  <si>
    <t xml:space="preserve">Sizquiórica, S. A. </t>
  </si>
  <si>
    <t>Baluerenda, S. A.</t>
  </si>
  <si>
    <t xml:space="preserve">Ritengorza, S. L. </t>
  </si>
  <si>
    <t>Comisión de transacción</t>
  </si>
  <si>
    <t>*(sin incluir intereses)</t>
  </si>
  <si>
    <t>Saldo*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</si>
</sst>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_);_(* \(#,##0\);_(* &quot;-&quot;_);_(@_)"/>
    <numFmt numFmtId="165" formatCode="_(* #,##0.00_);_(* \(#,##0.00\);_(* &quot;-&quot;??_);_(@_)"/>
    <numFmt numFmtId="166" formatCode="#,##0.00\ &quot;€&quot;"/>
  </numFmts>
  <fonts count="24">
    <font>
      <sz val="11"/>
      <color theme="1" tint="0.24994659260841701"/>
      <name val="Lucida Sans"/>
      <family val="2"/>
      <scheme val="minor"/>
    </font>
    <font>
      <sz val="11"/>
      <color theme="1"/>
      <name val="Lucida Sans"/>
      <family val="2"/>
      <scheme val="minor"/>
    </font>
    <font>
      <sz val="36"/>
      <color theme="4" tint="-0.499984740745262"/>
      <name val="Rockwell"/>
      <family val="2"/>
      <scheme val="major"/>
    </font>
    <font>
      <sz val="14"/>
      <color theme="4"/>
      <name val="Rockwell"/>
      <family val="2"/>
      <scheme val="major"/>
    </font>
    <font>
      <sz val="11"/>
      <color theme="1" tint="0.24994659260841701"/>
      <name val="Lucida Sans"/>
      <family val="2"/>
      <scheme val="minor"/>
    </font>
    <font>
      <i/>
      <sz val="11"/>
      <color theme="1" tint="0.34998626667073579"/>
      <name val="Rockwell"/>
      <family val="2"/>
      <scheme val="major"/>
    </font>
    <font>
      <sz val="11"/>
      <color theme="0"/>
      <name val="Lucida Sans"/>
      <family val="2"/>
      <scheme val="minor"/>
    </font>
    <font>
      <b/>
      <sz val="12"/>
      <color theme="1"/>
      <name val="Rockwell"/>
      <family val="1"/>
      <scheme val="major"/>
    </font>
    <font>
      <sz val="12"/>
      <color theme="1"/>
      <name val="Lucida Sans"/>
      <family val="2"/>
      <scheme val="minor"/>
    </font>
    <font>
      <i/>
      <sz val="12"/>
      <color theme="1"/>
      <name val="Lucida Sans"/>
      <family val="2"/>
      <charset val="238"/>
      <scheme val="minor"/>
    </font>
    <font>
      <b/>
      <sz val="12"/>
      <color theme="1" tint="0.24994659260841701"/>
      <name val="Lucida Sans"/>
      <family val="2"/>
      <charset val="238"/>
      <scheme val="minor"/>
    </font>
    <font>
      <b/>
      <sz val="14"/>
      <color theme="1"/>
      <name val="Rockwell"/>
      <family val="1"/>
      <scheme val="major"/>
    </font>
    <font>
      <b/>
      <sz val="11"/>
      <color theme="3"/>
      <name val="Lucida Sans"/>
      <family val="2"/>
      <scheme val="minor"/>
    </font>
    <font>
      <sz val="11"/>
      <color rgb="FF006100"/>
      <name val="Lucida Sans"/>
      <family val="2"/>
      <scheme val="minor"/>
    </font>
    <font>
      <sz val="11"/>
      <color rgb="FF9C0006"/>
      <name val="Lucida Sans"/>
      <family val="2"/>
      <scheme val="minor"/>
    </font>
    <font>
      <sz val="11"/>
      <color rgb="FF9C5700"/>
      <name val="Lucida Sans"/>
      <family val="2"/>
      <scheme val="minor"/>
    </font>
    <font>
      <sz val="11"/>
      <color rgb="FF3F3F76"/>
      <name val="Lucida Sans"/>
      <family val="2"/>
      <scheme val="minor"/>
    </font>
    <font>
      <b/>
      <sz val="11"/>
      <color rgb="FF3F3F3F"/>
      <name val="Lucida Sans"/>
      <family val="2"/>
      <scheme val="minor"/>
    </font>
    <font>
      <b/>
      <sz val="11"/>
      <color rgb="FFFA7D00"/>
      <name val="Lucida Sans"/>
      <family val="2"/>
      <scheme val="minor"/>
    </font>
    <font>
      <sz val="11"/>
      <color rgb="FFFA7D00"/>
      <name val="Lucida Sans"/>
      <family val="2"/>
      <scheme val="minor"/>
    </font>
    <font>
      <b/>
      <sz val="11"/>
      <color theme="0"/>
      <name val="Lucida Sans"/>
      <family val="2"/>
      <scheme val="minor"/>
    </font>
    <font>
      <sz val="11"/>
      <color rgb="FFFF0000"/>
      <name val="Lucida Sans"/>
      <family val="2"/>
      <scheme val="minor"/>
    </font>
    <font>
      <i/>
      <sz val="11"/>
      <color rgb="FF7F7F7F"/>
      <name val="Lucida Sans"/>
      <family val="2"/>
      <scheme val="minor"/>
    </font>
    <font>
      <b/>
      <sz val="11"/>
      <color theme="1"/>
      <name val="Lucida Sans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8">
    <xf numFmtId="0" fontId="0" fillId="0" borderId="0">
      <alignment vertical="center" wrapText="1"/>
    </xf>
    <xf numFmtId="0" fontId="5" fillId="0" borderId="0" applyNumberFormat="0" applyFill="0" applyProtection="0">
      <alignment vertical="center"/>
    </xf>
    <xf numFmtId="0" fontId="3" fillId="0" borderId="0" applyNumberFormat="0" applyFill="0" applyProtection="0"/>
    <xf numFmtId="0" fontId="6" fillId="2" borderId="0">
      <alignment horizontal="center" vertical="center" wrapText="1"/>
    </xf>
    <xf numFmtId="166" fontId="4" fillId="0" borderId="0" applyFont="0" applyFill="0" applyBorder="0" applyProtection="0">
      <alignment horizontal="right" vertical="center" indent="1"/>
    </xf>
    <xf numFmtId="166" fontId="4" fillId="0" borderId="0" applyFont="0" applyFill="0" applyBorder="0" applyProtection="0">
      <alignment horizontal="right" vertical="center"/>
    </xf>
    <xf numFmtId="0" fontId="2" fillId="0" borderId="1" applyNumberFormat="0" applyFill="0" applyProtection="0">
      <alignment vertical="center"/>
    </xf>
    <xf numFmtId="14" fontId="4" fillId="0" borderId="0" applyFont="0" applyFill="0" applyBorder="0">
      <alignment horizontal="left" vertical="center"/>
    </xf>
    <xf numFmtId="165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2" fillId="0" borderId="2" applyNumberFormat="0" applyFill="0" applyAlignment="0" applyProtection="0"/>
    <xf numFmtId="0" fontId="13" fillId="5" borderId="0" applyNumberFormat="0" applyBorder="0" applyAlignment="0" applyProtection="0"/>
    <xf numFmtId="0" fontId="14" fillId="6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3" applyNumberFormat="0" applyAlignment="0" applyProtection="0"/>
    <xf numFmtId="0" fontId="17" fillId="9" borderId="4" applyNumberFormat="0" applyAlignment="0" applyProtection="0"/>
    <xf numFmtId="0" fontId="18" fillId="9" borderId="3" applyNumberFormat="0" applyAlignment="0" applyProtection="0"/>
    <xf numFmtId="0" fontId="19" fillId="0" borderId="5" applyNumberFormat="0" applyFill="0" applyAlignment="0" applyProtection="0"/>
    <xf numFmtId="0" fontId="20" fillId="10" borderId="6" applyNumberFormat="0" applyAlignment="0" applyProtection="0"/>
    <xf numFmtId="0" fontId="21" fillId="0" borderId="0" applyNumberFormat="0" applyFill="0" applyBorder="0" applyAlignment="0" applyProtection="0"/>
    <xf numFmtId="0" fontId="4" fillId="11" borderId="7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8" applyNumberFormat="0" applyFill="0" applyAlignment="0" applyProtection="0"/>
    <xf numFmtId="0" fontId="6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6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6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6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6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6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</cellStyleXfs>
  <cellXfs count="14">
    <xf numFmtId="0" fontId="0" fillId="0" borderId="0" xfId="0">
      <alignment vertical="center" wrapText="1"/>
    </xf>
    <xf numFmtId="0" fontId="8" fillId="0" borderId="0" xfId="0" applyFont="1">
      <alignment vertical="center" wrapText="1"/>
    </xf>
    <xf numFmtId="0" fontId="10" fillId="0" borderId="0" xfId="0" applyFont="1">
      <alignment vertical="center" wrapText="1"/>
    </xf>
    <xf numFmtId="166" fontId="10" fillId="0" borderId="0" xfId="4" applyFont="1">
      <alignment horizontal="right" vertical="center" indent="1"/>
    </xf>
    <xf numFmtId="0" fontId="7" fillId="3" borderId="0" xfId="0" applyFont="1" applyFill="1" applyAlignment="1">
      <alignment horizontal="center" vertical="center" wrapText="1"/>
    </xf>
    <xf numFmtId="0" fontId="7" fillId="0" borderId="0" xfId="3" applyFont="1" applyFill="1">
      <alignment horizontal="center" vertical="center" wrapText="1"/>
    </xf>
    <xf numFmtId="0" fontId="10" fillId="0" borderId="0" xfId="0" applyFont="1" applyAlignment="1">
      <alignment horizontal="right" vertical="center" wrapText="1"/>
    </xf>
    <xf numFmtId="0" fontId="11" fillId="0" borderId="0" xfId="1" applyFont="1">
      <alignment vertical="center"/>
    </xf>
    <xf numFmtId="166" fontId="10" fillId="0" borderId="0" xfId="0" applyNumberFormat="1" applyFont="1">
      <alignment vertical="center" wrapText="1"/>
    </xf>
    <xf numFmtId="14" fontId="8" fillId="0" borderId="0" xfId="7" applyNumberFormat="1" applyFont="1" applyAlignment="1">
      <alignment horizontal="center" vertical="center"/>
    </xf>
    <xf numFmtId="166" fontId="8" fillId="0" borderId="0" xfId="4" applyNumberFormat="1" applyFont="1">
      <alignment horizontal="right" vertical="center" indent="1"/>
    </xf>
    <xf numFmtId="166" fontId="8" fillId="0" borderId="0" xfId="5" applyNumberFormat="1" applyFont="1">
      <alignment horizontal="right" vertical="center"/>
    </xf>
    <xf numFmtId="0" fontId="9" fillId="0" borderId="0" xfId="0" applyFont="1" applyAlignment="1">
      <alignment horizontal="right" vertical="center" wrapText="1"/>
    </xf>
    <xf numFmtId="0" fontId="2" fillId="4" borderId="0" xfId="6" applyFill="1" applyBorder="1">
      <alignment vertical="center"/>
    </xf>
  </cellXfs>
  <cellStyles count="48">
    <cellStyle name="20% - Énfasis1" xfId="25" builtinId="30" customBuiltin="1"/>
    <cellStyle name="20% - Énfasis2" xfId="29" builtinId="34" customBuiltin="1"/>
    <cellStyle name="20% - Énfasis3" xfId="33" builtinId="38" customBuiltin="1"/>
    <cellStyle name="20% - Énfasis4" xfId="37" builtinId="42" customBuiltin="1"/>
    <cellStyle name="20% - Énfasis5" xfId="41" builtinId="46" customBuiltin="1"/>
    <cellStyle name="20% - Énfasis6" xfId="45" builtinId="50" customBuiltin="1"/>
    <cellStyle name="40% - Énfasis1" xfId="26" builtinId="31" customBuiltin="1"/>
    <cellStyle name="40% - Énfasis2" xfId="30" builtinId="35" customBuiltin="1"/>
    <cellStyle name="40% - Énfasis3" xfId="34" builtinId="39" customBuiltin="1"/>
    <cellStyle name="40% - Énfasis4" xfId="38" builtinId="43" customBuiltin="1"/>
    <cellStyle name="40% - Énfasis5" xfId="42" builtinId="47" customBuiltin="1"/>
    <cellStyle name="40% - Énfasis6" xfId="46" builtinId="51" customBuiltin="1"/>
    <cellStyle name="60% - Énfasis1" xfId="27" builtinId="32" customBuiltin="1"/>
    <cellStyle name="60% - Énfasis2" xfId="31" builtinId="36" customBuiltin="1"/>
    <cellStyle name="60% - Énfasis3" xfId="35" builtinId="40" customBuiltin="1"/>
    <cellStyle name="60% - Énfasis4" xfId="39" builtinId="44" customBuiltin="1"/>
    <cellStyle name="60% - Énfasis5" xfId="43" builtinId="48" customBuiltin="1"/>
    <cellStyle name="60% - Énfasis6" xfId="47" builtinId="52" customBuiltin="1"/>
    <cellStyle name="Bueno" xfId="12" builtinId="26" customBuiltin="1"/>
    <cellStyle name="Cálculo" xfId="17" builtinId="22" customBuiltin="1"/>
    <cellStyle name="Celda de comprobación" xfId="19" builtinId="23" customBuiltin="1"/>
    <cellStyle name="Celda vinculada" xfId="18" builtinId="24" customBuiltin="1"/>
    <cellStyle name="Encabezado 1" xfId="1" builtinId="16" customBuiltin="1"/>
    <cellStyle name="Encabezado 4" xfId="2" builtinId="19" customBuiltin="1"/>
    <cellStyle name="Énfasis1" xfId="24" builtinId="29" customBuiltin="1"/>
    <cellStyle name="Énfasis2" xfId="28" builtinId="33" customBuiltin="1"/>
    <cellStyle name="Énfasis3" xfId="32" builtinId="37" customBuiltin="1"/>
    <cellStyle name="Énfasis4" xfId="36" builtinId="41" customBuiltin="1"/>
    <cellStyle name="Énfasis5" xfId="40" builtinId="45" customBuiltin="1"/>
    <cellStyle name="Énfasis6" xfId="44" builtinId="49" customBuiltin="1"/>
    <cellStyle name="Entrada" xfId="15" builtinId="20" customBuiltin="1"/>
    <cellStyle name="Fecha" xfId="7" xr:uid="{00000000-0005-0000-0000-000002000000}"/>
    <cellStyle name="Incorrecto" xfId="13" builtinId="27" customBuiltin="1"/>
    <cellStyle name="Millares" xfId="8" builtinId="3" customBuiltin="1"/>
    <cellStyle name="Millares [0]" xfId="9" builtinId="6" customBuiltin="1"/>
    <cellStyle name="Moneda" xfId="4" builtinId="4" customBuiltin="1"/>
    <cellStyle name="Moneda [0]" xfId="5" builtinId="7" customBuiltin="1"/>
    <cellStyle name="Neutral" xfId="14" builtinId="28" customBuiltin="1"/>
    <cellStyle name="Normal" xfId="0" builtinId="0" customBuiltin="1"/>
    <cellStyle name="Notas" xfId="21" builtinId="10" customBuiltin="1"/>
    <cellStyle name="Porcentaje" xfId="10" builtinId="5" customBuiltin="1"/>
    <cellStyle name="Salida" xfId="16" builtinId="21" customBuiltin="1"/>
    <cellStyle name="Texto de advertencia" xfId="20" builtinId="11" customBuiltin="1"/>
    <cellStyle name="Texto explicativo" xfId="22" builtinId="53" customBuiltin="1"/>
    <cellStyle name="Título" xfId="6" builtinId="15" customBuiltin="1"/>
    <cellStyle name="Título 2" xfId="3" builtinId="17" customBuiltin="1"/>
    <cellStyle name="Título 3" xfId="11" builtinId="18" customBuiltin="1"/>
    <cellStyle name="Total" xfId="23" builtinId="25" customBuiltin="1"/>
  </cellStyles>
  <dxfs count="21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numFmt numFmtId="166" formatCode="#,##0.00\ &quot;€&quot;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Lucida Sans"/>
        <scheme val="minor"/>
      </font>
      <numFmt numFmtId="166" formatCode="#,##0.00\ &quot;€&quot;"/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Lucida Sans"/>
        <scheme val="minor"/>
      </font>
      <numFmt numFmtId="166" formatCode="#,##0.00\ &quot;€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Lucida Sans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Lucida Sans"/>
        <scheme val="minor"/>
      </font>
      <numFmt numFmtId="166" formatCode="#,##0.00\ &quot;€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Lucida Sans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 tint="0.24994659260841701"/>
        <name val="Lucida Sans"/>
        <scheme val="minor"/>
      </font>
      <alignment horizontal="righ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Lucida Sans"/>
        <scheme val="minor"/>
      </font>
      <numFmt numFmtId="19" formatCode="dd/mm/yyyy"/>
      <alignment horizontal="center" vertical="center" textRotation="0" wrapText="0" indent="0" justifyLastLine="0" shrinkToFit="0" readingOrder="0"/>
    </dxf>
    <dxf>
      <font>
        <b/>
      </font>
    </dxf>
    <dxf>
      <font>
        <strike val="0"/>
        <outline val="0"/>
        <shadow val="0"/>
        <u val="none"/>
        <vertAlign val="baseline"/>
        <sz val="12"/>
        <color theme="1"/>
        <name val="Lucida Sans"/>
        <scheme val="minor"/>
      </font>
    </dxf>
    <dxf>
      <font>
        <b/>
        <strike val="0"/>
        <outline val="0"/>
        <shadow val="0"/>
        <u val="none"/>
        <vertAlign val="baseline"/>
        <sz val="12"/>
        <color theme="1"/>
        <name val="Rockwell"/>
        <scheme val="major"/>
      </font>
      <fill>
        <patternFill>
          <fgColor indexed="64"/>
          <bgColor theme="6" tint="-0.249977111117893"/>
        </patternFill>
      </fill>
      <alignment horizontal="center" vertical="center" textRotation="0" wrapText="1" indent="0" justifyLastLine="0" shrinkToFit="0" readingOrder="0"/>
    </dxf>
    <dxf>
      <fill>
        <patternFill patternType="none">
          <bgColor auto="1"/>
        </patternFill>
      </fill>
    </dxf>
    <dxf>
      <fill>
        <patternFill>
          <bgColor theme="7" tint="0.39994506668294322"/>
        </patternFill>
      </fill>
    </dxf>
    <dxf>
      <fill>
        <patternFill>
          <bgColor theme="6" tint="-0.24994659260841701"/>
        </patternFill>
      </fill>
    </dxf>
    <dxf>
      <border>
        <top style="mediumDashed">
          <color auto="1"/>
        </top>
      </border>
    </dxf>
    <dxf>
      <border>
        <top style="medium">
          <color auto="1"/>
        </top>
        <bottom style="medium">
          <color auto="1"/>
        </bottom>
      </border>
    </dxf>
    <dxf>
      <font>
        <color theme="1"/>
      </font>
      <border>
        <top style="medium">
          <color theme="0"/>
        </top>
        <bottom style="medium">
          <color theme="0"/>
        </bottom>
        <horizontal style="medium">
          <color theme="0"/>
        </horizontal>
      </border>
    </dxf>
  </dxfs>
  <tableStyles count="1" defaultTableStyle="TableStyleMedium2" defaultPivotStyle="PivotStyleLight16">
    <tableStyle name="Estilo de tabla 1" pivot="0" count="6" xr9:uid="{00000000-0011-0000-FFFF-FFFF00000000}">
      <tableStyleElement type="wholeTable" dxfId="20"/>
      <tableStyleElement type="headerRow" dxfId="19"/>
      <tableStyleElement type="totalRow" dxfId="18"/>
      <tableStyleElement type="lastColumn" dxfId="17"/>
      <tableStyleElement type="firstRowStripe" dxfId="16"/>
      <tableStyleElement type="lastTotalCell" dxfId="15"/>
    </tableStyle>
  </tableStyles>
  <colors>
    <mruColors>
      <color rgb="FFED0042"/>
      <color rgb="FF99FF33"/>
      <color rgb="FF00FF00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728383</xdr:colOff>
      <xdr:row>0</xdr:row>
      <xdr:rowOff>0</xdr:rowOff>
    </xdr:from>
    <xdr:to>
      <xdr:col>6</xdr:col>
      <xdr:colOff>1266263</xdr:colOff>
      <xdr:row>1</xdr:row>
      <xdr:rowOff>0</xdr:rowOff>
    </xdr:to>
    <xdr:sp macro="" textlink="">
      <xdr:nvSpPr>
        <xdr:cNvPr id="50" name="Cuadro de texto 49">
          <a:extLst>
            <a:ext uri="{FF2B5EF4-FFF2-40B4-BE49-F238E27FC236}">
              <a16:creationId xmlns:a16="http://schemas.microsoft.com/office/drawing/2014/main" id="{64A5C467-9833-41CB-8470-E4958A25B91B}"/>
            </a:ext>
          </a:extLst>
        </xdr:cNvPr>
        <xdr:cNvSpPr txBox="1"/>
      </xdr:nvSpPr>
      <xdr:spPr>
        <a:xfrm>
          <a:off x="1949824" y="0"/>
          <a:ext cx="7832910" cy="112058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rtl="0"/>
          <a:r>
            <a:rPr lang="es" sz="3600">
              <a:solidFill>
                <a:schemeClr val="bg1"/>
              </a:solidFill>
              <a:latin typeface="Rockwell" panose="02060603020205020403" pitchFamily="18" charset="0"/>
            </a:rPr>
            <a:t>Nombre de tarjeta de crédito</a:t>
          </a:r>
        </a:p>
      </xdr:txBody>
    </xdr:sp>
    <xdr:clientData/>
  </xdr:twoCellAnchor>
  <xdr:twoCellAnchor editAs="oneCell">
    <xdr:from>
      <xdr:col>0</xdr:col>
      <xdr:colOff>227610</xdr:colOff>
      <xdr:row>0</xdr:row>
      <xdr:rowOff>18316</xdr:rowOff>
    </xdr:from>
    <xdr:to>
      <xdr:col>7</xdr:col>
      <xdr:colOff>1270</xdr:colOff>
      <xdr:row>1</xdr:row>
      <xdr:rowOff>35470</xdr:rowOff>
    </xdr:to>
    <xdr:grpSp>
      <xdr:nvGrpSpPr>
        <xdr:cNvPr id="58" name="Grupo 57" descr="elemento decorativo con mano que sostiene una tarjeta de crédito">
          <a:extLst>
            <a:ext uri="{FF2B5EF4-FFF2-40B4-BE49-F238E27FC236}">
              <a16:creationId xmlns:a16="http://schemas.microsoft.com/office/drawing/2014/main" id="{FCAC3C10-B4BD-4FEA-AA59-36BBDCCBBBE1}"/>
            </a:ext>
          </a:extLst>
        </xdr:cNvPr>
        <xdr:cNvGrpSpPr/>
      </xdr:nvGrpSpPr>
      <xdr:grpSpPr>
        <a:xfrm>
          <a:off x="227610" y="18316"/>
          <a:ext cx="10526327" cy="1138987"/>
          <a:chOff x="227610" y="7733"/>
          <a:chExt cx="10484748" cy="1139743"/>
        </a:xfrm>
      </xdr:grpSpPr>
      <xdr:grpSp>
        <xdr:nvGrpSpPr>
          <xdr:cNvPr id="56" name="Grupo 55">
            <a:extLst>
              <a:ext uri="{FF2B5EF4-FFF2-40B4-BE49-F238E27FC236}">
                <a16:creationId xmlns:a16="http://schemas.microsoft.com/office/drawing/2014/main" id="{99AE6EAC-91F8-4000-8EDE-85EE51D5BC4D}"/>
              </a:ext>
            </a:extLst>
          </xdr:cNvPr>
          <xdr:cNvGrpSpPr/>
        </xdr:nvGrpSpPr>
        <xdr:grpSpPr>
          <a:xfrm>
            <a:off x="227919" y="7733"/>
            <a:ext cx="10484439" cy="1137269"/>
            <a:chOff x="224117" y="0"/>
            <a:chExt cx="10467089" cy="1135268"/>
          </a:xfrm>
        </xdr:grpSpPr>
        <xdr:sp macro="" textlink="">
          <xdr:nvSpPr>
            <xdr:cNvPr id="53" name="Rectángulo 52">
              <a:extLst>
                <a:ext uri="{FF2B5EF4-FFF2-40B4-BE49-F238E27FC236}">
                  <a16:creationId xmlns:a16="http://schemas.microsoft.com/office/drawing/2014/main" id="{2219B50E-A521-4851-9CB9-6C52030F16D3}"/>
                </a:ext>
              </a:extLst>
            </xdr:cNvPr>
            <xdr:cNvSpPr/>
          </xdr:nvSpPr>
          <xdr:spPr>
            <a:xfrm>
              <a:off x="224117" y="14655"/>
              <a:ext cx="10467089" cy="1120613"/>
            </a:xfrm>
            <a:prstGeom prst="rect">
              <a:avLst/>
            </a:prstGeom>
            <a:solidFill>
              <a:schemeClr val="tx2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 rtl="0"/>
              <a:endParaRPr lang="en-GB" sz="1100"/>
            </a:p>
          </xdr:txBody>
        </xdr:sp>
        <xdr:sp macro="" textlink="">
          <xdr:nvSpPr>
            <xdr:cNvPr id="55" name="Cuadro de texto 54">
              <a:extLst>
                <a:ext uri="{FF2B5EF4-FFF2-40B4-BE49-F238E27FC236}">
                  <a16:creationId xmlns:a16="http://schemas.microsoft.com/office/drawing/2014/main" id="{678066F0-EF8B-4037-A20B-20CA6FF23046}"/>
                </a:ext>
              </a:extLst>
            </xdr:cNvPr>
            <xdr:cNvSpPr txBox="1"/>
          </xdr:nvSpPr>
          <xdr:spPr>
            <a:xfrm>
              <a:off x="1826071" y="0"/>
              <a:ext cx="8651051" cy="1120588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 anchorCtr="0"/>
            <a:lstStyle/>
            <a:p>
              <a:pPr rtl="0"/>
              <a:r>
                <a:rPr lang="es" sz="4400">
                  <a:solidFill>
                    <a:schemeClr val="bg1"/>
                  </a:solidFill>
                  <a:latin typeface="Rockwell" panose="02060603020205020403" pitchFamily="18" charset="0"/>
                </a:rPr>
                <a:t>Nombre de tarjeta de crédito</a:t>
              </a:r>
              <a:endParaRPr lang="en-GB" sz="4400">
                <a:solidFill>
                  <a:schemeClr val="bg1"/>
                </a:solidFill>
                <a:latin typeface="Rockwell" panose="02060603020205020403" pitchFamily="18" charset="0"/>
              </a:endParaRPr>
            </a:p>
          </xdr:txBody>
        </xdr:sp>
      </xdr:grpSp>
      <xdr:pic>
        <xdr:nvPicPr>
          <xdr:cNvPr id="57" name="Imagen 56" descr="mano que sostiene una tarjeta de crédito">
            <a:extLst>
              <a:ext uri="{FF2B5EF4-FFF2-40B4-BE49-F238E27FC236}">
                <a16:creationId xmlns:a16="http://schemas.microsoft.com/office/drawing/2014/main" id="{F04E9303-C7E6-4BF8-AA4E-93099A01C1B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227610" y="159357"/>
            <a:ext cx="1398191" cy="988119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os" displayName="Datos" ref="B3:G10" totalsRowCount="1" headerRowDxfId="14" dataDxfId="13" totalsRowDxfId="12">
  <autoFilter ref="B3:G9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00000000-0010-0000-0000-000001000000}" name="Fecha" totalsRowLabel="Total" dataDxfId="11" totalsRowDxfId="10" dataCellStyle="Fecha">
      <calculatedColumnFormula>TODAY()</calculatedColumnFormula>
    </tableColumn>
    <tableColumn id="2" xr3:uid="{00000000-0010-0000-0000-000002000000}" name="Descripción" dataDxfId="9" totalsRowDxfId="8"/>
    <tableColumn id="3" xr3:uid="{00000000-0010-0000-0000-000003000000}" name="Importe" totalsRowFunction="sum" dataDxfId="7" totalsRowDxfId="6"/>
    <tableColumn id="4" xr3:uid="{00000000-0010-0000-0000-000004000000}" name="Nombre del vendedor" dataDxfId="5" totalsRowDxfId="4"/>
    <tableColumn id="5" xr3:uid="{00000000-0010-0000-0000-000005000000}" name="Comisión de transacción" totalsRowFunction="sum" dataDxfId="3" totalsRowDxfId="2"/>
    <tableColumn id="6" xr3:uid="{00000000-0010-0000-0000-000006000000}" name="Saldo*" dataDxfId="1" totalsRowDxfId="0">
      <calculatedColumnFormula>IFERROR(IF(ROW()-ROW(Datos[[#Headers],[Saldo*]])=1,Datos[[#This Row],[Comisión de transacción]]+Datos[[#This Row],[Importe]],SUM(INDEX(Datos[Importe],1,1):Datos[[#This Row],[Importe]],INDEX(Datos[Comisión de transacción],1,1):Datos[[#This Row],[Comisión de transacción]])), "")</calculatedColumnFormula>
    </tableColumn>
  </tableColumns>
  <tableStyleInfo name="Estilo de tabla 1" showFirstColumn="0" showLastColumn="1" showRowStripes="1" showColumnStripes="0"/>
  <extLst>
    <ext xmlns:x14="http://schemas.microsoft.com/office/spreadsheetml/2009/9/main" uri="{504A1905-F514-4f6f-8877-14C23A59335A}">
      <x14:table altTextSummary="Escriba los detalles de pago de la tarjeta de crédito, como la fecha, la descripción, el importe, el nombre del vendedor y las comisiones por transacción en esta tabla. El saldo sin intereses se calcula automáticamente."/>
    </ext>
  </extLst>
</table>
</file>

<file path=xl/theme/theme1.xml><?xml version="1.0" encoding="utf-8"?>
<a:theme xmlns:a="http://schemas.openxmlformats.org/drawingml/2006/main" name="Office Theme">
  <a:themeElements>
    <a:clrScheme name="Bright and tropical 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52549"/>
      </a:accent1>
      <a:accent2>
        <a:srgbClr val="FA6775"/>
      </a:accent2>
      <a:accent3>
        <a:srgbClr val="FFD64D"/>
      </a:accent3>
      <a:accent4>
        <a:srgbClr val="9BC01C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Personal 1">
      <a:majorFont>
        <a:latin typeface="Rockwell"/>
        <a:ea typeface=""/>
        <a:cs typeface=""/>
      </a:majorFont>
      <a:minorFont>
        <a:latin typeface="Lucida San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/>
    <pageSetUpPr fitToPage="1"/>
  </sheetPr>
  <dimension ref="B1:G11"/>
  <sheetViews>
    <sheetView showGridLines="0" tabSelected="1" zoomScale="90" zoomScaleNormal="90" workbookViewId="0"/>
  </sheetViews>
  <sheetFormatPr baseColWidth="10" defaultColWidth="8.77734375" defaultRowHeight="30" customHeight="1"/>
  <cols>
    <col min="1" max="1" width="2.77734375" customWidth="1"/>
    <col min="2" max="2" width="13.77734375" customWidth="1"/>
    <col min="3" max="3" width="25.77734375" customWidth="1"/>
    <col min="4" max="4" width="16.21875" customWidth="1"/>
    <col min="5" max="5" width="28.21875" customWidth="1"/>
    <col min="6" max="6" width="17.77734375" customWidth="1"/>
    <col min="7" max="7" width="20.77734375" customWidth="1"/>
    <col min="8" max="8" width="2.77734375" customWidth="1"/>
  </cols>
  <sheetData>
    <row r="1" spans="2:7" ht="88.5" customHeight="1">
      <c r="B1" s="13" t="s">
        <v>0</v>
      </c>
      <c r="C1" s="13"/>
      <c r="D1" s="13"/>
      <c r="E1" s="13"/>
      <c r="F1" s="13"/>
      <c r="G1" s="13"/>
    </row>
    <row r="2" spans="2:7" ht="45" customHeight="1">
      <c r="B2" s="7" t="s">
        <v>1</v>
      </c>
    </row>
    <row r="3" spans="2:7" ht="37.5" customHeight="1">
      <c r="B3" s="4" t="s">
        <v>2</v>
      </c>
      <c r="C3" s="4" t="s">
        <v>4</v>
      </c>
      <c r="D3" s="4" t="s">
        <v>11</v>
      </c>
      <c r="E3" s="4" t="s">
        <v>12</v>
      </c>
      <c r="F3" s="4" t="s">
        <v>17</v>
      </c>
      <c r="G3" s="5" t="s">
        <v>19</v>
      </c>
    </row>
    <row r="4" spans="2:7" ht="30" customHeight="1">
      <c r="B4" s="9">
        <f ca="1">TODAY()-5</f>
        <v>43936</v>
      </c>
      <c r="C4" s="1" t="s">
        <v>5</v>
      </c>
      <c r="D4" s="10">
        <v>45</v>
      </c>
      <c r="E4" s="1" t="s">
        <v>13</v>
      </c>
      <c r="F4" s="10"/>
      <c r="G4" s="11">
        <f>IFERROR(IF(ROW()-ROW(Datos[[#Headers],[Saldo*]])=1,Datos[[#This Row],[Comisión de transacción]]+Datos[[#This Row],[Importe]],SUM(INDEX(Datos[Importe],1,1):Datos[[#This Row],[Importe]],INDEX(Datos[Comisión de transacción],1,1):Datos[[#This Row],[Comisión de transacción]])), "")</f>
        <v>45</v>
      </c>
    </row>
    <row r="5" spans="2:7" ht="30" customHeight="1">
      <c r="B5" s="9">
        <f ca="1">TODAY()-4</f>
        <v>43937</v>
      </c>
      <c r="C5" s="1" t="s">
        <v>6</v>
      </c>
      <c r="D5" s="10">
        <v>-34</v>
      </c>
      <c r="E5" s="1" t="s">
        <v>13</v>
      </c>
      <c r="F5" s="10">
        <v>2</v>
      </c>
      <c r="G5" s="11">
        <f>IFERROR(IF(ROW()-ROW(Datos[[#Headers],[Saldo*]])=1,Datos[[#This Row],[Comisión de transacción]]+Datos[[#This Row],[Importe]],SUM(INDEX(Datos[Importe],1,1):Datos[[#This Row],[Importe]],INDEX(Datos[Comisión de transacción],1,1):Datos[[#This Row],[Comisión de transacción]])), "")</f>
        <v>13</v>
      </c>
    </row>
    <row r="6" spans="2:7" ht="30" customHeight="1">
      <c r="B6" s="9">
        <f ca="1">TODAY()-3</f>
        <v>43938</v>
      </c>
      <c r="C6" s="1" t="s">
        <v>7</v>
      </c>
      <c r="D6" s="10">
        <v>45</v>
      </c>
      <c r="E6" s="1" t="s">
        <v>14</v>
      </c>
      <c r="F6" s="10"/>
      <c r="G6" s="11">
        <f>IFERROR(IF(ROW()-ROW(Datos[[#Headers],[Saldo*]])=1,Datos[[#This Row],[Comisión de transacción]]+Datos[[#This Row],[Importe]],SUM(INDEX(Datos[Importe],1,1):Datos[[#This Row],[Importe]],INDEX(Datos[Comisión de transacción],1,1):Datos[[#This Row],[Comisión de transacción]])), "")</f>
        <v>58</v>
      </c>
    </row>
    <row r="7" spans="2:7" ht="30" customHeight="1">
      <c r="B7" s="9">
        <f ca="1">TODAY()-2</f>
        <v>43939</v>
      </c>
      <c r="C7" s="1" t="s">
        <v>8</v>
      </c>
      <c r="D7" s="10">
        <v>600</v>
      </c>
      <c r="E7" s="1" t="s">
        <v>15</v>
      </c>
      <c r="F7" s="10">
        <v>20</v>
      </c>
      <c r="G7" s="11">
        <f>IFERROR(IF(ROW()-ROW(Datos[[#Headers],[Saldo*]])=1,Datos[[#This Row],[Comisión de transacción]]+Datos[[#This Row],[Importe]],SUM(INDEX(Datos[Importe],1,1):Datos[[#This Row],[Importe]],INDEX(Datos[Comisión de transacción],1,1):Datos[[#This Row],[Comisión de transacción]])), "")</f>
        <v>678</v>
      </c>
    </row>
    <row r="8" spans="2:7" ht="30" customHeight="1">
      <c r="B8" s="9">
        <f ca="1">TODAY()-1</f>
        <v>43940</v>
      </c>
      <c r="C8" s="1" t="s">
        <v>9</v>
      </c>
      <c r="D8" s="10">
        <v>469</v>
      </c>
      <c r="E8" s="1" t="s">
        <v>16</v>
      </c>
      <c r="F8" s="10"/>
      <c r="G8" s="11">
        <f>IFERROR(IF(ROW()-ROW(Datos[[#Headers],[Saldo*]])=1,Datos[[#This Row],[Comisión de transacción]]+Datos[[#This Row],[Importe]],SUM(INDEX(Datos[Importe],1,1):Datos[[#This Row],[Importe]],INDEX(Datos[Comisión de transacción],1,1):Datos[[#This Row],[Comisión de transacción]])), "")</f>
        <v>1147</v>
      </c>
    </row>
    <row r="9" spans="2:7" ht="30" customHeight="1">
      <c r="B9" s="9">
        <f ca="1">TODAY()</f>
        <v>43941</v>
      </c>
      <c r="C9" s="1" t="s">
        <v>10</v>
      </c>
      <c r="D9" s="10">
        <v>654</v>
      </c>
      <c r="E9" s="1" t="s">
        <v>13</v>
      </c>
      <c r="F9" s="10"/>
      <c r="G9" s="11">
        <f>IFERROR(IF(ROW()-ROW(Datos[[#Headers],[Saldo*]])=1,Datos[[#This Row],[Comisión de transacción]]+Datos[[#This Row],[Importe]],SUM(INDEX(Datos[Importe],1,1):Datos[[#This Row],[Importe]],INDEX(Datos[Comisión de transacción],1,1):Datos[[#This Row],[Comisión de transacción]])), "")</f>
        <v>1801</v>
      </c>
    </row>
    <row r="10" spans="2:7" ht="30" customHeight="1">
      <c r="B10" s="6" t="s">
        <v>3</v>
      </c>
      <c r="C10" s="2"/>
      <c r="D10" s="3">
        <f>SUBTOTAL(109,Datos[Importe])</f>
        <v>1779</v>
      </c>
      <c r="E10" s="2"/>
      <c r="F10" s="3">
        <f>SUBTOTAL(109,Datos[Comisión de transacción])</f>
        <v>22</v>
      </c>
      <c r="G10" s="8"/>
    </row>
    <row r="11" spans="2:7" ht="30" customHeight="1">
      <c r="F11" s="12" t="s">
        <v>18</v>
      </c>
      <c r="G11" s="12"/>
    </row>
  </sheetData>
  <mergeCells count="2">
    <mergeCell ref="F11:G11"/>
    <mergeCell ref="B1:G1"/>
  </mergeCells>
  <dataValidations count="8">
    <dataValidation allowBlank="1" showInputMessage="1" showErrorMessage="1" prompt="Cree un registro de tarjeta de crédito en esta hoja de cálculo." sqref="A1" xr:uid="{00000000-0002-0000-0000-000000000000}"/>
    <dataValidation allowBlank="1" showInputMessage="1" showErrorMessage="1" prompt="El título de esta hoja de cálculo se encuentra en esta celda. Escriba el nombre de la tarjeta de crédito para actualizar el título." sqref="B1" xr:uid="{00000000-0002-0000-0000-000001000000}"/>
    <dataValidation allowBlank="1" showInputMessage="1" showErrorMessage="1" prompt="Escriba la fecha en la columna con este encabezado." sqref="B3" xr:uid="{00000000-0002-0000-0000-000002000000}"/>
    <dataValidation allowBlank="1" showInputMessage="1" showErrorMessage="1" prompt="Escriba la descripción en la columna con este encabezado." sqref="C3" xr:uid="{00000000-0002-0000-0000-000003000000}"/>
    <dataValidation allowBlank="1" showInputMessage="1" showErrorMessage="1" prompt="Escriba el importe en la columna con este encabezado." sqref="D3" xr:uid="{00000000-0002-0000-0000-000004000000}"/>
    <dataValidation allowBlank="1" showInputMessage="1" showErrorMessage="1" prompt="Escriba el nombre del vendedor en la columna con este encabezado." sqref="E3" xr:uid="{00000000-0002-0000-0000-000005000000}"/>
    <dataValidation allowBlank="1" showInputMessage="1" showErrorMessage="1" prompt="Escriba la comisión de la transacción en la columna con este encabezado." sqref="F3" xr:uid="{00000000-0002-0000-0000-000006000000}"/>
    <dataValidation allowBlank="1" showInputMessage="1" showErrorMessage="1" prompt="El saldo sin intereses se calcula automáticamente en la columna con este encabezado." sqref="G3" xr:uid="{00000000-0002-0000-0000-000007000000}"/>
  </dataValidations>
  <printOptions horizontalCentered="1"/>
  <pageMargins left="0.4" right="0.4" top="0.4" bottom="0.4" header="0.3" footer="0.3"/>
  <pageSetup paperSize="9" scale="87" fitToHeight="0" orientation="landscape" r:id="rId1"/>
  <headerFooter differentFirst="1">
    <oddFooter>Page &amp;P of &amp;N</oddFooter>
  </headerFooter>
  <ignoredErrors>
    <ignoredError sqref="B4:B8" calculatedColumn="1"/>
    <ignoredError sqref="G4:G9" emptyCellReference="1"/>
  </ignoredErrors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EA25CC0A0AC24199CDC46C25B8B0BC" ma:contentTypeVersion="12" ma:contentTypeDescription="Create a new document." ma:contentTypeScope="" ma:versionID="cf6cf056b5324d160236e2ac13572175">
  <xsd:schema xmlns:xsd="http://www.w3.org/2001/XMLSchema" xmlns:xs="http://www.w3.org/2001/XMLSchema" xmlns:p="http://schemas.microsoft.com/office/2006/metadata/properties" xmlns:ns1="http://schemas.microsoft.com/sharepoint/v3" xmlns:ns2="6dc4bcd6-49db-4c07-9060-8acfc67cef9f" xmlns:ns3="fb0879af-3eba-417a-a55a-ffe6dcd6ca77" targetNamespace="http://schemas.microsoft.com/office/2006/metadata/properties" ma:root="true" ma:fieldsID="308e4927137fd5e63b6be1bd7725299e" ns1:_="" ns2:_="" ns3:_="">
    <xsd:import namespace="http://schemas.microsoft.com/sharepoint/v3"/>
    <xsd:import namespace="6dc4bcd6-49db-4c07-9060-8acfc67cef9f"/>
    <xsd:import namespace="fb0879af-3eba-417a-a55a-ffe6dcd6ca7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3:SharedWithUsers" minOccurs="0"/>
                <xsd:element ref="ns3:SharedWithDetails" minOccurs="0"/>
                <xsd:element ref="ns3:LastSharedByUser" minOccurs="0"/>
                <xsd:element ref="ns3:LastSharedByTime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4bcd6-49db-4c07-9060-8acfc67cef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0879af-3eba-417a-a55a-ffe6dcd6ca77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3" nillable="true" ma:displayName="Last Shared By User" ma:hidden="true" ma:internalName="LastSharedByUser" ma:readOnly="true">
      <xsd:simpleType>
        <xsd:restriction base="dms:Note"/>
      </xsd:simpleType>
    </xsd:element>
    <xsd:element name="LastSharedByTime" ma:index="14" nillable="true" ma:displayName="Last Shared By Time" ma:hidden="true" ma:internalName="LastSharedByTime" ma:readOnly="true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B7E120-F006-4266-9610-8EC4CB736C0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B2A8076-0D67-4292-808F-C274276AF5C8}">
  <ds:schemaRefs>
    <ds:schemaRef ds:uri="http://purl.org/dc/terms/"/>
    <ds:schemaRef ds:uri="http://schemas.openxmlformats.org/package/2006/metadata/core-properties"/>
    <ds:schemaRef ds:uri="6dc4bcd6-49db-4c07-9060-8acfc67cef9f"/>
    <ds:schemaRef ds:uri="http://schemas.microsoft.com/office/2006/documentManagement/types"/>
    <ds:schemaRef ds:uri="http://schemas.microsoft.com/office/infopath/2007/PartnerControls"/>
    <ds:schemaRef ds:uri="fb0879af-3eba-417a-a55a-ffe6dcd6ca77"/>
    <ds:schemaRef ds:uri="http://purl.org/dc/elements/1.1/"/>
    <ds:schemaRef ds:uri="http://schemas.microsoft.com/office/2006/metadata/properties"/>
    <ds:schemaRef ds:uri="http://schemas.microsoft.com/sharepoint/v3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CCE7FD1-7413-4360-A608-1AD23F0775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dc4bcd6-49db-4c07-9060-8acfc67cef9f"/>
    <ds:schemaRef ds:uri="fb0879af-3eba-417a-a55a-ffe6dcd6ca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Registro de tarjeta de crédito</vt:lpstr>
      <vt:lpstr>TítuloDeColumna1</vt:lpstr>
      <vt:lpstr>'Registro de tarjeta de crédito'!Títulos_a_imprimir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2018-08-24T02:58:21Z</dcterms:created>
  <dcterms:modified xsi:type="dcterms:W3CDTF">2020-04-21T03:54:28Z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0x010100DEEA25CC0A0AC24199CDC46C25B8B0BC</vt:lpwstr>
  </property>
</Properties>
</file>