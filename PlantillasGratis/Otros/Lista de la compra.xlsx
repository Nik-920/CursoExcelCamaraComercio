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codeName="ThisWorkbook"/>
  <mc:AlternateContent xmlns:mc="http://schemas.openxmlformats.org/markup-compatibility/2006">
    <mc:Choice Requires="x15">
      <x15ac:absPath xmlns:x15ac="http://schemas.microsoft.com/office/spreadsheetml/2010/11/ac" url="C:\Users\01\Desktop\AILEEN PLANTILLAS\EXCEL\"/>
    </mc:Choice>
  </mc:AlternateContent>
  <xr:revisionPtr revIDLastSave="0" documentId="8_{F830DBA5-C64E-4B63-8E8A-AFF7159C2D6D}" xr6:coauthVersionLast="45" xr6:coauthVersionMax="45" xr10:uidLastSave="{00000000-0000-0000-0000-000000000000}"/>
  <bookViews>
    <workbookView xWindow="-120" yWindow="-120" windowWidth="20730" windowHeight="11160" xr2:uid="{00000000-000D-0000-FFFF-FFFF00000000}"/>
  </bookViews>
  <sheets>
    <sheet name="Lista de la compra" sheetId="1" r:id="rId1"/>
    <sheet name="cálculos" sheetId="2" state="hidden" r:id="rId2"/>
  </sheets>
  <definedNames>
    <definedName name="DelimitadorDeTabla">Lista[[#Headers],[Completada]]</definedName>
    <definedName name="TítuloDeColumna1">Lista[[#Headers],[Completada]]</definedName>
    <definedName name="_xlnm.Print_Titles" localSheetId="0">'Lista de la compra'!$3:$3</definedName>
    <definedName name="TotalDeCompra">cálculos!$L$4</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M16" i="1" l="1"/>
  <c r="M13" i="1" l="1"/>
  <c r="E6" i="2" l="1" a="1"/>
  <c r="E6" i="2" s="1"/>
  <c r="J4" i="1" l="1"/>
  <c r="J5" i="1"/>
  <c r="J6" i="1"/>
  <c r="J7" i="1"/>
  <c r="J8" i="1"/>
  <c r="J9" i="1"/>
  <c r="J10" i="1"/>
  <c r="J11" i="1"/>
  <c r="J12" i="1"/>
  <c r="J13" i="1"/>
  <c r="J14" i="1"/>
  <c r="J15" i="1"/>
  <c r="J16" i="1"/>
  <c r="J17" i="1"/>
  <c r="J18" i="1"/>
  <c r="J19" i="1"/>
  <c r="J20" i="1"/>
  <c r="J21" i="1"/>
  <c r="E7" i="2" l="1" a="1"/>
  <c r="E7" i="2" s="1"/>
  <c r="F6" i="2"/>
  <c r="G6" i="2" s="1"/>
  <c r="L4" i="2"/>
  <c r="M17" i="1" s="1"/>
  <c r="E8" i="2" l="1" a="1"/>
  <c r="E8" i="2" s="1"/>
  <c r="F8" i="2" s="1"/>
  <c r="G8" i="2" s="1"/>
  <c r="F7" i="2"/>
  <c r="G7" i="2" s="1"/>
  <c r="E9" i="2" l="1" a="1"/>
  <c r="E9" i="2" s="1"/>
  <c r="F9" i="2" s="1"/>
  <c r="G9" i="2" s="1"/>
  <c r="E10" i="2" l="1" a="1"/>
  <c r="E10" i="2" s="1"/>
  <c r="E11" i="2" s="1" a="1"/>
  <c r="E11" i="2" s="1"/>
  <c r="F11" i="2" s="1"/>
  <c r="G11" i="2" s="1"/>
  <c r="E12" i="2" l="1" a="1"/>
  <c r="E12" i="2" s="1"/>
  <c r="F12" i="2" s="1"/>
  <c r="G12" i="2" s="1"/>
  <c r="F10" i="2"/>
  <c r="G10" i="2" s="1"/>
  <c r="E13" i="2" l="1" a="1"/>
  <c r="E13" i="2" s="1"/>
  <c r="F13" i="2" s="1"/>
  <c r="G13" i="2" s="1"/>
  <c r="E14" i="2" l="1" a="1"/>
  <c r="E14" i="2" s="1"/>
  <c r="F14" i="2" s="1"/>
  <c r="G14" i="2" s="1"/>
  <c r="E15" i="2" l="1" a="1"/>
  <c r="E15" i="2" s="1"/>
  <c r="F15" i="2" s="1"/>
  <c r="G15" i="2" s="1"/>
  <c r="E16" i="2" l="1" a="1"/>
  <c r="E16" i="2" s="1"/>
  <c r="F16" i="2" s="1"/>
  <c r="G16" i="2" s="1"/>
  <c r="E17" i="2" l="1" a="1"/>
  <c r="E17" i="2" s="1"/>
  <c r="F17" i="2" s="1"/>
  <c r="G17" i="2" s="1"/>
  <c r="E18" i="2" l="1" a="1"/>
  <c r="E18" i="2" s="1"/>
  <c r="F18" i="2" s="1"/>
  <c r="G18" i="2" s="1"/>
  <c r="E19" i="2" l="1" a="1"/>
  <c r="E19" i="2" s="1"/>
  <c r="F19" i="2" s="1"/>
  <c r="G19" i="2" s="1"/>
  <c r="E20" i="2" l="1" a="1"/>
  <c r="E20" i="2" s="1"/>
  <c r="F20" i="2" s="1"/>
  <c r="G20" i="2" s="1"/>
  <c r="E21" i="2" l="1" a="1"/>
  <c r="E21" i="2" s="1"/>
  <c r="F21" i="2" s="1"/>
  <c r="G21" i="2" s="1"/>
  <c r="H9" i="2" s="1"/>
  <c r="I9" i="2" s="1"/>
  <c r="K9" i="2" s="1"/>
  <c r="L9" i="2" s="1"/>
  <c r="M3" i="1" s="1"/>
  <c r="J9" i="2" l="1"/>
  <c r="M9" i="2" s="1"/>
  <c r="M1" i="1" s="1"/>
  <c r="H6" i="2"/>
  <c r="I6" i="2" s="1"/>
  <c r="K6" i="2" s="1"/>
  <c r="L6" i="2" s="1"/>
  <c r="M11" i="1" s="1"/>
  <c r="H8" i="2"/>
  <c r="I8" i="2" s="1"/>
  <c r="J8" i="2" s="1"/>
  <c r="M8" i="2" s="1"/>
  <c r="M4" i="1" s="1"/>
  <c r="H7" i="2"/>
  <c r="I7" i="2" s="1"/>
  <c r="K7" i="2" s="1"/>
  <c r="L7" i="2" s="1"/>
  <c r="M8" i="1" s="1"/>
  <c r="J6" i="2" l="1"/>
  <c r="M6" i="2" s="1"/>
  <c r="M10" i="1" s="1"/>
  <c r="J7" i="2"/>
  <c r="M7" i="2" s="1"/>
  <c r="M7" i="1" s="1"/>
  <c r="K8" i="2"/>
  <c r="L8" i="2" s="1"/>
  <c r="M5" i="1" s="1"/>
  <c r="K3" i="2" l="1"/>
  <c r="L3" i="2" s="1"/>
  <c r="M14" i="1" s="1"/>
</calcChain>
</file>

<file path=xl/sharedStrings.xml><?xml version="1.0" encoding="utf-8"?>
<sst xmlns="http://schemas.openxmlformats.org/spreadsheetml/2006/main" count="90" uniqueCount="53">
  <si>
    <t xml:space="preserve"> Lista de la compra</t>
  </si>
  <si>
    <t>Completada</t>
  </si>
  <si>
    <t>ELEMENTO</t>
  </si>
  <si>
    <t>Naranjas</t>
  </si>
  <si>
    <t>Manzanas</t>
  </si>
  <si>
    <t>Plátanos</t>
  </si>
  <si>
    <t>Lechuga</t>
  </si>
  <si>
    <t>Tomates</t>
  </si>
  <si>
    <t>Calabaza</t>
  </si>
  <si>
    <t>Apio</t>
  </si>
  <si>
    <t>Pepino</t>
  </si>
  <si>
    <t>Setas</t>
  </si>
  <si>
    <t xml:space="preserve">Leche </t>
  </si>
  <si>
    <t>Queso</t>
  </si>
  <si>
    <t>Huevos</t>
  </si>
  <si>
    <t>Requesón</t>
  </si>
  <si>
    <t>Crema agria</t>
  </si>
  <si>
    <t>Yogur</t>
  </si>
  <si>
    <t>Ternera</t>
  </si>
  <si>
    <t>Salmón</t>
  </si>
  <si>
    <t>Cangrejo</t>
  </si>
  <si>
    <t>TIENDA</t>
  </si>
  <si>
    <t>Artículos</t>
  </si>
  <si>
    <t>Huerto</t>
  </si>
  <si>
    <t>Mercado</t>
  </si>
  <si>
    <t>Entrega a domicilio</t>
  </si>
  <si>
    <t>Pescadería</t>
  </si>
  <si>
    <t>CATEGORÍA</t>
  </si>
  <si>
    <t>Vegetales</t>
  </si>
  <si>
    <t>Lácteos</t>
  </si>
  <si>
    <t>Carne</t>
  </si>
  <si>
    <t>Marisco</t>
  </si>
  <si>
    <t>CANT.</t>
  </si>
  <si>
    <t>UNIDAD</t>
  </si>
  <si>
    <t>kg</t>
  </si>
  <si>
    <t>manojo</t>
  </si>
  <si>
    <t>cabeza</t>
  </si>
  <si>
    <t>unidad</t>
  </si>
  <si>
    <t>litro</t>
  </si>
  <si>
    <t>docena</t>
  </si>
  <si>
    <t>1/2 kg</t>
  </si>
  <si>
    <t>1/4 kg</t>
  </si>
  <si>
    <t>PRECIO UNITARIO</t>
  </si>
  <si>
    <t>TOTAL</t>
  </si>
  <si>
    <t>COMENTARIO</t>
  </si>
  <si>
    <t>Tengo un cupón</t>
  </si>
  <si>
    <t>Champiñón grande</t>
  </si>
  <si>
    <t>Variedad de quesos</t>
  </si>
  <si>
    <t>Griego con miel</t>
  </si>
  <si>
    <t>Bistecs con panceta</t>
  </si>
  <si>
    <t>*** Esta hoja debe permanecer oculta ***</t>
  </si>
  <si>
    <t>TOTAL DE OTROS PRODUCTOS</t>
  </si>
  <si>
    <t>TOTAL DE COMPRA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</si>
</sst>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1" formatCode="_ * #,##0_ ;_ * \-#,##0_ ;_ * &quot;-&quot;_ ;_ @_ "/>
    <numFmt numFmtId="43" formatCode="_ * #,##0.00_ ;_ * \-#,##0.00_ ;_ * &quot;-&quot;??_ ;_ @_ "/>
    <numFmt numFmtId="164" formatCode="_ &quot;₹&quot;\ * #,##0_ ;_ &quot;₹&quot;\ * \-#,##0_ ;_ &quot;₹&quot;\ * &quot;-&quot;_ ;_ @_ "/>
    <numFmt numFmtId="165" formatCode="_ &quot;₹&quot;\ * #,##0.00_ ;_ &quot;₹&quot;\ * \-#,##0.00_ ;_ &quot;₹&quot;\ * &quot;-&quot;??_ ;_ @_ "/>
    <numFmt numFmtId="166" formatCode="#,##0.00\ &quot;€&quot;"/>
    <numFmt numFmtId="167" formatCode="#,##0\ &quot;€&quot;"/>
    <numFmt numFmtId="168" formatCode="&quot; Completada&quot;;&quot;&quot;;&quot;&quot;"/>
  </numFmts>
  <fonts count="22" x14ac:knownFonts="1">
    <font>
      <sz val="11"/>
      <color theme="3"/>
      <name val="Euphemia"/>
      <family val="2"/>
      <scheme val="minor"/>
    </font>
    <font>
      <sz val="11"/>
      <color theme="1"/>
      <name val="Euphemia"/>
      <family val="2"/>
      <scheme val="minor"/>
    </font>
    <font>
      <sz val="36"/>
      <color theme="8"/>
      <name val="Franklin Gothic Medium"/>
      <family val="2"/>
      <scheme val="major"/>
    </font>
    <font>
      <b/>
      <sz val="13"/>
      <color theme="3"/>
      <name val="Euphemia"/>
      <family val="2"/>
      <scheme val="minor"/>
    </font>
    <font>
      <b/>
      <sz val="11"/>
      <color theme="3"/>
      <name val="Euphemia"/>
      <family val="2"/>
      <scheme val="minor"/>
    </font>
    <font>
      <b/>
      <sz val="11"/>
      <color theme="1"/>
      <name val="Euphemia"/>
      <family val="2"/>
      <scheme val="minor"/>
    </font>
    <font>
      <sz val="11"/>
      <color theme="3"/>
      <name val="Euphemia"/>
      <family val="2"/>
      <scheme val="minor"/>
    </font>
    <font>
      <i/>
      <sz val="11"/>
      <color theme="1" tint="0.34998626667073579"/>
      <name val="Euphemia"/>
      <family val="2"/>
      <scheme val="minor"/>
    </font>
    <font>
      <sz val="11"/>
      <color theme="8" tint="0.89992980742820516"/>
      <name val="Euphemia"/>
      <family val="2"/>
      <scheme val="minor"/>
    </font>
    <font>
      <sz val="11"/>
      <color theme="3"/>
      <name val="Franklin Gothic Medium"/>
      <family val="2"/>
      <scheme val="major"/>
    </font>
    <font>
      <sz val="11"/>
      <color theme="3" tint="0.59999389629810485"/>
      <name val="Euphemia"/>
      <family val="2"/>
      <scheme val="minor"/>
    </font>
    <font>
      <sz val="18"/>
      <color theme="3"/>
      <name val="Franklin Gothic Medium"/>
      <family val="2"/>
      <scheme val="major"/>
    </font>
    <font>
      <sz val="11"/>
      <color rgb="FF006100"/>
      <name val="Euphemia"/>
      <family val="2"/>
      <scheme val="minor"/>
    </font>
    <font>
      <sz val="11"/>
      <color rgb="FF9C0006"/>
      <name val="Euphemia"/>
      <family val="2"/>
      <scheme val="minor"/>
    </font>
    <font>
      <sz val="11"/>
      <color rgb="FF9C5700"/>
      <name val="Euphemia"/>
      <family val="2"/>
      <scheme val="minor"/>
    </font>
    <font>
      <sz val="11"/>
      <color rgb="FF3F3F76"/>
      <name val="Euphemia"/>
      <family val="2"/>
      <scheme val="minor"/>
    </font>
    <font>
      <b/>
      <sz val="11"/>
      <color rgb="FF3F3F3F"/>
      <name val="Euphemia"/>
      <family val="2"/>
      <scheme val="minor"/>
    </font>
    <font>
      <b/>
      <sz val="11"/>
      <color rgb="FFFA7D00"/>
      <name val="Euphemia"/>
      <family val="2"/>
      <scheme val="minor"/>
    </font>
    <font>
      <sz val="11"/>
      <color rgb="FFFA7D00"/>
      <name val="Euphemia"/>
      <family val="2"/>
      <scheme val="minor"/>
    </font>
    <font>
      <b/>
      <sz val="11"/>
      <color theme="0"/>
      <name val="Euphemia"/>
      <family val="2"/>
      <scheme val="minor"/>
    </font>
    <font>
      <sz val="11"/>
      <color rgb="FFFF0000"/>
      <name val="Euphemia"/>
      <family val="2"/>
      <scheme val="minor"/>
    </font>
    <font>
      <sz val="11"/>
      <color theme="0"/>
      <name val="Euphemia"/>
      <family val="2"/>
      <scheme val="minor"/>
    </font>
  </fonts>
  <fills count="37">
    <fill>
      <patternFill patternType="none"/>
    </fill>
    <fill>
      <patternFill patternType="gray125"/>
    </fill>
    <fill>
      <patternFill patternType="solid">
        <fgColor theme="8"/>
        <bgColor indexed="64"/>
      </patternFill>
    </fill>
    <fill>
      <patternFill patternType="solid">
        <fgColor theme="0"/>
        <bgColor indexed="64"/>
      </patternFill>
    </fill>
    <fill>
      <patternFill patternType="solid">
        <fgColor theme="4" tint="0.39997558519241921"/>
        <bgColor indexed="64"/>
      </patternFill>
    </fill>
    <fill>
      <patternFill patternType="solid">
        <fgColor rgb="FFFFFFCC"/>
      </patternFill>
    </fill>
    <fill>
      <patternFill patternType="solid">
        <fgColor theme="3"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9">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bottom style="medium">
        <color theme="4" tint="-0.499984740745262"/>
      </bottom>
      <diagonal/>
    </border>
    <border>
      <left/>
      <right/>
      <top/>
      <bottom style="thick">
        <color theme="4" tint="-0.499984740745262"/>
      </bottom>
      <diagonal/>
    </border>
    <border>
      <left/>
      <right/>
      <top style="thin">
        <color theme="4" tint="-0.499984740745262"/>
      </top>
      <bottom style="double">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53">
    <xf numFmtId="0" fontId="0" fillId="0" borderId="0" applyNumberFormat="0" applyFill="0" applyBorder="0" applyAlignment="0" applyProtection="0"/>
    <xf numFmtId="166" fontId="1" fillId="0" borderId="0" applyFont="0" applyFill="0" applyBorder="0" applyProtection="0">
      <alignment horizontal="right"/>
    </xf>
    <xf numFmtId="0" fontId="2" fillId="0" borderId="0" applyNumberFormat="0" applyFill="0" applyBorder="0" applyProtection="0"/>
    <xf numFmtId="0" fontId="9" fillId="0" borderId="0" applyNumberFormat="0" applyFill="0" applyBorder="0" applyAlignment="0" applyProtection="0"/>
    <xf numFmtId="0" fontId="4" fillId="0" borderId="0" applyNumberFormat="0" applyFill="0" applyBorder="0" applyProtection="0">
      <alignment horizontal="left"/>
    </xf>
    <xf numFmtId="0" fontId="6" fillId="3" borderId="0" applyNumberFormat="0" applyBorder="0" applyAlignment="0" applyProtection="0"/>
    <xf numFmtId="0" fontId="8" fillId="2" borderId="0" applyNumberFormat="0" applyBorder="0" applyAlignment="0" applyProtection="0"/>
    <xf numFmtId="0" fontId="6" fillId="0" borderId="0" applyNumberFormat="0" applyFill="0" applyBorder="0" applyProtection="0">
      <alignment horizontal="left" indent="1"/>
    </xf>
    <xf numFmtId="43" fontId="6" fillId="0" borderId="0" applyFill="0" applyBorder="0" applyAlignment="0" applyProtection="0"/>
    <xf numFmtId="41" fontId="6" fillId="0" borderId="0" applyFill="0" applyBorder="0" applyAlignment="0" applyProtection="0"/>
    <xf numFmtId="165" fontId="6" fillId="0" borderId="0" applyFill="0" applyBorder="0" applyAlignment="0" applyProtection="0"/>
    <xf numFmtId="164" fontId="6" fillId="0" borderId="0" applyFill="0" applyBorder="0" applyAlignment="0" applyProtection="0"/>
    <xf numFmtId="9" fontId="6" fillId="0" borderId="0" applyFill="0" applyBorder="0" applyAlignment="0" applyProtection="0"/>
    <xf numFmtId="0" fontId="3" fillId="0" borderId="3" applyNumberFormat="0" applyFill="0" applyAlignment="0" applyProtection="0"/>
    <xf numFmtId="0" fontId="4" fillId="0" borderId="2" applyNumberFormat="0" applyFill="0" applyAlignment="0" applyProtection="0"/>
    <xf numFmtId="0" fontId="6" fillId="5" borderId="1" applyNumberFormat="0" applyAlignment="0" applyProtection="0"/>
    <xf numFmtId="0" fontId="7" fillId="0" borderId="0" applyNumberFormat="0" applyFill="0" applyBorder="0" applyAlignment="0" applyProtection="0"/>
    <xf numFmtId="0" fontId="5" fillId="0" borderId="4" applyNumberFormat="0" applyFill="0" applyAlignment="0" applyProtection="0"/>
    <xf numFmtId="0" fontId="11" fillId="0" borderId="0" applyNumberFormat="0" applyFill="0" applyBorder="0" applyAlignment="0" applyProtection="0"/>
    <xf numFmtId="0" fontId="4" fillId="0" borderId="0" applyNumberFormat="0" applyFill="0" applyBorder="0" applyAlignment="0" applyProtection="0"/>
    <xf numFmtId="0" fontId="12" fillId="7" borderId="0" applyNumberFormat="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5" applyNumberFormat="0" applyAlignment="0" applyProtection="0"/>
    <xf numFmtId="0" fontId="16" fillId="11" borderId="6" applyNumberFormat="0" applyAlignment="0" applyProtection="0"/>
    <xf numFmtId="0" fontId="17" fillId="11" borderId="5" applyNumberFormat="0" applyAlignment="0" applyProtection="0"/>
    <xf numFmtId="0" fontId="18" fillId="0" borderId="7" applyNumberFormat="0" applyFill="0" applyAlignment="0" applyProtection="0"/>
    <xf numFmtId="0" fontId="19" fillId="12" borderId="8" applyNumberFormat="0" applyAlignment="0" applyProtection="0"/>
    <xf numFmtId="0" fontId="20" fillId="0" borderId="0" applyNumberFormat="0" applyFill="0" applyBorder="0" applyAlignment="0" applyProtection="0"/>
    <xf numFmtId="0" fontId="2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cellStyleXfs>
  <cellXfs count="19">
    <xf numFmtId="0" fontId="0" fillId="0" borderId="0" xfId="0"/>
    <xf numFmtId="166" fontId="0" fillId="0" borderId="0" xfId="1" applyFont="1">
      <alignment horizontal="right"/>
    </xf>
    <xf numFmtId="0" fontId="4" fillId="3" borderId="0" xfId="4" applyFill="1">
      <alignment horizontal="left"/>
    </xf>
    <xf numFmtId="0" fontId="0" fillId="3" borderId="0" xfId="5" applyFont="1"/>
    <xf numFmtId="0" fontId="0" fillId="3" borderId="0" xfId="7" applyFont="1" applyFill="1">
      <alignment horizontal="left" indent="1"/>
    </xf>
    <xf numFmtId="0" fontId="0" fillId="4" borderId="0" xfId="0" applyFill="1"/>
    <xf numFmtId="0" fontId="9" fillId="3" borderId="0" xfId="0" applyFont="1" applyFill="1" applyAlignment="1">
      <alignment horizontal="left"/>
    </xf>
    <xf numFmtId="0" fontId="9" fillId="3" borderId="0" xfId="0" applyFont="1" applyFill="1"/>
    <xf numFmtId="0" fontId="9" fillId="3" borderId="0" xfId="0" applyFont="1" applyFill="1" applyAlignment="1">
      <alignment horizontal="left" indent="1"/>
    </xf>
    <xf numFmtId="0" fontId="0" fillId="6" borderId="0" xfId="0" applyFill="1"/>
    <xf numFmtId="0" fontId="2" fillId="6" borderId="0" xfId="2" applyFill="1"/>
    <xf numFmtId="0" fontId="10" fillId="6" borderId="0" xfId="0" applyFont="1" applyFill="1"/>
    <xf numFmtId="166" fontId="0" fillId="0" borderId="0" xfId="0" applyNumberFormat="1"/>
    <xf numFmtId="167" fontId="0" fillId="0" borderId="0" xfId="0" applyNumberFormat="1"/>
    <xf numFmtId="168" fontId="0" fillId="3" borderId="0" xfId="0" applyNumberFormat="1" applyFill="1" applyAlignment="1">
      <alignment horizontal="left"/>
    </xf>
    <xf numFmtId="166" fontId="0" fillId="3" borderId="0" xfId="1" applyFont="1" applyFill="1">
      <alignment horizontal="right"/>
    </xf>
    <xf numFmtId="0" fontId="10" fillId="6" borderId="0" xfId="0" applyFont="1" applyFill="1" applyAlignment="1">
      <alignment horizontal="center"/>
    </xf>
    <xf numFmtId="0" fontId="0" fillId="2" borderId="0" xfId="6" applyFont="1"/>
    <xf numFmtId="0" fontId="2" fillId="3" borderId="0" xfId="5" applyFont="1"/>
  </cellXfs>
  <cellStyles count="53">
    <cellStyle name="20% - Énfasis1" xfId="30" builtinId="30" customBuiltin="1"/>
    <cellStyle name="20% - Énfasis2" xfId="34" builtinId="34" customBuiltin="1"/>
    <cellStyle name="20% - Énfasis3" xfId="38" builtinId="38" customBuiltin="1"/>
    <cellStyle name="20% - Énfasis4" xfId="42" builtinId="42" customBuiltin="1"/>
    <cellStyle name="20% - Énfasis5" xfId="46" builtinId="46" customBuiltin="1"/>
    <cellStyle name="20% - Énfasis6" xfId="50" builtinId="50" customBuiltin="1"/>
    <cellStyle name="40% - Énfasis1" xfId="31" builtinId="31" customBuiltin="1"/>
    <cellStyle name="40% - Énfasis2" xfId="35" builtinId="35" customBuiltin="1"/>
    <cellStyle name="40% - Énfasis3" xfId="39" builtinId="39" customBuiltin="1"/>
    <cellStyle name="40% - Énfasis4" xfId="43" builtinId="43" customBuiltin="1"/>
    <cellStyle name="40% - Énfasis5" xfId="47" builtinId="47" customBuiltin="1"/>
    <cellStyle name="40% - Énfasis6" xfId="51" builtinId="51" customBuiltin="1"/>
    <cellStyle name="60% - Énfasis1" xfId="32" builtinId="32" customBuiltin="1"/>
    <cellStyle name="60% - Énfasis2" xfId="36" builtinId="36" customBuiltin="1"/>
    <cellStyle name="60% - Énfasis3" xfId="40" builtinId="40" customBuiltin="1"/>
    <cellStyle name="60% - Énfasis4" xfId="44" builtinId="44" customBuiltin="1"/>
    <cellStyle name="60% - Énfasis5" xfId="48" builtinId="48" customBuiltin="1"/>
    <cellStyle name="60% - Énfasis6" xfId="52" builtinId="52" customBuiltin="1"/>
    <cellStyle name="Bueno" xfId="20" builtinId="26" customBuiltin="1"/>
    <cellStyle name="Cálculo" xfId="25" builtinId="22" customBuiltin="1"/>
    <cellStyle name="Celda de comprobación" xfId="27" builtinId="23" customBuiltin="1"/>
    <cellStyle name="Celda vinculada" xfId="26" builtinId="24" customBuiltin="1"/>
    <cellStyle name="Divisa personalizada" xfId="1" xr:uid="{00000000-0005-0000-0000-000004000000}"/>
    <cellStyle name="Elemento" xfId="4" xr:uid="{00000000-0005-0000-0000-00000A000000}"/>
    <cellStyle name="Encabezado 1" xfId="2" builtinId="16" customBuiltin="1"/>
    <cellStyle name="Encabezado 4" xfId="19" builtinId="19" customBuiltin="1"/>
    <cellStyle name="Encabezados de tabla" xfId="3" xr:uid="{00000000-0005-0000-0000-00000F000000}"/>
    <cellStyle name="Énfasis1" xfId="29" builtinId="29" customBuiltin="1"/>
    <cellStyle name="Énfasis2" xfId="33" builtinId="33" customBuiltin="1"/>
    <cellStyle name="Énfasis3" xfId="37" builtinId="37" customBuiltin="1"/>
    <cellStyle name="Énfasis4" xfId="41" builtinId="41" customBuiltin="1"/>
    <cellStyle name="Énfasis5" xfId="45" builtinId="45" customBuiltin="1"/>
    <cellStyle name="Énfasis6" xfId="49" builtinId="49" customBuiltin="1"/>
    <cellStyle name="Entrada" xfId="23" builtinId="20" customBuiltin="1"/>
    <cellStyle name="Fondo de color blanco" xfId="5" xr:uid="{00000000-0005-0000-0000-000011000000}"/>
    <cellStyle name="Fondo de color púrpura" xfId="6" xr:uid="{00000000-0005-0000-0000-00000E000000}"/>
    <cellStyle name="Incorrecto" xfId="21" builtinId="27" customBuiltin="1"/>
    <cellStyle name="Millares" xfId="8" builtinId="3" customBuiltin="1"/>
    <cellStyle name="Millares [0]" xfId="9" builtinId="6" customBuiltin="1"/>
    <cellStyle name="Moneda" xfId="10" builtinId="4" customBuiltin="1"/>
    <cellStyle name="Moneda [0]" xfId="11" builtinId="7" customBuiltin="1"/>
    <cellStyle name="Neutral" xfId="22" builtinId="28" customBuiltin="1"/>
    <cellStyle name="Normal" xfId="0" builtinId="0" customBuiltin="1"/>
    <cellStyle name="Notas" xfId="15" builtinId="10" customBuiltin="1"/>
    <cellStyle name="Porcentaje" xfId="12" builtinId="5" customBuiltin="1"/>
    <cellStyle name="Salida" xfId="24" builtinId="21" customBuiltin="1"/>
    <cellStyle name="Sangría" xfId="7" xr:uid="{00000000-0005-0000-0000-000009000000}"/>
    <cellStyle name="Texto de advertencia" xfId="28" builtinId="11" customBuiltin="1"/>
    <cellStyle name="Texto explicativo" xfId="16" builtinId="53" customBuiltin="1"/>
    <cellStyle name="Título" xfId="18" builtinId="15" customBuiltin="1"/>
    <cellStyle name="Título 2" xfId="13" builtinId="17" customBuiltin="1"/>
    <cellStyle name="Título 3" xfId="14" builtinId="18" customBuiltin="1"/>
    <cellStyle name="Total" xfId="17" builtinId="25" customBuiltin="1"/>
  </cellStyles>
  <dxfs count="7">
    <dxf>
      <numFmt numFmtId="166" formatCode="#,##0.00\ &quot;€&quot;"/>
    </dxf>
    <dxf>
      <numFmt numFmtId="166" formatCode="#,##0.00\ &quot;€&quot;"/>
    </dxf>
    <dxf>
      <numFmt numFmtId="168" formatCode="&quot; Completada&quot;;&quot;&quot;;&quot;&quot;"/>
    </dxf>
    <dxf>
      <fill>
        <patternFill>
          <bgColor theme="2"/>
        </patternFill>
      </fill>
    </dxf>
    <dxf>
      <fill>
        <patternFill>
          <bgColor theme="2"/>
        </patternFill>
      </fill>
    </dxf>
    <dxf>
      <font>
        <color theme="8"/>
      </font>
      <border>
        <bottom style="medium">
          <color theme="8"/>
        </bottom>
      </border>
    </dxf>
    <dxf>
      <fill>
        <patternFill>
          <bgColor theme="0"/>
        </patternFill>
      </fill>
    </dxf>
  </dxfs>
  <tableStyles count="1" defaultPivotStyle="PivotStyleLight8">
    <tableStyle name="Lista de la compra" pivot="0" count="3" xr9:uid="{00000000-0011-0000-FFFF-FFFF00000000}">
      <tableStyleElement type="wholeTable" dxfId="6"/>
      <tableStyleElement type="headerRow" dxfId="5"/>
      <tableStyleElement type="first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12</xdr:col>
      <xdr:colOff>9525</xdr:colOff>
      <xdr:row>1</xdr:row>
      <xdr:rowOff>323851</xdr:rowOff>
    </xdr:from>
    <xdr:to>
      <xdr:col>14</xdr:col>
      <xdr:colOff>196725</xdr:colOff>
      <xdr:row>2</xdr:row>
      <xdr:rowOff>180975</xdr:rowOff>
    </xdr:to>
    <xdr:grpSp>
      <xdr:nvGrpSpPr>
        <xdr:cNvPr id="6" name="Grupo 5" descr="Category and amount spent for fourth highest category, such as Dairy">
          <a:extLst>
            <a:ext uri="{FF2B5EF4-FFF2-40B4-BE49-F238E27FC236}">
              <a16:creationId xmlns:a16="http://schemas.microsoft.com/office/drawing/2014/main" id="{00000000-0008-0000-0000-000006000000}"/>
            </a:ext>
          </a:extLst>
        </xdr:cNvPr>
        <xdr:cNvGrpSpPr/>
      </xdr:nvGrpSpPr>
      <xdr:grpSpPr>
        <a:xfrm>
          <a:off x="12792075" y="419101"/>
          <a:ext cx="2244600" cy="609599"/>
          <a:chOff x="8886823" y="2943226"/>
          <a:chExt cx="1362075" cy="609599"/>
        </a:xfrm>
      </xdr:grpSpPr>
      <xdr:sp macro="" textlink="cálculos!L9">
        <xdr:nvSpPr>
          <xdr:cNvPr id="4" name="Rectángulo con las esquinas del mismo lado redondeadas 3">
            <a:extLst>
              <a:ext uri="{FF2B5EF4-FFF2-40B4-BE49-F238E27FC236}">
                <a16:creationId xmlns:a16="http://schemas.microsoft.com/office/drawing/2014/main" id="{00000000-0008-0000-0000-000004000000}"/>
              </a:ext>
            </a:extLst>
          </xdr:cNvPr>
          <xdr:cNvSpPr/>
        </xdr:nvSpPr>
        <xdr:spPr>
          <a:xfrm rot="5400000">
            <a:off x="9263061" y="2566988"/>
            <a:ext cx="609599" cy="1362075"/>
          </a:xfrm>
          <a:prstGeom prst="round2SameRect">
            <a:avLst>
              <a:gd name="adj1" fmla="val 12255"/>
              <a:gd name="adj2" fmla="val 0"/>
            </a:avLst>
          </a:prstGeom>
          <a:solidFill>
            <a:schemeClr val="accent1">
              <a:lumMod val="50000"/>
            </a:schemeClr>
          </a:solidFill>
          <a:ln>
            <a:noFill/>
          </a:ln>
          <a:effectLst>
            <a:outerShdw blurRad="63500" sx="102000" sy="102000" algn="ctr" rotWithShape="0">
              <a:schemeClr val="tx2">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lIns="0" tIns="0" rIns="0" bIns="91440" rtlCol="0" anchor="b"/>
          <a:lstStyle/>
          <a:p>
            <a:pPr algn="l" rtl="0"/>
            <a:fld id="{9F0A4A92-1DF7-4E13-BC49-A4C066B67B74}" type="TxLink">
              <a:rPr lang="en-US" sz="2400" b="0" i="0" u="none" strike="noStrike">
                <a:solidFill>
                  <a:schemeClr val="bg1"/>
                </a:solidFill>
                <a:latin typeface="Franklin Gothic Medium" panose="020B0603020102020204" pitchFamily="34" charset="0"/>
              </a:rPr>
              <a:pPr algn="l" rtl="0"/>
              <a:t>37 €</a:t>
            </a:fld>
            <a:endParaRPr lang="en-US" sz="2400">
              <a:solidFill>
                <a:schemeClr val="bg1"/>
              </a:solidFill>
              <a:latin typeface="Franklin Gothic Medium" panose="020B0603020102020204" pitchFamily="34" charset="0"/>
            </a:endParaRPr>
          </a:p>
        </xdr:txBody>
      </xdr:sp>
      <xdr:sp macro="" textlink="cálculos!M9">
        <xdr:nvSpPr>
          <xdr:cNvPr id="5" name="Cuadro de texto 4">
            <a:extLst>
              <a:ext uri="{FF2B5EF4-FFF2-40B4-BE49-F238E27FC236}">
                <a16:creationId xmlns:a16="http://schemas.microsoft.com/office/drawing/2014/main" id="{00000000-0008-0000-0000-000005000000}"/>
              </a:ext>
            </a:extLst>
          </xdr:cNvPr>
          <xdr:cNvSpPr txBox="1"/>
        </xdr:nvSpPr>
        <xdr:spPr>
          <a:xfrm>
            <a:off x="8956332" y="2981324"/>
            <a:ext cx="1238250"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lstStyle/>
          <a:p>
            <a:pPr rtl="0"/>
            <a:fld id="{B45E0FCF-C8E7-46B0-B929-8395459FB68F}" type="TxLink">
              <a:rPr lang="en-US" sz="1100" b="0" i="0" u="none" strike="noStrike">
                <a:solidFill>
                  <a:schemeClr val="bg1"/>
                </a:solidFill>
                <a:latin typeface="Franklin Gothic Medium" panose="020B0603020102020204" pitchFamily="34" charset="0"/>
              </a:rPr>
              <a:pPr rtl="0"/>
              <a:t>LÁCTEOS TOTAL</a:t>
            </a:fld>
            <a:endParaRPr lang="en-US" sz="1100">
              <a:solidFill>
                <a:schemeClr val="bg1"/>
              </a:solidFill>
              <a:latin typeface="Franklin Gothic Medium" panose="020B0603020102020204" pitchFamily="34" charset="0"/>
            </a:endParaRPr>
          </a:p>
        </xdr:txBody>
      </xdr:sp>
    </xdr:grpSp>
    <xdr:clientData/>
  </xdr:twoCellAnchor>
  <xdr:twoCellAnchor editAs="oneCell">
    <xdr:from>
      <xdr:col>12</xdr:col>
      <xdr:colOff>9525</xdr:colOff>
      <xdr:row>3</xdr:row>
      <xdr:rowOff>85726</xdr:rowOff>
    </xdr:from>
    <xdr:to>
      <xdr:col>14</xdr:col>
      <xdr:colOff>196725</xdr:colOff>
      <xdr:row>5</xdr:row>
      <xdr:rowOff>161925</xdr:rowOff>
    </xdr:to>
    <xdr:grpSp>
      <xdr:nvGrpSpPr>
        <xdr:cNvPr id="11" name="Grupo 10" descr="Category and amount spent for third highest category, such as Produce">
          <a:extLst>
            <a:ext uri="{FF2B5EF4-FFF2-40B4-BE49-F238E27FC236}">
              <a16:creationId xmlns:a16="http://schemas.microsoft.com/office/drawing/2014/main" id="{00000000-0008-0000-0000-00000B000000}"/>
            </a:ext>
          </a:extLst>
        </xdr:cNvPr>
        <xdr:cNvGrpSpPr/>
      </xdr:nvGrpSpPr>
      <xdr:grpSpPr>
        <a:xfrm>
          <a:off x="12792075" y="1200151"/>
          <a:ext cx="2244600" cy="609599"/>
          <a:chOff x="8886823" y="2943226"/>
          <a:chExt cx="1362075" cy="609599"/>
        </a:xfrm>
      </xdr:grpSpPr>
      <xdr:sp macro="" textlink="cálculos!L8">
        <xdr:nvSpPr>
          <xdr:cNvPr id="12" name="Rectángulo con las esquinas del mismo lado redondeadas 11">
            <a:extLst>
              <a:ext uri="{FF2B5EF4-FFF2-40B4-BE49-F238E27FC236}">
                <a16:creationId xmlns:a16="http://schemas.microsoft.com/office/drawing/2014/main" id="{00000000-0008-0000-0000-00000C000000}"/>
              </a:ext>
            </a:extLst>
          </xdr:cNvPr>
          <xdr:cNvSpPr/>
        </xdr:nvSpPr>
        <xdr:spPr>
          <a:xfrm rot="5400000">
            <a:off x="9263061" y="2566988"/>
            <a:ext cx="609599" cy="1362075"/>
          </a:xfrm>
          <a:prstGeom prst="round2SameRect">
            <a:avLst>
              <a:gd name="adj1" fmla="val 12255"/>
              <a:gd name="adj2" fmla="val 0"/>
            </a:avLst>
          </a:prstGeom>
          <a:solidFill>
            <a:schemeClr val="accent2">
              <a:lumMod val="50000"/>
            </a:schemeClr>
          </a:solidFill>
          <a:ln>
            <a:noFill/>
          </a:ln>
          <a:effectLst>
            <a:outerShdw blurRad="63500" sx="102000" sy="102000" algn="ctr" rotWithShape="0">
              <a:schemeClr val="tx2">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lIns="0" tIns="0" rIns="0" bIns="91440" rtlCol="0" anchor="b"/>
          <a:lstStyle/>
          <a:p>
            <a:pPr algn="l" rtl="0"/>
            <a:fld id="{93E3754E-A921-406B-BAA6-78E79D229D11}" type="TxLink">
              <a:rPr lang="en-US" sz="2400" b="0" i="0" u="none" strike="noStrike">
                <a:solidFill>
                  <a:schemeClr val="bg1"/>
                </a:solidFill>
                <a:latin typeface="Franklin Gothic Medium" panose="020B0603020102020204" pitchFamily="34" charset="0"/>
              </a:rPr>
              <a:pPr algn="l" rtl="0"/>
              <a:t>45 €</a:t>
            </a:fld>
            <a:endParaRPr lang="en-US" sz="2400">
              <a:solidFill>
                <a:schemeClr val="bg1"/>
              </a:solidFill>
              <a:latin typeface="Franklin Gothic Medium" panose="020B0603020102020204" pitchFamily="34" charset="0"/>
            </a:endParaRPr>
          </a:p>
        </xdr:txBody>
      </xdr:sp>
      <xdr:sp macro="" textlink="cálculos!M8">
        <xdr:nvSpPr>
          <xdr:cNvPr id="13" name="Cuadro de texto 12">
            <a:extLst>
              <a:ext uri="{FF2B5EF4-FFF2-40B4-BE49-F238E27FC236}">
                <a16:creationId xmlns:a16="http://schemas.microsoft.com/office/drawing/2014/main" id="{00000000-0008-0000-0000-00000D000000}"/>
              </a:ext>
            </a:extLst>
          </xdr:cNvPr>
          <xdr:cNvSpPr txBox="1"/>
        </xdr:nvSpPr>
        <xdr:spPr>
          <a:xfrm>
            <a:off x="8949897" y="2981324"/>
            <a:ext cx="1238250"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lstStyle/>
          <a:p>
            <a:pPr rtl="0"/>
            <a:fld id="{22DB030F-3302-4301-BA84-014D0BC47E01}" type="TxLink">
              <a:rPr lang="en-US" sz="1100" b="0" i="0" u="none" strike="noStrike">
                <a:solidFill>
                  <a:schemeClr val="bg1"/>
                </a:solidFill>
                <a:latin typeface="Franklin Gothic Medium" panose="020B0603020102020204" pitchFamily="34" charset="0"/>
              </a:rPr>
              <a:pPr rtl="0"/>
              <a:t>VEGETALES TOTAL</a:t>
            </a:fld>
            <a:endParaRPr lang="en-US" sz="1100">
              <a:solidFill>
                <a:schemeClr val="bg1"/>
              </a:solidFill>
              <a:latin typeface="Franklin Gothic Medium" panose="020B0603020102020204" pitchFamily="34" charset="0"/>
            </a:endParaRPr>
          </a:p>
        </xdr:txBody>
      </xdr:sp>
    </xdr:grpSp>
    <xdr:clientData/>
  </xdr:twoCellAnchor>
  <xdr:twoCellAnchor editAs="oneCell">
    <xdr:from>
      <xdr:col>12</xdr:col>
      <xdr:colOff>9525</xdr:colOff>
      <xdr:row>6</xdr:row>
      <xdr:rowOff>66675</xdr:rowOff>
    </xdr:from>
    <xdr:to>
      <xdr:col>14</xdr:col>
      <xdr:colOff>196725</xdr:colOff>
      <xdr:row>8</xdr:row>
      <xdr:rowOff>142874</xdr:rowOff>
    </xdr:to>
    <xdr:grpSp>
      <xdr:nvGrpSpPr>
        <xdr:cNvPr id="14" name="Grupo 13" descr="Category and amount spent for third highest category, such as Meat">
          <a:extLst>
            <a:ext uri="{FF2B5EF4-FFF2-40B4-BE49-F238E27FC236}">
              <a16:creationId xmlns:a16="http://schemas.microsoft.com/office/drawing/2014/main" id="{00000000-0008-0000-0000-00000E000000}"/>
            </a:ext>
          </a:extLst>
        </xdr:cNvPr>
        <xdr:cNvGrpSpPr/>
      </xdr:nvGrpSpPr>
      <xdr:grpSpPr>
        <a:xfrm>
          <a:off x="12792075" y="1981200"/>
          <a:ext cx="2244600" cy="609599"/>
          <a:chOff x="8886823" y="2943226"/>
          <a:chExt cx="1362075" cy="609599"/>
        </a:xfrm>
      </xdr:grpSpPr>
      <xdr:sp macro="" textlink="cálculos!L7">
        <xdr:nvSpPr>
          <xdr:cNvPr id="15" name="Rectángulo con las esquinas del mismo lado redondeadas 14">
            <a:extLst>
              <a:ext uri="{FF2B5EF4-FFF2-40B4-BE49-F238E27FC236}">
                <a16:creationId xmlns:a16="http://schemas.microsoft.com/office/drawing/2014/main" id="{00000000-0008-0000-0000-00000F000000}"/>
              </a:ext>
            </a:extLst>
          </xdr:cNvPr>
          <xdr:cNvSpPr/>
        </xdr:nvSpPr>
        <xdr:spPr>
          <a:xfrm rot="5400000">
            <a:off x="9263061" y="2566988"/>
            <a:ext cx="609599" cy="1362075"/>
          </a:xfrm>
          <a:prstGeom prst="round2SameRect">
            <a:avLst>
              <a:gd name="adj1" fmla="val 12255"/>
              <a:gd name="adj2" fmla="val 0"/>
            </a:avLst>
          </a:prstGeom>
          <a:solidFill>
            <a:schemeClr val="accent3">
              <a:lumMod val="75000"/>
            </a:schemeClr>
          </a:solidFill>
          <a:ln>
            <a:noFill/>
          </a:ln>
          <a:effectLst>
            <a:outerShdw blurRad="63500" sx="102000" sy="102000" algn="ctr" rotWithShape="0">
              <a:schemeClr val="tx2">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lIns="0" tIns="0" rIns="0" bIns="91440" rtlCol="0" anchor="b"/>
          <a:lstStyle/>
          <a:p>
            <a:pPr algn="l" rtl="0"/>
            <a:fld id="{328CF805-E61F-4E35-991F-043E0E5543D7}" type="TxLink">
              <a:rPr lang="en-US" sz="2400" b="0" i="0" u="none" strike="noStrike">
                <a:solidFill>
                  <a:schemeClr val="bg1"/>
                </a:solidFill>
                <a:latin typeface="Franklin Gothic Medium" panose="020B0603020102020204" pitchFamily="34" charset="0"/>
              </a:rPr>
              <a:pPr algn="l" rtl="0"/>
              <a:t>80 €</a:t>
            </a:fld>
            <a:endParaRPr lang="en-US" sz="2400">
              <a:solidFill>
                <a:schemeClr val="bg1"/>
              </a:solidFill>
              <a:latin typeface="Franklin Gothic Medium" panose="020B0603020102020204" pitchFamily="34" charset="0"/>
            </a:endParaRPr>
          </a:p>
        </xdr:txBody>
      </xdr:sp>
      <xdr:sp macro="" textlink="cálculos!M7">
        <xdr:nvSpPr>
          <xdr:cNvPr id="16" name="Cuadro de texto 15">
            <a:extLst>
              <a:ext uri="{FF2B5EF4-FFF2-40B4-BE49-F238E27FC236}">
                <a16:creationId xmlns:a16="http://schemas.microsoft.com/office/drawing/2014/main" id="{00000000-0008-0000-0000-000010000000}"/>
              </a:ext>
            </a:extLst>
          </xdr:cNvPr>
          <xdr:cNvSpPr txBox="1"/>
        </xdr:nvSpPr>
        <xdr:spPr>
          <a:xfrm>
            <a:off x="8949897" y="2981324"/>
            <a:ext cx="1238250"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lstStyle/>
          <a:p>
            <a:pPr rtl="0"/>
            <a:fld id="{95AEA9C9-2D15-4E50-A32F-6D63865ECC60}" type="TxLink">
              <a:rPr lang="en-US" sz="1100" b="0" i="0" u="none" strike="noStrike">
                <a:solidFill>
                  <a:schemeClr val="bg1"/>
                </a:solidFill>
                <a:latin typeface="Franklin Gothic Medium" panose="020B0603020102020204" pitchFamily="34" charset="0"/>
              </a:rPr>
              <a:pPr rtl="0"/>
              <a:t>CARNE TOTAL</a:t>
            </a:fld>
            <a:endParaRPr lang="en-US" sz="1100">
              <a:solidFill>
                <a:schemeClr val="bg1"/>
              </a:solidFill>
              <a:latin typeface="Franklin Gothic Medium" panose="020B0603020102020204" pitchFamily="34" charset="0"/>
            </a:endParaRPr>
          </a:p>
        </xdr:txBody>
      </xdr:sp>
    </xdr:grpSp>
    <xdr:clientData/>
  </xdr:twoCellAnchor>
  <xdr:twoCellAnchor editAs="oneCell">
    <xdr:from>
      <xdr:col>12</xdr:col>
      <xdr:colOff>9525</xdr:colOff>
      <xdr:row>9</xdr:row>
      <xdr:rowOff>38100</xdr:rowOff>
    </xdr:from>
    <xdr:to>
      <xdr:col>14</xdr:col>
      <xdr:colOff>196725</xdr:colOff>
      <xdr:row>11</xdr:row>
      <xdr:rowOff>114299</xdr:rowOff>
    </xdr:to>
    <xdr:grpSp>
      <xdr:nvGrpSpPr>
        <xdr:cNvPr id="17" name="Grupo 16" descr="Category and amount spent for third highest category, such as Seafood">
          <a:extLst>
            <a:ext uri="{FF2B5EF4-FFF2-40B4-BE49-F238E27FC236}">
              <a16:creationId xmlns:a16="http://schemas.microsoft.com/office/drawing/2014/main" id="{00000000-0008-0000-0000-000011000000}"/>
            </a:ext>
          </a:extLst>
        </xdr:cNvPr>
        <xdr:cNvGrpSpPr/>
      </xdr:nvGrpSpPr>
      <xdr:grpSpPr>
        <a:xfrm>
          <a:off x="12792075" y="2752725"/>
          <a:ext cx="2244600" cy="609599"/>
          <a:chOff x="8886823" y="2943226"/>
          <a:chExt cx="1362075" cy="609599"/>
        </a:xfrm>
      </xdr:grpSpPr>
      <xdr:sp macro="" textlink="cálculos!L6">
        <xdr:nvSpPr>
          <xdr:cNvPr id="18" name="Rectángulo con las esquinas del mismo lado redondeadas 17">
            <a:extLst>
              <a:ext uri="{FF2B5EF4-FFF2-40B4-BE49-F238E27FC236}">
                <a16:creationId xmlns:a16="http://schemas.microsoft.com/office/drawing/2014/main" id="{00000000-0008-0000-0000-000012000000}"/>
              </a:ext>
            </a:extLst>
          </xdr:cNvPr>
          <xdr:cNvSpPr/>
        </xdr:nvSpPr>
        <xdr:spPr>
          <a:xfrm rot="5400000">
            <a:off x="9263061" y="2566988"/>
            <a:ext cx="609599" cy="1362075"/>
          </a:xfrm>
          <a:prstGeom prst="round2SameRect">
            <a:avLst>
              <a:gd name="adj1" fmla="val 12255"/>
              <a:gd name="adj2" fmla="val 0"/>
            </a:avLst>
          </a:prstGeom>
          <a:solidFill>
            <a:schemeClr val="accent4">
              <a:lumMod val="75000"/>
            </a:schemeClr>
          </a:solidFill>
          <a:ln>
            <a:noFill/>
          </a:ln>
          <a:effectLst>
            <a:outerShdw blurRad="63500" sx="102000" sy="102000" algn="ctr" rotWithShape="0">
              <a:schemeClr val="tx2">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lIns="0" tIns="0" rIns="0" bIns="91440" rtlCol="0" anchor="b"/>
          <a:lstStyle/>
          <a:p>
            <a:pPr algn="l" rtl="0"/>
            <a:fld id="{FB4445DB-7788-4F40-8816-135696710186}" type="TxLink">
              <a:rPr lang="en-US" sz="2400" b="0" i="0" u="none" strike="noStrike">
                <a:solidFill>
                  <a:schemeClr val="bg1"/>
                </a:solidFill>
                <a:latin typeface="Franklin Gothic Medium" panose="020B0603020102020204" pitchFamily="34" charset="0"/>
              </a:rPr>
              <a:pPr algn="l" rtl="0"/>
              <a:t>109 €</a:t>
            </a:fld>
            <a:endParaRPr lang="en-US" sz="2400">
              <a:solidFill>
                <a:schemeClr val="bg1"/>
              </a:solidFill>
              <a:latin typeface="Franklin Gothic Medium" panose="020B0603020102020204" pitchFamily="34" charset="0"/>
            </a:endParaRPr>
          </a:p>
        </xdr:txBody>
      </xdr:sp>
      <xdr:sp macro="" textlink="cálculos!M6">
        <xdr:nvSpPr>
          <xdr:cNvPr id="19" name="Cuadro de texto 18">
            <a:extLst>
              <a:ext uri="{FF2B5EF4-FFF2-40B4-BE49-F238E27FC236}">
                <a16:creationId xmlns:a16="http://schemas.microsoft.com/office/drawing/2014/main" id="{00000000-0008-0000-0000-000013000000}"/>
              </a:ext>
            </a:extLst>
          </xdr:cNvPr>
          <xdr:cNvSpPr txBox="1"/>
        </xdr:nvSpPr>
        <xdr:spPr>
          <a:xfrm>
            <a:off x="8949897" y="2981324"/>
            <a:ext cx="1238250"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lstStyle/>
          <a:p>
            <a:pPr rtl="0"/>
            <a:fld id="{E0073663-6A31-458A-A71B-3FB4570E543D}" type="TxLink">
              <a:rPr lang="en-US" sz="1050" b="0" i="0" u="none" strike="noStrike">
                <a:solidFill>
                  <a:schemeClr val="bg1"/>
                </a:solidFill>
                <a:latin typeface="Franklin Gothic Medium" panose="020B0603020102020204" pitchFamily="34" charset="0"/>
              </a:rPr>
              <a:pPr rtl="0"/>
              <a:t>MARISCO TOTAL</a:t>
            </a:fld>
            <a:endParaRPr lang="en-US" sz="1100">
              <a:solidFill>
                <a:schemeClr val="bg1"/>
              </a:solidFill>
              <a:latin typeface="Franklin Gothic Medium" panose="020B0603020102020204" pitchFamily="34" charset="0"/>
            </a:endParaRPr>
          </a:p>
        </xdr:txBody>
      </xdr:sp>
    </xdr:grpSp>
    <xdr:clientData/>
  </xdr:twoCellAnchor>
  <xdr:twoCellAnchor editAs="oneCell">
    <xdr:from>
      <xdr:col>12</xdr:col>
      <xdr:colOff>9525</xdr:colOff>
      <xdr:row>12</xdr:row>
      <xdr:rowOff>9525</xdr:rowOff>
    </xdr:from>
    <xdr:to>
      <xdr:col>14</xdr:col>
      <xdr:colOff>196725</xdr:colOff>
      <xdr:row>14</xdr:row>
      <xdr:rowOff>85724</xdr:rowOff>
    </xdr:to>
    <xdr:grpSp>
      <xdr:nvGrpSpPr>
        <xdr:cNvPr id="20" name="Grupo 19" descr="Total amount for all other categories not listed in the five highest totals">
          <a:extLst>
            <a:ext uri="{FF2B5EF4-FFF2-40B4-BE49-F238E27FC236}">
              <a16:creationId xmlns:a16="http://schemas.microsoft.com/office/drawing/2014/main" id="{00000000-0008-0000-0000-000014000000}"/>
            </a:ext>
          </a:extLst>
        </xdr:cNvPr>
        <xdr:cNvGrpSpPr/>
      </xdr:nvGrpSpPr>
      <xdr:grpSpPr>
        <a:xfrm>
          <a:off x="12792075" y="3524250"/>
          <a:ext cx="2244600" cy="609599"/>
          <a:chOff x="8886823" y="2943226"/>
          <a:chExt cx="1362075" cy="609599"/>
        </a:xfrm>
      </xdr:grpSpPr>
      <xdr:sp macro="" textlink="cálculos!L3">
        <xdr:nvSpPr>
          <xdr:cNvPr id="21" name="Rectángulo con las esquinas del mismo lado redondeadas 20">
            <a:extLst>
              <a:ext uri="{FF2B5EF4-FFF2-40B4-BE49-F238E27FC236}">
                <a16:creationId xmlns:a16="http://schemas.microsoft.com/office/drawing/2014/main" id="{00000000-0008-0000-0000-000015000000}"/>
              </a:ext>
            </a:extLst>
          </xdr:cNvPr>
          <xdr:cNvSpPr/>
        </xdr:nvSpPr>
        <xdr:spPr>
          <a:xfrm rot="5400000">
            <a:off x="9263061" y="2566988"/>
            <a:ext cx="609599" cy="1362075"/>
          </a:xfrm>
          <a:prstGeom prst="round2SameRect">
            <a:avLst>
              <a:gd name="adj1" fmla="val 12255"/>
              <a:gd name="adj2" fmla="val 0"/>
            </a:avLst>
          </a:prstGeom>
          <a:solidFill>
            <a:schemeClr val="accent4">
              <a:lumMod val="50000"/>
            </a:schemeClr>
          </a:solidFill>
          <a:ln>
            <a:noFill/>
          </a:ln>
          <a:effectLst>
            <a:outerShdw blurRad="63500" sx="102000" sy="102000" algn="ctr" rotWithShape="0">
              <a:schemeClr val="tx2">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lIns="0" tIns="0" rIns="0" bIns="91440" rtlCol="0" anchor="b"/>
          <a:lstStyle/>
          <a:p>
            <a:pPr algn="l" rtl="0"/>
            <a:fld id="{44C25FBE-EF92-462C-A476-7BD186BCFC7F}" type="TxLink">
              <a:rPr lang="en-US" sz="2400" b="0" i="0" u="none" strike="noStrike">
                <a:solidFill>
                  <a:schemeClr val="bg1"/>
                </a:solidFill>
                <a:latin typeface="Franklin Gothic Medium" panose="020B0603020102020204" pitchFamily="34" charset="0"/>
              </a:rPr>
              <a:pPr algn="l" rtl="0"/>
              <a:t>0 €</a:t>
            </a:fld>
            <a:endParaRPr lang="en-US" sz="2400">
              <a:solidFill>
                <a:schemeClr val="bg1"/>
              </a:solidFill>
              <a:latin typeface="Franklin Gothic Medium" panose="020B0603020102020204" pitchFamily="34" charset="0"/>
            </a:endParaRPr>
          </a:p>
        </xdr:txBody>
      </xdr:sp>
      <xdr:sp macro="" textlink="cálculos!M3">
        <xdr:nvSpPr>
          <xdr:cNvPr id="22" name="Cuadro de texto 21">
            <a:extLst>
              <a:ext uri="{FF2B5EF4-FFF2-40B4-BE49-F238E27FC236}">
                <a16:creationId xmlns:a16="http://schemas.microsoft.com/office/drawing/2014/main" id="{00000000-0008-0000-0000-000016000000}"/>
              </a:ext>
            </a:extLst>
          </xdr:cNvPr>
          <xdr:cNvSpPr txBox="1"/>
        </xdr:nvSpPr>
        <xdr:spPr>
          <a:xfrm>
            <a:off x="8949897" y="2981324"/>
            <a:ext cx="1238250"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lstStyle/>
          <a:p>
            <a:pPr rtl="0"/>
            <a:fld id="{89875968-9539-4991-8C17-B510832B9951}" type="TxLink">
              <a:rPr lang="en-US" sz="1100" b="0" i="0" u="none" strike="noStrike">
                <a:solidFill>
                  <a:schemeClr val="bg1"/>
                </a:solidFill>
                <a:latin typeface="+mj-lt"/>
              </a:rPr>
              <a:pPr rtl="0"/>
              <a:t>TOTAL DE OTROS PRODUCTOS</a:t>
            </a:fld>
            <a:endParaRPr lang="es" sz="1100">
              <a:solidFill>
                <a:schemeClr val="bg1"/>
              </a:solidFill>
              <a:latin typeface="+mj-lt"/>
            </a:endParaRPr>
          </a:p>
        </xdr:txBody>
      </xdr:sp>
    </xdr:grpSp>
    <xdr:clientData/>
  </xdr:twoCellAnchor>
  <xdr:twoCellAnchor editAs="oneCell">
    <xdr:from>
      <xdr:col>12</xdr:col>
      <xdr:colOff>9525</xdr:colOff>
      <xdr:row>14</xdr:row>
      <xdr:rowOff>247650</xdr:rowOff>
    </xdr:from>
    <xdr:to>
      <xdr:col>14</xdr:col>
      <xdr:colOff>196725</xdr:colOff>
      <xdr:row>17</xdr:row>
      <xdr:rowOff>57149</xdr:rowOff>
    </xdr:to>
    <xdr:grpSp>
      <xdr:nvGrpSpPr>
        <xdr:cNvPr id="23" name="Grupo 22" descr="Total of all grocery items">
          <a:extLst>
            <a:ext uri="{FF2B5EF4-FFF2-40B4-BE49-F238E27FC236}">
              <a16:creationId xmlns:a16="http://schemas.microsoft.com/office/drawing/2014/main" id="{00000000-0008-0000-0000-000017000000}"/>
            </a:ext>
          </a:extLst>
        </xdr:cNvPr>
        <xdr:cNvGrpSpPr/>
      </xdr:nvGrpSpPr>
      <xdr:grpSpPr>
        <a:xfrm>
          <a:off x="12792075" y="4295775"/>
          <a:ext cx="2244600" cy="609599"/>
          <a:chOff x="8886823" y="2943226"/>
          <a:chExt cx="1362075" cy="609599"/>
        </a:xfrm>
        <a:solidFill>
          <a:schemeClr val="accent5"/>
        </a:solidFill>
      </xdr:grpSpPr>
      <xdr:sp macro="" textlink="TotalDeCompra">
        <xdr:nvSpPr>
          <xdr:cNvPr id="24" name="Rectángulo con las esquinas del mismo lado redondeadas 23">
            <a:extLst>
              <a:ext uri="{FF2B5EF4-FFF2-40B4-BE49-F238E27FC236}">
                <a16:creationId xmlns:a16="http://schemas.microsoft.com/office/drawing/2014/main" id="{00000000-0008-0000-0000-000018000000}"/>
              </a:ext>
            </a:extLst>
          </xdr:cNvPr>
          <xdr:cNvSpPr/>
        </xdr:nvSpPr>
        <xdr:spPr>
          <a:xfrm rot="5400000">
            <a:off x="9263061" y="2566988"/>
            <a:ext cx="609599" cy="1362075"/>
          </a:xfrm>
          <a:prstGeom prst="round2SameRect">
            <a:avLst>
              <a:gd name="adj1" fmla="val 12255"/>
              <a:gd name="adj2" fmla="val 0"/>
            </a:avLst>
          </a:prstGeom>
          <a:grpFill/>
          <a:ln>
            <a:noFill/>
          </a:ln>
          <a:effectLst>
            <a:outerShdw blurRad="63500" sx="102000" sy="102000" algn="ctr" rotWithShape="0">
              <a:schemeClr val="tx2">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lIns="0" tIns="0" rIns="0" bIns="91440" rtlCol="0" anchor="b"/>
          <a:lstStyle/>
          <a:p>
            <a:pPr algn="l" rtl="0"/>
            <a:fld id="{8B159FE5-684E-46AE-8769-E0D5FF82A431}" type="TxLink">
              <a:rPr lang="en-US" sz="2400" b="0" i="0" u="none" strike="noStrike">
                <a:solidFill>
                  <a:schemeClr val="bg1"/>
                </a:solidFill>
                <a:latin typeface="+mj-lt"/>
              </a:rPr>
              <a:pPr algn="l" rtl="0"/>
              <a:t>271 €</a:t>
            </a:fld>
            <a:endParaRPr lang="en-US" sz="2400">
              <a:solidFill>
                <a:schemeClr val="bg1"/>
              </a:solidFill>
              <a:latin typeface="+mj-lt"/>
            </a:endParaRPr>
          </a:p>
        </xdr:txBody>
      </xdr:sp>
      <xdr:sp macro="" textlink="cálculos!M4">
        <xdr:nvSpPr>
          <xdr:cNvPr id="25" name="Cuadro de texto 24">
            <a:extLst>
              <a:ext uri="{FF2B5EF4-FFF2-40B4-BE49-F238E27FC236}">
                <a16:creationId xmlns:a16="http://schemas.microsoft.com/office/drawing/2014/main" id="{00000000-0008-0000-0000-000019000000}"/>
              </a:ext>
            </a:extLst>
          </xdr:cNvPr>
          <xdr:cNvSpPr txBox="1"/>
        </xdr:nvSpPr>
        <xdr:spPr>
          <a:xfrm>
            <a:off x="8949897" y="2981324"/>
            <a:ext cx="1238250" cy="19050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b"/>
          <a:lstStyle/>
          <a:p>
            <a:pPr rtl="0"/>
            <a:fld id="{A01C7007-7E20-4523-9BBB-1411990758E3}" type="TxLink">
              <a:rPr lang="en-US" sz="1100" b="0" i="0" u="none" strike="noStrike">
                <a:solidFill>
                  <a:schemeClr val="bg1"/>
                </a:solidFill>
                <a:latin typeface="+mj-lt"/>
              </a:rPr>
              <a:pPr rtl="0"/>
              <a:t>TOTAL DE COMPRA</a:t>
            </a:fld>
            <a:endParaRPr lang="es" sz="1100">
              <a:solidFill>
                <a:schemeClr val="bg1"/>
              </a:solidFill>
              <a:latin typeface="+mj-lt"/>
            </a:endParaRP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a" displayName="Lista" ref="C3:K21" totalsRowShown="0">
  <autoFilter ref="C3:K21" xr:uid="{00000000-0009-0000-0100-000001000000}"/>
  <tableColumns count="9">
    <tableColumn id="1" xr3:uid="{00000000-0010-0000-0000-000001000000}" name="Completada" dataDxfId="2"/>
    <tableColumn id="2" xr3:uid="{00000000-0010-0000-0000-000002000000}" name="ELEMENTO" dataCellStyle="Elemento"/>
    <tableColumn id="9" xr3:uid="{00000000-0010-0000-0000-000009000000}" name="TIENDA" dataCellStyle="Fondo de color blanco"/>
    <tableColumn id="3" xr3:uid="{00000000-0010-0000-0000-000003000000}" name="CATEGORÍA" dataCellStyle="Fondo de color blanco"/>
    <tableColumn id="4" xr3:uid="{00000000-0010-0000-0000-000004000000}" name="CANT." dataCellStyle="Fondo de color blanco"/>
    <tableColumn id="8" xr3:uid="{00000000-0010-0000-0000-000008000000}" name="UNIDAD" dataCellStyle="Fondo de color blanco"/>
    <tableColumn id="5" xr3:uid="{00000000-0010-0000-0000-000005000000}" name="PRECIO UNITARIO" dataDxfId="1" dataCellStyle="Divisa personalizada"/>
    <tableColumn id="6" xr3:uid="{00000000-0010-0000-0000-000006000000}" name="TOTAL" dataDxfId="0" dataCellStyle="Divisa personalizada">
      <calculatedColumnFormula>IFERROR(Lista[[#This Row],[CANT.]]*Lista[[#This Row],[PRECIO UNITARIO]],"")</calculatedColumnFormula>
    </tableColumn>
    <tableColumn id="7" xr3:uid="{00000000-0010-0000-0000-000007000000}" name="COMENTARIO" dataCellStyle="Sangría"/>
  </tableColumns>
  <tableStyleInfo name="Lista de la compra" showFirstColumn="0" showLastColumn="0" showRowStripes="1" showColumnStripes="0"/>
  <extLst>
    <ext xmlns:x14="http://schemas.microsoft.com/office/spreadsheetml/2009/9/main" uri="{504A1905-F514-4f6f-8877-14C23A59335A}">
      <x14:table altTextSummary="Escriba el elemento, el tipo de tienda, la categoría, la cantidad, la unidad, el precio por unidad y los comentarios en esta tabla. El total se calcula automáticamente"/>
    </ext>
  </extLst>
</table>
</file>

<file path=xl/theme/theme1.xml><?xml version="1.0" encoding="utf-8"?>
<a:theme xmlns:a="http://schemas.openxmlformats.org/drawingml/2006/main" name="Office Theme">
  <a:themeElements>
    <a:clrScheme name="151">
      <a:dk1>
        <a:sysClr val="windowText" lastClr="000000"/>
      </a:dk1>
      <a:lt1>
        <a:sysClr val="window" lastClr="FFFFFF"/>
      </a:lt1>
      <a:dk2>
        <a:srgbClr val="554527"/>
      </a:dk2>
      <a:lt2>
        <a:srgbClr val="FAF8F4"/>
      </a:lt2>
      <a:accent1>
        <a:srgbClr val="F4B224"/>
      </a:accent1>
      <a:accent2>
        <a:srgbClr val="F4900B"/>
      </a:accent2>
      <a:accent3>
        <a:srgbClr val="E66B10"/>
      </a:accent3>
      <a:accent4>
        <a:srgbClr val="D64C16"/>
      </a:accent4>
      <a:accent5>
        <a:srgbClr val="4E1747"/>
      </a:accent5>
      <a:accent6>
        <a:srgbClr val="09AA97"/>
      </a:accent6>
      <a:hlink>
        <a:srgbClr val="09AA97"/>
      </a:hlink>
      <a:folHlink>
        <a:srgbClr val="4E1747"/>
      </a:folHlink>
    </a:clrScheme>
    <a:fontScheme name="151">
      <a:majorFont>
        <a:latin typeface="Franklin Gothic Medium"/>
        <a:ea typeface=""/>
        <a:cs typeface=""/>
      </a:majorFont>
      <a:minorFont>
        <a:latin typeface="Euphemi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fitToPage="1"/>
  </sheetPr>
  <dimension ref="B1:M21"/>
  <sheetViews>
    <sheetView showGridLines="0" tabSelected="1" zoomScaleNormal="100" workbookViewId="0">
      <selection activeCell="C4" sqref="C4"/>
    </sheetView>
  </sheetViews>
  <sheetFormatPr baseColWidth="10" defaultColWidth="8.88671875" defaultRowHeight="21" customHeight="1" x14ac:dyDescent="0.4"/>
  <cols>
    <col min="1" max="1" width="2.44140625" style="9" customWidth="1"/>
    <col min="2" max="2" width="2.44140625" style="3" customWidth="1"/>
    <col min="3" max="3" width="13" style="3" bestFit="1" customWidth="1"/>
    <col min="4" max="4" width="24.44140625" style="3" customWidth="1"/>
    <col min="5" max="5" width="16.44140625" style="3" bestFit="1" customWidth="1"/>
    <col min="6" max="6" width="12.6640625" style="3" bestFit="1" customWidth="1"/>
    <col min="7" max="7" width="7" style="3" bestFit="1" customWidth="1"/>
    <col min="8" max="8" width="9.44140625" style="3" bestFit="1" customWidth="1"/>
    <col min="9" max="9" width="17.6640625" style="3" bestFit="1" customWidth="1"/>
    <col min="10" max="10" width="9.44140625" style="3" customWidth="1"/>
    <col min="11" max="11" width="31.6640625" style="3" customWidth="1"/>
    <col min="12" max="12" width="2.44140625" style="3" customWidth="1"/>
    <col min="13" max="13" width="15.109375" style="11" customWidth="1"/>
    <col min="14" max="16384" width="8.88671875" style="9"/>
  </cols>
  <sheetData>
    <row r="1" spans="2:13" ht="7.5" customHeight="1" x14ac:dyDescent="0.4">
      <c r="B1" s="17"/>
      <c r="C1" s="17"/>
      <c r="D1" s="17"/>
      <c r="E1" s="17"/>
      <c r="F1" s="17"/>
      <c r="G1" s="17"/>
      <c r="H1" s="17"/>
      <c r="I1" s="17"/>
      <c r="J1" s="17"/>
      <c r="K1" s="17"/>
      <c r="L1" s="17"/>
      <c r="M1" s="16" t="str">
        <f>cálculos!M9</f>
        <v>LÁCTEOS TOTAL</v>
      </c>
    </row>
    <row r="2" spans="2:13" s="10" customFormat="1" ht="59.25" customHeight="1" x14ac:dyDescent="0.8">
      <c r="B2" s="18" t="s">
        <v>0</v>
      </c>
      <c r="C2" s="18"/>
      <c r="D2" s="18"/>
      <c r="E2" s="18"/>
      <c r="F2" s="18"/>
      <c r="G2" s="18"/>
      <c r="H2" s="18"/>
      <c r="I2" s="18"/>
      <c r="J2" s="18"/>
      <c r="K2" s="18"/>
      <c r="L2" s="18"/>
      <c r="M2" s="16"/>
    </row>
    <row r="3" spans="2:13" ht="21" customHeight="1" x14ac:dyDescent="0.4">
      <c r="C3" s="6" t="s">
        <v>1</v>
      </c>
      <c r="D3" s="6" t="s">
        <v>2</v>
      </c>
      <c r="E3" s="7" t="s">
        <v>21</v>
      </c>
      <c r="F3" s="7" t="s">
        <v>27</v>
      </c>
      <c r="G3" s="7" t="s">
        <v>32</v>
      </c>
      <c r="H3" s="7" t="s">
        <v>33</v>
      </c>
      <c r="I3" s="7" t="s">
        <v>42</v>
      </c>
      <c r="J3" s="7" t="s">
        <v>43</v>
      </c>
      <c r="K3" s="8" t="s">
        <v>44</v>
      </c>
      <c r="M3" s="11">
        <f>cálculos!L9</f>
        <v>37</v>
      </c>
    </row>
    <row r="4" spans="2:13" ht="21" customHeight="1" x14ac:dyDescent="0.4">
      <c r="C4" s="14">
        <v>1</v>
      </c>
      <c r="D4" s="2" t="s">
        <v>3</v>
      </c>
      <c r="E4" s="3" t="s">
        <v>22</v>
      </c>
      <c r="F4" s="3" t="s">
        <v>28</v>
      </c>
      <c r="G4" s="3">
        <v>2</v>
      </c>
      <c r="H4" s="3" t="s">
        <v>34</v>
      </c>
      <c r="I4" s="15">
        <v>2.99</v>
      </c>
      <c r="J4" s="15">
        <f>IFERROR(Lista[[#This Row],[CANT.]]*Lista[[#This Row],[PRECIO UNITARIO]],"")</f>
        <v>5.98</v>
      </c>
      <c r="K4" s="4"/>
      <c r="M4" s="11" t="str">
        <f>cálculos!M8</f>
        <v>VEGETALES TOTAL</v>
      </c>
    </row>
    <row r="5" spans="2:13" ht="21" customHeight="1" x14ac:dyDescent="0.4">
      <c r="C5" s="14"/>
      <c r="D5" s="2" t="s">
        <v>4</v>
      </c>
      <c r="E5" s="3" t="s">
        <v>23</v>
      </c>
      <c r="F5" s="3" t="s">
        <v>28</v>
      </c>
      <c r="G5" s="3">
        <v>3</v>
      </c>
      <c r="H5" s="3" t="s">
        <v>34</v>
      </c>
      <c r="I5" s="15">
        <v>1.99</v>
      </c>
      <c r="J5" s="15">
        <f>IFERROR(Lista[[#This Row],[CANT.]]*Lista[[#This Row],[PRECIO UNITARIO]],"")</f>
        <v>5.97</v>
      </c>
      <c r="K5" s="4" t="s">
        <v>45</v>
      </c>
      <c r="M5" s="16">
        <f>cálculos!L8</f>
        <v>45</v>
      </c>
    </row>
    <row r="6" spans="2:13" ht="21" customHeight="1" x14ac:dyDescent="0.4">
      <c r="C6" s="14"/>
      <c r="D6" s="2" t="s">
        <v>5</v>
      </c>
      <c r="E6" s="3" t="s">
        <v>22</v>
      </c>
      <c r="F6" s="3" t="s">
        <v>28</v>
      </c>
      <c r="G6" s="3">
        <v>1</v>
      </c>
      <c r="H6" s="3" t="s">
        <v>35</v>
      </c>
      <c r="I6" s="15">
        <v>3.99</v>
      </c>
      <c r="J6" s="15">
        <f>IFERROR(Lista[[#This Row],[CANT.]]*Lista[[#This Row],[PRECIO UNITARIO]],"")</f>
        <v>3.99</v>
      </c>
      <c r="K6" s="4"/>
      <c r="M6" s="16"/>
    </row>
    <row r="7" spans="2:13" ht="21" customHeight="1" x14ac:dyDescent="0.4">
      <c r="C7" s="14"/>
      <c r="D7" s="2" t="s">
        <v>6</v>
      </c>
      <c r="E7" s="3" t="s">
        <v>24</v>
      </c>
      <c r="F7" s="3" t="s">
        <v>28</v>
      </c>
      <c r="G7" s="3">
        <v>2</v>
      </c>
      <c r="H7" s="3" t="s">
        <v>36</v>
      </c>
      <c r="I7" s="15">
        <v>2.29</v>
      </c>
      <c r="J7" s="15">
        <f>IFERROR(Lista[[#This Row],[CANT.]]*Lista[[#This Row],[PRECIO UNITARIO]],"")</f>
        <v>4.58</v>
      </c>
      <c r="K7" s="4"/>
      <c r="M7" s="11" t="str">
        <f>cálculos!M7</f>
        <v>CARNE TOTAL</v>
      </c>
    </row>
    <row r="8" spans="2:13" ht="21" customHeight="1" x14ac:dyDescent="0.4">
      <c r="C8" s="14"/>
      <c r="D8" s="2" t="s">
        <v>7</v>
      </c>
      <c r="E8" s="3" t="s">
        <v>24</v>
      </c>
      <c r="F8" s="3" t="s">
        <v>28</v>
      </c>
      <c r="G8" s="3">
        <v>4</v>
      </c>
      <c r="H8" s="3" t="s">
        <v>34</v>
      </c>
      <c r="I8" s="15">
        <v>3.49</v>
      </c>
      <c r="J8" s="15">
        <f>IFERROR(Lista[[#This Row],[CANT.]]*Lista[[#This Row],[PRECIO UNITARIO]],"")</f>
        <v>13.96</v>
      </c>
      <c r="K8" s="4"/>
      <c r="M8" s="16">
        <f>cálculos!L7</f>
        <v>80</v>
      </c>
    </row>
    <row r="9" spans="2:13" ht="21" customHeight="1" x14ac:dyDescent="0.4">
      <c r="C9" s="14"/>
      <c r="D9" s="2" t="s">
        <v>8</v>
      </c>
      <c r="E9" s="3" t="s">
        <v>24</v>
      </c>
      <c r="F9" s="3" t="s">
        <v>28</v>
      </c>
      <c r="G9" s="3">
        <v>2</v>
      </c>
      <c r="H9" s="3" t="s">
        <v>37</v>
      </c>
      <c r="I9" s="15">
        <v>1.5</v>
      </c>
      <c r="J9" s="15">
        <f>IFERROR(Lista[[#This Row],[CANT.]]*Lista[[#This Row],[PRECIO UNITARIO]],"")</f>
        <v>3</v>
      </c>
      <c r="K9" s="4"/>
      <c r="M9" s="16"/>
    </row>
    <row r="10" spans="2:13" ht="21" customHeight="1" x14ac:dyDescent="0.4">
      <c r="C10" s="14"/>
      <c r="D10" s="2" t="s">
        <v>9</v>
      </c>
      <c r="E10" s="3" t="s">
        <v>22</v>
      </c>
      <c r="F10" s="3" t="s">
        <v>28</v>
      </c>
      <c r="G10" s="3">
        <v>2</v>
      </c>
      <c r="H10" s="3" t="s">
        <v>35</v>
      </c>
      <c r="I10" s="15">
        <v>1.99</v>
      </c>
      <c r="J10" s="15">
        <f>IFERROR(Lista[[#This Row],[CANT.]]*Lista[[#This Row],[PRECIO UNITARIO]],"")</f>
        <v>3.98</v>
      </c>
      <c r="K10" s="4"/>
      <c r="M10" s="11" t="str">
        <f>cálculos!M6</f>
        <v>MARISCO TOTAL</v>
      </c>
    </row>
    <row r="11" spans="2:13" ht="21" customHeight="1" x14ac:dyDescent="0.4">
      <c r="C11" s="14"/>
      <c r="D11" s="2" t="s">
        <v>10</v>
      </c>
      <c r="E11" s="3" t="s">
        <v>24</v>
      </c>
      <c r="F11" s="3" t="s">
        <v>28</v>
      </c>
      <c r="G11" s="3">
        <v>1</v>
      </c>
      <c r="H11" s="3" t="s">
        <v>34</v>
      </c>
      <c r="I11" s="15">
        <v>2.29</v>
      </c>
      <c r="J11" s="15">
        <f>IFERROR(Lista[[#This Row],[CANT.]]*Lista[[#This Row],[PRECIO UNITARIO]],"")</f>
        <v>2.29</v>
      </c>
      <c r="K11" s="4"/>
      <c r="M11" s="16">
        <f>cálculos!L6</f>
        <v>109</v>
      </c>
    </row>
    <row r="12" spans="2:13" ht="21" customHeight="1" x14ac:dyDescent="0.4">
      <c r="C12" s="14"/>
      <c r="D12" s="2" t="s">
        <v>11</v>
      </c>
      <c r="E12" s="3" t="s">
        <v>22</v>
      </c>
      <c r="F12" s="3" t="s">
        <v>28</v>
      </c>
      <c r="G12" s="3">
        <v>0.5</v>
      </c>
      <c r="H12" s="3" t="s">
        <v>34</v>
      </c>
      <c r="I12" s="15">
        <v>2.25</v>
      </c>
      <c r="J12" s="15">
        <f>IFERROR(Lista[[#This Row],[CANT.]]*Lista[[#This Row],[PRECIO UNITARIO]],"")</f>
        <v>1.125</v>
      </c>
      <c r="K12" s="4" t="s">
        <v>46</v>
      </c>
      <c r="M12" s="16"/>
    </row>
    <row r="13" spans="2:13" ht="21" customHeight="1" x14ac:dyDescent="0.4">
      <c r="C13" s="14"/>
      <c r="D13" s="2" t="s">
        <v>12</v>
      </c>
      <c r="E13" s="3" t="s">
        <v>25</v>
      </c>
      <c r="F13" s="3" t="s">
        <v>29</v>
      </c>
      <c r="G13" s="3">
        <v>2</v>
      </c>
      <c r="H13" s="3" t="s">
        <v>38</v>
      </c>
      <c r="I13" s="15">
        <v>3.99</v>
      </c>
      <c r="J13" s="15">
        <f>IFERROR(Lista[[#This Row],[CANT.]]*Lista[[#This Row],[PRECIO UNITARIO]],"")</f>
        <v>7.98</v>
      </c>
      <c r="K13" s="4"/>
      <c r="M13" s="11" t="str">
        <f>cálculos!M3</f>
        <v>TOTAL DE OTROS PRODUCTOS</v>
      </c>
    </row>
    <row r="14" spans="2:13" ht="21" customHeight="1" x14ac:dyDescent="0.4">
      <c r="C14" s="14"/>
      <c r="D14" s="2" t="s">
        <v>13</v>
      </c>
      <c r="E14" s="3" t="s">
        <v>25</v>
      </c>
      <c r="F14" s="3" t="s">
        <v>29</v>
      </c>
      <c r="G14" s="3">
        <v>1</v>
      </c>
      <c r="H14" s="3" t="s">
        <v>34</v>
      </c>
      <c r="I14" s="15">
        <v>9.99</v>
      </c>
      <c r="J14" s="15">
        <f>IFERROR(Lista[[#This Row],[CANT.]]*Lista[[#This Row],[PRECIO UNITARIO]],"")</f>
        <v>9.99</v>
      </c>
      <c r="K14" s="4" t="s">
        <v>47</v>
      </c>
      <c r="M14" s="16">
        <f>cálculos!L3</f>
        <v>0</v>
      </c>
    </row>
    <row r="15" spans="2:13" ht="21" customHeight="1" x14ac:dyDescent="0.4">
      <c r="C15" s="14"/>
      <c r="D15" s="2" t="s">
        <v>14</v>
      </c>
      <c r="E15" s="3" t="s">
        <v>25</v>
      </c>
      <c r="F15" s="3" t="s">
        <v>29</v>
      </c>
      <c r="G15" s="3">
        <v>2</v>
      </c>
      <c r="H15" s="3" t="s">
        <v>39</v>
      </c>
      <c r="I15" s="15">
        <v>3.5</v>
      </c>
      <c r="J15" s="15">
        <f>IFERROR(Lista[[#This Row],[CANT.]]*Lista[[#This Row],[PRECIO UNITARIO]],"")</f>
        <v>7</v>
      </c>
      <c r="K15" s="4"/>
      <c r="M15" s="16"/>
    </row>
    <row r="16" spans="2:13" ht="21" customHeight="1" x14ac:dyDescent="0.4">
      <c r="C16" s="14"/>
      <c r="D16" s="2" t="s">
        <v>15</v>
      </c>
      <c r="E16" s="3" t="s">
        <v>25</v>
      </c>
      <c r="F16" s="3" t="s">
        <v>29</v>
      </c>
      <c r="G16" s="3">
        <v>1</v>
      </c>
      <c r="H16" s="3" t="s">
        <v>40</v>
      </c>
      <c r="I16" s="15">
        <v>3.89</v>
      </c>
      <c r="J16" s="15">
        <f>IFERROR(Lista[[#This Row],[CANT.]]*Lista[[#This Row],[PRECIO UNITARIO]],"")</f>
        <v>3.89</v>
      </c>
      <c r="K16" s="4"/>
      <c r="M16" s="11" t="str">
        <f>cálculos!M4</f>
        <v>TOTAL DE COMPRA</v>
      </c>
    </row>
    <row r="17" spans="3:13" ht="21" customHeight="1" x14ac:dyDescent="0.4">
      <c r="C17" s="14"/>
      <c r="D17" s="2" t="s">
        <v>16</v>
      </c>
      <c r="E17" s="3" t="s">
        <v>25</v>
      </c>
      <c r="F17" s="3" t="s">
        <v>29</v>
      </c>
      <c r="G17" s="3">
        <v>1</v>
      </c>
      <c r="H17" s="3" t="s">
        <v>41</v>
      </c>
      <c r="I17" s="15">
        <v>2.99</v>
      </c>
      <c r="J17" s="15">
        <f>IFERROR(Lista[[#This Row],[CANT.]]*Lista[[#This Row],[PRECIO UNITARIO]],"")</f>
        <v>2.99</v>
      </c>
      <c r="K17" s="4"/>
      <c r="M17" s="11">
        <f>TotalDeCompra</f>
        <v>271</v>
      </c>
    </row>
    <row r="18" spans="3:13" ht="21" customHeight="1" x14ac:dyDescent="0.4">
      <c r="C18" s="14"/>
      <c r="D18" s="2" t="s">
        <v>17</v>
      </c>
      <c r="E18" s="3" t="s">
        <v>22</v>
      </c>
      <c r="F18" s="3" t="s">
        <v>29</v>
      </c>
      <c r="G18" s="3">
        <v>1</v>
      </c>
      <c r="H18" s="3" t="s">
        <v>40</v>
      </c>
      <c r="I18" s="15">
        <v>4.99</v>
      </c>
      <c r="J18" s="15">
        <f>IFERROR(Lista[[#This Row],[CANT.]]*Lista[[#This Row],[PRECIO UNITARIO]],"")</f>
        <v>4.99</v>
      </c>
      <c r="K18" s="4" t="s">
        <v>48</v>
      </c>
    </row>
    <row r="19" spans="3:13" ht="21" customHeight="1" x14ac:dyDescent="0.4">
      <c r="C19" s="14"/>
      <c r="D19" s="2" t="s">
        <v>18</v>
      </c>
      <c r="E19" s="3" t="s">
        <v>24</v>
      </c>
      <c r="F19" s="3" t="s">
        <v>30</v>
      </c>
      <c r="G19" s="3">
        <v>10</v>
      </c>
      <c r="H19" s="3" t="s">
        <v>34</v>
      </c>
      <c r="I19" s="15">
        <v>7.99</v>
      </c>
      <c r="J19" s="15">
        <f>IFERROR(Lista[[#This Row],[CANT.]]*Lista[[#This Row],[PRECIO UNITARIO]],"")</f>
        <v>79.900000000000006</v>
      </c>
      <c r="K19" s="4" t="s">
        <v>49</v>
      </c>
    </row>
    <row r="20" spans="3:13" ht="21" customHeight="1" x14ac:dyDescent="0.4">
      <c r="C20" s="14"/>
      <c r="D20" s="2" t="s">
        <v>19</v>
      </c>
      <c r="E20" s="3" t="s">
        <v>26</v>
      </c>
      <c r="F20" s="3" t="s">
        <v>31</v>
      </c>
      <c r="G20" s="3">
        <v>6</v>
      </c>
      <c r="H20" s="3" t="s">
        <v>34</v>
      </c>
      <c r="I20" s="15">
        <v>8.99</v>
      </c>
      <c r="J20" s="15">
        <f>IFERROR(Lista[[#This Row],[CANT.]]*Lista[[#This Row],[PRECIO UNITARIO]],"")</f>
        <v>53.94</v>
      </c>
      <c r="K20" s="4"/>
    </row>
    <row r="21" spans="3:13" ht="21" customHeight="1" x14ac:dyDescent="0.4">
      <c r="C21" s="14"/>
      <c r="D21" s="2" t="s">
        <v>20</v>
      </c>
      <c r="E21" s="3" t="s">
        <v>26</v>
      </c>
      <c r="F21" s="3" t="s">
        <v>31</v>
      </c>
      <c r="G21" s="3">
        <v>5</v>
      </c>
      <c r="H21" s="3" t="s">
        <v>34</v>
      </c>
      <c r="I21" s="15">
        <v>10.99</v>
      </c>
      <c r="J21" s="15">
        <f>IFERROR(Lista[[#This Row],[CANT.]]*Lista[[#This Row],[PRECIO UNITARIO]],"")</f>
        <v>54.95</v>
      </c>
      <c r="K21" s="4"/>
    </row>
  </sheetData>
  <mergeCells count="7">
    <mergeCell ref="M11:M12"/>
    <mergeCell ref="M14:M15"/>
    <mergeCell ref="B1:L1"/>
    <mergeCell ref="B2:L2"/>
    <mergeCell ref="M1:M2"/>
    <mergeCell ref="M5:M6"/>
    <mergeCell ref="M8:M9"/>
  </mergeCells>
  <conditionalFormatting sqref="C4:K21">
    <cfRule type="expression" dxfId="3" priority="2">
      <formula>ISODD(ROW(DelimitadorDeTabla))&lt;&gt;ISODD(ROW(C4))</formula>
    </cfRule>
  </conditionalFormatting>
  <dataValidations count="11">
    <dataValidation allowBlank="1" showInputMessage="1" showErrorMessage="1" prompt="Cree una lista de la compra en esta hoja de cálculo. Escriba los detalles de la tabla Lista. Los totales se calculan automáticamente" sqref="A1" xr:uid="{00000000-0002-0000-0000-000000000000}"/>
    <dataValidation allowBlank="1" showInputMessage="1" showErrorMessage="1" prompt="El título de esta hoja de cálculo se encuentra en esta celda. Escriba los detalles de la compra en la tabla siguiente. Los totales de categoría se actualizan automáticamente en la columna M" sqref="B2:L2" xr:uid="{00000000-0002-0000-0000-000001000000}"/>
    <dataValidation allowBlank="1" showInputMessage="1" showErrorMessage="1" prompt="Escriba un número mayor que 0 en esta columna, debajo de este encabezado para marcar el elemento como comprado. Use los filtros de encabezado para encontrar entradas específicas" sqref="C3" xr:uid="{00000000-0002-0000-0000-000002000000}"/>
    <dataValidation allowBlank="1" showInputMessage="1" showErrorMessage="1" prompt="Escriba los elementos en esta columna, debajo de este encabezado" sqref="D3" xr:uid="{00000000-0002-0000-0000-000003000000}"/>
    <dataValidation allowBlank="1" showInputMessage="1" showErrorMessage="1" prompt="Escriba el tipo de tienda en esta columna, debajo de este encabezado" sqref="E3" xr:uid="{00000000-0002-0000-0000-000004000000}"/>
    <dataValidation allowBlank="1" showInputMessage="1" showErrorMessage="1" prompt="Escriba la categoría en esta columna, debajo de este encabezado" sqref="F3" xr:uid="{00000000-0002-0000-0000-000005000000}"/>
    <dataValidation allowBlank="1" showInputMessage="1" showErrorMessage="1" prompt="Escriba la cantidad en esta columna, debajo de este encabezado" sqref="G3" xr:uid="{00000000-0002-0000-0000-000006000000}"/>
    <dataValidation allowBlank="1" showInputMessage="1" showErrorMessage="1" prompt="Escriba las unidades en la columna con este encabezado." sqref="H3" xr:uid="{00000000-0002-0000-0000-000007000000}"/>
    <dataValidation allowBlank="1" showInputMessage="1" showErrorMessage="1" prompt="Escriba el precio unitario en la columna con este encabezado." sqref="I3" xr:uid="{00000000-0002-0000-0000-000008000000}"/>
    <dataValidation allowBlank="1" showInputMessage="1" showErrorMessage="1" prompt="El total se calcula automáticamente en esta columna, debajo de este encabezado" sqref="J3" xr:uid="{00000000-0002-0000-0000-000009000000}"/>
    <dataValidation allowBlank="1" showInputMessage="1" showErrorMessage="1" prompt="Escriba el comentario en esta columna, debajo de este encabezado" sqref="K3" xr:uid="{00000000-0002-0000-0000-00000A000000}"/>
  </dataValidations>
  <printOptions horizontalCentered="1"/>
  <pageMargins left="0.3" right="0.3" top="0.5" bottom="0.5" header="0.3" footer="0.3"/>
  <pageSetup paperSize="9" scale="50" fitToHeight="0" orientation="portrait" r:id="rId1"/>
  <headerFooter differentFirst="1">
    <oddFooter>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1" id="{7DFC9C84-28BF-44D2-94EA-43F4C08E96CD}">
            <x14:iconSet iconSet="3Symbols2" custom="1">
              <x14:cfvo type="percent">
                <xm:f>0</xm:f>
              </x14:cfvo>
              <x14:cfvo type="num" gte="0">
                <xm:f>0</xm:f>
              </x14:cfvo>
              <x14:cfvo type="num">
                <xm:f>1</xm:f>
              </x14:cfvo>
              <x14:cfIcon iconSet="NoIcons" iconId="0"/>
              <x14:cfIcon iconSet="NoIcons" iconId="0"/>
              <x14:cfIcon iconSet="3Symbols2" iconId="2"/>
            </x14:iconSet>
          </x14:cfRule>
          <xm:sqref>C4:C21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21"/>
  <sheetViews>
    <sheetView workbookViewId="0"/>
  </sheetViews>
  <sheetFormatPr baseColWidth="10" defaultColWidth="8.88671875" defaultRowHeight="18.75" x14ac:dyDescent="0.4"/>
  <cols>
    <col min="5" max="5" width="18.88671875" customWidth="1"/>
    <col min="11" max="12" width="12.44140625" customWidth="1"/>
    <col min="13" max="13" width="14.44140625" customWidth="1"/>
  </cols>
  <sheetData>
    <row r="1" spans="1:13" x14ac:dyDescent="0.4">
      <c r="A1" t="s">
        <v>50</v>
      </c>
    </row>
    <row r="3" spans="1:13" x14ac:dyDescent="0.4">
      <c r="K3" s="12">
        <f>SUM(Lista[TOTAL])-SUM(K6:K9)</f>
        <v>0</v>
      </c>
      <c r="L3" s="13">
        <f>ROUND(K3,0)</f>
        <v>0</v>
      </c>
      <c r="M3" t="s">
        <v>51</v>
      </c>
    </row>
    <row r="4" spans="1:13" x14ac:dyDescent="0.4">
      <c r="L4" s="13">
        <f>ROUNDUP(SUM(Lista[TOTAL]),0)</f>
        <v>271</v>
      </c>
      <c r="M4" t="s">
        <v>52</v>
      </c>
    </row>
    <row r="6" spans="1:13" x14ac:dyDescent="0.4">
      <c r="E6" s="5" t="str">
        <f t="array" ref="E6">IFERROR(INDEX(Lista[CATEGORÍA],MATCH(,COUNTIF($E$5:E5,Lista[CATEGORÍA]),)),"")</f>
        <v>Vegetales</v>
      </c>
      <c r="F6">
        <f>SUMIFS(Lista[TOTAL],Lista[CATEGORÍA],E6)</f>
        <v>44.875</v>
      </c>
      <c r="G6">
        <f>F6+ROW()/1000000</f>
        <v>44.875005999999999</v>
      </c>
      <c r="H6">
        <f>LARGE($G$6:$G$21,1)</f>
        <v>108.89000900000001</v>
      </c>
      <c r="I6">
        <f>MATCH(H6,$G$6:$G$21,0)</f>
        <v>4</v>
      </c>
      <c r="J6" t="str">
        <f>INDEX($E$6:$E$21,$I6)</f>
        <v>Marisco</v>
      </c>
      <c r="K6" s="1">
        <f>INDEX($F$6:$F$21,$I6)</f>
        <v>108.89</v>
      </c>
      <c r="L6" s="13">
        <f>ROUND(K6,0)</f>
        <v>109</v>
      </c>
      <c r="M6" t="str">
        <f>UPPER(J6) &amp; " TOTAL"</f>
        <v>MARISCO TOTAL</v>
      </c>
    </row>
    <row r="7" spans="1:13" x14ac:dyDescent="0.4">
      <c r="E7" s="5" t="str">
        <f t="array" ref="E7">IFERROR(INDEX(Lista[CATEGORÍA],MATCH(,COUNTIF($E$5:E6,Lista[CATEGORÍA]),)),"")</f>
        <v>Lácteos</v>
      </c>
      <c r="F7">
        <f>SUMIFS(Lista[TOTAL],Lista[CATEGORÍA],E7)</f>
        <v>36.840000000000003</v>
      </c>
      <c r="G7">
        <f t="shared" ref="G7:G21" si="0">F7+ROW()/1000000</f>
        <v>36.840007</v>
      </c>
      <c r="H7">
        <f>LARGE($G$6:$G$21,2)</f>
        <v>79.900008</v>
      </c>
      <c r="I7">
        <f>MATCH(H7,$G$6:$G$21,0)</f>
        <v>3</v>
      </c>
      <c r="J7" t="str">
        <f>INDEX($E$6:$E$21,$I7)</f>
        <v>Carne</v>
      </c>
      <c r="K7" s="1">
        <f>INDEX($F$6:$F$21,$I7)</f>
        <v>79.900000000000006</v>
      </c>
      <c r="L7" s="13">
        <f>ROUND(K7,0)</f>
        <v>80</v>
      </c>
      <c r="M7" t="str">
        <f>UPPER(J7) &amp; " TOTAL"</f>
        <v>CARNE TOTAL</v>
      </c>
    </row>
    <row r="8" spans="1:13" x14ac:dyDescent="0.4">
      <c r="E8" s="5" t="str">
        <f t="array" ref="E8">IFERROR(INDEX(Lista[CATEGORÍA],MATCH(,COUNTIF($E$5:E7,Lista[CATEGORÍA]),)),"")</f>
        <v>Carne</v>
      </c>
      <c r="F8">
        <f>SUMIFS(Lista[TOTAL],Lista[CATEGORÍA],E8)</f>
        <v>79.900000000000006</v>
      </c>
      <c r="G8">
        <f t="shared" si="0"/>
        <v>79.900008</v>
      </c>
      <c r="H8">
        <f>LARGE($G$6:$G$21,3)</f>
        <v>44.875005999999999</v>
      </c>
      <c r="I8">
        <f>MATCH(H8,$G$6:$G$21,0)</f>
        <v>1</v>
      </c>
      <c r="J8" t="str">
        <f>INDEX($E$6:$E$21,$I8)</f>
        <v>Vegetales</v>
      </c>
      <c r="K8" s="1">
        <f>INDEX($F$6:$F$21,$I8)</f>
        <v>44.875</v>
      </c>
      <c r="L8" s="13">
        <f>ROUND(K8,0)</f>
        <v>45</v>
      </c>
      <c r="M8" t="str">
        <f>UPPER(J8) &amp; " TOTAL"</f>
        <v>VEGETALES TOTAL</v>
      </c>
    </row>
    <row r="9" spans="1:13" x14ac:dyDescent="0.4">
      <c r="E9" s="5" t="str">
        <f t="array" ref="E9">IFERROR(INDEX(Lista[CATEGORÍA],MATCH(,COUNTIF($E$5:E8,Lista[CATEGORÍA]),)),"")</f>
        <v>Marisco</v>
      </c>
      <c r="F9">
        <f>SUMIFS(Lista[TOTAL],Lista[CATEGORÍA],E9)</f>
        <v>108.89</v>
      </c>
      <c r="G9">
        <f t="shared" si="0"/>
        <v>108.89000900000001</v>
      </c>
      <c r="H9">
        <f>LARGE($G$6:$G$21,4)</f>
        <v>36.840007</v>
      </c>
      <c r="I9">
        <f>MATCH(H9,$G$6:$G$21,0)</f>
        <v>2</v>
      </c>
      <c r="J9" t="str">
        <f>INDEX($E$6:$E$21,$I9)</f>
        <v>Lácteos</v>
      </c>
      <c r="K9" s="1">
        <f>INDEX($F$6:$F$21,$I9)</f>
        <v>36.840000000000003</v>
      </c>
      <c r="L9" s="13">
        <f>ROUND(K9,0)</f>
        <v>37</v>
      </c>
      <c r="M9" t="str">
        <f>UPPER(J9) &amp; " TOTAL"</f>
        <v>LÁCTEOS TOTAL</v>
      </c>
    </row>
    <row r="10" spans="1:13" x14ac:dyDescent="0.4">
      <c r="E10" s="5" t="str">
        <f t="array" ref="E10">IFERROR(INDEX(Lista[CATEGORÍA],MATCH(,COUNTIF($E$5:E9,Lista[CATEGORÍA]),)),"")</f>
        <v/>
      </c>
      <c r="F10">
        <f>SUMIFS(Lista[TOTAL],Lista[CATEGORÍA],E10)</f>
        <v>0</v>
      </c>
      <c r="G10">
        <f t="shared" si="0"/>
        <v>1.0000000000000001E-5</v>
      </c>
      <c r="K10" s="1"/>
      <c r="L10" s="1"/>
    </row>
    <row r="11" spans="1:13" x14ac:dyDescent="0.4">
      <c r="E11" s="5" t="str">
        <f t="array" ref="E11">IFERROR(INDEX(Lista[CATEGORÍA],MATCH(,COUNTIF($E$5:E10,Lista[CATEGORÍA]),)),"")</f>
        <v/>
      </c>
      <c r="F11">
        <f>SUMIFS(Lista[TOTAL],Lista[CATEGORÍA],E11)</f>
        <v>0</v>
      </c>
      <c r="G11">
        <f t="shared" si="0"/>
        <v>1.1E-5</v>
      </c>
      <c r="K11" s="1"/>
      <c r="L11" s="1"/>
    </row>
    <row r="12" spans="1:13" x14ac:dyDescent="0.4">
      <c r="E12" s="5" t="str">
        <f t="array" ref="E12">IFERROR(INDEX(Lista[CATEGORÍA],MATCH(,COUNTIF($E$5:E11,Lista[CATEGORÍA]),)),"")</f>
        <v/>
      </c>
      <c r="F12">
        <f>SUMIFS(Lista[TOTAL],Lista[CATEGORÍA],E12)</f>
        <v>0</v>
      </c>
      <c r="G12">
        <f t="shared" si="0"/>
        <v>1.2E-5</v>
      </c>
      <c r="K12" s="1"/>
      <c r="L12" s="1"/>
    </row>
    <row r="13" spans="1:13" x14ac:dyDescent="0.4">
      <c r="E13" s="5" t="str">
        <f t="array" ref="E13">IFERROR(INDEX(Lista[CATEGORÍA],MATCH(,COUNTIF($E$5:E12,Lista[CATEGORÍA]),)),"")</f>
        <v/>
      </c>
      <c r="F13">
        <f>SUMIFS(Lista[TOTAL],Lista[CATEGORÍA],E13)</f>
        <v>0</v>
      </c>
      <c r="G13">
        <f t="shared" si="0"/>
        <v>1.2999999999999999E-5</v>
      </c>
      <c r="K13" s="1"/>
      <c r="L13" s="1"/>
    </row>
    <row r="14" spans="1:13" x14ac:dyDescent="0.4">
      <c r="E14" s="5" t="str">
        <f t="array" ref="E14">IFERROR(INDEX(Lista[CATEGORÍA],MATCH(,COUNTIF($E$5:E13,Lista[CATEGORÍA]),)),"")</f>
        <v/>
      </c>
      <c r="F14">
        <f>SUMIFS(Lista[TOTAL],Lista[CATEGORÍA],E14)</f>
        <v>0</v>
      </c>
      <c r="G14">
        <f t="shared" si="0"/>
        <v>1.4E-5</v>
      </c>
      <c r="K14" s="1"/>
      <c r="L14" s="1"/>
    </row>
    <row r="15" spans="1:13" x14ac:dyDescent="0.4">
      <c r="E15" s="5" t="str">
        <f t="array" ref="E15">IFERROR(INDEX(Lista[CATEGORÍA],MATCH(,COUNTIF($E$5:E14,Lista[CATEGORÍA]),)),"")</f>
        <v/>
      </c>
      <c r="F15">
        <f>SUMIFS(Lista[TOTAL],Lista[CATEGORÍA],E15)</f>
        <v>0</v>
      </c>
      <c r="G15">
        <f t="shared" si="0"/>
        <v>1.5E-5</v>
      </c>
      <c r="K15" s="1"/>
      <c r="L15" s="1"/>
    </row>
    <row r="16" spans="1:13" x14ac:dyDescent="0.4">
      <c r="E16" s="5" t="str">
        <f t="array" ref="E16">IFERROR(INDEX(Lista[CATEGORÍA],MATCH(,COUNTIF($E$5:E15,Lista[CATEGORÍA]),)),"")</f>
        <v/>
      </c>
      <c r="F16">
        <f>SUMIFS(Lista[TOTAL],Lista[CATEGORÍA],E16)</f>
        <v>0</v>
      </c>
      <c r="G16">
        <f t="shared" si="0"/>
        <v>1.5999999999999999E-5</v>
      </c>
      <c r="K16" s="1"/>
      <c r="L16" s="1"/>
    </row>
    <row r="17" spans="5:12" x14ac:dyDescent="0.4">
      <c r="E17" s="5" t="str">
        <f t="array" ref="E17">IFERROR(INDEX(Lista[CATEGORÍA],MATCH(,COUNTIF($E$5:E16,Lista[CATEGORÍA]),)),"")</f>
        <v/>
      </c>
      <c r="F17">
        <f>SUMIFS(Lista[TOTAL],Lista[CATEGORÍA],E17)</f>
        <v>0</v>
      </c>
      <c r="G17">
        <f t="shared" si="0"/>
        <v>1.7E-5</v>
      </c>
      <c r="K17" s="1"/>
      <c r="L17" s="1"/>
    </row>
    <row r="18" spans="5:12" x14ac:dyDescent="0.4">
      <c r="E18" s="5" t="str">
        <f t="array" ref="E18">IFERROR(INDEX(Lista[CATEGORÍA],MATCH(,COUNTIF($E$5:E17,Lista[CATEGORÍA]),)),"")</f>
        <v/>
      </c>
      <c r="F18">
        <f>SUMIFS(Lista[TOTAL],Lista[CATEGORÍA],E18)</f>
        <v>0</v>
      </c>
      <c r="G18">
        <f t="shared" si="0"/>
        <v>1.8E-5</v>
      </c>
      <c r="K18" s="1"/>
      <c r="L18" s="1"/>
    </row>
    <row r="19" spans="5:12" x14ac:dyDescent="0.4">
      <c r="E19" s="5" t="str">
        <f t="array" ref="E19">IFERROR(INDEX(Lista[CATEGORÍA],MATCH(,COUNTIF($E$5:E18,Lista[CATEGORÍA]),)),"")</f>
        <v/>
      </c>
      <c r="F19">
        <f>SUMIFS(Lista[TOTAL],Lista[CATEGORÍA],E19)</f>
        <v>0</v>
      </c>
      <c r="G19">
        <f t="shared" si="0"/>
        <v>1.9000000000000001E-5</v>
      </c>
      <c r="K19" s="1"/>
      <c r="L19" s="1"/>
    </row>
    <row r="20" spans="5:12" x14ac:dyDescent="0.4">
      <c r="E20" s="5" t="str">
        <f t="array" ref="E20">IFERROR(INDEX(Lista[CATEGORÍA],MATCH(,COUNTIF($E$5:E19,Lista[CATEGORÍA]),)),"")</f>
        <v/>
      </c>
      <c r="F20">
        <f>SUMIFS(Lista[TOTAL],Lista[CATEGORÍA],E20)</f>
        <v>0</v>
      </c>
      <c r="G20">
        <f t="shared" si="0"/>
        <v>2.0000000000000002E-5</v>
      </c>
      <c r="K20" s="1"/>
      <c r="L20" s="1"/>
    </row>
    <row r="21" spans="5:12" x14ac:dyDescent="0.4">
      <c r="E21" s="5" t="str">
        <f t="array" ref="E21">IFERROR(INDEX(Lista[CATEGORÍA],MATCH(,COUNTIF($E$5:E20,Lista[CATEGORÍA]),)),"")</f>
        <v/>
      </c>
      <c r="F21">
        <f>SUMIFS(Lista[TOTAL],Lista[CATEGORÍA],E21)</f>
        <v>0</v>
      </c>
      <c r="G21">
        <f t="shared" si="0"/>
        <v>2.0999999999999999E-5</v>
      </c>
      <c r="K21" s="1"/>
      <c r="L21"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4</vt:i4>
      </vt:variant>
    </vt:vector>
  </HeadingPairs>
  <TitlesOfParts>
    <vt:vector size="6" baseType="lpstr">
      <vt:lpstr>Lista de la compra</vt:lpstr>
      <vt:lpstr>cálculos</vt:lpstr>
      <vt:lpstr>DelimitadorDeTabla</vt:lpstr>
      <vt:lpstr>TítuloDeColumna1</vt:lpstr>
      <vt:lpstr>'Lista de la compra'!Títulos_a_imprimir</vt:lpstr>
      <vt:lpstr>TotalDeCompra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01</dc:creator>
  <cp:lastModifiedBy>01</cp:lastModifiedBy>
  <dcterms:created xsi:type="dcterms:W3CDTF">2018-03-21T10:10:55Z</dcterms:created>
  <dcterms:modified xsi:type="dcterms:W3CDTF">2020-04-21T22:16:28Z</dcterms:modified>
</cp:coreProperties>
</file>